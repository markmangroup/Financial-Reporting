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Finance\AOP 2024\"/>
    </mc:Choice>
  </mc:AlternateContent>
  <xr:revisionPtr revIDLastSave="0" documentId="13_ncr:1_{20C2F49B-2FAA-4076-ACE7-5DFC7ED82925}" xr6:coauthVersionLast="47" xr6:coauthVersionMax="47" xr10:uidLastSave="{00000000-0000-0000-0000-000000000000}"/>
  <bookViews>
    <workbookView xWindow="-38520" yWindow="-120" windowWidth="38640" windowHeight="21120" activeTab="4" xr2:uid="{283D3718-5523-4C9A-8C96-5B8472725091}"/>
  </bookViews>
  <sheets>
    <sheet name="CFSPres" sheetId="7" r:id="rId1"/>
    <sheet name="BSPres" sheetId="6" r:id="rId2"/>
    <sheet name="BS" sheetId="1" r:id="rId3"/>
    <sheet name="CFS" sheetId="5" r:id="rId4"/>
    <sheet name="WC" sheetId="2" r:id="rId5"/>
    <sheet name="ActBS" sheetId="3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0" i="3" l="1"/>
  <c r="Q60" i="3" s="1"/>
  <c r="R60" i="3" s="1"/>
  <c r="S60" i="3" s="1"/>
  <c r="T60" i="3" s="1"/>
  <c r="U60" i="3" s="1"/>
  <c r="V60" i="3" s="1"/>
  <c r="W60" i="3" s="1"/>
  <c r="X60" i="3" s="1"/>
  <c r="Y60" i="3" s="1"/>
  <c r="Z60" i="3" s="1"/>
  <c r="AA60" i="3" s="1"/>
  <c r="AB60" i="3" s="1"/>
  <c r="AC60" i="3" s="1"/>
  <c r="AD60" i="3" s="1"/>
  <c r="AE60" i="3" s="1"/>
  <c r="AF60" i="3" s="1"/>
  <c r="AG60" i="3" s="1"/>
  <c r="AH60" i="3" s="1"/>
  <c r="AI60" i="3" s="1"/>
  <c r="AJ60" i="3" s="1"/>
  <c r="AK60" i="3" s="1"/>
  <c r="AL60" i="3" s="1"/>
  <c r="AM60" i="3" s="1"/>
  <c r="AN60" i="3" s="1"/>
  <c r="AO60" i="3" s="1"/>
  <c r="AP60" i="3" s="1"/>
  <c r="AQ60" i="3" s="1"/>
  <c r="AR60" i="3" s="1"/>
  <c r="AS60" i="3" s="1"/>
  <c r="AT60" i="3" s="1"/>
  <c r="AU60" i="3" s="1"/>
  <c r="AV60" i="3" s="1"/>
  <c r="AW60" i="3" s="1"/>
  <c r="AX60" i="3" s="1"/>
  <c r="AY60" i="3" s="1"/>
  <c r="AZ60" i="3" s="1"/>
  <c r="BA60" i="3" s="1"/>
  <c r="BB60" i="3" s="1"/>
  <c r="BC60" i="3" s="1"/>
  <c r="BD60" i="3" s="1"/>
  <c r="BE60" i="3" s="1"/>
  <c r="BF60" i="3" s="1"/>
  <c r="BG60" i="3" s="1"/>
  <c r="BH60" i="3" s="1"/>
  <c r="BI60" i="3" s="1"/>
  <c r="BJ60" i="3" s="1"/>
  <c r="BK60" i="3" s="1"/>
  <c r="BL60" i="3" s="1"/>
  <c r="BM60" i="3" s="1"/>
  <c r="BN60" i="3" s="1"/>
  <c r="BO60" i="3" s="1"/>
  <c r="BP60" i="3" s="1"/>
  <c r="BQ60" i="3" s="1"/>
  <c r="BR60" i="3" s="1"/>
  <c r="BS60" i="3" s="1"/>
  <c r="BT60" i="3" s="1"/>
  <c r="BU60" i="3" s="1"/>
  <c r="BV60" i="3" s="1"/>
  <c r="BW60" i="3" s="1"/>
  <c r="BX60" i="3" s="1"/>
  <c r="BY60" i="3" s="1"/>
  <c r="BZ60" i="3" s="1"/>
  <c r="CA60" i="3" s="1"/>
  <c r="CB60" i="3" s="1"/>
  <c r="CC60" i="3" s="1"/>
  <c r="CD60" i="3" s="1"/>
  <c r="CE60" i="3" s="1"/>
  <c r="CF60" i="3" s="1"/>
  <c r="CG60" i="3" s="1"/>
  <c r="CH60" i="3" s="1"/>
  <c r="O60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CS147" i="2"/>
  <c r="CR147" i="2"/>
  <c r="CQ147" i="2"/>
  <c r="CP147" i="2"/>
  <c r="CO147" i="2"/>
  <c r="CN147" i="2"/>
  <c r="CM147" i="2"/>
  <c r="CL147" i="2"/>
  <c r="CK147" i="2"/>
  <c r="CJ147" i="2"/>
  <c r="CI147" i="2"/>
  <c r="CH147" i="2"/>
  <c r="CG147" i="2"/>
  <c r="CF147" i="2"/>
  <c r="CE147" i="2"/>
  <c r="CD147" i="2"/>
  <c r="CC147" i="2"/>
  <c r="CB147" i="2"/>
  <c r="CA147" i="2"/>
  <c r="BZ147" i="2"/>
  <c r="BY147" i="2"/>
  <c r="BX147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CS117" i="2"/>
  <c r="CR117" i="2"/>
  <c r="CQ117" i="2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CS175" i="2"/>
  <c r="CR175" i="2"/>
  <c r="CQ175" i="2"/>
  <c r="CP175" i="2"/>
  <c r="CO175" i="2"/>
  <c r="CN175" i="2"/>
  <c r="CM175" i="2"/>
  <c r="CL175" i="2"/>
  <c r="CK175" i="2"/>
  <c r="CJ175" i="2"/>
  <c r="CI175" i="2"/>
  <c r="CH175" i="2"/>
  <c r="CG175" i="2"/>
  <c r="CF175" i="2"/>
  <c r="CE175" i="2"/>
  <c r="CD175" i="2"/>
  <c r="CC175" i="2"/>
  <c r="CB175" i="2"/>
  <c r="CA175" i="2"/>
  <c r="BZ175" i="2"/>
  <c r="BY175" i="2"/>
  <c r="BX175" i="2"/>
  <c r="BW175" i="2"/>
  <c r="BV175" i="2"/>
  <c r="BU175" i="2"/>
  <c r="BT175" i="2"/>
  <c r="BS175" i="2"/>
  <c r="BR175" i="2"/>
  <c r="BQ175" i="2"/>
  <c r="BP175" i="2"/>
  <c r="BO175" i="2"/>
  <c r="BN175" i="2"/>
  <c r="BM175" i="2"/>
  <c r="BL175" i="2"/>
  <c r="BK175" i="2"/>
  <c r="BJ175" i="2"/>
  <c r="BI175" i="2"/>
  <c r="BH175" i="2"/>
  <c r="BG175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CS174" i="2"/>
  <c r="CR174" i="2"/>
  <c r="CQ174" i="2"/>
  <c r="CP174" i="2"/>
  <c r="CO174" i="2"/>
  <c r="CN174" i="2"/>
  <c r="CM174" i="2"/>
  <c r="CL174" i="2"/>
  <c r="CK174" i="2"/>
  <c r="CJ174" i="2"/>
  <c r="CI174" i="2"/>
  <c r="CH174" i="2"/>
  <c r="CG174" i="2"/>
  <c r="CF174" i="2"/>
  <c r="CE174" i="2"/>
  <c r="CD174" i="2"/>
  <c r="CC174" i="2"/>
  <c r="CB174" i="2"/>
  <c r="CA174" i="2"/>
  <c r="BZ174" i="2"/>
  <c r="BY174" i="2"/>
  <c r="BX174" i="2"/>
  <c r="BW174" i="2"/>
  <c r="BV174" i="2"/>
  <c r="BU174" i="2"/>
  <c r="BT174" i="2"/>
  <c r="BS174" i="2"/>
  <c r="BR174" i="2"/>
  <c r="BQ174" i="2"/>
  <c r="BP174" i="2"/>
  <c r="BO174" i="2"/>
  <c r="BN174" i="2"/>
  <c r="BM174" i="2"/>
  <c r="BL174" i="2"/>
  <c r="BK174" i="2"/>
  <c r="BJ174" i="2"/>
  <c r="BI174" i="2"/>
  <c r="BH174" i="2"/>
  <c r="BG174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CS173" i="2"/>
  <c r="CR173" i="2"/>
  <c r="CQ173" i="2"/>
  <c r="CP173" i="2"/>
  <c r="CO173" i="2"/>
  <c r="CN173" i="2"/>
  <c r="CM173" i="2"/>
  <c r="CL173" i="2"/>
  <c r="CK173" i="2"/>
  <c r="CJ173" i="2"/>
  <c r="CI173" i="2"/>
  <c r="CH173" i="2"/>
  <c r="CG173" i="2"/>
  <c r="CF173" i="2"/>
  <c r="CE173" i="2"/>
  <c r="CD173" i="2"/>
  <c r="CC173" i="2"/>
  <c r="CB173" i="2"/>
  <c r="CA173" i="2"/>
  <c r="BZ173" i="2"/>
  <c r="BY173" i="2"/>
  <c r="BX173" i="2"/>
  <c r="BW173" i="2"/>
  <c r="BV173" i="2"/>
  <c r="BU173" i="2"/>
  <c r="BT173" i="2"/>
  <c r="BS173" i="2"/>
  <c r="BR173" i="2"/>
  <c r="BQ173" i="2"/>
  <c r="BP173" i="2"/>
  <c r="BO173" i="2"/>
  <c r="BN173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CS172" i="2"/>
  <c r="CR172" i="2"/>
  <c r="CQ172" i="2"/>
  <c r="CP172" i="2"/>
  <c r="CO172" i="2"/>
  <c r="CN172" i="2"/>
  <c r="CM172" i="2"/>
  <c r="CL172" i="2"/>
  <c r="CK172" i="2"/>
  <c r="CJ172" i="2"/>
  <c r="CI172" i="2"/>
  <c r="CH172" i="2"/>
  <c r="CG172" i="2"/>
  <c r="CF172" i="2"/>
  <c r="CE172" i="2"/>
  <c r="CD172" i="2"/>
  <c r="CC172" i="2"/>
  <c r="CB172" i="2"/>
  <c r="CA172" i="2"/>
  <c r="BZ172" i="2"/>
  <c r="BY172" i="2"/>
  <c r="BX172" i="2"/>
  <c r="BW172" i="2"/>
  <c r="BV172" i="2"/>
  <c r="BU172" i="2"/>
  <c r="BT172" i="2"/>
  <c r="BS172" i="2"/>
  <c r="BR172" i="2"/>
  <c r="BQ172" i="2"/>
  <c r="BP172" i="2"/>
  <c r="BO172" i="2"/>
  <c r="BN172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CS171" i="2"/>
  <c r="CR171" i="2"/>
  <c r="CQ171" i="2"/>
  <c r="CP171" i="2"/>
  <c r="CO171" i="2"/>
  <c r="CN171" i="2"/>
  <c r="CM171" i="2"/>
  <c r="CL171" i="2"/>
  <c r="CK171" i="2"/>
  <c r="CJ171" i="2"/>
  <c r="CI171" i="2"/>
  <c r="CH171" i="2"/>
  <c r="CG171" i="2"/>
  <c r="CF171" i="2"/>
  <c r="CE171" i="2"/>
  <c r="CD171" i="2"/>
  <c r="CC171" i="2"/>
  <c r="CB171" i="2"/>
  <c r="CA171" i="2"/>
  <c r="BZ171" i="2"/>
  <c r="BY171" i="2"/>
  <c r="BX171" i="2"/>
  <c r="BW171" i="2"/>
  <c r="BV171" i="2"/>
  <c r="BU171" i="2"/>
  <c r="BT171" i="2"/>
  <c r="BS171" i="2"/>
  <c r="BR171" i="2"/>
  <c r="BQ171" i="2"/>
  <c r="BP171" i="2"/>
  <c r="BO171" i="2"/>
  <c r="BN171" i="2"/>
  <c r="BM171" i="2"/>
  <c r="BL171" i="2"/>
  <c r="BK171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CS170" i="2"/>
  <c r="CR170" i="2"/>
  <c r="CQ170" i="2"/>
  <c r="CP170" i="2"/>
  <c r="CO170" i="2"/>
  <c r="CN170" i="2"/>
  <c r="CM170" i="2"/>
  <c r="CL170" i="2"/>
  <c r="CK170" i="2"/>
  <c r="CJ170" i="2"/>
  <c r="CI170" i="2"/>
  <c r="CH170" i="2"/>
  <c r="CG170" i="2"/>
  <c r="CF170" i="2"/>
  <c r="CE170" i="2"/>
  <c r="CD170" i="2"/>
  <c r="CC170" i="2"/>
  <c r="CB170" i="2"/>
  <c r="CA170" i="2"/>
  <c r="BZ170" i="2"/>
  <c r="BY170" i="2"/>
  <c r="BX170" i="2"/>
  <c r="BW170" i="2"/>
  <c r="BV170" i="2"/>
  <c r="BU170" i="2"/>
  <c r="BT170" i="2"/>
  <c r="BS170" i="2"/>
  <c r="BR170" i="2"/>
  <c r="BQ170" i="2"/>
  <c r="BP170" i="2"/>
  <c r="BO170" i="2"/>
  <c r="BN170" i="2"/>
  <c r="BM170" i="2"/>
  <c r="BL170" i="2"/>
  <c r="BK170" i="2"/>
  <c r="BJ170" i="2"/>
  <c r="BI170" i="2"/>
  <c r="BH170" i="2"/>
  <c r="BG170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CS169" i="2"/>
  <c r="CR169" i="2"/>
  <c r="CQ169" i="2"/>
  <c r="CP169" i="2"/>
  <c r="CO169" i="2"/>
  <c r="CN169" i="2"/>
  <c r="CM169" i="2"/>
  <c r="CL169" i="2"/>
  <c r="CK169" i="2"/>
  <c r="CJ169" i="2"/>
  <c r="CI169" i="2"/>
  <c r="CH169" i="2"/>
  <c r="CG169" i="2"/>
  <c r="CF169" i="2"/>
  <c r="CE169" i="2"/>
  <c r="CD169" i="2"/>
  <c r="CC169" i="2"/>
  <c r="CB169" i="2"/>
  <c r="CA169" i="2"/>
  <c r="BZ169" i="2"/>
  <c r="BY169" i="2"/>
  <c r="BX169" i="2"/>
  <c r="BW169" i="2"/>
  <c r="BV169" i="2"/>
  <c r="BU169" i="2"/>
  <c r="BT169" i="2"/>
  <c r="BS169" i="2"/>
  <c r="BR169" i="2"/>
  <c r="BQ169" i="2"/>
  <c r="BP169" i="2"/>
  <c r="BO169" i="2"/>
  <c r="BN169" i="2"/>
  <c r="BM169" i="2"/>
  <c r="BL169" i="2"/>
  <c r="BK169" i="2"/>
  <c r="BJ169" i="2"/>
  <c r="BI169" i="2"/>
  <c r="BH169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CS168" i="2"/>
  <c r="CR168" i="2"/>
  <c r="CQ168" i="2"/>
  <c r="CP168" i="2"/>
  <c r="CO168" i="2"/>
  <c r="CN168" i="2"/>
  <c r="CM168" i="2"/>
  <c r="CL168" i="2"/>
  <c r="CK168" i="2"/>
  <c r="CJ168" i="2"/>
  <c r="CI168" i="2"/>
  <c r="CH168" i="2"/>
  <c r="CG168" i="2"/>
  <c r="CF168" i="2"/>
  <c r="CE168" i="2"/>
  <c r="CD168" i="2"/>
  <c r="CC168" i="2"/>
  <c r="CB168" i="2"/>
  <c r="CA168" i="2"/>
  <c r="BZ168" i="2"/>
  <c r="BY168" i="2"/>
  <c r="BX168" i="2"/>
  <c r="BW168" i="2"/>
  <c r="BV168" i="2"/>
  <c r="BU168" i="2"/>
  <c r="BT168" i="2"/>
  <c r="BS168" i="2"/>
  <c r="BR168" i="2"/>
  <c r="BQ168" i="2"/>
  <c r="BP168" i="2"/>
  <c r="BO168" i="2"/>
  <c r="BN168" i="2"/>
  <c r="BM168" i="2"/>
  <c r="BL168" i="2"/>
  <c r="BK168" i="2"/>
  <c r="BJ168" i="2"/>
  <c r="BI168" i="2"/>
  <c r="BH168" i="2"/>
  <c r="BG168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CS167" i="2"/>
  <c r="CR167" i="2"/>
  <c r="CQ167" i="2"/>
  <c r="CP167" i="2"/>
  <c r="CO167" i="2"/>
  <c r="CN167" i="2"/>
  <c r="CM167" i="2"/>
  <c r="CL167" i="2"/>
  <c r="CK167" i="2"/>
  <c r="CJ167" i="2"/>
  <c r="CI167" i="2"/>
  <c r="CH167" i="2"/>
  <c r="CG167" i="2"/>
  <c r="CF167" i="2"/>
  <c r="CE167" i="2"/>
  <c r="CD167" i="2"/>
  <c r="CC167" i="2"/>
  <c r="CB167" i="2"/>
  <c r="CA167" i="2"/>
  <c r="BZ167" i="2"/>
  <c r="BY167" i="2"/>
  <c r="BX167" i="2"/>
  <c r="BW167" i="2"/>
  <c r="BV167" i="2"/>
  <c r="BU167" i="2"/>
  <c r="BT167" i="2"/>
  <c r="BS167" i="2"/>
  <c r="BR167" i="2"/>
  <c r="BQ167" i="2"/>
  <c r="BP167" i="2"/>
  <c r="BO167" i="2"/>
  <c r="BN167" i="2"/>
  <c r="BM167" i="2"/>
  <c r="BL167" i="2"/>
  <c r="BK167" i="2"/>
  <c r="BJ167" i="2"/>
  <c r="BI167" i="2"/>
  <c r="BH167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CS166" i="2"/>
  <c r="CR166" i="2"/>
  <c r="CQ166" i="2"/>
  <c r="CP166" i="2"/>
  <c r="CO166" i="2"/>
  <c r="CN166" i="2"/>
  <c r="CM166" i="2"/>
  <c r="CL166" i="2"/>
  <c r="CK166" i="2"/>
  <c r="CJ166" i="2"/>
  <c r="CI166" i="2"/>
  <c r="CH166" i="2"/>
  <c r="CG166" i="2"/>
  <c r="CF166" i="2"/>
  <c r="CE166" i="2"/>
  <c r="CD166" i="2"/>
  <c r="CC166" i="2"/>
  <c r="CB166" i="2"/>
  <c r="CA166" i="2"/>
  <c r="BZ166" i="2"/>
  <c r="BY166" i="2"/>
  <c r="BX166" i="2"/>
  <c r="BW166" i="2"/>
  <c r="BV166" i="2"/>
  <c r="BU166" i="2"/>
  <c r="BT166" i="2"/>
  <c r="BS166" i="2"/>
  <c r="BR166" i="2"/>
  <c r="BQ166" i="2"/>
  <c r="BP166" i="2"/>
  <c r="BO166" i="2"/>
  <c r="BN166" i="2"/>
  <c r="BM166" i="2"/>
  <c r="BL166" i="2"/>
  <c r="BK166" i="2"/>
  <c r="BJ166" i="2"/>
  <c r="BI166" i="2"/>
  <c r="BH166" i="2"/>
  <c r="BG166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CS165" i="2"/>
  <c r="CR165" i="2"/>
  <c r="CQ165" i="2"/>
  <c r="CP165" i="2"/>
  <c r="CO165" i="2"/>
  <c r="CN165" i="2"/>
  <c r="CM165" i="2"/>
  <c r="CL165" i="2"/>
  <c r="CK165" i="2"/>
  <c r="CJ165" i="2"/>
  <c r="CI165" i="2"/>
  <c r="CH165" i="2"/>
  <c r="CG165" i="2"/>
  <c r="CF165" i="2"/>
  <c r="CE165" i="2"/>
  <c r="CD165" i="2"/>
  <c r="CC165" i="2"/>
  <c r="CB165" i="2"/>
  <c r="CA165" i="2"/>
  <c r="BZ165" i="2"/>
  <c r="BY165" i="2"/>
  <c r="BX165" i="2"/>
  <c r="BW165" i="2"/>
  <c r="BV165" i="2"/>
  <c r="BU165" i="2"/>
  <c r="BT165" i="2"/>
  <c r="BS165" i="2"/>
  <c r="BR165" i="2"/>
  <c r="BQ165" i="2"/>
  <c r="BP165" i="2"/>
  <c r="BO165" i="2"/>
  <c r="BN165" i="2"/>
  <c r="BM165" i="2"/>
  <c r="BL165" i="2"/>
  <c r="BK165" i="2"/>
  <c r="BJ165" i="2"/>
  <c r="BI165" i="2"/>
  <c r="BH165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CS164" i="2"/>
  <c r="CR164" i="2"/>
  <c r="CQ164" i="2"/>
  <c r="CP164" i="2"/>
  <c r="CO164" i="2"/>
  <c r="CN164" i="2"/>
  <c r="CM164" i="2"/>
  <c r="CL164" i="2"/>
  <c r="CK164" i="2"/>
  <c r="CJ164" i="2"/>
  <c r="CI164" i="2"/>
  <c r="CH164" i="2"/>
  <c r="CG164" i="2"/>
  <c r="CF164" i="2"/>
  <c r="CE164" i="2"/>
  <c r="CD164" i="2"/>
  <c r="CC164" i="2"/>
  <c r="CB164" i="2"/>
  <c r="CA164" i="2"/>
  <c r="BZ164" i="2"/>
  <c r="BY164" i="2"/>
  <c r="BX164" i="2"/>
  <c r="BW164" i="2"/>
  <c r="BV164" i="2"/>
  <c r="BU164" i="2"/>
  <c r="BT164" i="2"/>
  <c r="BS164" i="2"/>
  <c r="BR164" i="2"/>
  <c r="BQ164" i="2"/>
  <c r="BP164" i="2"/>
  <c r="BO164" i="2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CS163" i="2"/>
  <c r="CR163" i="2"/>
  <c r="CQ163" i="2"/>
  <c r="CP163" i="2"/>
  <c r="CO163" i="2"/>
  <c r="CN163" i="2"/>
  <c r="CM163" i="2"/>
  <c r="CL163" i="2"/>
  <c r="CK163" i="2"/>
  <c r="CJ163" i="2"/>
  <c r="CI163" i="2"/>
  <c r="CH163" i="2"/>
  <c r="CG163" i="2"/>
  <c r="CF163" i="2"/>
  <c r="CE163" i="2"/>
  <c r="CD163" i="2"/>
  <c r="CC163" i="2"/>
  <c r="CB163" i="2"/>
  <c r="CA163" i="2"/>
  <c r="BZ163" i="2"/>
  <c r="BY163" i="2"/>
  <c r="BX163" i="2"/>
  <c r="BW163" i="2"/>
  <c r="BV163" i="2"/>
  <c r="BU163" i="2"/>
  <c r="BT163" i="2"/>
  <c r="BS163" i="2"/>
  <c r="BR163" i="2"/>
  <c r="BQ163" i="2"/>
  <c r="BP163" i="2"/>
  <c r="BO163" i="2"/>
  <c r="BN163" i="2"/>
  <c r="BM163" i="2"/>
  <c r="BL163" i="2"/>
  <c r="BK163" i="2"/>
  <c r="BJ163" i="2"/>
  <c r="BI163" i="2"/>
  <c r="BH163" i="2"/>
  <c r="BG163" i="2"/>
  <c r="BF163" i="2"/>
  <c r="BE163" i="2"/>
  <c r="BD163" i="2"/>
  <c r="BC163" i="2"/>
  <c r="BB163" i="2"/>
  <c r="BA163" i="2"/>
  <c r="AZ163" i="2"/>
  <c r="AY163" i="2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CS162" i="2"/>
  <c r="CR162" i="2"/>
  <c r="CQ162" i="2"/>
  <c r="CP162" i="2"/>
  <c r="CO162" i="2"/>
  <c r="CN162" i="2"/>
  <c r="CM162" i="2"/>
  <c r="CL162" i="2"/>
  <c r="CK162" i="2"/>
  <c r="CJ162" i="2"/>
  <c r="CI162" i="2"/>
  <c r="CH162" i="2"/>
  <c r="CG162" i="2"/>
  <c r="CF162" i="2"/>
  <c r="CE162" i="2"/>
  <c r="CD162" i="2"/>
  <c r="CC162" i="2"/>
  <c r="CB162" i="2"/>
  <c r="CA162" i="2"/>
  <c r="BZ162" i="2"/>
  <c r="BY162" i="2"/>
  <c r="BX162" i="2"/>
  <c r="BW162" i="2"/>
  <c r="BV162" i="2"/>
  <c r="BU162" i="2"/>
  <c r="BT162" i="2"/>
  <c r="BS162" i="2"/>
  <c r="BR162" i="2"/>
  <c r="BQ162" i="2"/>
  <c r="BP162" i="2"/>
  <c r="BO162" i="2"/>
  <c r="BN162" i="2"/>
  <c r="BM162" i="2"/>
  <c r="BL162" i="2"/>
  <c r="BK162" i="2"/>
  <c r="BJ162" i="2"/>
  <c r="BI162" i="2"/>
  <c r="BH162" i="2"/>
  <c r="BG162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AT162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CS161" i="2"/>
  <c r="CR161" i="2"/>
  <c r="CQ161" i="2"/>
  <c r="CP161" i="2"/>
  <c r="CO161" i="2"/>
  <c r="CN161" i="2"/>
  <c r="CM161" i="2"/>
  <c r="CL161" i="2"/>
  <c r="CK161" i="2"/>
  <c r="CJ161" i="2"/>
  <c r="CI161" i="2"/>
  <c r="CH161" i="2"/>
  <c r="CG161" i="2"/>
  <c r="CF161" i="2"/>
  <c r="CE161" i="2"/>
  <c r="CD161" i="2"/>
  <c r="CC161" i="2"/>
  <c r="CB161" i="2"/>
  <c r="CA161" i="2"/>
  <c r="BZ161" i="2"/>
  <c r="BY161" i="2"/>
  <c r="BX161" i="2"/>
  <c r="BW161" i="2"/>
  <c r="BV161" i="2"/>
  <c r="BU161" i="2"/>
  <c r="BT161" i="2"/>
  <c r="BS161" i="2"/>
  <c r="BR161" i="2"/>
  <c r="BQ161" i="2"/>
  <c r="BP161" i="2"/>
  <c r="BO161" i="2"/>
  <c r="BN161" i="2"/>
  <c r="BM161" i="2"/>
  <c r="BL161" i="2"/>
  <c r="BK161" i="2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CS160" i="2"/>
  <c r="CR160" i="2"/>
  <c r="CQ160" i="2"/>
  <c r="CP160" i="2"/>
  <c r="CO160" i="2"/>
  <c r="CN160" i="2"/>
  <c r="CM160" i="2"/>
  <c r="CL160" i="2"/>
  <c r="CK160" i="2"/>
  <c r="CJ160" i="2"/>
  <c r="CI160" i="2"/>
  <c r="CH160" i="2"/>
  <c r="CG160" i="2"/>
  <c r="CF160" i="2"/>
  <c r="CE160" i="2"/>
  <c r="CD160" i="2"/>
  <c r="CC160" i="2"/>
  <c r="CB160" i="2"/>
  <c r="CA160" i="2"/>
  <c r="BZ160" i="2"/>
  <c r="BY160" i="2"/>
  <c r="BX160" i="2"/>
  <c r="BW160" i="2"/>
  <c r="BV160" i="2"/>
  <c r="BU160" i="2"/>
  <c r="BT160" i="2"/>
  <c r="BS160" i="2"/>
  <c r="BR160" i="2"/>
  <c r="BQ160" i="2"/>
  <c r="BP160" i="2"/>
  <c r="BO160" i="2"/>
  <c r="BN160" i="2"/>
  <c r="BM160" i="2"/>
  <c r="BL160" i="2"/>
  <c r="BK160" i="2"/>
  <c r="BJ160" i="2"/>
  <c r="BI160" i="2"/>
  <c r="BH160" i="2"/>
  <c r="BG160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CS159" i="2"/>
  <c r="CR159" i="2"/>
  <c r="CQ159" i="2"/>
  <c r="CP159" i="2"/>
  <c r="CO159" i="2"/>
  <c r="CN159" i="2"/>
  <c r="CM159" i="2"/>
  <c r="CL159" i="2"/>
  <c r="CK159" i="2"/>
  <c r="CJ159" i="2"/>
  <c r="CI159" i="2"/>
  <c r="CH159" i="2"/>
  <c r="CG159" i="2"/>
  <c r="CF159" i="2"/>
  <c r="CE159" i="2"/>
  <c r="CD159" i="2"/>
  <c r="CC159" i="2"/>
  <c r="CB159" i="2"/>
  <c r="CA159" i="2"/>
  <c r="BZ159" i="2"/>
  <c r="BY159" i="2"/>
  <c r="BX159" i="2"/>
  <c r="BW159" i="2"/>
  <c r="BV159" i="2"/>
  <c r="BU159" i="2"/>
  <c r="BT159" i="2"/>
  <c r="BS159" i="2"/>
  <c r="BR159" i="2"/>
  <c r="BQ159" i="2"/>
  <c r="BP159" i="2"/>
  <c r="BO159" i="2"/>
  <c r="BN159" i="2"/>
  <c r="BM159" i="2"/>
  <c r="BL159" i="2"/>
  <c r="BK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CS158" i="2"/>
  <c r="CR158" i="2"/>
  <c r="CQ158" i="2"/>
  <c r="CP158" i="2"/>
  <c r="CO158" i="2"/>
  <c r="CN158" i="2"/>
  <c r="CM158" i="2"/>
  <c r="CL158" i="2"/>
  <c r="CK158" i="2"/>
  <c r="CJ158" i="2"/>
  <c r="CI158" i="2"/>
  <c r="CH158" i="2"/>
  <c r="CG158" i="2"/>
  <c r="CF158" i="2"/>
  <c r="CE158" i="2"/>
  <c r="CD158" i="2"/>
  <c r="CC158" i="2"/>
  <c r="CB158" i="2"/>
  <c r="CA158" i="2"/>
  <c r="BZ158" i="2"/>
  <c r="BY158" i="2"/>
  <c r="BX158" i="2"/>
  <c r="BW158" i="2"/>
  <c r="BV158" i="2"/>
  <c r="BU158" i="2"/>
  <c r="BT158" i="2"/>
  <c r="BS158" i="2"/>
  <c r="BR158" i="2"/>
  <c r="BQ158" i="2"/>
  <c r="BP158" i="2"/>
  <c r="BO158" i="2"/>
  <c r="BN158" i="2"/>
  <c r="BM158" i="2"/>
  <c r="BL158" i="2"/>
  <c r="BK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CS157" i="2"/>
  <c r="CR157" i="2"/>
  <c r="CQ157" i="2"/>
  <c r="CP157" i="2"/>
  <c r="CO157" i="2"/>
  <c r="CN157" i="2"/>
  <c r="CM157" i="2"/>
  <c r="CL157" i="2"/>
  <c r="CK157" i="2"/>
  <c r="CJ157" i="2"/>
  <c r="CI157" i="2"/>
  <c r="CH157" i="2"/>
  <c r="CG157" i="2"/>
  <c r="CF157" i="2"/>
  <c r="CE157" i="2"/>
  <c r="CD157" i="2"/>
  <c r="CC157" i="2"/>
  <c r="CB157" i="2"/>
  <c r="CA157" i="2"/>
  <c r="BZ157" i="2"/>
  <c r="BY157" i="2"/>
  <c r="BX157" i="2"/>
  <c r="BW157" i="2"/>
  <c r="BV157" i="2"/>
  <c r="BU157" i="2"/>
  <c r="BT157" i="2"/>
  <c r="BS157" i="2"/>
  <c r="BR157" i="2"/>
  <c r="BQ157" i="2"/>
  <c r="BP157" i="2"/>
  <c r="BO157" i="2"/>
  <c r="BN157" i="2"/>
  <c r="BM157" i="2"/>
  <c r="BL157" i="2"/>
  <c r="BK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CS156" i="2"/>
  <c r="CR156" i="2"/>
  <c r="CQ156" i="2"/>
  <c r="CP156" i="2"/>
  <c r="CO156" i="2"/>
  <c r="CN156" i="2"/>
  <c r="CM156" i="2"/>
  <c r="CL156" i="2"/>
  <c r="CK156" i="2"/>
  <c r="CJ156" i="2"/>
  <c r="CI156" i="2"/>
  <c r="CH156" i="2"/>
  <c r="CG156" i="2"/>
  <c r="CF156" i="2"/>
  <c r="CE156" i="2"/>
  <c r="CD156" i="2"/>
  <c r="CC156" i="2"/>
  <c r="CB156" i="2"/>
  <c r="CA156" i="2"/>
  <c r="BZ156" i="2"/>
  <c r="BY156" i="2"/>
  <c r="BX156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CS155" i="2"/>
  <c r="CR155" i="2"/>
  <c r="CQ155" i="2"/>
  <c r="CP155" i="2"/>
  <c r="CO155" i="2"/>
  <c r="CN155" i="2"/>
  <c r="CM155" i="2"/>
  <c r="CL155" i="2"/>
  <c r="CK155" i="2"/>
  <c r="CJ155" i="2"/>
  <c r="CI155" i="2"/>
  <c r="CH155" i="2"/>
  <c r="CG155" i="2"/>
  <c r="CF155" i="2"/>
  <c r="CE155" i="2"/>
  <c r="CD155" i="2"/>
  <c r="CC155" i="2"/>
  <c r="CB155" i="2"/>
  <c r="CA155" i="2"/>
  <c r="BZ155" i="2"/>
  <c r="BY155" i="2"/>
  <c r="BX155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CS154" i="2"/>
  <c r="CR154" i="2"/>
  <c r="CQ154" i="2"/>
  <c r="CP154" i="2"/>
  <c r="CO154" i="2"/>
  <c r="CN154" i="2"/>
  <c r="CM154" i="2"/>
  <c r="CL154" i="2"/>
  <c r="CK154" i="2"/>
  <c r="CJ154" i="2"/>
  <c r="CI154" i="2"/>
  <c r="CH154" i="2"/>
  <c r="CG154" i="2"/>
  <c r="CF154" i="2"/>
  <c r="CE154" i="2"/>
  <c r="CD154" i="2"/>
  <c r="CC154" i="2"/>
  <c r="CB154" i="2"/>
  <c r="CA154" i="2"/>
  <c r="BZ154" i="2"/>
  <c r="BY154" i="2"/>
  <c r="BX154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CS145" i="2"/>
  <c r="CR145" i="2"/>
  <c r="CQ145" i="2"/>
  <c r="CP145" i="2"/>
  <c r="CO145" i="2"/>
  <c r="CN145" i="2"/>
  <c r="CM145" i="2"/>
  <c r="CL145" i="2"/>
  <c r="CK145" i="2"/>
  <c r="CJ145" i="2"/>
  <c r="CI145" i="2"/>
  <c r="CH145" i="2"/>
  <c r="CG145" i="2"/>
  <c r="CF145" i="2"/>
  <c r="CE145" i="2"/>
  <c r="CD145" i="2"/>
  <c r="CC145" i="2"/>
  <c r="CB145" i="2"/>
  <c r="CA145" i="2"/>
  <c r="BZ145" i="2"/>
  <c r="BY145" i="2"/>
  <c r="BX145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CS144" i="2"/>
  <c r="CR144" i="2"/>
  <c r="CQ144" i="2"/>
  <c r="CP144" i="2"/>
  <c r="CO144" i="2"/>
  <c r="CN144" i="2"/>
  <c r="CM144" i="2"/>
  <c r="CL144" i="2"/>
  <c r="CK144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CS143" i="2"/>
  <c r="CR143" i="2"/>
  <c r="CQ143" i="2"/>
  <c r="CP143" i="2"/>
  <c r="CO143" i="2"/>
  <c r="CN143" i="2"/>
  <c r="CM143" i="2"/>
  <c r="CL143" i="2"/>
  <c r="CK143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CS142" i="2"/>
  <c r="CR142" i="2"/>
  <c r="CQ142" i="2"/>
  <c r="CP142" i="2"/>
  <c r="CO142" i="2"/>
  <c r="CN142" i="2"/>
  <c r="CM142" i="2"/>
  <c r="CL142" i="2"/>
  <c r="CK142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CS141" i="2"/>
  <c r="CR141" i="2"/>
  <c r="CQ141" i="2"/>
  <c r="CP141" i="2"/>
  <c r="CO141" i="2"/>
  <c r="CN141" i="2"/>
  <c r="CM141" i="2"/>
  <c r="CL141" i="2"/>
  <c r="CK141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CS140" i="2"/>
  <c r="CR140" i="2"/>
  <c r="CQ140" i="2"/>
  <c r="CP140" i="2"/>
  <c r="CO140" i="2"/>
  <c r="CN140" i="2"/>
  <c r="CM140" i="2"/>
  <c r="CL140" i="2"/>
  <c r="CK140" i="2"/>
  <c r="CJ140" i="2"/>
  <c r="CI140" i="2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CS139" i="2"/>
  <c r="CR139" i="2"/>
  <c r="CQ139" i="2"/>
  <c r="CP139" i="2"/>
  <c r="CO139" i="2"/>
  <c r="CN139" i="2"/>
  <c r="CM139" i="2"/>
  <c r="CL139" i="2"/>
  <c r="CK139" i="2"/>
  <c r="CJ139" i="2"/>
  <c r="CI139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CS138" i="2"/>
  <c r="CR138" i="2"/>
  <c r="CQ138" i="2"/>
  <c r="CP138" i="2"/>
  <c r="CO138" i="2"/>
  <c r="CN138" i="2"/>
  <c r="CM138" i="2"/>
  <c r="CL138" i="2"/>
  <c r="CK138" i="2"/>
  <c r="CJ138" i="2"/>
  <c r="CI138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CS137" i="2"/>
  <c r="CR137" i="2"/>
  <c r="CQ137" i="2"/>
  <c r="CP137" i="2"/>
  <c r="CO137" i="2"/>
  <c r="CN137" i="2"/>
  <c r="CM137" i="2"/>
  <c r="CL137" i="2"/>
  <c r="CK137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CS136" i="2"/>
  <c r="CR136" i="2"/>
  <c r="CQ136" i="2"/>
  <c r="CP136" i="2"/>
  <c r="CO136" i="2"/>
  <c r="CN136" i="2"/>
  <c r="CM136" i="2"/>
  <c r="CL136" i="2"/>
  <c r="CK136" i="2"/>
  <c r="CJ136" i="2"/>
  <c r="CI136" i="2"/>
  <c r="CH136" i="2"/>
  <c r="CG136" i="2"/>
  <c r="CF136" i="2"/>
  <c r="CE136" i="2"/>
  <c r="CD136" i="2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CS135" i="2"/>
  <c r="CR135" i="2"/>
  <c r="CQ135" i="2"/>
  <c r="CP135" i="2"/>
  <c r="CO135" i="2"/>
  <c r="CN135" i="2"/>
  <c r="CM135" i="2"/>
  <c r="CL135" i="2"/>
  <c r="CK135" i="2"/>
  <c r="CJ135" i="2"/>
  <c r="CI135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CS134" i="2"/>
  <c r="CR134" i="2"/>
  <c r="CQ134" i="2"/>
  <c r="CP134" i="2"/>
  <c r="CO134" i="2"/>
  <c r="CN134" i="2"/>
  <c r="CM134" i="2"/>
  <c r="CL134" i="2"/>
  <c r="CK134" i="2"/>
  <c r="CJ134" i="2"/>
  <c r="CI134" i="2"/>
  <c r="CH134" i="2"/>
  <c r="CG134" i="2"/>
  <c r="CF134" i="2"/>
  <c r="CE134" i="2"/>
  <c r="CD134" i="2"/>
  <c r="CC134" i="2"/>
  <c r="CB134" i="2"/>
  <c r="CA134" i="2"/>
  <c r="BZ134" i="2"/>
  <c r="BY134" i="2"/>
  <c r="BX134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CS133" i="2"/>
  <c r="CR133" i="2"/>
  <c r="CQ133" i="2"/>
  <c r="CP133" i="2"/>
  <c r="CO133" i="2"/>
  <c r="CN133" i="2"/>
  <c r="CM133" i="2"/>
  <c r="CL133" i="2"/>
  <c r="CK133" i="2"/>
  <c r="CJ133" i="2"/>
  <c r="CI133" i="2"/>
  <c r="CH133" i="2"/>
  <c r="CG133" i="2"/>
  <c r="CF133" i="2"/>
  <c r="CE133" i="2"/>
  <c r="CD133" i="2"/>
  <c r="CC133" i="2"/>
  <c r="CB133" i="2"/>
  <c r="CA133" i="2"/>
  <c r="BZ133" i="2"/>
  <c r="BY133" i="2"/>
  <c r="BX133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CS132" i="2"/>
  <c r="CR132" i="2"/>
  <c r="CQ132" i="2"/>
  <c r="CP132" i="2"/>
  <c r="CO132" i="2"/>
  <c r="CN132" i="2"/>
  <c r="CM132" i="2"/>
  <c r="CL132" i="2"/>
  <c r="CK132" i="2"/>
  <c r="CJ132" i="2"/>
  <c r="CI132" i="2"/>
  <c r="CH132" i="2"/>
  <c r="CG132" i="2"/>
  <c r="CF132" i="2"/>
  <c r="CE132" i="2"/>
  <c r="CD132" i="2"/>
  <c r="CC132" i="2"/>
  <c r="CB132" i="2"/>
  <c r="CA132" i="2"/>
  <c r="BZ132" i="2"/>
  <c r="BY132" i="2"/>
  <c r="BX132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CS131" i="2"/>
  <c r="CR131" i="2"/>
  <c r="CQ131" i="2"/>
  <c r="CP131" i="2"/>
  <c r="CO131" i="2"/>
  <c r="CN131" i="2"/>
  <c r="CM131" i="2"/>
  <c r="CL131" i="2"/>
  <c r="CK131" i="2"/>
  <c r="CJ131" i="2"/>
  <c r="CI131" i="2"/>
  <c r="CH131" i="2"/>
  <c r="CG131" i="2"/>
  <c r="CF131" i="2"/>
  <c r="CE131" i="2"/>
  <c r="CD131" i="2"/>
  <c r="CC131" i="2"/>
  <c r="CB131" i="2"/>
  <c r="CA131" i="2"/>
  <c r="BZ131" i="2"/>
  <c r="BY131" i="2"/>
  <c r="BX131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CS130" i="2"/>
  <c r="CR130" i="2"/>
  <c r="CQ130" i="2"/>
  <c r="CP130" i="2"/>
  <c r="CO130" i="2"/>
  <c r="CN130" i="2"/>
  <c r="CM130" i="2"/>
  <c r="CL130" i="2"/>
  <c r="CK130" i="2"/>
  <c r="CJ130" i="2"/>
  <c r="CI130" i="2"/>
  <c r="CH130" i="2"/>
  <c r="CG130" i="2"/>
  <c r="CF130" i="2"/>
  <c r="CE130" i="2"/>
  <c r="CD130" i="2"/>
  <c r="CC130" i="2"/>
  <c r="CB130" i="2"/>
  <c r="CA130" i="2"/>
  <c r="BZ130" i="2"/>
  <c r="BY130" i="2"/>
  <c r="BX130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CS129" i="2"/>
  <c r="CR129" i="2"/>
  <c r="CQ129" i="2"/>
  <c r="CP129" i="2"/>
  <c r="CO129" i="2"/>
  <c r="CN129" i="2"/>
  <c r="CM129" i="2"/>
  <c r="CL129" i="2"/>
  <c r="CK129" i="2"/>
  <c r="CJ129" i="2"/>
  <c r="CI129" i="2"/>
  <c r="CH129" i="2"/>
  <c r="CG129" i="2"/>
  <c r="CF129" i="2"/>
  <c r="CE129" i="2"/>
  <c r="CD129" i="2"/>
  <c r="CC129" i="2"/>
  <c r="CB129" i="2"/>
  <c r="CA129" i="2"/>
  <c r="BZ129" i="2"/>
  <c r="BY129" i="2"/>
  <c r="BX129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CS128" i="2"/>
  <c r="CR128" i="2"/>
  <c r="CQ128" i="2"/>
  <c r="CP128" i="2"/>
  <c r="CO128" i="2"/>
  <c r="CN128" i="2"/>
  <c r="CM128" i="2"/>
  <c r="CL128" i="2"/>
  <c r="CK128" i="2"/>
  <c r="CJ128" i="2"/>
  <c r="CI128" i="2"/>
  <c r="CH128" i="2"/>
  <c r="CG128" i="2"/>
  <c r="CF128" i="2"/>
  <c r="CE128" i="2"/>
  <c r="CD128" i="2"/>
  <c r="CC128" i="2"/>
  <c r="CB128" i="2"/>
  <c r="CA128" i="2"/>
  <c r="BZ128" i="2"/>
  <c r="BY128" i="2"/>
  <c r="BX128" i="2"/>
  <c r="BW128" i="2"/>
  <c r="BV128" i="2"/>
  <c r="BU128" i="2"/>
  <c r="BT128" i="2"/>
  <c r="BS128" i="2"/>
  <c r="BR128" i="2"/>
  <c r="BQ128" i="2"/>
  <c r="BP128" i="2"/>
  <c r="BO128" i="2"/>
  <c r="BN128" i="2"/>
  <c r="BM128" i="2"/>
  <c r="BL128" i="2"/>
  <c r="BK128" i="2"/>
  <c r="BJ128" i="2"/>
  <c r="BI128" i="2"/>
  <c r="BH128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CS127" i="2"/>
  <c r="CR127" i="2"/>
  <c r="CQ127" i="2"/>
  <c r="CP127" i="2"/>
  <c r="CO127" i="2"/>
  <c r="CN127" i="2"/>
  <c r="CM127" i="2"/>
  <c r="CL127" i="2"/>
  <c r="CK127" i="2"/>
  <c r="CJ127" i="2"/>
  <c r="CI127" i="2"/>
  <c r="CH127" i="2"/>
  <c r="CG127" i="2"/>
  <c r="CF127" i="2"/>
  <c r="CE127" i="2"/>
  <c r="CD127" i="2"/>
  <c r="CC127" i="2"/>
  <c r="CB127" i="2"/>
  <c r="CA127" i="2"/>
  <c r="BZ127" i="2"/>
  <c r="BY127" i="2"/>
  <c r="BX127" i="2"/>
  <c r="BW127" i="2"/>
  <c r="BV127" i="2"/>
  <c r="BU127" i="2"/>
  <c r="BT127" i="2"/>
  <c r="BS127" i="2"/>
  <c r="BR127" i="2"/>
  <c r="BQ127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CS126" i="2"/>
  <c r="CR126" i="2"/>
  <c r="CQ126" i="2"/>
  <c r="CP126" i="2"/>
  <c r="CO126" i="2"/>
  <c r="CN126" i="2"/>
  <c r="CM126" i="2"/>
  <c r="CL126" i="2"/>
  <c r="CK126" i="2"/>
  <c r="CJ126" i="2"/>
  <c r="CI126" i="2"/>
  <c r="CH126" i="2"/>
  <c r="CG126" i="2"/>
  <c r="CF126" i="2"/>
  <c r="CE126" i="2"/>
  <c r="CD126" i="2"/>
  <c r="CC126" i="2"/>
  <c r="CB126" i="2"/>
  <c r="CA126" i="2"/>
  <c r="BZ126" i="2"/>
  <c r="BY126" i="2"/>
  <c r="BX126" i="2"/>
  <c r="BW126" i="2"/>
  <c r="BV126" i="2"/>
  <c r="BU126" i="2"/>
  <c r="BT126" i="2"/>
  <c r="BS126" i="2"/>
  <c r="BR126" i="2"/>
  <c r="BQ126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CS125" i="2"/>
  <c r="CR125" i="2"/>
  <c r="CQ125" i="2"/>
  <c r="CP125" i="2"/>
  <c r="CO125" i="2"/>
  <c r="CN125" i="2"/>
  <c r="CM125" i="2"/>
  <c r="CL125" i="2"/>
  <c r="CK125" i="2"/>
  <c r="CJ125" i="2"/>
  <c r="CI125" i="2"/>
  <c r="CH125" i="2"/>
  <c r="CG125" i="2"/>
  <c r="CF125" i="2"/>
  <c r="CE125" i="2"/>
  <c r="CD125" i="2"/>
  <c r="CC125" i="2"/>
  <c r="CB125" i="2"/>
  <c r="CA125" i="2"/>
  <c r="BZ125" i="2"/>
  <c r="BY125" i="2"/>
  <c r="BX125" i="2"/>
  <c r="BW125" i="2"/>
  <c r="BV125" i="2"/>
  <c r="BU125" i="2"/>
  <c r="BT125" i="2"/>
  <c r="BS125" i="2"/>
  <c r="BR125" i="2"/>
  <c r="BQ125" i="2"/>
  <c r="BP125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CS124" i="2"/>
  <c r="CR124" i="2"/>
  <c r="CQ124" i="2"/>
  <c r="CP124" i="2"/>
  <c r="CO124" i="2"/>
  <c r="CN124" i="2"/>
  <c r="CM124" i="2"/>
  <c r="CL124" i="2"/>
  <c r="CK124" i="2"/>
  <c r="CJ124" i="2"/>
  <c r="CI124" i="2"/>
  <c r="CH124" i="2"/>
  <c r="CG124" i="2"/>
  <c r="CF124" i="2"/>
  <c r="CE124" i="2"/>
  <c r="CD124" i="2"/>
  <c r="CC124" i="2"/>
  <c r="CB124" i="2"/>
  <c r="CA124" i="2"/>
  <c r="BZ124" i="2"/>
  <c r="BY124" i="2"/>
  <c r="BX124" i="2"/>
  <c r="BW124" i="2"/>
  <c r="BV124" i="2"/>
  <c r="BU124" i="2"/>
  <c r="BT124" i="2"/>
  <c r="BS124" i="2"/>
  <c r="BR124" i="2"/>
  <c r="BQ124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CS115" i="2"/>
  <c r="CR115" i="2"/>
  <c r="CQ115" i="2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CS114" i="2"/>
  <c r="CR114" i="2"/>
  <c r="CQ114" i="2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CS113" i="2"/>
  <c r="CR113" i="2"/>
  <c r="CQ113" i="2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CS112" i="2"/>
  <c r="CR112" i="2"/>
  <c r="CQ112" i="2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CS111" i="2"/>
  <c r="CR111" i="2"/>
  <c r="CQ111" i="2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V111" i="2"/>
  <c r="BU111" i="2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CS110" i="2"/>
  <c r="CR110" i="2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CS109" i="2"/>
  <c r="CR109" i="2"/>
  <c r="CQ109" i="2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CS108" i="2"/>
  <c r="CR108" i="2"/>
  <c r="CQ108" i="2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CS107" i="2"/>
  <c r="CR107" i="2"/>
  <c r="CQ107" i="2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CS106" i="2"/>
  <c r="CR106" i="2"/>
  <c r="CQ106" i="2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CS105" i="2"/>
  <c r="CR105" i="2"/>
  <c r="CQ105" i="2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CS104" i="2"/>
  <c r="CR104" i="2"/>
  <c r="CQ104" i="2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CS103" i="2"/>
  <c r="CR103" i="2"/>
  <c r="CQ103" i="2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CS102" i="2"/>
  <c r="CR102" i="2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CS101" i="2"/>
  <c r="CR101" i="2"/>
  <c r="CQ101" i="2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CS100" i="2"/>
  <c r="CR100" i="2"/>
  <c r="CQ100" i="2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CS99" i="2"/>
  <c r="CR99" i="2"/>
  <c r="CQ99" i="2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CS98" i="2"/>
  <c r="CR98" i="2"/>
  <c r="CQ98" i="2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CS97" i="2"/>
  <c r="CR97" i="2"/>
  <c r="CQ97" i="2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CS95" i="2"/>
  <c r="CR95" i="2"/>
  <c r="CQ95" i="2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CS94" i="2"/>
  <c r="CR94" i="2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CS45" i="2"/>
  <c r="CR45" i="2"/>
  <c r="CQ45" i="2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CS44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CS42" i="2"/>
  <c r="CR42" i="2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F337" i="2"/>
  <c r="D337" i="2"/>
  <c r="F336" i="2"/>
  <c r="D336" i="2"/>
  <c r="F335" i="2"/>
  <c r="D335" i="2"/>
  <c r="F334" i="2"/>
  <c r="D334" i="2"/>
  <c r="F333" i="2"/>
  <c r="D333" i="2"/>
  <c r="F332" i="2"/>
  <c r="D332" i="2"/>
  <c r="F331" i="2"/>
  <c r="D331" i="2"/>
  <c r="F330" i="2"/>
  <c r="D330" i="2"/>
  <c r="F329" i="2"/>
  <c r="D329" i="2"/>
  <c r="F328" i="2"/>
  <c r="D328" i="2"/>
  <c r="F327" i="2"/>
  <c r="D327" i="2"/>
  <c r="F326" i="2"/>
  <c r="D326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E297" i="2"/>
  <c r="D297" i="2"/>
  <c r="E296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E267" i="2"/>
  <c r="D267" i="2"/>
  <c r="E266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F237" i="2"/>
  <c r="E237" i="2"/>
  <c r="D237" i="2"/>
  <c r="F236" i="2"/>
  <c r="E236" i="2"/>
  <c r="D236" i="2"/>
  <c r="F235" i="2"/>
  <c r="D235" i="2"/>
  <c r="F234" i="2"/>
  <c r="D234" i="2"/>
  <c r="F233" i="2"/>
  <c r="D233" i="2"/>
  <c r="F232" i="2"/>
  <c r="D232" i="2"/>
  <c r="F231" i="2"/>
  <c r="D231" i="2"/>
  <c r="F230" i="2"/>
  <c r="D230" i="2"/>
  <c r="F229" i="2"/>
  <c r="D229" i="2"/>
  <c r="F228" i="2"/>
  <c r="D228" i="2"/>
  <c r="F227" i="2"/>
  <c r="D227" i="2"/>
  <c r="F226" i="2"/>
  <c r="D226" i="2"/>
  <c r="F225" i="2"/>
  <c r="D225" i="2"/>
  <c r="F224" i="2"/>
  <c r="D224" i="2"/>
  <c r="F223" i="2"/>
  <c r="D223" i="2"/>
  <c r="F222" i="2"/>
  <c r="D222" i="2"/>
  <c r="F221" i="2"/>
  <c r="D221" i="2"/>
  <c r="F220" i="2"/>
  <c r="D220" i="2"/>
  <c r="F219" i="2"/>
  <c r="D219" i="2"/>
  <c r="F218" i="2"/>
  <c r="D218" i="2"/>
  <c r="F217" i="2"/>
  <c r="D217" i="2"/>
  <c r="F216" i="2"/>
  <c r="D216" i="2"/>
  <c r="F215" i="2"/>
  <c r="D215" i="2"/>
  <c r="F214" i="2"/>
  <c r="D214" i="2"/>
  <c r="F207" i="2"/>
  <c r="E207" i="2"/>
  <c r="D207" i="2"/>
  <c r="F206" i="2"/>
  <c r="E206" i="2"/>
  <c r="D206" i="2"/>
  <c r="F205" i="2"/>
  <c r="E205" i="2"/>
  <c r="D205" i="2"/>
  <c r="F204" i="2"/>
  <c r="E204" i="2"/>
  <c r="D204" i="2"/>
  <c r="F203" i="2"/>
  <c r="E203" i="2"/>
  <c r="D203" i="2"/>
  <c r="F202" i="2"/>
  <c r="E202" i="2"/>
  <c r="D202" i="2"/>
  <c r="F201" i="2"/>
  <c r="E201" i="2"/>
  <c r="D201" i="2"/>
  <c r="F200" i="2"/>
  <c r="E200" i="2"/>
  <c r="D200" i="2"/>
  <c r="F199" i="2"/>
  <c r="E199" i="2"/>
  <c r="D199" i="2"/>
  <c r="F198" i="2"/>
  <c r="E198" i="2"/>
  <c r="D198" i="2"/>
  <c r="F197" i="2"/>
  <c r="E197" i="2"/>
  <c r="D197" i="2"/>
  <c r="F196" i="2"/>
  <c r="E196" i="2"/>
  <c r="D196" i="2"/>
  <c r="F195" i="2"/>
  <c r="E195" i="2"/>
  <c r="D195" i="2"/>
  <c r="F194" i="2"/>
  <c r="E194" i="2"/>
  <c r="D194" i="2"/>
  <c r="F193" i="2"/>
  <c r="E193" i="2"/>
  <c r="D193" i="2"/>
  <c r="F192" i="2"/>
  <c r="E192" i="2"/>
  <c r="D192" i="2"/>
  <c r="F191" i="2"/>
  <c r="E191" i="2"/>
  <c r="D191" i="2"/>
  <c r="F190" i="2"/>
  <c r="E190" i="2"/>
  <c r="D190" i="2"/>
  <c r="F189" i="2"/>
  <c r="E189" i="2"/>
  <c r="D189" i="2"/>
  <c r="F188" i="2"/>
  <c r="E188" i="2"/>
  <c r="D188" i="2"/>
  <c r="F187" i="2"/>
  <c r="E187" i="2"/>
  <c r="D187" i="2"/>
  <c r="F186" i="2"/>
  <c r="E186" i="2"/>
  <c r="D186" i="2"/>
  <c r="F185" i="2"/>
  <c r="E185" i="2"/>
  <c r="D185" i="2"/>
  <c r="F184" i="2"/>
  <c r="E184" i="2"/>
  <c r="D184" i="2"/>
  <c r="E177" i="2"/>
  <c r="D177" i="2"/>
  <c r="E176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D84" i="2"/>
  <c r="D83" i="2"/>
  <c r="D82" i="2"/>
  <c r="D81" i="2"/>
  <c r="D80" i="2"/>
  <c r="D79" i="2"/>
  <c r="D78" i="2"/>
  <c r="D77" i="2"/>
  <c r="D76" i="2"/>
  <c r="D75" i="2"/>
  <c r="D74" i="2"/>
  <c r="D73" i="2"/>
  <c r="F66" i="2"/>
  <c r="D66" i="2"/>
  <c r="F65" i="2"/>
  <c r="D65" i="2"/>
  <c r="F64" i="2"/>
  <c r="D64" i="2"/>
  <c r="F63" i="2"/>
  <c r="D63" i="2"/>
  <c r="F62" i="2"/>
  <c r="D62" i="2"/>
  <c r="F61" i="2"/>
  <c r="D61" i="2"/>
  <c r="F60" i="2"/>
  <c r="D60" i="2"/>
  <c r="F59" i="2"/>
  <c r="D59" i="2"/>
  <c r="F58" i="2"/>
  <c r="D58" i="2"/>
  <c r="F57" i="2"/>
  <c r="D57" i="2"/>
  <c r="F56" i="2"/>
  <c r="D56" i="2"/>
  <c r="F55" i="2"/>
  <c r="D55" i="2"/>
  <c r="D48" i="2"/>
  <c r="D47" i="2"/>
  <c r="D46" i="2"/>
  <c r="D45" i="2"/>
  <c r="D44" i="2"/>
  <c r="D43" i="2"/>
  <c r="D42" i="2"/>
  <c r="D41" i="2"/>
  <c r="D40" i="2"/>
  <c r="D39" i="2"/>
  <c r="D38" i="2"/>
  <c r="D37" i="2"/>
  <c r="D30" i="2"/>
  <c r="D29" i="2"/>
  <c r="D28" i="2"/>
  <c r="D27" i="2"/>
  <c r="D26" i="2"/>
  <c r="D25" i="2"/>
  <c r="D24" i="2"/>
  <c r="D23" i="2"/>
  <c r="D22" i="2"/>
  <c r="D21" i="2"/>
  <c r="D20" i="2"/>
  <c r="D19" i="2"/>
  <c r="CH116" i="3"/>
  <c r="CG116" i="3"/>
  <c r="CF116" i="3"/>
  <c r="CE116" i="3"/>
  <c r="CD116" i="3"/>
  <c r="CC116" i="3"/>
  <c r="CB116" i="3"/>
  <c r="CA116" i="3"/>
  <c r="BZ116" i="3"/>
  <c r="BY116" i="3"/>
  <c r="BX116" i="3"/>
  <c r="BW116" i="3"/>
  <c r="BV116" i="3"/>
  <c r="BU116" i="3"/>
  <c r="BT116" i="3"/>
  <c r="BS116" i="3"/>
  <c r="BR116" i="3"/>
  <c r="BQ116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K14" i="5"/>
  <c r="CJ14" i="5"/>
  <c r="CI14" i="5"/>
  <c r="CH14" i="5"/>
  <c r="CG14" i="5"/>
  <c r="CF14" i="5"/>
  <c r="CE14" i="5"/>
  <c r="CD14" i="5"/>
  <c r="CC14" i="5"/>
  <c r="CB14" i="5"/>
  <c r="CA14" i="5"/>
  <c r="BZ14" i="5"/>
  <c r="BY14" i="5"/>
  <c r="BX14" i="5"/>
  <c r="BW14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K13" i="5"/>
  <c r="CJ13" i="5"/>
  <c r="CI13" i="5"/>
  <c r="CH13" i="5"/>
  <c r="CG13" i="5"/>
  <c r="CF13" i="5"/>
  <c r="CE13" i="5"/>
  <c r="CD13" i="5"/>
  <c r="CC13" i="5"/>
  <c r="CB13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BA131" i="3" l="1"/>
  <c r="AY131" i="3"/>
  <c r="BB129" i="3"/>
  <c r="BB131" i="3" s="1"/>
  <c r="BC129" i="3" s="1"/>
  <c r="BC131" i="3" s="1"/>
  <c r="BD129" i="3" s="1"/>
  <c r="BD131" i="3" s="1"/>
  <c r="BE129" i="3" s="1"/>
  <c r="BE131" i="3" s="1"/>
  <c r="BF129" i="3" s="1"/>
  <c r="BF131" i="3" s="1"/>
  <c r="BG129" i="3" s="1"/>
  <c r="BG131" i="3" s="1"/>
  <c r="BH129" i="3" s="1"/>
  <c r="BH131" i="3" s="1"/>
  <c r="BI129" i="3" s="1"/>
  <c r="BI131" i="3" s="1"/>
  <c r="BJ129" i="3" s="1"/>
  <c r="BJ131" i="3" s="1"/>
  <c r="BK129" i="3" s="1"/>
  <c r="BK131" i="3" s="1"/>
  <c r="BL129" i="3" s="1"/>
  <c r="BL131" i="3" s="1"/>
  <c r="BM129" i="3" s="1"/>
  <c r="BM131" i="3" s="1"/>
  <c r="BN129" i="3" s="1"/>
  <c r="BN131" i="3" s="1"/>
  <c r="BO129" i="3" s="1"/>
  <c r="BO131" i="3" s="1"/>
  <c r="BP129" i="3" s="1"/>
  <c r="BP131" i="3" s="1"/>
  <c r="BQ129" i="3" s="1"/>
  <c r="BQ131" i="3" s="1"/>
  <c r="BR129" i="3" s="1"/>
  <c r="BR131" i="3" s="1"/>
  <c r="BS129" i="3" s="1"/>
  <c r="BS131" i="3" s="1"/>
  <c r="BT129" i="3" s="1"/>
  <c r="BT131" i="3" s="1"/>
  <c r="BU129" i="3" s="1"/>
  <c r="BU131" i="3" s="1"/>
  <c r="BV129" i="3" s="1"/>
  <c r="BV131" i="3" s="1"/>
  <c r="BW129" i="3" s="1"/>
  <c r="BW131" i="3" s="1"/>
  <c r="BX129" i="3" s="1"/>
  <c r="BX131" i="3" s="1"/>
  <c r="BY129" i="3" s="1"/>
  <c r="BY131" i="3" s="1"/>
  <c r="BZ129" i="3" s="1"/>
  <c r="BZ131" i="3" s="1"/>
  <c r="CA129" i="3" s="1"/>
  <c r="CA131" i="3" s="1"/>
  <c r="CB129" i="3" s="1"/>
  <c r="CB131" i="3" s="1"/>
  <c r="CC129" i="3" s="1"/>
  <c r="CC131" i="3" s="1"/>
  <c r="CD129" i="3" s="1"/>
  <c r="CD131" i="3" s="1"/>
  <c r="CE129" i="3" s="1"/>
  <c r="CE131" i="3" s="1"/>
  <c r="CF129" i="3" s="1"/>
  <c r="CF131" i="3" s="1"/>
  <c r="CG129" i="3" s="1"/>
  <c r="CG131" i="3" s="1"/>
  <c r="CH129" i="3" s="1"/>
  <c r="CH131" i="3" s="1"/>
  <c r="BA129" i="3"/>
  <c r="AZ129" i="3"/>
  <c r="AZ131" i="3" s="1"/>
  <c r="AY129" i="3"/>
  <c r="AY125" i="3"/>
  <c r="AY127" i="3" s="1"/>
  <c r="AZ125" i="3" s="1"/>
  <c r="AZ127" i="3" s="1"/>
  <c r="BA125" i="3" s="1"/>
  <c r="BA127" i="3" s="1"/>
  <c r="BB125" i="3" s="1"/>
  <c r="BB127" i="3" s="1"/>
  <c r="BC125" i="3" s="1"/>
  <c r="BC127" i="3" s="1"/>
  <c r="BD125" i="3" s="1"/>
  <c r="BD127" i="3" s="1"/>
  <c r="BE125" i="3" s="1"/>
  <c r="BE127" i="3" s="1"/>
  <c r="BF125" i="3" s="1"/>
  <c r="BF127" i="3" s="1"/>
  <c r="BG125" i="3" s="1"/>
  <c r="BG127" i="3" s="1"/>
  <c r="BH125" i="3" s="1"/>
  <c r="BH127" i="3" s="1"/>
  <c r="BI125" i="3" s="1"/>
  <c r="BI127" i="3" s="1"/>
  <c r="BJ125" i="3" s="1"/>
  <c r="BJ127" i="3" s="1"/>
  <c r="BK125" i="3" s="1"/>
  <c r="BK127" i="3" s="1"/>
  <c r="BL125" i="3" s="1"/>
  <c r="BL127" i="3" s="1"/>
  <c r="BM125" i="3" s="1"/>
  <c r="BM127" i="3" s="1"/>
  <c r="BN125" i="3" s="1"/>
  <c r="BN127" i="3" s="1"/>
  <c r="BO125" i="3" s="1"/>
  <c r="BO127" i="3" s="1"/>
  <c r="BP125" i="3" s="1"/>
  <c r="BP127" i="3" s="1"/>
  <c r="BQ125" i="3" s="1"/>
  <c r="BQ127" i="3" s="1"/>
  <c r="BR125" i="3" s="1"/>
  <c r="BR127" i="3" s="1"/>
  <c r="BS125" i="3" s="1"/>
  <c r="BS127" i="3" s="1"/>
  <c r="BT125" i="3" s="1"/>
  <c r="BT127" i="3" s="1"/>
  <c r="BU125" i="3" s="1"/>
  <c r="BU127" i="3" s="1"/>
  <c r="BV125" i="3" s="1"/>
  <c r="BV127" i="3" s="1"/>
  <c r="BW125" i="3" s="1"/>
  <c r="BW127" i="3" s="1"/>
  <c r="BX125" i="3" s="1"/>
  <c r="BX127" i="3" s="1"/>
  <c r="BY125" i="3" s="1"/>
  <c r="BY127" i="3" s="1"/>
  <c r="BZ125" i="3" s="1"/>
  <c r="BZ127" i="3" s="1"/>
  <c r="CA125" i="3" s="1"/>
  <c r="CA127" i="3" s="1"/>
  <c r="CB125" i="3" s="1"/>
  <c r="CB127" i="3" s="1"/>
  <c r="CC125" i="3" s="1"/>
  <c r="CC127" i="3" s="1"/>
  <c r="CD125" i="3" s="1"/>
  <c r="CD127" i="3" s="1"/>
  <c r="CE125" i="3" s="1"/>
  <c r="CE127" i="3" s="1"/>
  <c r="CF125" i="3" s="1"/>
  <c r="CF127" i="3" s="1"/>
  <c r="CG125" i="3" s="1"/>
  <c r="CG127" i="3" s="1"/>
  <c r="CH125" i="3" s="1"/>
  <c r="CH127" i="3" s="1"/>
  <c r="BA111" i="3"/>
  <c r="BB111" i="3" s="1"/>
  <c r="BC111" i="3" s="1"/>
  <c r="BD111" i="3" s="1"/>
  <c r="BE111" i="3" s="1"/>
  <c r="BF111" i="3" s="1"/>
  <c r="BG111" i="3" s="1"/>
  <c r="BH111" i="3" s="1"/>
  <c r="BI111" i="3" s="1"/>
  <c r="BJ111" i="3" s="1"/>
  <c r="BK111" i="3" s="1"/>
  <c r="BL111" i="3" s="1"/>
  <c r="BM111" i="3" s="1"/>
  <c r="BN111" i="3" s="1"/>
  <c r="BO111" i="3" s="1"/>
  <c r="BP111" i="3" s="1"/>
  <c r="BQ111" i="3" s="1"/>
  <c r="BR111" i="3" s="1"/>
  <c r="BS111" i="3" s="1"/>
  <c r="BT111" i="3" s="1"/>
  <c r="BU111" i="3" s="1"/>
  <c r="BV111" i="3" s="1"/>
  <c r="BW111" i="3" s="1"/>
  <c r="BX111" i="3" s="1"/>
  <c r="BY111" i="3" s="1"/>
  <c r="BZ111" i="3" s="1"/>
  <c r="CA111" i="3" s="1"/>
  <c r="CB111" i="3" s="1"/>
  <c r="CC111" i="3" s="1"/>
  <c r="CD111" i="3" s="1"/>
  <c r="CE111" i="3" s="1"/>
  <c r="CF111" i="3" s="1"/>
  <c r="CG111" i="3" s="1"/>
  <c r="CH111" i="3" s="1"/>
  <c r="AZ111" i="3"/>
  <c r="AY111" i="3"/>
  <c r="AZ110" i="3"/>
  <c r="BA110" i="3" s="1"/>
  <c r="BB110" i="3" s="1"/>
  <c r="BC110" i="3" s="1"/>
  <c r="BD110" i="3" s="1"/>
  <c r="BE110" i="3" s="1"/>
  <c r="BF110" i="3" s="1"/>
  <c r="BG110" i="3" s="1"/>
  <c r="BH110" i="3" s="1"/>
  <c r="BI110" i="3" s="1"/>
  <c r="BJ110" i="3" s="1"/>
  <c r="BK110" i="3" s="1"/>
  <c r="BL110" i="3" s="1"/>
  <c r="BM110" i="3" s="1"/>
  <c r="BN110" i="3" s="1"/>
  <c r="BO110" i="3" s="1"/>
  <c r="BP110" i="3" s="1"/>
  <c r="BQ110" i="3" s="1"/>
  <c r="BR110" i="3" s="1"/>
  <c r="BS110" i="3" s="1"/>
  <c r="BT110" i="3" s="1"/>
  <c r="BU110" i="3" s="1"/>
  <c r="BV110" i="3" s="1"/>
  <c r="BW110" i="3" s="1"/>
  <c r="BX110" i="3" s="1"/>
  <c r="BY110" i="3" s="1"/>
  <c r="BZ110" i="3" s="1"/>
  <c r="CA110" i="3" s="1"/>
  <c r="CB110" i="3" s="1"/>
  <c r="CC110" i="3" s="1"/>
  <c r="CD110" i="3" s="1"/>
  <c r="CE110" i="3" s="1"/>
  <c r="CF110" i="3" s="1"/>
  <c r="CG110" i="3" s="1"/>
  <c r="CH110" i="3" s="1"/>
  <c r="AY110" i="3"/>
  <c r="BA109" i="3"/>
  <c r="BB109" i="3" s="1"/>
  <c r="BC109" i="3" s="1"/>
  <c r="BD109" i="3" s="1"/>
  <c r="BE109" i="3" s="1"/>
  <c r="BF109" i="3" s="1"/>
  <c r="BG109" i="3" s="1"/>
  <c r="BH109" i="3" s="1"/>
  <c r="BI109" i="3" s="1"/>
  <c r="BJ109" i="3" s="1"/>
  <c r="BK109" i="3" s="1"/>
  <c r="BL109" i="3" s="1"/>
  <c r="BM109" i="3" s="1"/>
  <c r="BN109" i="3" s="1"/>
  <c r="BO109" i="3" s="1"/>
  <c r="BP109" i="3" s="1"/>
  <c r="BQ109" i="3" s="1"/>
  <c r="BR109" i="3" s="1"/>
  <c r="BS109" i="3" s="1"/>
  <c r="BT109" i="3" s="1"/>
  <c r="BU109" i="3" s="1"/>
  <c r="BV109" i="3" s="1"/>
  <c r="BW109" i="3" s="1"/>
  <c r="BX109" i="3" s="1"/>
  <c r="BY109" i="3" s="1"/>
  <c r="BZ109" i="3" s="1"/>
  <c r="CA109" i="3" s="1"/>
  <c r="CB109" i="3" s="1"/>
  <c r="CC109" i="3" s="1"/>
  <c r="CD109" i="3" s="1"/>
  <c r="CE109" i="3" s="1"/>
  <c r="CF109" i="3" s="1"/>
  <c r="CG109" i="3" s="1"/>
  <c r="CH109" i="3" s="1"/>
  <c r="AY109" i="3"/>
  <c r="AZ109" i="3" s="1"/>
  <c r="AY107" i="3"/>
  <c r="AZ107" i="3" s="1"/>
  <c r="BA107" i="3" s="1"/>
  <c r="BB107" i="3" s="1"/>
  <c r="BC107" i="3" s="1"/>
  <c r="BD107" i="3" s="1"/>
  <c r="BE107" i="3" s="1"/>
  <c r="BF107" i="3" s="1"/>
  <c r="BG107" i="3" s="1"/>
  <c r="BH107" i="3" s="1"/>
  <c r="BI107" i="3" s="1"/>
  <c r="BJ107" i="3" s="1"/>
  <c r="BK107" i="3" s="1"/>
  <c r="BL107" i="3" s="1"/>
  <c r="BM107" i="3" s="1"/>
  <c r="BN107" i="3" s="1"/>
  <c r="BO107" i="3" s="1"/>
  <c r="BP107" i="3" s="1"/>
  <c r="BQ107" i="3" s="1"/>
  <c r="BR107" i="3" s="1"/>
  <c r="BS107" i="3" s="1"/>
  <c r="BT107" i="3" s="1"/>
  <c r="BU107" i="3" s="1"/>
  <c r="BV107" i="3" s="1"/>
  <c r="BW107" i="3" s="1"/>
  <c r="BX107" i="3" s="1"/>
  <c r="BY107" i="3" s="1"/>
  <c r="BZ107" i="3" s="1"/>
  <c r="CA107" i="3" s="1"/>
  <c r="CB107" i="3" s="1"/>
  <c r="CC107" i="3" s="1"/>
  <c r="CD107" i="3" s="1"/>
  <c r="CE107" i="3" s="1"/>
  <c r="CF107" i="3" s="1"/>
  <c r="CG107" i="3" s="1"/>
  <c r="CH107" i="3" s="1"/>
  <c r="AY106" i="3"/>
  <c r="AZ106" i="3" s="1"/>
  <c r="BA106" i="3" s="1"/>
  <c r="BB106" i="3" s="1"/>
  <c r="BC106" i="3" s="1"/>
  <c r="BD106" i="3" s="1"/>
  <c r="BE106" i="3" s="1"/>
  <c r="BF106" i="3" s="1"/>
  <c r="BG106" i="3" s="1"/>
  <c r="BH106" i="3" s="1"/>
  <c r="BI106" i="3" s="1"/>
  <c r="BJ106" i="3" s="1"/>
  <c r="BK106" i="3" s="1"/>
  <c r="BL106" i="3" s="1"/>
  <c r="BM106" i="3" s="1"/>
  <c r="BN106" i="3" s="1"/>
  <c r="BO106" i="3" s="1"/>
  <c r="BP106" i="3" s="1"/>
  <c r="BQ106" i="3" s="1"/>
  <c r="BR106" i="3" s="1"/>
  <c r="BS106" i="3" s="1"/>
  <c r="BT106" i="3" s="1"/>
  <c r="BU106" i="3" s="1"/>
  <c r="BV106" i="3" s="1"/>
  <c r="BW106" i="3" s="1"/>
  <c r="BX106" i="3" s="1"/>
  <c r="BY106" i="3" s="1"/>
  <c r="BZ106" i="3" s="1"/>
  <c r="CA106" i="3" s="1"/>
  <c r="CB106" i="3" s="1"/>
  <c r="CC106" i="3" s="1"/>
  <c r="CD106" i="3" s="1"/>
  <c r="CE106" i="3" s="1"/>
  <c r="CF106" i="3" s="1"/>
  <c r="CG106" i="3" s="1"/>
  <c r="CH106" i="3" s="1"/>
  <c r="AZ105" i="3"/>
  <c r="BA105" i="3" s="1"/>
  <c r="BB105" i="3" s="1"/>
  <c r="BC105" i="3" s="1"/>
  <c r="BD105" i="3" s="1"/>
  <c r="BE105" i="3" s="1"/>
  <c r="BF105" i="3" s="1"/>
  <c r="BG105" i="3" s="1"/>
  <c r="BH105" i="3" s="1"/>
  <c r="BI105" i="3" s="1"/>
  <c r="BJ105" i="3" s="1"/>
  <c r="BK105" i="3" s="1"/>
  <c r="BL105" i="3" s="1"/>
  <c r="BM105" i="3" s="1"/>
  <c r="BN105" i="3" s="1"/>
  <c r="BO105" i="3" s="1"/>
  <c r="BP105" i="3" s="1"/>
  <c r="BQ105" i="3" s="1"/>
  <c r="BR105" i="3" s="1"/>
  <c r="BS105" i="3" s="1"/>
  <c r="BT105" i="3" s="1"/>
  <c r="BU105" i="3" s="1"/>
  <c r="BV105" i="3" s="1"/>
  <c r="BW105" i="3" s="1"/>
  <c r="BX105" i="3" s="1"/>
  <c r="BY105" i="3" s="1"/>
  <c r="BZ105" i="3" s="1"/>
  <c r="CA105" i="3" s="1"/>
  <c r="CB105" i="3" s="1"/>
  <c r="CC105" i="3" s="1"/>
  <c r="CD105" i="3" s="1"/>
  <c r="CE105" i="3" s="1"/>
  <c r="CF105" i="3" s="1"/>
  <c r="CG105" i="3" s="1"/>
  <c r="CH105" i="3" s="1"/>
  <c r="AY105" i="3"/>
  <c r="AY104" i="3"/>
  <c r="AZ104" i="3" s="1"/>
  <c r="BA104" i="3" s="1"/>
  <c r="BB104" i="3" s="1"/>
  <c r="BC104" i="3" s="1"/>
  <c r="BD104" i="3" s="1"/>
  <c r="BE104" i="3" s="1"/>
  <c r="BF104" i="3" s="1"/>
  <c r="BG104" i="3" s="1"/>
  <c r="BH104" i="3" s="1"/>
  <c r="BI104" i="3" s="1"/>
  <c r="BJ104" i="3" s="1"/>
  <c r="BK104" i="3" s="1"/>
  <c r="BL104" i="3" s="1"/>
  <c r="BM104" i="3" s="1"/>
  <c r="BN104" i="3" s="1"/>
  <c r="BO104" i="3" s="1"/>
  <c r="BP104" i="3" s="1"/>
  <c r="BQ104" i="3" s="1"/>
  <c r="BR104" i="3" s="1"/>
  <c r="BS104" i="3" s="1"/>
  <c r="BT104" i="3" s="1"/>
  <c r="BU104" i="3" s="1"/>
  <c r="BV104" i="3" s="1"/>
  <c r="BW104" i="3" s="1"/>
  <c r="BX104" i="3" s="1"/>
  <c r="BY104" i="3" s="1"/>
  <c r="BZ104" i="3" s="1"/>
  <c r="CA104" i="3" s="1"/>
  <c r="CB104" i="3" s="1"/>
  <c r="CC104" i="3" s="1"/>
  <c r="CD104" i="3" s="1"/>
  <c r="CE104" i="3" s="1"/>
  <c r="CF104" i="3" s="1"/>
  <c r="CG104" i="3" s="1"/>
  <c r="CH104" i="3" s="1"/>
  <c r="AY103" i="3"/>
  <c r="AZ103" i="3" s="1"/>
  <c r="BA103" i="3" s="1"/>
  <c r="BB103" i="3" s="1"/>
  <c r="BC103" i="3" s="1"/>
  <c r="BD103" i="3" s="1"/>
  <c r="BE103" i="3" s="1"/>
  <c r="BF103" i="3" s="1"/>
  <c r="BG103" i="3" s="1"/>
  <c r="BH103" i="3" s="1"/>
  <c r="BI103" i="3" s="1"/>
  <c r="BJ103" i="3" s="1"/>
  <c r="BK103" i="3" s="1"/>
  <c r="BL103" i="3" s="1"/>
  <c r="BM103" i="3" s="1"/>
  <c r="BN103" i="3" s="1"/>
  <c r="BO103" i="3" s="1"/>
  <c r="BP103" i="3" s="1"/>
  <c r="BQ103" i="3" s="1"/>
  <c r="BR103" i="3" s="1"/>
  <c r="BS103" i="3" s="1"/>
  <c r="BT103" i="3" s="1"/>
  <c r="BU103" i="3" s="1"/>
  <c r="BV103" i="3" s="1"/>
  <c r="BW103" i="3" s="1"/>
  <c r="BX103" i="3" s="1"/>
  <c r="BY103" i="3" s="1"/>
  <c r="BZ103" i="3" s="1"/>
  <c r="CA103" i="3" s="1"/>
  <c r="CB103" i="3" s="1"/>
  <c r="CC103" i="3" s="1"/>
  <c r="CD103" i="3" s="1"/>
  <c r="CE103" i="3" s="1"/>
  <c r="CF103" i="3" s="1"/>
  <c r="CG103" i="3" s="1"/>
  <c r="CH103" i="3" s="1"/>
  <c r="AZ102" i="3"/>
  <c r="BA102" i="3" s="1"/>
  <c r="BB102" i="3" s="1"/>
  <c r="BC102" i="3" s="1"/>
  <c r="BD102" i="3" s="1"/>
  <c r="BE102" i="3" s="1"/>
  <c r="BF102" i="3" s="1"/>
  <c r="BG102" i="3" s="1"/>
  <c r="BH102" i="3" s="1"/>
  <c r="BI102" i="3" s="1"/>
  <c r="BJ102" i="3" s="1"/>
  <c r="BK102" i="3" s="1"/>
  <c r="BL102" i="3" s="1"/>
  <c r="BM102" i="3" s="1"/>
  <c r="BN102" i="3" s="1"/>
  <c r="BO102" i="3" s="1"/>
  <c r="BP102" i="3" s="1"/>
  <c r="BQ102" i="3" s="1"/>
  <c r="BR102" i="3" s="1"/>
  <c r="BS102" i="3" s="1"/>
  <c r="BT102" i="3" s="1"/>
  <c r="BU102" i="3" s="1"/>
  <c r="BV102" i="3" s="1"/>
  <c r="BW102" i="3" s="1"/>
  <c r="BX102" i="3" s="1"/>
  <c r="BY102" i="3" s="1"/>
  <c r="BZ102" i="3" s="1"/>
  <c r="CA102" i="3" s="1"/>
  <c r="CB102" i="3" s="1"/>
  <c r="CC102" i="3" s="1"/>
  <c r="CD102" i="3" s="1"/>
  <c r="CE102" i="3" s="1"/>
  <c r="CF102" i="3" s="1"/>
  <c r="CG102" i="3" s="1"/>
  <c r="CH102" i="3" s="1"/>
  <c r="AY102" i="3"/>
  <c r="BA101" i="3"/>
  <c r="BB101" i="3" s="1"/>
  <c r="BC101" i="3" s="1"/>
  <c r="BD101" i="3" s="1"/>
  <c r="BE101" i="3" s="1"/>
  <c r="BF101" i="3" s="1"/>
  <c r="BG101" i="3" s="1"/>
  <c r="BH101" i="3" s="1"/>
  <c r="BI101" i="3" s="1"/>
  <c r="BJ101" i="3" s="1"/>
  <c r="BK101" i="3" s="1"/>
  <c r="BL101" i="3" s="1"/>
  <c r="BM101" i="3" s="1"/>
  <c r="BN101" i="3" s="1"/>
  <c r="BO101" i="3" s="1"/>
  <c r="BP101" i="3" s="1"/>
  <c r="BQ101" i="3" s="1"/>
  <c r="BR101" i="3" s="1"/>
  <c r="BS101" i="3" s="1"/>
  <c r="BT101" i="3" s="1"/>
  <c r="BU101" i="3" s="1"/>
  <c r="BV101" i="3" s="1"/>
  <c r="BW101" i="3" s="1"/>
  <c r="BX101" i="3" s="1"/>
  <c r="BY101" i="3" s="1"/>
  <c r="BZ101" i="3" s="1"/>
  <c r="CA101" i="3" s="1"/>
  <c r="CB101" i="3" s="1"/>
  <c r="CC101" i="3" s="1"/>
  <c r="CD101" i="3" s="1"/>
  <c r="CE101" i="3" s="1"/>
  <c r="CF101" i="3" s="1"/>
  <c r="CG101" i="3" s="1"/>
  <c r="CH101" i="3" s="1"/>
  <c r="AY101" i="3"/>
  <c r="AZ101" i="3" s="1"/>
  <c r="BA100" i="3"/>
  <c r="BB100" i="3" s="1"/>
  <c r="BC100" i="3" s="1"/>
  <c r="BD100" i="3" s="1"/>
  <c r="BE100" i="3" s="1"/>
  <c r="BF100" i="3" s="1"/>
  <c r="BG100" i="3" s="1"/>
  <c r="BH100" i="3" s="1"/>
  <c r="BI100" i="3" s="1"/>
  <c r="BJ100" i="3" s="1"/>
  <c r="BK100" i="3" s="1"/>
  <c r="BL100" i="3" s="1"/>
  <c r="BM100" i="3" s="1"/>
  <c r="BN100" i="3" s="1"/>
  <c r="BO100" i="3" s="1"/>
  <c r="BP100" i="3" s="1"/>
  <c r="BQ100" i="3" s="1"/>
  <c r="BR100" i="3" s="1"/>
  <c r="BS100" i="3" s="1"/>
  <c r="BT100" i="3" s="1"/>
  <c r="BU100" i="3" s="1"/>
  <c r="BV100" i="3" s="1"/>
  <c r="BW100" i="3" s="1"/>
  <c r="BX100" i="3" s="1"/>
  <c r="BY100" i="3" s="1"/>
  <c r="BZ100" i="3" s="1"/>
  <c r="CA100" i="3" s="1"/>
  <c r="CB100" i="3" s="1"/>
  <c r="CC100" i="3" s="1"/>
  <c r="CD100" i="3" s="1"/>
  <c r="CE100" i="3" s="1"/>
  <c r="CF100" i="3" s="1"/>
  <c r="CG100" i="3" s="1"/>
  <c r="CH100" i="3" s="1"/>
  <c r="AZ100" i="3"/>
  <c r="AY100" i="3"/>
  <c r="BB99" i="3"/>
  <c r="BC99" i="3" s="1"/>
  <c r="BD99" i="3" s="1"/>
  <c r="BE99" i="3" s="1"/>
  <c r="BF99" i="3" s="1"/>
  <c r="BG99" i="3" s="1"/>
  <c r="BH99" i="3" s="1"/>
  <c r="BI99" i="3" s="1"/>
  <c r="BJ99" i="3" s="1"/>
  <c r="BK99" i="3" s="1"/>
  <c r="BL99" i="3" s="1"/>
  <c r="BM99" i="3" s="1"/>
  <c r="BN99" i="3" s="1"/>
  <c r="BO99" i="3" s="1"/>
  <c r="BP99" i="3" s="1"/>
  <c r="BQ99" i="3" s="1"/>
  <c r="BR99" i="3" s="1"/>
  <c r="BS99" i="3" s="1"/>
  <c r="BT99" i="3" s="1"/>
  <c r="BU99" i="3" s="1"/>
  <c r="BV99" i="3" s="1"/>
  <c r="BW99" i="3" s="1"/>
  <c r="BX99" i="3" s="1"/>
  <c r="BY99" i="3" s="1"/>
  <c r="BZ99" i="3" s="1"/>
  <c r="CA99" i="3" s="1"/>
  <c r="CB99" i="3" s="1"/>
  <c r="CC99" i="3" s="1"/>
  <c r="CD99" i="3" s="1"/>
  <c r="CE99" i="3" s="1"/>
  <c r="CF99" i="3" s="1"/>
  <c r="CG99" i="3" s="1"/>
  <c r="CH99" i="3" s="1"/>
  <c r="AY99" i="3"/>
  <c r="AZ99" i="3" s="1"/>
  <c r="BA99" i="3" s="1"/>
  <c r="BM98" i="3"/>
  <c r="BN98" i="3" s="1"/>
  <c r="BO98" i="3" s="1"/>
  <c r="BP98" i="3" s="1"/>
  <c r="BQ98" i="3" s="1"/>
  <c r="BR98" i="3" s="1"/>
  <c r="BS98" i="3" s="1"/>
  <c r="BT98" i="3" s="1"/>
  <c r="BU98" i="3" s="1"/>
  <c r="BV98" i="3" s="1"/>
  <c r="BW98" i="3" s="1"/>
  <c r="BX98" i="3" s="1"/>
  <c r="BY98" i="3" s="1"/>
  <c r="BZ98" i="3" s="1"/>
  <c r="CA98" i="3" s="1"/>
  <c r="CB98" i="3" s="1"/>
  <c r="CC98" i="3" s="1"/>
  <c r="CD98" i="3" s="1"/>
  <c r="CE98" i="3" s="1"/>
  <c r="CF98" i="3" s="1"/>
  <c r="CG98" i="3" s="1"/>
  <c r="CH98" i="3" s="1"/>
  <c r="BA98" i="3"/>
  <c r="BB98" i="3" s="1"/>
  <c r="BC98" i="3" s="1"/>
  <c r="BD98" i="3" s="1"/>
  <c r="BE98" i="3" s="1"/>
  <c r="BF98" i="3" s="1"/>
  <c r="BG98" i="3" s="1"/>
  <c r="BH98" i="3" s="1"/>
  <c r="BI98" i="3" s="1"/>
  <c r="BJ98" i="3" s="1"/>
  <c r="BK98" i="3" s="1"/>
  <c r="BL98" i="3" s="1"/>
  <c r="AY98" i="3"/>
  <c r="AZ98" i="3" s="1"/>
  <c r="AY97" i="3"/>
  <c r="AZ97" i="3" s="1"/>
  <c r="BA97" i="3" s="1"/>
  <c r="BB97" i="3" s="1"/>
  <c r="BC97" i="3" s="1"/>
  <c r="BD97" i="3" s="1"/>
  <c r="BE97" i="3" s="1"/>
  <c r="BF97" i="3" s="1"/>
  <c r="BG97" i="3" s="1"/>
  <c r="BH97" i="3" s="1"/>
  <c r="BI97" i="3" s="1"/>
  <c r="BJ97" i="3" s="1"/>
  <c r="BK97" i="3" s="1"/>
  <c r="BL97" i="3" s="1"/>
  <c r="BM97" i="3" s="1"/>
  <c r="BN97" i="3" s="1"/>
  <c r="BO97" i="3" s="1"/>
  <c r="BP97" i="3" s="1"/>
  <c r="BQ97" i="3" s="1"/>
  <c r="BR97" i="3" s="1"/>
  <c r="BS97" i="3" s="1"/>
  <c r="BT97" i="3" s="1"/>
  <c r="BU97" i="3" s="1"/>
  <c r="BV97" i="3" s="1"/>
  <c r="BW97" i="3" s="1"/>
  <c r="BX97" i="3" s="1"/>
  <c r="BY97" i="3" s="1"/>
  <c r="BZ97" i="3" s="1"/>
  <c r="CA97" i="3" s="1"/>
  <c r="CB97" i="3" s="1"/>
  <c r="CC97" i="3" s="1"/>
  <c r="CD97" i="3" s="1"/>
  <c r="CE97" i="3" s="1"/>
  <c r="CF97" i="3" s="1"/>
  <c r="CG97" i="3" s="1"/>
  <c r="CH97" i="3" s="1"/>
  <c r="BA96" i="3"/>
  <c r="BB96" i="3" s="1"/>
  <c r="BC96" i="3" s="1"/>
  <c r="BD96" i="3" s="1"/>
  <c r="BE96" i="3" s="1"/>
  <c r="BF96" i="3" s="1"/>
  <c r="BG96" i="3" s="1"/>
  <c r="BH96" i="3" s="1"/>
  <c r="BI96" i="3" s="1"/>
  <c r="BJ96" i="3" s="1"/>
  <c r="BK96" i="3" s="1"/>
  <c r="BL96" i="3" s="1"/>
  <c r="BM96" i="3" s="1"/>
  <c r="BN96" i="3" s="1"/>
  <c r="BO96" i="3" s="1"/>
  <c r="BP96" i="3" s="1"/>
  <c r="BQ96" i="3" s="1"/>
  <c r="BR96" i="3" s="1"/>
  <c r="BS96" i="3" s="1"/>
  <c r="BT96" i="3" s="1"/>
  <c r="BU96" i="3" s="1"/>
  <c r="BV96" i="3" s="1"/>
  <c r="BW96" i="3" s="1"/>
  <c r="BX96" i="3" s="1"/>
  <c r="BY96" i="3" s="1"/>
  <c r="BZ96" i="3" s="1"/>
  <c r="CA96" i="3" s="1"/>
  <c r="CB96" i="3" s="1"/>
  <c r="CC96" i="3" s="1"/>
  <c r="CD96" i="3" s="1"/>
  <c r="CE96" i="3" s="1"/>
  <c r="CF96" i="3" s="1"/>
  <c r="CG96" i="3" s="1"/>
  <c r="CH96" i="3" s="1"/>
  <c r="AY96" i="3"/>
  <c r="AZ96" i="3" s="1"/>
  <c r="BN95" i="3"/>
  <c r="BO95" i="3" s="1"/>
  <c r="BP95" i="3" s="1"/>
  <c r="BQ95" i="3" s="1"/>
  <c r="BR95" i="3" s="1"/>
  <c r="BS95" i="3" s="1"/>
  <c r="BT95" i="3" s="1"/>
  <c r="BU95" i="3" s="1"/>
  <c r="BV95" i="3" s="1"/>
  <c r="BW95" i="3" s="1"/>
  <c r="BX95" i="3" s="1"/>
  <c r="BY95" i="3" s="1"/>
  <c r="BZ95" i="3" s="1"/>
  <c r="CA95" i="3" s="1"/>
  <c r="CB95" i="3" s="1"/>
  <c r="CC95" i="3" s="1"/>
  <c r="CD95" i="3" s="1"/>
  <c r="CE95" i="3" s="1"/>
  <c r="CF95" i="3" s="1"/>
  <c r="CG95" i="3" s="1"/>
  <c r="CH95" i="3" s="1"/>
  <c r="AZ95" i="3"/>
  <c r="BA95" i="3" s="1"/>
  <c r="BB95" i="3" s="1"/>
  <c r="BC95" i="3" s="1"/>
  <c r="BD95" i="3" s="1"/>
  <c r="BE95" i="3" s="1"/>
  <c r="BF95" i="3" s="1"/>
  <c r="BG95" i="3" s="1"/>
  <c r="BH95" i="3" s="1"/>
  <c r="BI95" i="3" s="1"/>
  <c r="BJ95" i="3" s="1"/>
  <c r="BK95" i="3" s="1"/>
  <c r="BL95" i="3" s="1"/>
  <c r="BM95" i="3" s="1"/>
  <c r="AY95" i="3"/>
  <c r="BA94" i="3"/>
  <c r="BO41" i="1" s="1"/>
  <c r="AZ94" i="3"/>
  <c r="BN41" i="1" s="1"/>
  <c r="AY94" i="3"/>
  <c r="AY88" i="3"/>
  <c r="AZ88" i="3" s="1"/>
  <c r="BA88" i="3" s="1"/>
  <c r="BB88" i="3" s="1"/>
  <c r="BC88" i="3" s="1"/>
  <c r="BD88" i="3" s="1"/>
  <c r="BE88" i="3" s="1"/>
  <c r="BF88" i="3" s="1"/>
  <c r="BG88" i="3" s="1"/>
  <c r="BH88" i="3" s="1"/>
  <c r="BI88" i="3" s="1"/>
  <c r="BJ88" i="3" s="1"/>
  <c r="BK88" i="3" s="1"/>
  <c r="BL88" i="3" s="1"/>
  <c r="BM88" i="3" s="1"/>
  <c r="BN88" i="3" s="1"/>
  <c r="BO88" i="3" s="1"/>
  <c r="BP88" i="3" s="1"/>
  <c r="BQ88" i="3" s="1"/>
  <c r="BR88" i="3" s="1"/>
  <c r="BS88" i="3" s="1"/>
  <c r="BT88" i="3" s="1"/>
  <c r="BU88" i="3" s="1"/>
  <c r="BV88" i="3" s="1"/>
  <c r="BW88" i="3" s="1"/>
  <c r="BX88" i="3" s="1"/>
  <c r="BY88" i="3" s="1"/>
  <c r="BZ88" i="3" s="1"/>
  <c r="CA88" i="3" s="1"/>
  <c r="CB88" i="3" s="1"/>
  <c r="CC88" i="3" s="1"/>
  <c r="CD88" i="3" s="1"/>
  <c r="CE88" i="3" s="1"/>
  <c r="CF88" i="3" s="1"/>
  <c r="CG88" i="3" s="1"/>
  <c r="CH88" i="3" s="1"/>
  <c r="BQ87" i="3"/>
  <c r="BR87" i="3" s="1"/>
  <c r="BS87" i="3" s="1"/>
  <c r="BT87" i="3" s="1"/>
  <c r="BU87" i="3" s="1"/>
  <c r="BV87" i="3" s="1"/>
  <c r="BW87" i="3" s="1"/>
  <c r="BX87" i="3" s="1"/>
  <c r="BY87" i="3" s="1"/>
  <c r="BZ87" i="3" s="1"/>
  <c r="CA87" i="3" s="1"/>
  <c r="CB87" i="3" s="1"/>
  <c r="CC87" i="3" s="1"/>
  <c r="CD87" i="3" s="1"/>
  <c r="CE87" i="3" s="1"/>
  <c r="CF87" i="3" s="1"/>
  <c r="CG87" i="3" s="1"/>
  <c r="CH87" i="3" s="1"/>
  <c r="AZ87" i="3"/>
  <c r="BA87" i="3" s="1"/>
  <c r="BB87" i="3" s="1"/>
  <c r="BC87" i="3" s="1"/>
  <c r="BD87" i="3" s="1"/>
  <c r="BE87" i="3" s="1"/>
  <c r="BF87" i="3" s="1"/>
  <c r="BG87" i="3" s="1"/>
  <c r="BH87" i="3" s="1"/>
  <c r="BI87" i="3" s="1"/>
  <c r="BJ87" i="3" s="1"/>
  <c r="BK87" i="3" s="1"/>
  <c r="BL87" i="3" s="1"/>
  <c r="BM87" i="3" s="1"/>
  <c r="BN87" i="3" s="1"/>
  <c r="BO87" i="3" s="1"/>
  <c r="BP87" i="3" s="1"/>
  <c r="AY87" i="3"/>
  <c r="BM36" i="1" s="1"/>
  <c r="BB86" i="3"/>
  <c r="BC86" i="3" s="1"/>
  <c r="BD86" i="3" s="1"/>
  <c r="BE86" i="3" s="1"/>
  <c r="BA86" i="3"/>
  <c r="AY86" i="3"/>
  <c r="AZ86" i="3" s="1"/>
  <c r="BN36" i="1" s="1"/>
  <c r="BA81" i="3"/>
  <c r="BB81" i="3" s="1"/>
  <c r="BC81" i="3" s="1"/>
  <c r="BD81" i="3" s="1"/>
  <c r="BE81" i="3" s="1"/>
  <c r="BF81" i="3" s="1"/>
  <c r="BG81" i="3" s="1"/>
  <c r="BH81" i="3" s="1"/>
  <c r="BI81" i="3" s="1"/>
  <c r="BJ81" i="3" s="1"/>
  <c r="BK81" i="3" s="1"/>
  <c r="BL81" i="3" s="1"/>
  <c r="BM81" i="3" s="1"/>
  <c r="BN81" i="3" s="1"/>
  <c r="BO81" i="3" s="1"/>
  <c r="BP81" i="3" s="1"/>
  <c r="BQ81" i="3" s="1"/>
  <c r="BR81" i="3" s="1"/>
  <c r="BS81" i="3" s="1"/>
  <c r="BT81" i="3" s="1"/>
  <c r="BU81" i="3" s="1"/>
  <c r="BV81" i="3" s="1"/>
  <c r="BW81" i="3" s="1"/>
  <c r="BX81" i="3" s="1"/>
  <c r="BY81" i="3" s="1"/>
  <c r="BZ81" i="3" s="1"/>
  <c r="CA81" i="3" s="1"/>
  <c r="CB81" i="3" s="1"/>
  <c r="CC81" i="3" s="1"/>
  <c r="CD81" i="3" s="1"/>
  <c r="CE81" i="3" s="1"/>
  <c r="CF81" i="3" s="1"/>
  <c r="CG81" i="3" s="1"/>
  <c r="CH81" i="3" s="1"/>
  <c r="AZ81" i="3"/>
  <c r="AY81" i="3"/>
  <c r="AY79" i="3"/>
  <c r="AZ79" i="3" s="1"/>
  <c r="BA79" i="3" s="1"/>
  <c r="BB79" i="3" s="1"/>
  <c r="BC79" i="3" s="1"/>
  <c r="BD79" i="3" s="1"/>
  <c r="BE79" i="3" s="1"/>
  <c r="BF79" i="3" s="1"/>
  <c r="BG79" i="3" s="1"/>
  <c r="BH79" i="3" s="1"/>
  <c r="BI79" i="3" s="1"/>
  <c r="BJ79" i="3" s="1"/>
  <c r="BK79" i="3" s="1"/>
  <c r="BL79" i="3" s="1"/>
  <c r="BM79" i="3" s="1"/>
  <c r="BN79" i="3" s="1"/>
  <c r="BO79" i="3" s="1"/>
  <c r="BP79" i="3" s="1"/>
  <c r="BQ79" i="3" s="1"/>
  <c r="BR79" i="3" s="1"/>
  <c r="BS79" i="3" s="1"/>
  <c r="BT79" i="3" s="1"/>
  <c r="BU79" i="3" s="1"/>
  <c r="BV79" i="3" s="1"/>
  <c r="BW79" i="3" s="1"/>
  <c r="BX79" i="3" s="1"/>
  <c r="BY79" i="3" s="1"/>
  <c r="BZ79" i="3" s="1"/>
  <c r="CA79" i="3" s="1"/>
  <c r="CB79" i="3" s="1"/>
  <c r="CC79" i="3" s="1"/>
  <c r="CD79" i="3" s="1"/>
  <c r="CE79" i="3" s="1"/>
  <c r="CF79" i="3" s="1"/>
  <c r="CG79" i="3" s="1"/>
  <c r="CH79" i="3" s="1"/>
  <c r="BD78" i="3"/>
  <c r="BE78" i="3" s="1"/>
  <c r="BF78" i="3" s="1"/>
  <c r="BG78" i="3" s="1"/>
  <c r="BH78" i="3" s="1"/>
  <c r="BI78" i="3" s="1"/>
  <c r="BJ78" i="3" s="1"/>
  <c r="BK78" i="3" s="1"/>
  <c r="BL78" i="3" s="1"/>
  <c r="BM78" i="3" s="1"/>
  <c r="BN78" i="3" s="1"/>
  <c r="BO78" i="3" s="1"/>
  <c r="BP78" i="3" s="1"/>
  <c r="BQ78" i="3" s="1"/>
  <c r="BR78" i="3" s="1"/>
  <c r="BS78" i="3" s="1"/>
  <c r="BT78" i="3" s="1"/>
  <c r="BU78" i="3" s="1"/>
  <c r="BV78" i="3" s="1"/>
  <c r="BW78" i="3" s="1"/>
  <c r="BX78" i="3" s="1"/>
  <c r="BY78" i="3" s="1"/>
  <c r="BZ78" i="3" s="1"/>
  <c r="CA78" i="3" s="1"/>
  <c r="CB78" i="3" s="1"/>
  <c r="CC78" i="3" s="1"/>
  <c r="CD78" i="3" s="1"/>
  <c r="CE78" i="3" s="1"/>
  <c r="CF78" i="3" s="1"/>
  <c r="CG78" i="3" s="1"/>
  <c r="CH78" i="3" s="1"/>
  <c r="BC78" i="3"/>
  <c r="AY78" i="3"/>
  <c r="AZ78" i="3" s="1"/>
  <c r="BA78" i="3" s="1"/>
  <c r="BB78" i="3" s="1"/>
  <c r="AY77" i="3"/>
  <c r="AZ77" i="3" s="1"/>
  <c r="BA77" i="3" s="1"/>
  <c r="BB77" i="3" s="1"/>
  <c r="BC77" i="3" s="1"/>
  <c r="BD77" i="3" s="1"/>
  <c r="BE77" i="3" s="1"/>
  <c r="BF77" i="3" s="1"/>
  <c r="BG77" i="3" s="1"/>
  <c r="BH77" i="3" s="1"/>
  <c r="BI77" i="3" s="1"/>
  <c r="BJ77" i="3" s="1"/>
  <c r="BK77" i="3" s="1"/>
  <c r="BL77" i="3" s="1"/>
  <c r="BM77" i="3" s="1"/>
  <c r="BN77" i="3" s="1"/>
  <c r="BO77" i="3" s="1"/>
  <c r="BP77" i="3" s="1"/>
  <c r="BQ77" i="3" s="1"/>
  <c r="BR77" i="3" s="1"/>
  <c r="BS77" i="3" s="1"/>
  <c r="BT77" i="3" s="1"/>
  <c r="BU77" i="3" s="1"/>
  <c r="BV77" i="3" s="1"/>
  <c r="BW77" i="3" s="1"/>
  <c r="BX77" i="3" s="1"/>
  <c r="BY77" i="3" s="1"/>
  <c r="BZ77" i="3" s="1"/>
  <c r="CA77" i="3" s="1"/>
  <c r="CB77" i="3" s="1"/>
  <c r="CC77" i="3" s="1"/>
  <c r="CD77" i="3" s="1"/>
  <c r="CE77" i="3" s="1"/>
  <c r="CF77" i="3" s="1"/>
  <c r="CG77" i="3" s="1"/>
  <c r="CH77" i="3" s="1"/>
  <c r="BB61" i="3"/>
  <c r="BC61" i="3" s="1"/>
  <c r="BA61" i="3"/>
  <c r="AZ61" i="3"/>
  <c r="AY61" i="3"/>
  <c r="AY59" i="3"/>
  <c r="AY58" i="3"/>
  <c r="AZ58" i="3" s="1"/>
  <c r="BA58" i="3" s="1"/>
  <c r="BB58" i="3" s="1"/>
  <c r="BC58" i="3" s="1"/>
  <c r="BD58" i="3" s="1"/>
  <c r="BE58" i="3" s="1"/>
  <c r="BF58" i="3" s="1"/>
  <c r="BG58" i="3" s="1"/>
  <c r="BH58" i="3" s="1"/>
  <c r="BI58" i="3" s="1"/>
  <c r="BJ58" i="3" s="1"/>
  <c r="BK58" i="3" s="1"/>
  <c r="BL58" i="3" s="1"/>
  <c r="BM58" i="3" s="1"/>
  <c r="BN58" i="3" s="1"/>
  <c r="BO58" i="3" s="1"/>
  <c r="BP58" i="3" s="1"/>
  <c r="BQ58" i="3" s="1"/>
  <c r="BR58" i="3" s="1"/>
  <c r="BS58" i="3" s="1"/>
  <c r="BT58" i="3" s="1"/>
  <c r="BU58" i="3" s="1"/>
  <c r="BV58" i="3" s="1"/>
  <c r="BW58" i="3" s="1"/>
  <c r="BX58" i="3" s="1"/>
  <c r="BY58" i="3" s="1"/>
  <c r="BZ58" i="3" s="1"/>
  <c r="CA58" i="3" s="1"/>
  <c r="CB58" i="3" s="1"/>
  <c r="CC58" i="3" s="1"/>
  <c r="CD58" i="3" s="1"/>
  <c r="CE58" i="3" s="1"/>
  <c r="CF58" i="3" s="1"/>
  <c r="CG58" i="3" s="1"/>
  <c r="CH58" i="3" s="1"/>
  <c r="AY56" i="3"/>
  <c r="AZ56" i="3" s="1"/>
  <c r="BA56" i="3" s="1"/>
  <c r="BB56" i="3" s="1"/>
  <c r="BC56" i="3" s="1"/>
  <c r="BD56" i="3" s="1"/>
  <c r="BE56" i="3" s="1"/>
  <c r="BF56" i="3" s="1"/>
  <c r="BG56" i="3" s="1"/>
  <c r="BH56" i="3" s="1"/>
  <c r="BI56" i="3" s="1"/>
  <c r="BJ56" i="3" s="1"/>
  <c r="BK56" i="3" s="1"/>
  <c r="BL56" i="3" s="1"/>
  <c r="BM56" i="3" s="1"/>
  <c r="BN56" i="3" s="1"/>
  <c r="BO56" i="3" s="1"/>
  <c r="BP56" i="3" s="1"/>
  <c r="BQ56" i="3" s="1"/>
  <c r="BR56" i="3" s="1"/>
  <c r="BS56" i="3" s="1"/>
  <c r="BT56" i="3" s="1"/>
  <c r="BU56" i="3" s="1"/>
  <c r="BV56" i="3" s="1"/>
  <c r="BW56" i="3" s="1"/>
  <c r="BX56" i="3" s="1"/>
  <c r="BY56" i="3" s="1"/>
  <c r="BZ56" i="3" s="1"/>
  <c r="CA56" i="3" s="1"/>
  <c r="CB56" i="3" s="1"/>
  <c r="CC56" i="3" s="1"/>
  <c r="CD56" i="3" s="1"/>
  <c r="CE56" i="3" s="1"/>
  <c r="CF56" i="3" s="1"/>
  <c r="CG56" i="3" s="1"/>
  <c r="CH56" i="3" s="1"/>
  <c r="BB55" i="3"/>
  <c r="BC55" i="3" s="1"/>
  <c r="BD55" i="3" s="1"/>
  <c r="BE55" i="3" s="1"/>
  <c r="BF55" i="3" s="1"/>
  <c r="BG55" i="3" s="1"/>
  <c r="BH55" i="3" s="1"/>
  <c r="BI55" i="3" s="1"/>
  <c r="BJ55" i="3" s="1"/>
  <c r="BK55" i="3" s="1"/>
  <c r="BL55" i="3" s="1"/>
  <c r="BM55" i="3" s="1"/>
  <c r="BN55" i="3" s="1"/>
  <c r="BO55" i="3" s="1"/>
  <c r="BP55" i="3" s="1"/>
  <c r="BQ55" i="3" s="1"/>
  <c r="BR55" i="3" s="1"/>
  <c r="BS55" i="3" s="1"/>
  <c r="BT55" i="3" s="1"/>
  <c r="BU55" i="3" s="1"/>
  <c r="BV55" i="3" s="1"/>
  <c r="BW55" i="3" s="1"/>
  <c r="BX55" i="3" s="1"/>
  <c r="BY55" i="3" s="1"/>
  <c r="BZ55" i="3" s="1"/>
  <c r="CA55" i="3" s="1"/>
  <c r="CB55" i="3" s="1"/>
  <c r="CC55" i="3" s="1"/>
  <c r="CD55" i="3" s="1"/>
  <c r="CE55" i="3" s="1"/>
  <c r="CF55" i="3" s="1"/>
  <c r="CG55" i="3" s="1"/>
  <c r="CH55" i="3" s="1"/>
  <c r="AZ55" i="3"/>
  <c r="BA55" i="3" s="1"/>
  <c r="AY55" i="3"/>
  <c r="BG54" i="3"/>
  <c r="BH54" i="3" s="1"/>
  <c r="BI54" i="3" s="1"/>
  <c r="BJ54" i="3" s="1"/>
  <c r="BK54" i="3" s="1"/>
  <c r="BL54" i="3" s="1"/>
  <c r="BM54" i="3" s="1"/>
  <c r="BN54" i="3" s="1"/>
  <c r="BO54" i="3" s="1"/>
  <c r="BP54" i="3" s="1"/>
  <c r="BQ54" i="3" s="1"/>
  <c r="BR54" i="3" s="1"/>
  <c r="BS54" i="3" s="1"/>
  <c r="BT54" i="3" s="1"/>
  <c r="BU54" i="3" s="1"/>
  <c r="BV54" i="3" s="1"/>
  <c r="BW54" i="3" s="1"/>
  <c r="BX54" i="3" s="1"/>
  <c r="BY54" i="3" s="1"/>
  <c r="BZ54" i="3" s="1"/>
  <c r="CA54" i="3" s="1"/>
  <c r="CB54" i="3" s="1"/>
  <c r="CC54" i="3" s="1"/>
  <c r="CD54" i="3" s="1"/>
  <c r="CE54" i="3" s="1"/>
  <c r="CF54" i="3" s="1"/>
  <c r="CG54" i="3" s="1"/>
  <c r="CH54" i="3" s="1"/>
  <c r="AY54" i="3"/>
  <c r="AZ54" i="3" s="1"/>
  <c r="BA54" i="3" s="1"/>
  <c r="BB54" i="3" s="1"/>
  <c r="BC54" i="3" s="1"/>
  <c r="BD54" i="3" s="1"/>
  <c r="BE54" i="3" s="1"/>
  <c r="BF54" i="3" s="1"/>
  <c r="BQ53" i="3"/>
  <c r="BR53" i="3" s="1"/>
  <c r="BS53" i="3" s="1"/>
  <c r="BT53" i="3" s="1"/>
  <c r="BU53" i="3" s="1"/>
  <c r="BV53" i="3" s="1"/>
  <c r="BW53" i="3" s="1"/>
  <c r="BX53" i="3" s="1"/>
  <c r="BY53" i="3" s="1"/>
  <c r="BZ53" i="3" s="1"/>
  <c r="CA53" i="3" s="1"/>
  <c r="CB53" i="3" s="1"/>
  <c r="CC53" i="3" s="1"/>
  <c r="CD53" i="3" s="1"/>
  <c r="CE53" i="3" s="1"/>
  <c r="CF53" i="3" s="1"/>
  <c r="CG53" i="3" s="1"/>
  <c r="CH53" i="3" s="1"/>
  <c r="BD53" i="3"/>
  <c r="BE53" i="3" s="1"/>
  <c r="BF53" i="3" s="1"/>
  <c r="BG53" i="3" s="1"/>
  <c r="BH53" i="3" s="1"/>
  <c r="BI53" i="3" s="1"/>
  <c r="BJ53" i="3" s="1"/>
  <c r="BK53" i="3" s="1"/>
  <c r="BL53" i="3" s="1"/>
  <c r="BM53" i="3" s="1"/>
  <c r="BN53" i="3" s="1"/>
  <c r="BO53" i="3" s="1"/>
  <c r="BP53" i="3" s="1"/>
  <c r="AY53" i="3"/>
  <c r="AZ53" i="3" s="1"/>
  <c r="BA53" i="3" s="1"/>
  <c r="BB53" i="3" s="1"/>
  <c r="BC53" i="3" s="1"/>
  <c r="BE52" i="3"/>
  <c r="BF52" i="3" s="1"/>
  <c r="BG52" i="3" s="1"/>
  <c r="BH52" i="3" s="1"/>
  <c r="BI52" i="3" s="1"/>
  <c r="BJ52" i="3" s="1"/>
  <c r="BK52" i="3" s="1"/>
  <c r="BL52" i="3" s="1"/>
  <c r="BM52" i="3" s="1"/>
  <c r="BN52" i="3" s="1"/>
  <c r="BO52" i="3" s="1"/>
  <c r="BP52" i="3" s="1"/>
  <c r="BQ52" i="3" s="1"/>
  <c r="BR52" i="3" s="1"/>
  <c r="BS52" i="3" s="1"/>
  <c r="BT52" i="3" s="1"/>
  <c r="BU52" i="3" s="1"/>
  <c r="BV52" i="3" s="1"/>
  <c r="BW52" i="3" s="1"/>
  <c r="BX52" i="3" s="1"/>
  <c r="BY52" i="3" s="1"/>
  <c r="BZ52" i="3" s="1"/>
  <c r="CA52" i="3" s="1"/>
  <c r="CB52" i="3" s="1"/>
  <c r="CC52" i="3" s="1"/>
  <c r="CD52" i="3" s="1"/>
  <c r="CE52" i="3" s="1"/>
  <c r="CF52" i="3" s="1"/>
  <c r="CG52" i="3" s="1"/>
  <c r="CH52" i="3" s="1"/>
  <c r="AZ52" i="3"/>
  <c r="BA52" i="3" s="1"/>
  <c r="BB52" i="3" s="1"/>
  <c r="BC52" i="3" s="1"/>
  <c r="BD52" i="3" s="1"/>
  <c r="AY52" i="3"/>
  <c r="BM24" i="1" s="1"/>
  <c r="AY51" i="3"/>
  <c r="AZ51" i="3" s="1"/>
  <c r="BA51" i="3" s="1"/>
  <c r="BB51" i="3" s="1"/>
  <c r="BC51" i="3" s="1"/>
  <c r="BD51" i="3" s="1"/>
  <c r="BE51" i="3" s="1"/>
  <c r="BF51" i="3" s="1"/>
  <c r="BG51" i="3" s="1"/>
  <c r="BH51" i="3" s="1"/>
  <c r="BI51" i="3" s="1"/>
  <c r="BJ51" i="3" s="1"/>
  <c r="BK51" i="3" s="1"/>
  <c r="BL51" i="3" s="1"/>
  <c r="BM51" i="3" s="1"/>
  <c r="BN51" i="3" s="1"/>
  <c r="BO51" i="3" s="1"/>
  <c r="BP51" i="3" s="1"/>
  <c r="BQ51" i="3" s="1"/>
  <c r="BR51" i="3" s="1"/>
  <c r="BS51" i="3" s="1"/>
  <c r="BT51" i="3" s="1"/>
  <c r="BU51" i="3" s="1"/>
  <c r="BV51" i="3" s="1"/>
  <c r="BW51" i="3" s="1"/>
  <c r="BX51" i="3" s="1"/>
  <c r="BY51" i="3" s="1"/>
  <c r="BZ51" i="3" s="1"/>
  <c r="CA51" i="3" s="1"/>
  <c r="CB51" i="3" s="1"/>
  <c r="CC51" i="3" s="1"/>
  <c r="CD51" i="3" s="1"/>
  <c r="CE51" i="3" s="1"/>
  <c r="CF51" i="3" s="1"/>
  <c r="CG51" i="3" s="1"/>
  <c r="CH51" i="3" s="1"/>
  <c r="BA50" i="3"/>
  <c r="BB50" i="3" s="1"/>
  <c r="BC50" i="3" s="1"/>
  <c r="BD50" i="3" s="1"/>
  <c r="BE50" i="3" s="1"/>
  <c r="BF50" i="3" s="1"/>
  <c r="BG50" i="3" s="1"/>
  <c r="BH50" i="3" s="1"/>
  <c r="BI50" i="3" s="1"/>
  <c r="BJ50" i="3" s="1"/>
  <c r="BK50" i="3" s="1"/>
  <c r="BL50" i="3" s="1"/>
  <c r="BM50" i="3" s="1"/>
  <c r="BN50" i="3" s="1"/>
  <c r="BO50" i="3" s="1"/>
  <c r="BP50" i="3" s="1"/>
  <c r="BQ50" i="3" s="1"/>
  <c r="BR50" i="3" s="1"/>
  <c r="BS50" i="3" s="1"/>
  <c r="BT50" i="3" s="1"/>
  <c r="BU50" i="3" s="1"/>
  <c r="BV50" i="3" s="1"/>
  <c r="BW50" i="3" s="1"/>
  <c r="BX50" i="3" s="1"/>
  <c r="BY50" i="3" s="1"/>
  <c r="BZ50" i="3" s="1"/>
  <c r="CA50" i="3" s="1"/>
  <c r="CB50" i="3" s="1"/>
  <c r="CC50" i="3" s="1"/>
  <c r="CD50" i="3" s="1"/>
  <c r="CE50" i="3" s="1"/>
  <c r="CF50" i="3" s="1"/>
  <c r="CG50" i="3" s="1"/>
  <c r="CH50" i="3" s="1"/>
  <c r="AZ50" i="3"/>
  <c r="BN24" i="1" s="1"/>
  <c r="AY50" i="3"/>
  <c r="AY41" i="3"/>
  <c r="AZ41" i="3" s="1"/>
  <c r="BA41" i="3" s="1"/>
  <c r="BB41" i="3" s="1"/>
  <c r="BC41" i="3" s="1"/>
  <c r="BD41" i="3" s="1"/>
  <c r="BE41" i="3" s="1"/>
  <c r="BF41" i="3" s="1"/>
  <c r="BG41" i="3" s="1"/>
  <c r="BH41" i="3" s="1"/>
  <c r="BI41" i="3" s="1"/>
  <c r="BJ41" i="3" s="1"/>
  <c r="BK41" i="3" s="1"/>
  <c r="BL41" i="3" s="1"/>
  <c r="BM41" i="3" s="1"/>
  <c r="BN41" i="3" s="1"/>
  <c r="BO41" i="3" s="1"/>
  <c r="BP41" i="3" s="1"/>
  <c r="BQ41" i="3" s="1"/>
  <c r="BR41" i="3" s="1"/>
  <c r="BS41" i="3" s="1"/>
  <c r="BT41" i="3" s="1"/>
  <c r="BU41" i="3" s="1"/>
  <c r="BV41" i="3" s="1"/>
  <c r="BW41" i="3" s="1"/>
  <c r="BX41" i="3" s="1"/>
  <c r="BY41" i="3" s="1"/>
  <c r="BZ41" i="3" s="1"/>
  <c r="CA41" i="3" s="1"/>
  <c r="CB41" i="3" s="1"/>
  <c r="CC41" i="3" s="1"/>
  <c r="CD41" i="3" s="1"/>
  <c r="CE41" i="3" s="1"/>
  <c r="CF41" i="3" s="1"/>
  <c r="CG41" i="3" s="1"/>
  <c r="CH41" i="3" s="1"/>
  <c r="BE40" i="3"/>
  <c r="BF40" i="3" s="1"/>
  <c r="BG40" i="3" s="1"/>
  <c r="BH40" i="3" s="1"/>
  <c r="BI40" i="3" s="1"/>
  <c r="BJ40" i="3" s="1"/>
  <c r="BK40" i="3" s="1"/>
  <c r="BL40" i="3" s="1"/>
  <c r="BM40" i="3" s="1"/>
  <c r="BN40" i="3" s="1"/>
  <c r="BO40" i="3" s="1"/>
  <c r="BP40" i="3" s="1"/>
  <c r="BQ40" i="3" s="1"/>
  <c r="BR40" i="3" s="1"/>
  <c r="BS40" i="3" s="1"/>
  <c r="BT40" i="3" s="1"/>
  <c r="BU40" i="3" s="1"/>
  <c r="BV40" i="3" s="1"/>
  <c r="BW40" i="3" s="1"/>
  <c r="BX40" i="3" s="1"/>
  <c r="BY40" i="3" s="1"/>
  <c r="BZ40" i="3" s="1"/>
  <c r="CA40" i="3" s="1"/>
  <c r="CB40" i="3" s="1"/>
  <c r="CC40" i="3" s="1"/>
  <c r="CD40" i="3" s="1"/>
  <c r="CE40" i="3" s="1"/>
  <c r="CF40" i="3" s="1"/>
  <c r="CG40" i="3" s="1"/>
  <c r="CH40" i="3" s="1"/>
  <c r="BA40" i="3"/>
  <c r="BB40" i="3" s="1"/>
  <c r="BC40" i="3" s="1"/>
  <c r="BD40" i="3" s="1"/>
  <c r="AY40" i="3"/>
  <c r="AZ40" i="3" s="1"/>
  <c r="BA39" i="3"/>
  <c r="BB39" i="3" s="1"/>
  <c r="BC39" i="3" s="1"/>
  <c r="BD39" i="3" s="1"/>
  <c r="BE39" i="3" s="1"/>
  <c r="BF39" i="3" s="1"/>
  <c r="BG39" i="3" s="1"/>
  <c r="BH39" i="3" s="1"/>
  <c r="BI39" i="3" s="1"/>
  <c r="BJ39" i="3" s="1"/>
  <c r="BK39" i="3" s="1"/>
  <c r="BL39" i="3" s="1"/>
  <c r="BM39" i="3" s="1"/>
  <c r="BN39" i="3" s="1"/>
  <c r="BO39" i="3" s="1"/>
  <c r="BP39" i="3" s="1"/>
  <c r="BQ39" i="3" s="1"/>
  <c r="BR39" i="3" s="1"/>
  <c r="BS39" i="3" s="1"/>
  <c r="BT39" i="3" s="1"/>
  <c r="BU39" i="3" s="1"/>
  <c r="BV39" i="3" s="1"/>
  <c r="BW39" i="3" s="1"/>
  <c r="BX39" i="3" s="1"/>
  <c r="BY39" i="3" s="1"/>
  <c r="BZ39" i="3" s="1"/>
  <c r="CA39" i="3" s="1"/>
  <c r="CB39" i="3" s="1"/>
  <c r="CC39" i="3" s="1"/>
  <c r="CD39" i="3" s="1"/>
  <c r="CE39" i="3" s="1"/>
  <c r="CF39" i="3" s="1"/>
  <c r="CG39" i="3" s="1"/>
  <c r="CH39" i="3" s="1"/>
  <c r="AZ39" i="3"/>
  <c r="AY39" i="3"/>
  <c r="AY38" i="3"/>
  <c r="BA37" i="3"/>
  <c r="BB37" i="3" s="1"/>
  <c r="AY37" i="3"/>
  <c r="AZ37" i="3" s="1"/>
  <c r="CT17" i="1"/>
  <c r="CR17" i="1"/>
  <c r="CP17" i="1"/>
  <c r="CI17" i="1"/>
  <c r="CF17" i="1"/>
  <c r="BZ17" i="1"/>
  <c r="BX17" i="1"/>
  <c r="J17" i="1" s="1"/>
  <c r="BW17" i="1"/>
  <c r="BV17" i="1"/>
  <c r="BR17" i="1"/>
  <c r="BO17" i="1"/>
  <c r="CW34" i="1"/>
  <c r="CS319" i="2"/>
  <c r="CR319" i="2"/>
  <c r="CQ319" i="2"/>
  <c r="CP319" i="2"/>
  <c r="CO319" i="2"/>
  <c r="CN319" i="2"/>
  <c r="CM319" i="2"/>
  <c r="CL319" i="2"/>
  <c r="CK319" i="2"/>
  <c r="CJ319" i="2"/>
  <c r="CI319" i="2"/>
  <c r="CH319" i="2"/>
  <c r="CG319" i="2"/>
  <c r="CF319" i="2"/>
  <c r="CE319" i="2"/>
  <c r="CD319" i="2"/>
  <c r="CC319" i="2"/>
  <c r="CB319" i="2"/>
  <c r="CA319" i="2"/>
  <c r="BZ319" i="2"/>
  <c r="BY319" i="2"/>
  <c r="BX319" i="2"/>
  <c r="BW319" i="2"/>
  <c r="BV319" i="2"/>
  <c r="BU319" i="2"/>
  <c r="BT319" i="2"/>
  <c r="BS319" i="2"/>
  <c r="BR319" i="2"/>
  <c r="BQ319" i="2"/>
  <c r="BP319" i="2"/>
  <c r="BO319" i="2"/>
  <c r="BN319" i="2"/>
  <c r="BM319" i="2"/>
  <c r="BL319" i="2"/>
  <c r="BK319" i="2"/>
  <c r="BJ319" i="2"/>
  <c r="CZ37" i="1"/>
  <c r="CY37" i="1"/>
  <c r="CX37" i="1"/>
  <c r="CW37" i="1"/>
  <c r="CV37" i="1"/>
  <c r="L37" i="1" s="1"/>
  <c r="CU37" i="1"/>
  <c r="CT37" i="1"/>
  <c r="CS37" i="1"/>
  <c r="CR37" i="1"/>
  <c r="CQ37" i="1"/>
  <c r="CP37" i="1"/>
  <c r="CO37" i="1"/>
  <c r="CN37" i="1"/>
  <c r="CM37" i="1"/>
  <c r="CL37" i="1"/>
  <c r="CK37" i="1"/>
  <c r="CJ37" i="1"/>
  <c r="K37" i="1" s="1"/>
  <c r="CI37" i="1"/>
  <c r="CH37" i="1"/>
  <c r="CG37" i="1"/>
  <c r="CF37" i="1"/>
  <c r="CE37" i="1"/>
  <c r="CD37" i="1"/>
  <c r="CC37" i="1"/>
  <c r="CB37" i="1"/>
  <c r="CA37" i="1"/>
  <c r="BZ37" i="1"/>
  <c r="BY37" i="1"/>
  <c r="BX37" i="1"/>
  <c r="J37" i="1" s="1"/>
  <c r="BW37" i="1"/>
  <c r="BV37" i="1"/>
  <c r="BU37" i="1"/>
  <c r="BT37" i="1"/>
  <c r="BS37" i="1"/>
  <c r="BR37" i="1"/>
  <c r="BQ37" i="1"/>
  <c r="BP37" i="1"/>
  <c r="BO37" i="1"/>
  <c r="BN37" i="1"/>
  <c r="BM37" i="1"/>
  <c r="CZ34" i="1"/>
  <c r="CY34" i="1"/>
  <c r="CX34" i="1"/>
  <c r="BM27" i="1"/>
  <c r="CZ20" i="1"/>
  <c r="CY20" i="1"/>
  <c r="CX20" i="1"/>
  <c r="CW20" i="1"/>
  <c r="CV20" i="1"/>
  <c r="L20" i="1" s="1"/>
  <c r="CU20" i="1"/>
  <c r="CT20" i="1"/>
  <c r="CS20" i="1"/>
  <c r="CR20" i="1"/>
  <c r="CQ20" i="1"/>
  <c r="CP20" i="1"/>
  <c r="CO20" i="1"/>
  <c r="CN20" i="1"/>
  <c r="CM20" i="1"/>
  <c r="CL20" i="1"/>
  <c r="CK20" i="1"/>
  <c r="CJ20" i="1"/>
  <c r="K20" i="1" s="1"/>
  <c r="CI20" i="1"/>
  <c r="CH20" i="1"/>
  <c r="CG20" i="1"/>
  <c r="CF20" i="1"/>
  <c r="CE20" i="1"/>
  <c r="CD20" i="1"/>
  <c r="CC20" i="1"/>
  <c r="CB20" i="1"/>
  <c r="CA20" i="1"/>
  <c r="BZ20" i="1"/>
  <c r="BY20" i="1"/>
  <c r="BX20" i="1"/>
  <c r="J20" i="1" s="1"/>
  <c r="BW20" i="1"/>
  <c r="BV20" i="1"/>
  <c r="BU20" i="1"/>
  <c r="BT20" i="1"/>
  <c r="BS20" i="1"/>
  <c r="BR20" i="1"/>
  <c r="BQ20" i="1"/>
  <c r="BP20" i="1"/>
  <c r="BO20" i="1"/>
  <c r="BN20" i="1"/>
  <c r="BM20" i="1"/>
  <c r="BP19" i="1"/>
  <c r="BO19" i="1"/>
  <c r="BN19" i="1"/>
  <c r="BM19" i="1"/>
  <c r="CZ18" i="1"/>
  <c r="CY18" i="1"/>
  <c r="CX18" i="1"/>
  <c r="CW18" i="1"/>
  <c r="CV18" i="1"/>
  <c r="L18" i="1" s="1"/>
  <c r="CU18" i="1"/>
  <c r="CT18" i="1"/>
  <c r="CS18" i="1"/>
  <c r="CR18" i="1"/>
  <c r="CQ18" i="1"/>
  <c r="CP18" i="1"/>
  <c r="CO18" i="1"/>
  <c r="CN18" i="1"/>
  <c r="CM18" i="1"/>
  <c r="CL18" i="1"/>
  <c r="CK18" i="1"/>
  <c r="CJ18" i="1"/>
  <c r="K18" i="1" s="1"/>
  <c r="CI18" i="1"/>
  <c r="CH18" i="1"/>
  <c r="CG18" i="1"/>
  <c r="CF18" i="1"/>
  <c r="CE18" i="1"/>
  <c r="CD18" i="1"/>
  <c r="CC18" i="1"/>
  <c r="CB18" i="1"/>
  <c r="CA18" i="1"/>
  <c r="BZ18" i="1"/>
  <c r="BY18" i="1"/>
  <c r="BX18" i="1"/>
  <c r="J18" i="1" s="1"/>
  <c r="BW18" i="1"/>
  <c r="BV18" i="1"/>
  <c r="BU18" i="1"/>
  <c r="BT18" i="1"/>
  <c r="BS18" i="1"/>
  <c r="BR18" i="1"/>
  <c r="BQ18" i="1"/>
  <c r="BP18" i="1"/>
  <c r="BO18" i="1"/>
  <c r="BN18" i="1"/>
  <c r="BM18" i="1"/>
  <c r="CZ17" i="1"/>
  <c r="CY17" i="1"/>
  <c r="CX17" i="1"/>
  <c r="CW17" i="1"/>
  <c r="CV17" i="1"/>
  <c r="CU17" i="1"/>
  <c r="CS17" i="1"/>
  <c r="CQ17" i="1"/>
  <c r="CO17" i="1"/>
  <c r="CN17" i="1"/>
  <c r="CM17" i="1"/>
  <c r="CL17" i="1"/>
  <c r="CK17" i="1"/>
  <c r="CJ17" i="1"/>
  <c r="K17" i="1" s="1"/>
  <c r="CH17" i="1"/>
  <c r="CG17" i="1"/>
  <c r="CE17" i="1"/>
  <c r="CD17" i="1"/>
  <c r="CC17" i="1"/>
  <c r="CB17" i="1"/>
  <c r="CA17" i="1"/>
  <c r="BY17" i="1"/>
  <c r="BU17" i="1"/>
  <c r="BT17" i="1"/>
  <c r="BS17" i="1"/>
  <c r="BQ17" i="1"/>
  <c r="BP17" i="1"/>
  <c r="BN17" i="1"/>
  <c r="BM17" i="1"/>
  <c r="CZ16" i="1"/>
  <c r="CY16" i="1"/>
  <c r="CX16" i="1"/>
  <c r="CW16" i="1"/>
  <c r="CZ15" i="1"/>
  <c r="CY15" i="1"/>
  <c r="CX15" i="1"/>
  <c r="CW15" i="1"/>
  <c r="CZ14" i="1"/>
  <c r="CY14" i="1"/>
  <c r="CX14" i="1"/>
  <c r="CW14" i="1"/>
  <c r="M119" i="3"/>
  <c r="L119" i="3"/>
  <c r="K119" i="3"/>
  <c r="J119" i="3"/>
  <c r="I119" i="3"/>
  <c r="H119" i="3"/>
  <c r="G119" i="3"/>
  <c r="F119" i="3"/>
  <c r="E119" i="3"/>
  <c r="D119" i="3"/>
  <c r="C119" i="3"/>
  <c r="T21" i="7"/>
  <c r="S21" i="7"/>
  <c r="R21" i="7"/>
  <c r="F39" i="5"/>
  <c r="F22" i="7" s="1"/>
  <c r="AF39" i="5"/>
  <c r="M116" i="3"/>
  <c r="L116" i="3"/>
  <c r="K116" i="3"/>
  <c r="J116" i="3"/>
  <c r="I116" i="3"/>
  <c r="H116" i="3"/>
  <c r="G116" i="3"/>
  <c r="F116" i="3"/>
  <c r="E116" i="3"/>
  <c r="D116" i="3"/>
  <c r="C116" i="3"/>
  <c r="C115" i="3"/>
  <c r="D115" i="3" s="1"/>
  <c r="E115" i="3" s="1"/>
  <c r="F115" i="3" s="1"/>
  <c r="G115" i="3" s="1"/>
  <c r="H115" i="3" s="1"/>
  <c r="I115" i="3" s="1"/>
  <c r="J115" i="3" s="1"/>
  <c r="K115" i="3" s="1"/>
  <c r="L115" i="3" s="1"/>
  <c r="M115" i="3" s="1"/>
  <c r="N115" i="3" s="1"/>
  <c r="E114" i="3"/>
  <c r="F114" i="3" s="1"/>
  <c r="G114" i="3" s="1"/>
  <c r="H114" i="3" s="1"/>
  <c r="I114" i="3" s="1"/>
  <c r="J114" i="3" s="1"/>
  <c r="K114" i="3" s="1"/>
  <c r="L114" i="3" s="1"/>
  <c r="M114" i="3" s="1"/>
  <c r="N114" i="3" s="1"/>
  <c r="D114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C112" i="3" s="1"/>
  <c r="D109" i="3"/>
  <c r="E107" i="3"/>
  <c r="F107" i="3" s="1"/>
  <c r="G107" i="3" s="1"/>
  <c r="H107" i="3" s="1"/>
  <c r="I107" i="3" s="1"/>
  <c r="J107" i="3" s="1"/>
  <c r="K107" i="3" s="1"/>
  <c r="L107" i="3" s="1"/>
  <c r="M107" i="3" s="1"/>
  <c r="N107" i="3" s="1"/>
  <c r="D107" i="3"/>
  <c r="C107" i="3"/>
  <c r="H106" i="3"/>
  <c r="I106" i="3" s="1"/>
  <c r="J106" i="3" s="1"/>
  <c r="K106" i="3" s="1"/>
  <c r="L106" i="3" s="1"/>
  <c r="M106" i="3" s="1"/>
  <c r="N106" i="3" s="1"/>
  <c r="C106" i="3"/>
  <c r="D106" i="3" s="1"/>
  <c r="E106" i="3" s="1"/>
  <c r="F106" i="3" s="1"/>
  <c r="G106" i="3" s="1"/>
  <c r="K105" i="3"/>
  <c r="L105" i="3" s="1"/>
  <c r="M105" i="3" s="1"/>
  <c r="N105" i="3" s="1"/>
  <c r="C105" i="3"/>
  <c r="D105" i="3" s="1"/>
  <c r="E105" i="3" s="1"/>
  <c r="F105" i="3" s="1"/>
  <c r="G105" i="3" s="1"/>
  <c r="H105" i="3" s="1"/>
  <c r="I105" i="3" s="1"/>
  <c r="J105" i="3" s="1"/>
  <c r="L104" i="3"/>
  <c r="M104" i="3" s="1"/>
  <c r="N104" i="3" s="1"/>
  <c r="C104" i="3"/>
  <c r="D104" i="3" s="1"/>
  <c r="E104" i="3" s="1"/>
  <c r="F104" i="3" s="1"/>
  <c r="G104" i="3" s="1"/>
  <c r="H104" i="3" s="1"/>
  <c r="I104" i="3" s="1"/>
  <c r="J104" i="3" s="1"/>
  <c r="K104" i="3" s="1"/>
  <c r="E103" i="3"/>
  <c r="F103" i="3" s="1"/>
  <c r="G103" i="3" s="1"/>
  <c r="H103" i="3" s="1"/>
  <c r="I103" i="3" s="1"/>
  <c r="J103" i="3" s="1"/>
  <c r="K103" i="3" s="1"/>
  <c r="L103" i="3" s="1"/>
  <c r="M103" i="3" s="1"/>
  <c r="N103" i="3" s="1"/>
  <c r="D103" i="3"/>
  <c r="C103" i="3"/>
  <c r="E102" i="3"/>
  <c r="F102" i="3" s="1"/>
  <c r="G102" i="3" s="1"/>
  <c r="H102" i="3" s="1"/>
  <c r="I102" i="3" s="1"/>
  <c r="J102" i="3" s="1"/>
  <c r="K102" i="3" s="1"/>
  <c r="L102" i="3" s="1"/>
  <c r="M102" i="3" s="1"/>
  <c r="N102" i="3" s="1"/>
  <c r="D102" i="3"/>
  <c r="C102" i="3"/>
  <c r="C101" i="3"/>
  <c r="D101" i="3" s="1"/>
  <c r="E101" i="3" s="1"/>
  <c r="F101" i="3" s="1"/>
  <c r="G101" i="3" s="1"/>
  <c r="H101" i="3" s="1"/>
  <c r="I101" i="3" s="1"/>
  <c r="J101" i="3" s="1"/>
  <c r="K101" i="3" s="1"/>
  <c r="L101" i="3" s="1"/>
  <c r="M101" i="3" s="1"/>
  <c r="N101" i="3" s="1"/>
  <c r="K100" i="3"/>
  <c r="L100" i="3" s="1"/>
  <c r="M100" i="3" s="1"/>
  <c r="N100" i="3" s="1"/>
  <c r="C100" i="3"/>
  <c r="D100" i="3" s="1"/>
  <c r="E100" i="3" s="1"/>
  <c r="F100" i="3" s="1"/>
  <c r="G100" i="3" s="1"/>
  <c r="H100" i="3" s="1"/>
  <c r="I100" i="3" s="1"/>
  <c r="J100" i="3" s="1"/>
  <c r="C99" i="3"/>
  <c r="D99" i="3" s="1"/>
  <c r="E99" i="3" s="1"/>
  <c r="F99" i="3" s="1"/>
  <c r="G99" i="3" s="1"/>
  <c r="H99" i="3" s="1"/>
  <c r="I99" i="3" s="1"/>
  <c r="J99" i="3" s="1"/>
  <c r="K99" i="3" s="1"/>
  <c r="L99" i="3" s="1"/>
  <c r="M99" i="3" s="1"/>
  <c r="N99" i="3" s="1"/>
  <c r="D98" i="3"/>
  <c r="E98" i="3" s="1"/>
  <c r="F98" i="3" s="1"/>
  <c r="G98" i="3" s="1"/>
  <c r="H98" i="3" s="1"/>
  <c r="I98" i="3" s="1"/>
  <c r="J98" i="3" s="1"/>
  <c r="K98" i="3" s="1"/>
  <c r="L98" i="3" s="1"/>
  <c r="M98" i="3" s="1"/>
  <c r="N98" i="3" s="1"/>
  <c r="C98" i="3"/>
  <c r="D97" i="3"/>
  <c r="E97" i="3" s="1"/>
  <c r="F97" i="3" s="1"/>
  <c r="G97" i="3" s="1"/>
  <c r="H97" i="3" s="1"/>
  <c r="I97" i="3" s="1"/>
  <c r="J97" i="3" s="1"/>
  <c r="K97" i="3" s="1"/>
  <c r="L97" i="3" s="1"/>
  <c r="M97" i="3" s="1"/>
  <c r="N97" i="3" s="1"/>
  <c r="C97" i="3"/>
  <c r="L96" i="3"/>
  <c r="M96" i="3" s="1"/>
  <c r="N96" i="3" s="1"/>
  <c r="K96" i="3"/>
  <c r="C96" i="3"/>
  <c r="D96" i="3" s="1"/>
  <c r="E96" i="3" s="1"/>
  <c r="F96" i="3" s="1"/>
  <c r="G96" i="3" s="1"/>
  <c r="H96" i="3" s="1"/>
  <c r="I96" i="3" s="1"/>
  <c r="J96" i="3" s="1"/>
  <c r="D95" i="3"/>
  <c r="E95" i="3" s="1"/>
  <c r="F95" i="3" s="1"/>
  <c r="G95" i="3" s="1"/>
  <c r="H95" i="3" s="1"/>
  <c r="I95" i="3" s="1"/>
  <c r="J95" i="3" s="1"/>
  <c r="K95" i="3" s="1"/>
  <c r="L95" i="3" s="1"/>
  <c r="M95" i="3" s="1"/>
  <c r="N95" i="3" s="1"/>
  <c r="C95" i="3"/>
  <c r="C108" i="3" s="1"/>
  <c r="C113" i="3" s="1"/>
  <c r="C117" i="3" s="1"/>
  <c r="D94" i="3"/>
  <c r="E94" i="3" s="1"/>
  <c r="F94" i="3" s="1"/>
  <c r="G94" i="3" s="1"/>
  <c r="D93" i="3"/>
  <c r="D88" i="3"/>
  <c r="E88" i="3" s="1"/>
  <c r="F88" i="3" s="1"/>
  <c r="G88" i="3" s="1"/>
  <c r="H88" i="3" s="1"/>
  <c r="I88" i="3" s="1"/>
  <c r="J88" i="3" s="1"/>
  <c r="K88" i="3" s="1"/>
  <c r="L88" i="3" s="1"/>
  <c r="M88" i="3" s="1"/>
  <c r="N88" i="3" s="1"/>
  <c r="F87" i="3"/>
  <c r="G87" i="3" s="1"/>
  <c r="H87" i="3" s="1"/>
  <c r="I87" i="3" s="1"/>
  <c r="J87" i="3" s="1"/>
  <c r="K87" i="3" s="1"/>
  <c r="L87" i="3" s="1"/>
  <c r="M87" i="3" s="1"/>
  <c r="N87" i="3" s="1"/>
  <c r="C87" i="3"/>
  <c r="D86" i="3"/>
  <c r="D81" i="3"/>
  <c r="E81" i="3" s="1"/>
  <c r="F81" i="3" s="1"/>
  <c r="G81" i="3" s="1"/>
  <c r="H81" i="3" s="1"/>
  <c r="I81" i="3" s="1"/>
  <c r="J81" i="3" s="1"/>
  <c r="K81" i="3" s="1"/>
  <c r="L81" i="3" s="1"/>
  <c r="M81" i="3" s="1"/>
  <c r="N81" i="3" s="1"/>
  <c r="C80" i="3"/>
  <c r="C82" i="3" s="1"/>
  <c r="C83" i="3" s="1"/>
  <c r="D79" i="3"/>
  <c r="D80" i="3" s="1"/>
  <c r="E78" i="3"/>
  <c r="D78" i="3"/>
  <c r="N77" i="3"/>
  <c r="M77" i="3"/>
  <c r="L77" i="3"/>
  <c r="K77" i="3"/>
  <c r="J77" i="3"/>
  <c r="I77" i="3"/>
  <c r="H77" i="3"/>
  <c r="G77" i="3"/>
  <c r="F77" i="3"/>
  <c r="E77" i="3"/>
  <c r="D77" i="3"/>
  <c r="C77" i="3"/>
  <c r="N73" i="3"/>
  <c r="M73" i="3"/>
  <c r="L73" i="3"/>
  <c r="K73" i="3"/>
  <c r="J73" i="3"/>
  <c r="I73" i="3"/>
  <c r="H73" i="3"/>
  <c r="G73" i="3"/>
  <c r="F73" i="3"/>
  <c r="E73" i="3"/>
  <c r="D73" i="3"/>
  <c r="C73" i="3"/>
  <c r="C74" i="3" s="1"/>
  <c r="C75" i="3" s="1"/>
  <c r="D72" i="3"/>
  <c r="M70" i="3"/>
  <c r="L70" i="3"/>
  <c r="F70" i="3"/>
  <c r="E70" i="3"/>
  <c r="D70" i="3"/>
  <c r="N69" i="3"/>
  <c r="N70" i="3" s="1"/>
  <c r="M69" i="3"/>
  <c r="L69" i="3"/>
  <c r="K69" i="3"/>
  <c r="K70" i="3" s="1"/>
  <c r="J69" i="3"/>
  <c r="J70" i="3" s="1"/>
  <c r="I69" i="3"/>
  <c r="I70" i="3" s="1"/>
  <c r="H69" i="3"/>
  <c r="H70" i="3" s="1"/>
  <c r="G69" i="3"/>
  <c r="G70" i="3" s="1"/>
  <c r="F69" i="3"/>
  <c r="E69" i="3"/>
  <c r="D69" i="3"/>
  <c r="C69" i="3"/>
  <c r="C70" i="3" s="1"/>
  <c r="C62" i="3"/>
  <c r="N61" i="3"/>
  <c r="F61" i="3"/>
  <c r="G61" i="3" s="1"/>
  <c r="H61" i="3" s="1"/>
  <c r="I61" i="3" s="1"/>
  <c r="J61" i="3" s="1"/>
  <c r="K61" i="3" s="1"/>
  <c r="L61" i="3" s="1"/>
  <c r="M61" i="3" s="1"/>
  <c r="E61" i="3"/>
  <c r="D61" i="3"/>
  <c r="D62" i="3" s="1"/>
  <c r="J60" i="3"/>
  <c r="D60" i="3"/>
  <c r="E60" i="3" s="1"/>
  <c r="J59" i="3"/>
  <c r="K59" i="3" s="1"/>
  <c r="L59" i="3" s="1"/>
  <c r="M59" i="3" s="1"/>
  <c r="N59" i="3" s="1"/>
  <c r="D59" i="3"/>
  <c r="E59" i="3" s="1"/>
  <c r="F59" i="3" s="1"/>
  <c r="G59" i="3" s="1"/>
  <c r="H59" i="3" s="1"/>
  <c r="I59" i="3" s="1"/>
  <c r="H58" i="3"/>
  <c r="I58" i="3" s="1"/>
  <c r="J58" i="3" s="1"/>
  <c r="K58" i="3" s="1"/>
  <c r="L58" i="3" s="1"/>
  <c r="M58" i="3" s="1"/>
  <c r="N58" i="3" s="1"/>
  <c r="G58" i="3"/>
  <c r="C58" i="3"/>
  <c r="D58" i="3" s="1"/>
  <c r="E58" i="3" s="1"/>
  <c r="F58" i="3" s="1"/>
  <c r="E56" i="3"/>
  <c r="F56" i="3" s="1"/>
  <c r="G56" i="3" s="1"/>
  <c r="H56" i="3" s="1"/>
  <c r="I56" i="3" s="1"/>
  <c r="J56" i="3" s="1"/>
  <c r="K56" i="3" s="1"/>
  <c r="L56" i="3" s="1"/>
  <c r="M56" i="3" s="1"/>
  <c r="N56" i="3" s="1"/>
  <c r="D56" i="3"/>
  <c r="C55" i="3"/>
  <c r="D55" i="3" s="1"/>
  <c r="E55" i="3" s="1"/>
  <c r="F55" i="3" s="1"/>
  <c r="G55" i="3" s="1"/>
  <c r="H55" i="3" s="1"/>
  <c r="I55" i="3" s="1"/>
  <c r="J55" i="3" s="1"/>
  <c r="K55" i="3" s="1"/>
  <c r="L55" i="3" s="1"/>
  <c r="M55" i="3" s="1"/>
  <c r="N55" i="3" s="1"/>
  <c r="E54" i="3"/>
  <c r="F54" i="3" s="1"/>
  <c r="G54" i="3" s="1"/>
  <c r="H54" i="3" s="1"/>
  <c r="I54" i="3" s="1"/>
  <c r="J54" i="3" s="1"/>
  <c r="K54" i="3" s="1"/>
  <c r="L54" i="3" s="1"/>
  <c r="M54" i="3" s="1"/>
  <c r="N54" i="3" s="1"/>
  <c r="D54" i="3"/>
  <c r="C53" i="3"/>
  <c r="D53" i="3" s="1"/>
  <c r="E53" i="3" s="1"/>
  <c r="F53" i="3" s="1"/>
  <c r="G53" i="3" s="1"/>
  <c r="H53" i="3" s="1"/>
  <c r="I53" i="3" s="1"/>
  <c r="J53" i="3" s="1"/>
  <c r="K53" i="3" s="1"/>
  <c r="L53" i="3" s="1"/>
  <c r="M53" i="3" s="1"/>
  <c r="N53" i="3" s="1"/>
  <c r="N52" i="3"/>
  <c r="M52" i="3"/>
  <c r="L52" i="3"/>
  <c r="K52" i="3"/>
  <c r="J52" i="3"/>
  <c r="I52" i="3"/>
  <c r="H52" i="3"/>
  <c r="G52" i="3"/>
  <c r="F52" i="3"/>
  <c r="E52" i="3"/>
  <c r="D52" i="3"/>
  <c r="J51" i="3"/>
  <c r="K51" i="3" s="1"/>
  <c r="L51" i="3" s="1"/>
  <c r="M51" i="3" s="1"/>
  <c r="N51" i="3" s="1"/>
  <c r="I51" i="3"/>
  <c r="G51" i="3"/>
  <c r="H51" i="3" s="1"/>
  <c r="F51" i="3"/>
  <c r="E51" i="3"/>
  <c r="D51" i="3"/>
  <c r="C51" i="3"/>
  <c r="C57" i="3" s="1"/>
  <c r="D50" i="3"/>
  <c r="D57" i="3" s="1"/>
  <c r="D63" i="3" s="1"/>
  <c r="D47" i="3"/>
  <c r="E47" i="3" s="1"/>
  <c r="F47" i="3" s="1"/>
  <c r="G47" i="3" s="1"/>
  <c r="H47" i="3" s="1"/>
  <c r="I47" i="3" s="1"/>
  <c r="J47" i="3" s="1"/>
  <c r="K47" i="3" s="1"/>
  <c r="L47" i="3" s="1"/>
  <c r="M47" i="3" s="1"/>
  <c r="N47" i="3" s="1"/>
  <c r="D46" i="3"/>
  <c r="E46" i="3" s="1"/>
  <c r="F46" i="3" s="1"/>
  <c r="G46" i="3" s="1"/>
  <c r="H46" i="3" s="1"/>
  <c r="I46" i="3" s="1"/>
  <c r="J46" i="3" s="1"/>
  <c r="K46" i="3" s="1"/>
  <c r="L46" i="3" s="1"/>
  <c r="M46" i="3" s="1"/>
  <c r="N46" i="3" s="1"/>
  <c r="D45" i="3"/>
  <c r="E45" i="3" s="1"/>
  <c r="F45" i="3" s="1"/>
  <c r="G45" i="3" s="1"/>
  <c r="H45" i="3" s="1"/>
  <c r="I45" i="3" s="1"/>
  <c r="J45" i="3" s="1"/>
  <c r="K45" i="3" s="1"/>
  <c r="L45" i="3" s="1"/>
  <c r="M45" i="3" s="1"/>
  <c r="N45" i="3" s="1"/>
  <c r="D44" i="3"/>
  <c r="E44" i="3" s="1"/>
  <c r="F44" i="3" s="1"/>
  <c r="G44" i="3" s="1"/>
  <c r="H44" i="3" s="1"/>
  <c r="I44" i="3" s="1"/>
  <c r="J44" i="3" s="1"/>
  <c r="K44" i="3" s="1"/>
  <c r="L44" i="3" s="1"/>
  <c r="M44" i="3" s="1"/>
  <c r="N44" i="3" s="1"/>
  <c r="H43" i="3"/>
  <c r="I43" i="3" s="1"/>
  <c r="J43" i="3" s="1"/>
  <c r="K43" i="3" s="1"/>
  <c r="L43" i="3" s="1"/>
  <c r="M43" i="3" s="1"/>
  <c r="N43" i="3" s="1"/>
  <c r="E43" i="3"/>
  <c r="F43" i="3" s="1"/>
  <c r="G43" i="3" s="1"/>
  <c r="D43" i="3"/>
  <c r="N41" i="3"/>
  <c r="M41" i="3"/>
  <c r="L41" i="3"/>
  <c r="K41" i="3"/>
  <c r="J41" i="3"/>
  <c r="I41" i="3"/>
  <c r="H41" i="3"/>
  <c r="G41" i="3"/>
  <c r="F41" i="3"/>
  <c r="E41" i="3"/>
  <c r="D41" i="3"/>
  <c r="C41" i="3"/>
  <c r="M40" i="3"/>
  <c r="N40" i="3" s="1"/>
  <c r="L40" i="3"/>
  <c r="K40" i="3"/>
  <c r="J40" i="3"/>
  <c r="I40" i="3"/>
  <c r="F40" i="3"/>
  <c r="G40" i="3" s="1"/>
  <c r="H40" i="3" s="1"/>
  <c r="E40" i="3"/>
  <c r="C40" i="3"/>
  <c r="N39" i="3"/>
  <c r="M39" i="3"/>
  <c r="L39" i="3"/>
  <c r="K39" i="3"/>
  <c r="J39" i="3"/>
  <c r="I39" i="3"/>
  <c r="H39" i="3"/>
  <c r="G39" i="3"/>
  <c r="F39" i="3"/>
  <c r="E39" i="3"/>
  <c r="D39" i="3"/>
  <c r="C39" i="3"/>
  <c r="M38" i="3"/>
  <c r="N38" i="3" s="1"/>
  <c r="K38" i="3"/>
  <c r="L38" i="3" s="1"/>
  <c r="J38" i="3"/>
  <c r="I38" i="3"/>
  <c r="H38" i="3"/>
  <c r="G38" i="3"/>
  <c r="E38" i="3"/>
  <c r="F38" i="3" s="1"/>
  <c r="D38" i="3"/>
  <c r="C38" i="3"/>
  <c r="E37" i="3"/>
  <c r="F37" i="3" s="1"/>
  <c r="D37" i="3"/>
  <c r="D33" i="3"/>
  <c r="E33" i="3" s="1"/>
  <c r="F33" i="3" s="1"/>
  <c r="G33" i="3" s="1"/>
  <c r="H33" i="3" s="1"/>
  <c r="I33" i="3" s="1"/>
  <c r="J33" i="3" s="1"/>
  <c r="K33" i="3" s="1"/>
  <c r="L33" i="3" s="1"/>
  <c r="M33" i="3" s="1"/>
  <c r="N33" i="3" s="1"/>
  <c r="E32" i="3"/>
  <c r="F32" i="3" s="1"/>
  <c r="G32" i="3" s="1"/>
  <c r="H32" i="3" s="1"/>
  <c r="I32" i="3" s="1"/>
  <c r="J32" i="3" s="1"/>
  <c r="K32" i="3" s="1"/>
  <c r="L32" i="3" s="1"/>
  <c r="M32" i="3" s="1"/>
  <c r="D32" i="3"/>
  <c r="E31" i="3"/>
  <c r="F31" i="3" s="1"/>
  <c r="G31" i="3" s="1"/>
  <c r="H31" i="3" s="1"/>
  <c r="I31" i="3" s="1"/>
  <c r="J31" i="3" s="1"/>
  <c r="K31" i="3" s="1"/>
  <c r="L31" i="3" s="1"/>
  <c r="M31" i="3" s="1"/>
  <c r="N31" i="3" s="1"/>
  <c r="D31" i="3"/>
  <c r="N29" i="3"/>
  <c r="M29" i="3"/>
  <c r="L29" i="3"/>
  <c r="K29" i="3"/>
  <c r="J29" i="3"/>
  <c r="I29" i="3"/>
  <c r="H29" i="3"/>
  <c r="G29" i="3"/>
  <c r="F29" i="3"/>
  <c r="E29" i="3"/>
  <c r="D29" i="3"/>
  <c r="C29" i="3"/>
  <c r="C30" i="3" s="1"/>
  <c r="K28" i="3"/>
  <c r="L28" i="3" s="1"/>
  <c r="M28" i="3" s="1"/>
  <c r="N28" i="3" s="1"/>
  <c r="D28" i="3"/>
  <c r="E28" i="3" s="1"/>
  <c r="F28" i="3" s="1"/>
  <c r="G28" i="3" s="1"/>
  <c r="H28" i="3" s="1"/>
  <c r="I28" i="3" s="1"/>
  <c r="J28" i="3" s="1"/>
  <c r="D27" i="3"/>
  <c r="D30" i="3" s="1"/>
  <c r="D26" i="3"/>
  <c r="C26" i="3"/>
  <c r="C34" i="3" s="1"/>
  <c r="N25" i="3"/>
  <c r="M25" i="3"/>
  <c r="E25" i="3"/>
  <c r="F25" i="3" s="1"/>
  <c r="G25" i="3" s="1"/>
  <c r="H25" i="3" s="1"/>
  <c r="I25" i="3" s="1"/>
  <c r="J25" i="3" s="1"/>
  <c r="K25" i="3" s="1"/>
  <c r="L25" i="3" s="1"/>
  <c r="D25" i="3"/>
  <c r="F24" i="3"/>
  <c r="G24" i="3" s="1"/>
  <c r="H24" i="3" s="1"/>
  <c r="I24" i="3" s="1"/>
  <c r="J24" i="3" s="1"/>
  <c r="K24" i="3" s="1"/>
  <c r="L24" i="3" s="1"/>
  <c r="M24" i="3" s="1"/>
  <c r="N24" i="3" s="1"/>
  <c r="E24" i="3"/>
  <c r="D24" i="3"/>
  <c r="D23" i="3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D22" i="3"/>
  <c r="E22" i="3" s="1"/>
  <c r="I20" i="3"/>
  <c r="G20" i="3"/>
  <c r="F20" i="3"/>
  <c r="N19" i="3"/>
  <c r="N20" i="3" s="1"/>
  <c r="M19" i="3"/>
  <c r="M20" i="3" s="1"/>
  <c r="L19" i="3"/>
  <c r="L20" i="3" s="1"/>
  <c r="K19" i="3"/>
  <c r="K20" i="3" s="1"/>
  <c r="J19" i="3"/>
  <c r="J20" i="3" s="1"/>
  <c r="I19" i="3"/>
  <c r="H19" i="3"/>
  <c r="H20" i="3" s="1"/>
  <c r="G19" i="3"/>
  <c r="F19" i="3"/>
  <c r="E19" i="3"/>
  <c r="E20" i="3" s="1"/>
  <c r="C19" i="3"/>
  <c r="C20" i="3" s="1"/>
  <c r="F16" i="3"/>
  <c r="G16" i="3" s="1"/>
  <c r="H16" i="3" s="1"/>
  <c r="I16" i="3" s="1"/>
  <c r="J16" i="3" s="1"/>
  <c r="K16" i="3" s="1"/>
  <c r="L16" i="3" s="1"/>
  <c r="M16" i="3" s="1"/>
  <c r="N16" i="3" s="1"/>
  <c r="E16" i="3"/>
  <c r="D16" i="3"/>
  <c r="N15" i="3"/>
  <c r="M15" i="3"/>
  <c r="L15" i="3"/>
  <c r="K15" i="3"/>
  <c r="J15" i="3"/>
  <c r="I15" i="3"/>
  <c r="H15" i="3"/>
  <c r="G15" i="3"/>
  <c r="F15" i="3"/>
  <c r="E15" i="3"/>
  <c r="D15" i="3"/>
  <c r="N13" i="3"/>
  <c r="M13" i="3"/>
  <c r="L13" i="3"/>
  <c r="K13" i="3"/>
  <c r="J13" i="3"/>
  <c r="I13" i="3"/>
  <c r="H13" i="3"/>
  <c r="G13" i="3"/>
  <c r="F13" i="3"/>
  <c r="E13" i="3"/>
  <c r="C13" i="3"/>
  <c r="D13" i="3" s="1"/>
  <c r="N12" i="3"/>
  <c r="M12" i="3"/>
  <c r="L12" i="3"/>
  <c r="K12" i="3"/>
  <c r="J12" i="3"/>
  <c r="I12" i="3"/>
  <c r="H12" i="3"/>
  <c r="G12" i="3"/>
  <c r="F12" i="3"/>
  <c r="E12" i="3"/>
  <c r="D12" i="3"/>
  <c r="C12" i="3"/>
  <c r="C14" i="3" s="1"/>
  <c r="C17" i="3" s="1"/>
  <c r="C35" i="3" s="1"/>
  <c r="M11" i="3"/>
  <c r="N11" i="3" s="1"/>
  <c r="L11" i="3"/>
  <c r="K11" i="3"/>
  <c r="D11" i="3"/>
  <c r="E11" i="3" s="1"/>
  <c r="F11" i="3" s="1"/>
  <c r="G11" i="3" s="1"/>
  <c r="H11" i="3" s="1"/>
  <c r="I11" i="3" s="1"/>
  <c r="J11" i="3" s="1"/>
  <c r="E10" i="3"/>
  <c r="F10" i="3" s="1"/>
  <c r="G10" i="3" s="1"/>
  <c r="H10" i="3" s="1"/>
  <c r="I10" i="3" s="1"/>
  <c r="J10" i="3" s="1"/>
  <c r="K10" i="3" s="1"/>
  <c r="L10" i="3" s="1"/>
  <c r="M10" i="3" s="1"/>
  <c r="N10" i="3" s="1"/>
  <c r="D10" i="3"/>
  <c r="D14" i="3" s="1"/>
  <c r="D17" i="3" s="1"/>
  <c r="E9" i="3"/>
  <c r="E14" i="3" s="1"/>
  <c r="E17" i="3" s="1"/>
  <c r="D9" i="3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BS23" i="5" l="1"/>
  <c r="BM23" i="1"/>
  <c r="CZ19" i="5"/>
  <c r="CB23" i="5"/>
  <c r="CH19" i="5"/>
  <c r="L17" i="1"/>
  <c r="CZ23" i="5"/>
  <c r="CF23" i="5"/>
  <c r="CH23" i="5"/>
  <c r="CD23" i="5"/>
  <c r="CJ19" i="5"/>
  <c r="CX23" i="5"/>
  <c r="CF19" i="5"/>
  <c r="BD61" i="3"/>
  <c r="BQ19" i="1"/>
  <c r="BU20" i="5" s="1"/>
  <c r="BF86" i="3"/>
  <c r="BS36" i="1"/>
  <c r="AZ38" i="3"/>
  <c r="BB94" i="3"/>
  <c r="BX23" i="5"/>
  <c r="BO24" i="1"/>
  <c r="CQ19" i="5"/>
  <c r="BN35" i="1"/>
  <c r="CR23" i="5"/>
  <c r="BW19" i="5"/>
  <c r="CD19" i="5"/>
  <c r="CX19" i="5"/>
  <c r="BC37" i="3"/>
  <c r="BD37" i="3" s="1"/>
  <c r="BE37" i="3" s="1"/>
  <c r="BF37" i="3" s="1"/>
  <c r="BG37" i="3" s="1"/>
  <c r="BH37" i="3" s="1"/>
  <c r="BI37" i="3" s="1"/>
  <c r="BJ37" i="3" s="1"/>
  <c r="BK37" i="3" s="1"/>
  <c r="BL37" i="3" s="1"/>
  <c r="BM37" i="3" s="1"/>
  <c r="BN37" i="3" s="1"/>
  <c r="BO37" i="3" s="1"/>
  <c r="BP37" i="3" s="1"/>
  <c r="BQ37" i="3" s="1"/>
  <c r="BR37" i="3" s="1"/>
  <c r="BS37" i="3" s="1"/>
  <c r="BT37" i="3" s="1"/>
  <c r="BU37" i="3" s="1"/>
  <c r="BV37" i="3" s="1"/>
  <c r="BW37" i="3" s="1"/>
  <c r="BX37" i="3" s="1"/>
  <c r="BY37" i="3" s="1"/>
  <c r="BZ37" i="3" s="1"/>
  <c r="CA37" i="3" s="1"/>
  <c r="CB37" i="3" s="1"/>
  <c r="CC37" i="3" s="1"/>
  <c r="CD37" i="3" s="1"/>
  <c r="CE37" i="3" s="1"/>
  <c r="CF37" i="3" s="1"/>
  <c r="CG37" i="3" s="1"/>
  <c r="CH37" i="3" s="1"/>
  <c r="CT23" i="5"/>
  <c r="AZ59" i="3"/>
  <c r="BM26" i="1"/>
  <c r="BZ23" i="5"/>
  <c r="CK19" i="5"/>
  <c r="CG23" i="5"/>
  <c r="CE19" i="5"/>
  <c r="CG19" i="5"/>
  <c r="CM23" i="5"/>
  <c r="CV23" i="5"/>
  <c r="CA19" i="5"/>
  <c r="CU19" i="5"/>
  <c r="BM35" i="1"/>
  <c r="CE23" i="5"/>
  <c r="CY23" i="5"/>
  <c r="BQ23" i="5"/>
  <c r="CY19" i="5"/>
  <c r="CI23" i="5"/>
  <c r="CK23" i="5"/>
  <c r="CI19" i="5"/>
  <c r="BR23" i="5"/>
  <c r="CL23" i="5"/>
  <c r="BT23" i="5"/>
  <c r="CN23" i="5"/>
  <c r="BR19" i="5"/>
  <c r="CL19" i="5"/>
  <c r="BR20" i="5"/>
  <c r="BY23" i="5"/>
  <c r="CS23" i="5"/>
  <c r="BX19" i="5"/>
  <c r="CR19" i="5"/>
  <c r="CA23" i="5"/>
  <c r="CU23" i="5"/>
  <c r="CN19" i="5"/>
  <c r="CM19" i="5"/>
  <c r="BT20" i="5"/>
  <c r="BO35" i="1"/>
  <c r="BT19" i="5"/>
  <c r="BS20" i="5"/>
  <c r="BS19" i="5"/>
  <c r="BP24" i="1"/>
  <c r="BN27" i="1"/>
  <c r="BS33" i="5"/>
  <c r="BU23" i="5"/>
  <c r="BU19" i="5"/>
  <c r="CO19" i="5"/>
  <c r="BV23" i="5"/>
  <c r="CP23" i="5"/>
  <c r="CO23" i="5"/>
  <c r="BV19" i="5"/>
  <c r="CP19" i="5"/>
  <c r="BW23" i="5"/>
  <c r="CQ23" i="5"/>
  <c r="BY19" i="5"/>
  <c r="BZ19" i="5"/>
  <c r="CT19" i="5"/>
  <c r="CJ23" i="5"/>
  <c r="CB19" i="5"/>
  <c r="CV19" i="5"/>
  <c r="CC23" i="5"/>
  <c r="CW23" i="5"/>
  <c r="CS19" i="5"/>
  <c r="CC19" i="5"/>
  <c r="CW19" i="5"/>
  <c r="BO36" i="1"/>
  <c r="BP36" i="1"/>
  <c r="BQ36" i="1"/>
  <c r="BM41" i="1"/>
  <c r="BR33" i="5" s="1"/>
  <c r="BR36" i="1"/>
  <c r="C207" i="2"/>
  <c r="C147" i="2"/>
  <c r="C297" i="2"/>
  <c r="C237" i="2"/>
  <c r="C177" i="2"/>
  <c r="C267" i="2"/>
  <c r="G38" i="5"/>
  <c r="G21" i="7" s="1"/>
  <c r="D35" i="3"/>
  <c r="D64" i="3" s="1"/>
  <c r="F9" i="3"/>
  <c r="E79" i="3"/>
  <c r="F79" i="3" s="1"/>
  <c r="G79" i="3" s="1"/>
  <c r="H79" i="3" s="1"/>
  <c r="I79" i="3" s="1"/>
  <c r="J79" i="3" s="1"/>
  <c r="K79" i="3" s="1"/>
  <c r="L79" i="3" s="1"/>
  <c r="M79" i="3" s="1"/>
  <c r="N79" i="3" s="1"/>
  <c r="D34" i="3"/>
  <c r="E72" i="3"/>
  <c r="D74" i="3"/>
  <c r="D75" i="3" s="1"/>
  <c r="D84" i="3" s="1"/>
  <c r="D91" i="3" s="1"/>
  <c r="D118" i="3" s="1"/>
  <c r="D82" i="3"/>
  <c r="D83" i="3" s="1"/>
  <c r="D108" i="3"/>
  <c r="D40" i="3"/>
  <c r="C42" i="3"/>
  <c r="C48" i="3" s="1"/>
  <c r="C64" i="3" s="1"/>
  <c r="E108" i="3"/>
  <c r="C84" i="3"/>
  <c r="C91" i="3" s="1"/>
  <c r="C118" i="3" s="1"/>
  <c r="F108" i="3"/>
  <c r="E26" i="3"/>
  <c r="F22" i="3"/>
  <c r="D112" i="3"/>
  <c r="E109" i="3"/>
  <c r="D113" i="3"/>
  <c r="D117" i="3" s="1"/>
  <c r="C63" i="3"/>
  <c r="E93" i="3"/>
  <c r="E62" i="3"/>
  <c r="F60" i="3"/>
  <c r="G108" i="3"/>
  <c r="H94" i="3"/>
  <c r="J62" i="3"/>
  <c r="D89" i="3"/>
  <c r="D90" i="3" s="1"/>
  <c r="E86" i="3"/>
  <c r="F78" i="3"/>
  <c r="C89" i="3"/>
  <c r="C90" i="3" s="1"/>
  <c r="D87" i="3"/>
  <c r="E87" i="3" s="1"/>
  <c r="D42" i="3"/>
  <c r="D48" i="3" s="1"/>
  <c r="G37" i="3"/>
  <c r="F42" i="3"/>
  <c r="F48" i="3" s="1"/>
  <c r="D19" i="3"/>
  <c r="D20" i="3" s="1"/>
  <c r="E27" i="3"/>
  <c r="E50" i="3"/>
  <c r="K60" i="3"/>
  <c r="E42" i="3"/>
  <c r="E48" i="3" s="1"/>
  <c r="BM23" i="5"/>
  <c r="BD23" i="5"/>
  <c r="BL23" i="5"/>
  <c r="BP23" i="5"/>
  <c r="BO23" i="5"/>
  <c r="BE23" i="5"/>
  <c r="BG23" i="5"/>
  <c r="BK23" i="5"/>
  <c r="BH23" i="5"/>
  <c r="BJ23" i="5"/>
  <c r="BI23" i="5"/>
  <c r="BN23" i="5"/>
  <c r="BF23" i="5"/>
  <c r="BR22" i="5" l="1"/>
  <c r="L23" i="5"/>
  <c r="L19" i="5"/>
  <c r="K19" i="5"/>
  <c r="K23" i="5"/>
  <c r="J23" i="5"/>
  <c r="BN26" i="1"/>
  <c r="BR28" i="5" s="1"/>
  <c r="BA59" i="3"/>
  <c r="BE61" i="3"/>
  <c r="BR19" i="1"/>
  <c r="BV20" i="5" s="1"/>
  <c r="BC94" i="3"/>
  <c r="BP41" i="1"/>
  <c r="BT33" i="5" s="1"/>
  <c r="BA38" i="3"/>
  <c r="BN23" i="1"/>
  <c r="BS22" i="5"/>
  <c r="BG86" i="3"/>
  <c r="BT36" i="1"/>
  <c r="BO27" i="1"/>
  <c r="BP35" i="1"/>
  <c r="BT22" i="5" s="1"/>
  <c r="BQ24" i="1"/>
  <c r="I23" i="5"/>
  <c r="H108" i="3"/>
  <c r="I94" i="3"/>
  <c r="G60" i="3"/>
  <c r="F62" i="3"/>
  <c r="E57" i="3"/>
  <c r="E63" i="3" s="1"/>
  <c r="F50" i="3"/>
  <c r="K62" i="3"/>
  <c r="L60" i="3"/>
  <c r="F27" i="3"/>
  <c r="E30" i="3"/>
  <c r="E34" i="3" s="1"/>
  <c r="E35" i="3" s="1"/>
  <c r="E64" i="3" s="1"/>
  <c r="F93" i="3"/>
  <c r="G42" i="3"/>
  <c r="G48" i="3" s="1"/>
  <c r="H37" i="3"/>
  <c r="F72" i="3"/>
  <c r="E74" i="3"/>
  <c r="E75" i="3" s="1"/>
  <c r="E80" i="3"/>
  <c r="E82" i="3" s="1"/>
  <c r="E83" i="3" s="1"/>
  <c r="E112" i="3"/>
  <c r="E113" i="3" s="1"/>
  <c r="E117" i="3" s="1"/>
  <c r="F109" i="3"/>
  <c r="G9" i="3"/>
  <c r="F14" i="3"/>
  <c r="F17" i="3" s="1"/>
  <c r="G78" i="3"/>
  <c r="F80" i="3"/>
  <c r="F82" i="3" s="1"/>
  <c r="F83" i="3" s="1"/>
  <c r="F26" i="3"/>
  <c r="G22" i="3"/>
  <c r="E89" i="3"/>
  <c r="E90" i="3" s="1"/>
  <c r="F86" i="3"/>
  <c r="BH86" i="3" l="1"/>
  <c r="BU36" i="1"/>
  <c r="BO23" i="1"/>
  <c r="BB38" i="3"/>
  <c r="BD94" i="3"/>
  <c r="BQ41" i="1"/>
  <c r="BU33" i="5" s="1"/>
  <c r="BF61" i="3"/>
  <c r="BS19" i="1"/>
  <c r="BW20" i="5" s="1"/>
  <c r="BO26" i="1"/>
  <c r="BB59" i="3"/>
  <c r="BP27" i="1"/>
  <c r="BQ35" i="1"/>
  <c r="BU22" i="5" s="1"/>
  <c r="BR24" i="1"/>
  <c r="H9" i="3"/>
  <c r="G14" i="3"/>
  <c r="G17" i="3" s="1"/>
  <c r="G109" i="3"/>
  <c r="F112" i="3"/>
  <c r="F113" i="3" s="1"/>
  <c r="F117" i="3" s="1"/>
  <c r="E84" i="3"/>
  <c r="E91" i="3" s="1"/>
  <c r="E118" i="3" s="1"/>
  <c r="F74" i="3"/>
  <c r="F75" i="3" s="1"/>
  <c r="F84" i="3" s="1"/>
  <c r="F91" i="3" s="1"/>
  <c r="G72" i="3"/>
  <c r="H42" i="3"/>
  <c r="H48" i="3" s="1"/>
  <c r="I37" i="3"/>
  <c r="G93" i="3"/>
  <c r="G27" i="3"/>
  <c r="F30" i="3"/>
  <c r="F34" i="3" s="1"/>
  <c r="F35" i="3" s="1"/>
  <c r="F64" i="3" s="1"/>
  <c r="M60" i="3"/>
  <c r="L62" i="3"/>
  <c r="F89" i="3"/>
  <c r="F90" i="3" s="1"/>
  <c r="G86" i="3"/>
  <c r="F57" i="3"/>
  <c r="F63" i="3" s="1"/>
  <c r="G50" i="3"/>
  <c r="G26" i="3"/>
  <c r="H22" i="3"/>
  <c r="H60" i="3"/>
  <c r="G62" i="3"/>
  <c r="G80" i="3"/>
  <c r="G82" i="3" s="1"/>
  <c r="G83" i="3" s="1"/>
  <c r="H78" i="3"/>
  <c r="I108" i="3"/>
  <c r="J94" i="3"/>
  <c r="BS28" i="5" l="1"/>
  <c r="BC59" i="3"/>
  <c r="BP26" i="1"/>
  <c r="BT28" i="5" s="1"/>
  <c r="BT19" i="1"/>
  <c r="BX20" i="5" s="1"/>
  <c r="BG61" i="3"/>
  <c r="BE94" i="3"/>
  <c r="BR41" i="1"/>
  <c r="BV33" i="5" s="1"/>
  <c r="BC38" i="3"/>
  <c r="BP23" i="1"/>
  <c r="BI86" i="3"/>
  <c r="BV36" i="1"/>
  <c r="BS24" i="1"/>
  <c r="BR35" i="1"/>
  <c r="BV22" i="5" s="1"/>
  <c r="BQ27" i="1"/>
  <c r="H80" i="3"/>
  <c r="H82" i="3" s="1"/>
  <c r="H83" i="3" s="1"/>
  <c r="I78" i="3"/>
  <c r="G57" i="3"/>
  <c r="G63" i="3" s="1"/>
  <c r="H50" i="3"/>
  <c r="H86" i="3"/>
  <c r="G89" i="3"/>
  <c r="G90" i="3" s="1"/>
  <c r="J108" i="3"/>
  <c r="K94" i="3"/>
  <c r="N60" i="3"/>
  <c r="N62" i="3" s="1"/>
  <c r="M62" i="3"/>
  <c r="G74" i="3"/>
  <c r="G75" i="3" s="1"/>
  <c r="G84" i="3" s="1"/>
  <c r="H72" i="3"/>
  <c r="H27" i="3"/>
  <c r="G30" i="3"/>
  <c r="H93" i="3"/>
  <c r="G113" i="3"/>
  <c r="G117" i="3" s="1"/>
  <c r="I42" i="3"/>
  <c r="I48" i="3" s="1"/>
  <c r="J37" i="3"/>
  <c r="F118" i="3"/>
  <c r="H62" i="3"/>
  <c r="I60" i="3"/>
  <c r="I62" i="3" s="1"/>
  <c r="H109" i="3"/>
  <c r="G112" i="3"/>
  <c r="H26" i="3"/>
  <c r="I22" i="3"/>
  <c r="I9" i="3"/>
  <c r="H14" i="3"/>
  <c r="H17" i="3" s="1"/>
  <c r="G34" i="3"/>
  <c r="G35" i="3" s="1"/>
  <c r="G64" i="3" s="1"/>
  <c r="BJ86" i="3" l="1"/>
  <c r="BW36" i="1"/>
  <c r="BD38" i="3"/>
  <c r="BQ23" i="1"/>
  <c r="BH61" i="3"/>
  <c r="BU19" i="1"/>
  <c r="BY20" i="5" s="1"/>
  <c r="BF94" i="3"/>
  <c r="BS41" i="1"/>
  <c r="BW33" i="5" s="1"/>
  <c r="BD59" i="3"/>
  <c r="BQ26" i="1"/>
  <c r="BU28" i="5" s="1"/>
  <c r="BR27" i="1"/>
  <c r="BS35" i="1"/>
  <c r="BW22" i="5" s="1"/>
  <c r="BT24" i="1"/>
  <c r="I93" i="3"/>
  <c r="K37" i="3"/>
  <c r="J42" i="3"/>
  <c r="J48" i="3" s="1"/>
  <c r="I27" i="3"/>
  <c r="H30" i="3"/>
  <c r="H74" i="3"/>
  <c r="H75" i="3" s="1"/>
  <c r="H84" i="3" s="1"/>
  <c r="I72" i="3"/>
  <c r="G91" i="3"/>
  <c r="G118" i="3" s="1"/>
  <c r="K108" i="3"/>
  <c r="L94" i="3"/>
  <c r="I14" i="3"/>
  <c r="I17" i="3" s="1"/>
  <c r="J9" i="3"/>
  <c r="I26" i="3"/>
  <c r="J22" i="3"/>
  <c r="H34" i="3"/>
  <c r="H35" i="3" s="1"/>
  <c r="H64" i="3" s="1"/>
  <c r="I86" i="3"/>
  <c r="H89" i="3"/>
  <c r="H90" i="3" s="1"/>
  <c r="H57" i="3"/>
  <c r="H63" i="3" s="1"/>
  <c r="I50" i="3"/>
  <c r="I109" i="3"/>
  <c r="H112" i="3"/>
  <c r="H113" i="3" s="1"/>
  <c r="H117" i="3" s="1"/>
  <c r="I80" i="3"/>
  <c r="I82" i="3" s="1"/>
  <c r="I83" i="3" s="1"/>
  <c r="J78" i="3"/>
  <c r="BE59" i="3" l="1"/>
  <c r="BR26" i="1"/>
  <c r="BV28" i="5" s="1"/>
  <c r="BG94" i="3"/>
  <c r="BT41" i="1"/>
  <c r="BX33" i="5" s="1"/>
  <c r="BV19" i="1"/>
  <c r="BZ20" i="5" s="1"/>
  <c r="BI61" i="3"/>
  <c r="BE38" i="3"/>
  <c r="BR23" i="1"/>
  <c r="BK86" i="3"/>
  <c r="BX36" i="1"/>
  <c r="BT35" i="1"/>
  <c r="BX22" i="5" s="1"/>
  <c r="BU24" i="1"/>
  <c r="BS27" i="1"/>
  <c r="J86" i="3"/>
  <c r="I89" i="3"/>
  <c r="I90" i="3" s="1"/>
  <c r="J26" i="3"/>
  <c r="K22" i="3"/>
  <c r="K9" i="3"/>
  <c r="J14" i="3"/>
  <c r="J17" i="3" s="1"/>
  <c r="J72" i="3"/>
  <c r="I74" i="3"/>
  <c r="I75" i="3" s="1"/>
  <c r="I84" i="3" s="1"/>
  <c r="I91" i="3" s="1"/>
  <c r="J27" i="3"/>
  <c r="I30" i="3"/>
  <c r="I34" i="3" s="1"/>
  <c r="I35" i="3" s="1"/>
  <c r="I64" i="3" s="1"/>
  <c r="I112" i="3"/>
  <c r="I113" i="3" s="1"/>
  <c r="I117" i="3" s="1"/>
  <c r="J109" i="3"/>
  <c r="L108" i="3"/>
  <c r="M94" i="3"/>
  <c r="H91" i="3"/>
  <c r="H118" i="3" s="1"/>
  <c r="J80" i="3"/>
  <c r="J82" i="3" s="1"/>
  <c r="J83" i="3" s="1"/>
  <c r="K78" i="3"/>
  <c r="L37" i="3"/>
  <c r="K42" i="3"/>
  <c r="K48" i="3" s="1"/>
  <c r="I57" i="3"/>
  <c r="I63" i="3" s="1"/>
  <c r="J50" i="3"/>
  <c r="J93" i="3"/>
  <c r="J36" i="1" l="1"/>
  <c r="BW19" i="1"/>
  <c r="CA20" i="5" s="1"/>
  <c r="BJ61" i="3"/>
  <c r="BF38" i="3"/>
  <c r="BS23" i="1"/>
  <c r="BF59" i="3"/>
  <c r="BS26" i="1"/>
  <c r="BW28" i="5" s="1"/>
  <c r="BL86" i="3"/>
  <c r="BY36" i="1"/>
  <c r="BH94" i="3"/>
  <c r="BU41" i="1"/>
  <c r="BY33" i="5" s="1"/>
  <c r="BU35" i="1"/>
  <c r="BY22" i="5" s="1"/>
  <c r="BT27" i="1"/>
  <c r="BV24" i="1"/>
  <c r="M37" i="3"/>
  <c r="L42" i="3"/>
  <c r="L48" i="3" s="1"/>
  <c r="L78" i="3"/>
  <c r="K80" i="3"/>
  <c r="K82" i="3" s="1"/>
  <c r="K83" i="3" s="1"/>
  <c r="K109" i="3"/>
  <c r="J112" i="3"/>
  <c r="J30" i="3"/>
  <c r="J34" i="3" s="1"/>
  <c r="J35" i="3" s="1"/>
  <c r="J64" i="3" s="1"/>
  <c r="K27" i="3"/>
  <c r="K72" i="3"/>
  <c r="J74" i="3"/>
  <c r="J75" i="3" s="1"/>
  <c r="J84" i="3" s="1"/>
  <c r="J91" i="3" s="1"/>
  <c r="M108" i="3"/>
  <c r="N94" i="3"/>
  <c r="N108" i="3" s="1"/>
  <c r="I118" i="3"/>
  <c r="L9" i="3"/>
  <c r="K14" i="3"/>
  <c r="K17" i="3" s="1"/>
  <c r="K93" i="3"/>
  <c r="J113" i="3"/>
  <c r="J117" i="3" s="1"/>
  <c r="L22" i="3"/>
  <c r="K26" i="3"/>
  <c r="K50" i="3"/>
  <c r="J57" i="3"/>
  <c r="J63" i="3" s="1"/>
  <c r="J89" i="3"/>
  <c r="J90" i="3" s="1"/>
  <c r="K86" i="3"/>
  <c r="BI94" i="3" l="1"/>
  <c r="BV41" i="1"/>
  <c r="BZ33" i="5" s="1"/>
  <c r="BG59" i="3"/>
  <c r="BT26" i="1"/>
  <c r="BX28" i="5" s="1"/>
  <c r="BM86" i="3"/>
  <c r="BZ36" i="1"/>
  <c r="BG38" i="3"/>
  <c r="BT23" i="1"/>
  <c r="BX19" i="1"/>
  <c r="BK61" i="3"/>
  <c r="BU27" i="1"/>
  <c r="BW24" i="1"/>
  <c r="BV35" i="1"/>
  <c r="BZ22" i="5" s="1"/>
  <c r="L72" i="3"/>
  <c r="K74" i="3"/>
  <c r="K75" i="3" s="1"/>
  <c r="K84" i="3" s="1"/>
  <c r="M78" i="3"/>
  <c r="L80" i="3"/>
  <c r="L82" i="3" s="1"/>
  <c r="L83" i="3" s="1"/>
  <c r="M22" i="3"/>
  <c r="L26" i="3"/>
  <c r="J118" i="3"/>
  <c r="L109" i="3"/>
  <c r="K112" i="3"/>
  <c r="K113" i="3"/>
  <c r="K117" i="3" s="1"/>
  <c r="L93" i="3"/>
  <c r="M9" i="3"/>
  <c r="L14" i="3"/>
  <c r="L17" i="3" s="1"/>
  <c r="K30" i="3"/>
  <c r="K34" i="3" s="1"/>
  <c r="K35" i="3" s="1"/>
  <c r="K64" i="3" s="1"/>
  <c r="L27" i="3"/>
  <c r="L86" i="3"/>
  <c r="K89" i="3"/>
  <c r="K90" i="3" s="1"/>
  <c r="L50" i="3"/>
  <c r="K57" i="3"/>
  <c r="K63" i="3" s="1"/>
  <c r="N37" i="3"/>
  <c r="N42" i="3" s="1"/>
  <c r="N48" i="3" s="1"/>
  <c r="M42" i="3"/>
  <c r="M48" i="3" s="1"/>
  <c r="CB20" i="5" l="1"/>
  <c r="J19" i="1"/>
  <c r="BL61" i="3"/>
  <c r="BY19" i="1"/>
  <c r="CC20" i="5" s="1"/>
  <c r="BN86" i="3"/>
  <c r="CA36" i="1"/>
  <c r="BH38" i="3"/>
  <c r="BU23" i="1"/>
  <c r="BJ94" i="3"/>
  <c r="BW41" i="1"/>
  <c r="CA33" i="5" s="1"/>
  <c r="BH59" i="3"/>
  <c r="BU26" i="1"/>
  <c r="BV27" i="1"/>
  <c r="BW35" i="1"/>
  <c r="CA22" i="5" s="1"/>
  <c r="BX24" i="1"/>
  <c r="J24" i="1" s="1"/>
  <c r="L89" i="3"/>
  <c r="L90" i="3" s="1"/>
  <c r="M86" i="3"/>
  <c r="L57" i="3"/>
  <c r="L63" i="3" s="1"/>
  <c r="M50" i="3"/>
  <c r="M93" i="3"/>
  <c r="L74" i="3"/>
  <c r="L75" i="3" s="1"/>
  <c r="L84" i="3" s="1"/>
  <c r="L91" i="3" s="1"/>
  <c r="M72" i="3"/>
  <c r="L30" i="3"/>
  <c r="L34" i="3" s="1"/>
  <c r="L35" i="3" s="1"/>
  <c r="L64" i="3" s="1"/>
  <c r="M27" i="3"/>
  <c r="M14" i="3"/>
  <c r="M17" i="3" s="1"/>
  <c r="N9" i="3"/>
  <c r="N14" i="3" s="1"/>
  <c r="N17" i="3" s="1"/>
  <c r="L112" i="3"/>
  <c r="L113" i="3" s="1"/>
  <c r="L117" i="3" s="1"/>
  <c r="M109" i="3"/>
  <c r="N22" i="3"/>
  <c r="N26" i="3" s="1"/>
  <c r="M26" i="3"/>
  <c r="N78" i="3"/>
  <c r="N80" i="3" s="1"/>
  <c r="N82" i="3" s="1"/>
  <c r="N83" i="3" s="1"/>
  <c r="M80" i="3"/>
  <c r="M82" i="3" s="1"/>
  <c r="M83" i="3" s="1"/>
  <c r="K91" i="3"/>
  <c r="K118" i="3" s="1"/>
  <c r="BI38" i="3" l="1"/>
  <c r="BV23" i="1"/>
  <c r="BO86" i="3"/>
  <c r="CB36" i="1"/>
  <c r="BY28" i="5"/>
  <c r="BI59" i="3"/>
  <c r="BV26" i="1"/>
  <c r="BZ28" i="5" s="1"/>
  <c r="BK94" i="3"/>
  <c r="BX41" i="1"/>
  <c r="BM61" i="3"/>
  <c r="BZ19" i="1"/>
  <c r="CD20" i="5" s="1"/>
  <c r="BW27" i="1"/>
  <c r="BY24" i="1"/>
  <c r="BX35" i="1"/>
  <c r="M112" i="3"/>
  <c r="N109" i="3"/>
  <c r="N112" i="3" s="1"/>
  <c r="M74" i="3"/>
  <c r="M75" i="3" s="1"/>
  <c r="M84" i="3" s="1"/>
  <c r="N72" i="3"/>
  <c r="N74" i="3" s="1"/>
  <c r="N75" i="3" s="1"/>
  <c r="N84" i="3" s="1"/>
  <c r="M89" i="3"/>
  <c r="M90" i="3" s="1"/>
  <c r="N86" i="3"/>
  <c r="N89" i="3" s="1"/>
  <c r="N90" i="3" s="1"/>
  <c r="N27" i="3"/>
  <c r="N30" i="3" s="1"/>
  <c r="N34" i="3" s="1"/>
  <c r="N35" i="3" s="1"/>
  <c r="N64" i="3" s="1"/>
  <c r="M30" i="3"/>
  <c r="M34" i="3" s="1"/>
  <c r="M35" i="3" s="1"/>
  <c r="M64" i="3" s="1"/>
  <c r="L118" i="3"/>
  <c r="M113" i="3"/>
  <c r="M117" i="3" s="1"/>
  <c r="N93" i="3"/>
  <c r="N113" i="3" s="1"/>
  <c r="M57" i="3"/>
  <c r="M63" i="3" s="1"/>
  <c r="N50" i="3"/>
  <c r="N57" i="3" s="1"/>
  <c r="N63" i="3" s="1"/>
  <c r="CB22" i="5" l="1"/>
  <c r="J35" i="1"/>
  <c r="CB33" i="5"/>
  <c r="J41" i="1"/>
  <c r="BJ59" i="3"/>
  <c r="BW26" i="1"/>
  <c r="BN61" i="3"/>
  <c r="CA19" i="1"/>
  <c r="CE20" i="5" s="1"/>
  <c r="BL94" i="3"/>
  <c r="BY41" i="1"/>
  <c r="CC33" i="5" s="1"/>
  <c r="BJ38" i="3"/>
  <c r="BW23" i="1"/>
  <c r="BP86" i="3"/>
  <c r="CC36" i="1"/>
  <c r="BX27" i="1"/>
  <c r="J27" i="1" s="1"/>
  <c r="BY35" i="1"/>
  <c r="CC22" i="5" s="1"/>
  <c r="BZ24" i="1"/>
  <c r="N91" i="3"/>
  <c r="M91" i="3"/>
  <c r="M118" i="3" s="1"/>
  <c r="BQ86" i="3" l="1"/>
  <c r="CD36" i="1"/>
  <c r="BO61" i="3"/>
  <c r="CB19" i="1"/>
  <c r="CF20" i="5" s="1"/>
  <c r="BK38" i="3"/>
  <c r="BX23" i="1"/>
  <c r="J23" i="1" s="1"/>
  <c r="CA28" i="5"/>
  <c r="BM94" i="3"/>
  <c r="BZ41" i="1"/>
  <c r="CD33" i="5" s="1"/>
  <c r="BK59" i="3"/>
  <c r="BX26" i="1"/>
  <c r="CA24" i="1"/>
  <c r="BZ35" i="1"/>
  <c r="CD22" i="5" s="1"/>
  <c r="BY2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V11" i="5"/>
  <c r="W11" i="5" s="1"/>
  <c r="U10" i="5"/>
  <c r="Z29" i="2"/>
  <c r="Z28" i="2"/>
  <c r="Z27" i="2"/>
  <c r="Z26" i="2"/>
  <c r="Z25" i="2"/>
  <c r="Z24" i="2"/>
  <c r="Z23" i="2"/>
  <c r="Z22" i="2"/>
  <c r="Z21" i="2"/>
  <c r="Z20" i="2"/>
  <c r="Z19" i="2"/>
  <c r="Y296" i="2"/>
  <c r="C236" i="2"/>
  <c r="CV179" i="2"/>
  <c r="CU179" i="2"/>
  <c r="CT179" i="2"/>
  <c r="CV149" i="2"/>
  <c r="CU149" i="2"/>
  <c r="CT149" i="2"/>
  <c r="CB28" i="5" l="1"/>
  <c r="J26" i="1"/>
  <c r="BL59" i="3"/>
  <c r="BY26" i="1"/>
  <c r="CC28" i="5" s="1"/>
  <c r="BN94" i="3"/>
  <c r="CA41" i="1"/>
  <c r="CE33" i="5" s="1"/>
  <c r="BL38" i="3"/>
  <c r="BY23" i="1"/>
  <c r="BP61" i="3"/>
  <c r="CC19" i="1"/>
  <c r="CG20" i="5" s="1"/>
  <c r="BR86" i="3"/>
  <c r="CE36" i="1"/>
  <c r="CA35" i="1"/>
  <c r="CE22" i="5" s="1"/>
  <c r="CB24" i="1"/>
  <c r="BZ27" i="1"/>
  <c r="AU23" i="5"/>
  <c r="AZ23" i="5"/>
  <c r="AR23" i="5"/>
  <c r="AH23" i="5"/>
  <c r="AL23" i="5"/>
  <c r="AO23" i="5"/>
  <c r="AI23" i="5"/>
  <c r="AK23" i="5"/>
  <c r="BA23" i="5"/>
  <c r="AN23" i="5"/>
  <c r="AV23" i="5"/>
  <c r="AW23" i="5"/>
  <c r="AM23" i="5"/>
  <c r="AX23" i="5"/>
  <c r="AY23" i="5"/>
  <c r="BB23" i="5"/>
  <c r="BC23" i="5"/>
  <c r="AJ23" i="5"/>
  <c r="AP23" i="5"/>
  <c r="AQ23" i="5"/>
  <c r="AS23" i="5"/>
  <c r="AT23" i="5"/>
  <c r="V10" i="5"/>
  <c r="X11" i="5"/>
  <c r="W10" i="5"/>
  <c r="C146" i="2"/>
  <c r="C296" i="2"/>
  <c r="C206" i="2"/>
  <c r="C266" i="2"/>
  <c r="C176" i="2"/>
  <c r="C196" i="2"/>
  <c r="C190" i="2"/>
  <c r="C200" i="2"/>
  <c r="C184" i="2"/>
  <c r="C185" i="2"/>
  <c r="C205" i="2"/>
  <c r="C191" i="2"/>
  <c r="C203" i="2"/>
  <c r="C186" i="2"/>
  <c r="C195" i="2"/>
  <c r="C204" i="2"/>
  <c r="C189" i="2"/>
  <c r="C201" i="2"/>
  <c r="C194" i="2"/>
  <c r="C193" i="2"/>
  <c r="C188" i="2"/>
  <c r="C197" i="2"/>
  <c r="C199" i="2"/>
  <c r="C198" i="2"/>
  <c r="C202" i="2"/>
  <c r="C187" i="2"/>
  <c r="C192" i="2"/>
  <c r="BO94" i="3" l="1"/>
  <c r="CB41" i="1"/>
  <c r="CF33" i="5" s="1"/>
  <c r="BS86" i="3"/>
  <c r="CF36" i="1"/>
  <c r="BQ61" i="3"/>
  <c r="CD19" i="1"/>
  <c r="CH20" i="5" s="1"/>
  <c r="BM38" i="3"/>
  <c r="BZ23" i="1"/>
  <c r="BZ26" i="1"/>
  <c r="CD28" i="5" s="1"/>
  <c r="BM59" i="3"/>
  <c r="CB35" i="1"/>
  <c r="CF22" i="5" s="1"/>
  <c r="CA27" i="1"/>
  <c r="CC24" i="1"/>
  <c r="H23" i="5"/>
  <c r="X10" i="5"/>
  <c r="Y11" i="5"/>
  <c r="BN59" i="3" l="1"/>
  <c r="CA26" i="1"/>
  <c r="CE28" i="5" s="1"/>
  <c r="BP94" i="3"/>
  <c r="CC41" i="1"/>
  <c r="CG33" i="5" s="1"/>
  <c r="BN38" i="3"/>
  <c r="CA23" i="1"/>
  <c r="BR61" i="3"/>
  <c r="CE19" i="1"/>
  <c r="CI20" i="5" s="1"/>
  <c r="BT86" i="3"/>
  <c r="CG36" i="1"/>
  <c r="CB27" i="1"/>
  <c r="CC35" i="1"/>
  <c r="CG22" i="5" s="1"/>
  <c r="CD24" i="1"/>
  <c r="Y10" i="5"/>
  <c r="Z11" i="5"/>
  <c r="BU86" i="3" l="1"/>
  <c r="CH36" i="1"/>
  <c r="BS61" i="3"/>
  <c r="CF19" i="1"/>
  <c r="CJ20" i="5" s="1"/>
  <c r="BQ94" i="3"/>
  <c r="CD41" i="1"/>
  <c r="CH33" i="5" s="1"/>
  <c r="BO38" i="3"/>
  <c r="CB23" i="1"/>
  <c r="BO59" i="3"/>
  <c r="CB26" i="1"/>
  <c r="CF28" i="5" s="1"/>
  <c r="CE24" i="1"/>
  <c r="CD35" i="1"/>
  <c r="CH22" i="5" s="1"/>
  <c r="CC27" i="1"/>
  <c r="Z10" i="5"/>
  <c r="AA11" i="5"/>
  <c r="BT61" i="3" l="1"/>
  <c r="CG19" i="1"/>
  <c r="CK20" i="5" s="1"/>
  <c r="BR94" i="3"/>
  <c r="CE41" i="1"/>
  <c r="CI33" i="5" s="1"/>
  <c r="BP59" i="3"/>
  <c r="CC26" i="1"/>
  <c r="CG28" i="5" s="1"/>
  <c r="BP38" i="3"/>
  <c r="CC23" i="1"/>
  <c r="BV86" i="3"/>
  <c r="CI36" i="1"/>
  <c r="CD27" i="1"/>
  <c r="CE35" i="1"/>
  <c r="CI22" i="5" s="1"/>
  <c r="CF24" i="1"/>
  <c r="AB11" i="5"/>
  <c r="AA10" i="5"/>
  <c r="BW86" i="3" l="1"/>
  <c r="CJ36" i="1"/>
  <c r="BQ38" i="3"/>
  <c r="CD23" i="1"/>
  <c r="BQ59" i="3"/>
  <c r="CD26" i="1"/>
  <c r="CH28" i="5" s="1"/>
  <c r="BU61" i="3"/>
  <c r="CH19" i="1"/>
  <c r="CL20" i="5" s="1"/>
  <c r="BS94" i="3"/>
  <c r="CF41" i="1"/>
  <c r="CJ33" i="5" s="1"/>
  <c r="CF35" i="1"/>
  <c r="CJ22" i="5" s="1"/>
  <c r="CG24" i="1"/>
  <c r="CE27" i="1"/>
  <c r="AB10" i="5"/>
  <c r="AC11" i="5"/>
  <c r="K36" i="1" l="1"/>
  <c r="BT94" i="3"/>
  <c r="CG41" i="1"/>
  <c r="CK33" i="5" s="1"/>
  <c r="BV61" i="3"/>
  <c r="CI19" i="1"/>
  <c r="CM20" i="5" s="1"/>
  <c r="BR59" i="3"/>
  <c r="CE26" i="1"/>
  <c r="CI28" i="5" s="1"/>
  <c r="BR38" i="3"/>
  <c r="CE23" i="1"/>
  <c r="BX86" i="3"/>
  <c r="CK36" i="1"/>
  <c r="CH24" i="1"/>
  <c r="CG35" i="1"/>
  <c r="CK22" i="5" s="1"/>
  <c r="CF27" i="1"/>
  <c r="AD11" i="5"/>
  <c r="AC10" i="5"/>
  <c r="BY86" i="3" l="1"/>
  <c r="CL36" i="1"/>
  <c r="BS38" i="3"/>
  <c r="CF23" i="1"/>
  <c r="BS59" i="3"/>
  <c r="CF26" i="1"/>
  <c r="CJ28" i="5" s="1"/>
  <c r="BW61" i="3"/>
  <c r="CJ19" i="1"/>
  <c r="BU94" i="3"/>
  <c r="CH41" i="1"/>
  <c r="CL33" i="5" s="1"/>
  <c r="CI24" i="1"/>
  <c r="CG27" i="1"/>
  <c r="CH35" i="1"/>
  <c r="CL22" i="5" s="1"/>
  <c r="AE11" i="5"/>
  <c r="AD10" i="5"/>
  <c r="CN20" i="5" l="1"/>
  <c r="K19" i="1"/>
  <c r="BT59" i="3"/>
  <c r="CG26" i="1"/>
  <c r="CK28" i="5" s="1"/>
  <c r="BT38" i="3"/>
  <c r="CG23" i="1"/>
  <c r="BV94" i="3"/>
  <c r="CI41" i="1"/>
  <c r="CM33" i="5" s="1"/>
  <c r="BX61" i="3"/>
  <c r="CK19" i="1"/>
  <c r="CO20" i="5" s="1"/>
  <c r="BZ86" i="3"/>
  <c r="CM36" i="1"/>
  <c r="CH27" i="1"/>
  <c r="CJ24" i="1"/>
  <c r="K24" i="1" s="1"/>
  <c r="CI35" i="1"/>
  <c r="CM22" i="5" s="1"/>
  <c r="AE10" i="5"/>
  <c r="AF11" i="5"/>
  <c r="K20" i="5" l="1"/>
  <c r="BY61" i="3"/>
  <c r="CL19" i="1"/>
  <c r="CP20" i="5" s="1"/>
  <c r="CA86" i="3"/>
  <c r="CN36" i="1"/>
  <c r="BU59" i="3"/>
  <c r="CH26" i="1"/>
  <c r="CL28" i="5" s="1"/>
  <c r="BW94" i="3"/>
  <c r="CJ41" i="1"/>
  <c r="BU38" i="3"/>
  <c r="CH23" i="1"/>
  <c r="CK24" i="1"/>
  <c r="CI27" i="1"/>
  <c r="CW25" i="1"/>
  <c r="CJ35" i="1"/>
  <c r="CW26" i="1"/>
  <c r="AG11" i="5"/>
  <c r="AF10" i="5"/>
  <c r="CN22" i="5" l="1"/>
  <c r="K35" i="1"/>
  <c r="CN33" i="5"/>
  <c r="K41" i="1"/>
  <c r="BX94" i="3"/>
  <c r="CK41" i="1"/>
  <c r="CO33" i="5" s="1"/>
  <c r="BV59" i="3"/>
  <c r="CI26" i="1"/>
  <c r="CM28" i="5" s="1"/>
  <c r="CB86" i="3"/>
  <c r="CO36" i="1"/>
  <c r="BZ61" i="3"/>
  <c r="CM19" i="1"/>
  <c r="CQ20" i="5" s="1"/>
  <c r="BV38" i="3"/>
  <c r="CI23" i="1"/>
  <c r="CJ27" i="1"/>
  <c r="K27" i="1" s="1"/>
  <c r="CX26" i="1"/>
  <c r="CK35" i="1"/>
  <c r="CO22" i="5" s="1"/>
  <c r="CX25" i="1"/>
  <c r="CL24" i="1"/>
  <c r="AH11" i="5"/>
  <c r="AG10" i="5"/>
  <c r="K33" i="5" l="1"/>
  <c r="K22" i="5"/>
  <c r="BW59" i="3"/>
  <c r="CJ26" i="1"/>
  <c r="BW38" i="3"/>
  <c r="CJ23" i="1"/>
  <c r="CA61" i="3"/>
  <c r="CN19" i="1"/>
  <c r="CR20" i="5" s="1"/>
  <c r="CC86" i="3"/>
  <c r="CP36" i="1"/>
  <c r="BY94" i="3"/>
  <c r="CL41" i="1"/>
  <c r="CP33" i="5" s="1"/>
  <c r="CY26" i="1"/>
  <c r="CY25" i="1"/>
  <c r="CL35" i="1"/>
  <c r="CP22" i="5" s="1"/>
  <c r="CW19" i="1"/>
  <c r="CW21" i="1" s="1"/>
  <c r="CK27" i="1"/>
  <c r="CM24" i="1"/>
  <c r="AH10" i="5"/>
  <c r="AI11" i="5"/>
  <c r="K23" i="1" l="1"/>
  <c r="CN28" i="5"/>
  <c r="K26" i="1"/>
  <c r="CD86" i="3"/>
  <c r="CQ36" i="1"/>
  <c r="CB61" i="3"/>
  <c r="CO19" i="1"/>
  <c r="CS20" i="5" s="1"/>
  <c r="BX59" i="3"/>
  <c r="CK26" i="1"/>
  <c r="CO28" i="5" s="1"/>
  <c r="BZ94" i="3"/>
  <c r="CM41" i="1"/>
  <c r="CQ33" i="5" s="1"/>
  <c r="BX38" i="3"/>
  <c r="CK23" i="1"/>
  <c r="CL27" i="1"/>
  <c r="CZ26" i="1"/>
  <c r="CX19" i="1"/>
  <c r="CX21" i="1" s="1"/>
  <c r="CM35" i="1"/>
  <c r="CQ22" i="5" s="1"/>
  <c r="CZ25" i="1"/>
  <c r="CN24" i="1"/>
  <c r="AJ11" i="5"/>
  <c r="AI10" i="5"/>
  <c r="K28" i="5" l="1"/>
  <c r="CA94" i="3"/>
  <c r="CN41" i="1"/>
  <c r="CR33" i="5" s="1"/>
  <c r="BY59" i="3"/>
  <c r="CL26" i="1"/>
  <c r="CP28" i="5" s="1"/>
  <c r="CE86" i="3"/>
  <c r="CR36" i="1"/>
  <c r="BY38" i="3"/>
  <c r="CL23" i="1"/>
  <c r="CC61" i="3"/>
  <c r="CP19" i="1"/>
  <c r="CT20" i="5" s="1"/>
  <c r="CY19" i="1"/>
  <c r="CY21" i="1" s="1"/>
  <c r="CN35" i="1"/>
  <c r="CR22" i="5" s="1"/>
  <c r="CO24" i="1"/>
  <c r="CM27" i="1"/>
  <c r="AK11" i="5"/>
  <c r="AJ10" i="5"/>
  <c r="BZ38" i="3" l="1"/>
  <c r="CM23" i="1"/>
  <c r="CD61" i="3"/>
  <c r="CQ19" i="1"/>
  <c r="CU20" i="5" s="1"/>
  <c r="BZ59" i="3"/>
  <c r="CM26" i="1"/>
  <c r="CQ28" i="5" s="1"/>
  <c r="CF86" i="3"/>
  <c r="CS36" i="1"/>
  <c r="CB94" i="3"/>
  <c r="CO41" i="1"/>
  <c r="CS33" i="5" s="1"/>
  <c r="CN27" i="1"/>
  <c r="CZ19" i="1"/>
  <c r="CZ21" i="1" s="1"/>
  <c r="CO35" i="1"/>
  <c r="CS22" i="5" s="1"/>
  <c r="CP24" i="1"/>
  <c r="AK10" i="5"/>
  <c r="AL11" i="5"/>
  <c r="CA59" i="3" l="1"/>
  <c r="CN26" i="1"/>
  <c r="CR28" i="5" s="1"/>
  <c r="CG86" i="3"/>
  <c r="CT36" i="1"/>
  <c r="CE61" i="3"/>
  <c r="CR19" i="1"/>
  <c r="CV20" i="5" s="1"/>
  <c r="CC94" i="3"/>
  <c r="CP41" i="1"/>
  <c r="CT33" i="5" s="1"/>
  <c r="CA38" i="3"/>
  <c r="CN23" i="1"/>
  <c r="CQ24" i="1"/>
  <c r="CP35" i="1"/>
  <c r="CT22" i="5" s="1"/>
  <c r="CO27" i="1"/>
  <c r="AM11" i="5"/>
  <c r="AL10" i="5"/>
  <c r="CB38" i="3" l="1"/>
  <c r="CO23" i="1"/>
  <c r="CF61" i="3"/>
  <c r="CS19" i="1"/>
  <c r="CW20" i="5" s="1"/>
  <c r="CH86" i="3"/>
  <c r="CV36" i="1" s="1"/>
  <c r="CU36" i="1"/>
  <c r="CD94" i="3"/>
  <c r="CQ41" i="1"/>
  <c r="CU33" i="5" s="1"/>
  <c r="CB59" i="3"/>
  <c r="CO26" i="1"/>
  <c r="CS28" i="5" s="1"/>
  <c r="CQ35" i="1"/>
  <c r="CU22" i="5" s="1"/>
  <c r="CW36" i="1"/>
  <c r="CP27" i="1"/>
  <c r="CR24" i="1"/>
  <c r="AM10" i="5"/>
  <c r="AN11" i="5"/>
  <c r="L36" i="1" l="1"/>
  <c r="CE94" i="3"/>
  <c r="CR41" i="1"/>
  <c r="CV33" i="5" s="1"/>
  <c r="CG61" i="3"/>
  <c r="CT19" i="1"/>
  <c r="CX20" i="5" s="1"/>
  <c r="CC59" i="3"/>
  <c r="CP26" i="1"/>
  <c r="CT28" i="5" s="1"/>
  <c r="CC38" i="3"/>
  <c r="CP23" i="1"/>
  <c r="CS24" i="1"/>
  <c r="CX36" i="1"/>
  <c r="CQ27" i="1"/>
  <c r="CR35" i="1"/>
  <c r="CV22" i="5" s="1"/>
  <c r="AN10" i="5"/>
  <c r="AO11" i="5"/>
  <c r="CD59" i="3" l="1"/>
  <c r="CQ26" i="1"/>
  <c r="CU28" i="5" s="1"/>
  <c r="CD38" i="3"/>
  <c r="CQ23" i="1"/>
  <c r="CH61" i="3"/>
  <c r="CV19" i="1" s="1"/>
  <c r="CU19" i="1"/>
  <c r="CY20" i="5" s="1"/>
  <c r="CF94" i="3"/>
  <c r="CS41" i="1"/>
  <c r="CW33" i="5" s="1"/>
  <c r="CY36" i="1"/>
  <c r="CS35" i="1"/>
  <c r="CW22" i="5" s="1"/>
  <c r="CR27" i="1"/>
  <c r="CT24" i="1"/>
  <c r="AP11" i="5"/>
  <c r="AO10" i="5"/>
  <c r="CZ20" i="5" l="1"/>
  <c r="L19" i="1"/>
  <c r="CE38" i="3"/>
  <c r="CR23" i="1"/>
  <c r="CG94" i="3"/>
  <c r="CT41" i="1"/>
  <c r="CX33" i="5" s="1"/>
  <c r="CE59" i="3"/>
  <c r="CR26" i="1"/>
  <c r="CV28" i="5" s="1"/>
  <c r="CU24" i="1"/>
  <c r="CS27" i="1"/>
  <c r="CZ36" i="1"/>
  <c r="CT35" i="1"/>
  <c r="CX22" i="5" s="1"/>
  <c r="AP10" i="5"/>
  <c r="AQ11" i="5"/>
  <c r="L20" i="5" l="1"/>
  <c r="CF59" i="3"/>
  <c r="CS26" i="1"/>
  <c r="CW28" i="5" s="1"/>
  <c r="CH94" i="3"/>
  <c r="CV41" i="1" s="1"/>
  <c r="L41" i="1" s="1"/>
  <c r="CU41" i="1"/>
  <c r="CY33" i="5" s="1"/>
  <c r="CF38" i="3"/>
  <c r="CS23" i="1"/>
  <c r="CW23" i="1"/>
  <c r="CU35" i="1"/>
  <c r="CY22" i="5" s="1"/>
  <c r="CT27" i="1"/>
  <c r="CW41" i="1"/>
  <c r="CV24" i="1"/>
  <c r="L24" i="1" s="1"/>
  <c r="AR11" i="5"/>
  <c r="AQ10" i="5"/>
  <c r="CZ33" i="5" l="1"/>
  <c r="CG38" i="3"/>
  <c r="CT23" i="1"/>
  <c r="CG59" i="3"/>
  <c r="CT26" i="1"/>
  <c r="CX28" i="5" s="1"/>
  <c r="CW24" i="1"/>
  <c r="CX41" i="1"/>
  <c r="CV35" i="1"/>
  <c r="CX23" i="1"/>
  <c r="CU27" i="1"/>
  <c r="AR10" i="5"/>
  <c r="AS11" i="5"/>
  <c r="L33" i="5" l="1"/>
  <c r="CZ22" i="5"/>
  <c r="L35" i="1"/>
  <c r="CH59" i="3"/>
  <c r="CV26" i="1" s="1"/>
  <c r="L26" i="1" s="1"/>
  <c r="CU26" i="1"/>
  <c r="CY28" i="5" s="1"/>
  <c r="CH38" i="3"/>
  <c r="CV23" i="1" s="1"/>
  <c r="L23" i="1" s="1"/>
  <c r="CU23" i="1"/>
  <c r="CW35" i="1"/>
  <c r="CW39" i="1" s="1"/>
  <c r="CV27" i="1"/>
  <c r="CY23" i="1"/>
  <c r="CY41" i="1"/>
  <c r="CX24" i="1"/>
  <c r="AS10" i="5"/>
  <c r="AT11" i="5"/>
  <c r="L22" i="5" l="1"/>
  <c r="L27" i="1"/>
  <c r="CZ28" i="5"/>
  <c r="CY24" i="1"/>
  <c r="CW27" i="1"/>
  <c r="CW28" i="1" s="1"/>
  <c r="CW30" i="1" s="1"/>
  <c r="CZ41" i="1"/>
  <c r="CZ23" i="1"/>
  <c r="CX35" i="1"/>
  <c r="CX39" i="1" s="1"/>
  <c r="AT10" i="5"/>
  <c r="AU11" i="5"/>
  <c r="L28" i="5" l="1"/>
  <c r="CX27" i="1"/>
  <c r="CX28" i="1" s="1"/>
  <c r="CX30" i="1" s="1"/>
  <c r="CY35" i="1"/>
  <c r="CY39" i="1" s="1"/>
  <c r="CZ24" i="1"/>
  <c r="AV11" i="5"/>
  <c r="AU10" i="5"/>
  <c r="CZ35" i="1" l="1"/>
  <c r="CZ39" i="1" s="1"/>
  <c r="CY27" i="1"/>
  <c r="CY28" i="1" s="1"/>
  <c r="CY30" i="1" s="1"/>
  <c r="AV10" i="5"/>
  <c r="AW11" i="5"/>
  <c r="CZ27" i="1" l="1"/>
  <c r="CZ28" i="1" s="1"/>
  <c r="CZ30" i="1" s="1"/>
  <c r="AX11" i="5"/>
  <c r="AW10" i="5"/>
  <c r="AY11" i="5" l="1"/>
  <c r="AX10" i="5"/>
  <c r="AY10" i="5" l="1"/>
  <c r="AZ11" i="5"/>
  <c r="BA11" i="5" l="1"/>
  <c r="AZ10" i="5"/>
  <c r="BB11" i="5" l="1"/>
  <c r="BA10" i="5"/>
  <c r="BC11" i="5" l="1"/>
  <c r="BB10" i="5"/>
  <c r="BD11" i="5" l="1"/>
  <c r="BC10" i="5"/>
  <c r="BE11" i="5" l="1"/>
  <c r="BD10" i="5"/>
  <c r="BE10" i="5" l="1"/>
  <c r="BF11" i="5"/>
  <c r="BG11" i="5" l="1"/>
  <c r="BF10" i="5"/>
  <c r="BG10" i="5" l="1"/>
  <c r="BH11" i="5"/>
  <c r="BH10" i="5" l="1"/>
  <c r="BI11" i="5"/>
  <c r="BI10" i="5" l="1"/>
  <c r="BJ11" i="5"/>
  <c r="BJ10" i="5" l="1"/>
  <c r="BK11" i="5"/>
  <c r="BL11" i="5" l="1"/>
  <c r="BK10" i="5"/>
  <c r="BM11" i="5" l="1"/>
  <c r="BL10" i="5"/>
  <c r="BM10" i="5" l="1"/>
  <c r="BN11" i="5"/>
  <c r="BN10" i="5" l="1"/>
  <c r="BO11" i="5"/>
  <c r="BP11" i="5" l="1"/>
  <c r="BO10" i="5"/>
  <c r="BP10" i="5" l="1"/>
  <c r="BQ11" i="5"/>
  <c r="C140" i="2"/>
  <c r="BR11" i="5" l="1"/>
  <c r="BQ10" i="5"/>
  <c r="C137" i="2"/>
  <c r="C136" i="2"/>
  <c r="C128" i="2"/>
  <c r="C138" i="2"/>
  <c r="C129" i="2"/>
  <c r="C139" i="2"/>
  <c r="C130" i="2"/>
  <c r="C133" i="2"/>
  <c r="C134" i="2"/>
  <c r="C145" i="2"/>
  <c r="C125" i="2"/>
  <c r="C135" i="2"/>
  <c r="C131" i="2"/>
  <c r="C141" i="2"/>
  <c r="C144" i="2"/>
  <c r="C143" i="2"/>
  <c r="C132" i="2"/>
  <c r="C142" i="2"/>
  <c r="C126" i="2"/>
  <c r="C127" i="2"/>
  <c r="C124" i="2"/>
  <c r="BS11" i="5" l="1"/>
  <c r="BR10" i="5"/>
  <c r="CV119" i="2"/>
  <c r="CT119" i="2"/>
  <c r="CU119" i="2"/>
  <c r="BT11" i="5" l="1"/>
  <c r="BS10" i="5"/>
  <c r="AJ72" i="2"/>
  <c r="BU11" i="5" l="1"/>
  <c r="BT10" i="5"/>
  <c r="BU10" i="5" l="1"/>
  <c r="BV11" i="5"/>
  <c r="BW11" i="5" l="1"/>
  <c r="BV10" i="5"/>
  <c r="BW10" i="5" l="1"/>
  <c r="BX11" i="5"/>
  <c r="X15" i="1"/>
  <c r="Z15" i="1"/>
  <c r="Y5" i="2"/>
  <c r="O51" i="3"/>
  <c r="P51" i="3" s="1"/>
  <c r="Q51" i="3" s="1"/>
  <c r="R51" i="3" s="1"/>
  <c r="S51" i="3" s="1"/>
  <c r="T51" i="3" s="1"/>
  <c r="U51" i="3" s="1"/>
  <c r="V51" i="3" s="1"/>
  <c r="W51" i="3" s="1"/>
  <c r="X51" i="3" s="1"/>
  <c r="Y51" i="3" s="1"/>
  <c r="Z51" i="3" s="1"/>
  <c r="AA51" i="3" s="1"/>
  <c r="AB51" i="3" s="1"/>
  <c r="AC51" i="3" s="1"/>
  <c r="AD51" i="3" s="1"/>
  <c r="AE51" i="3" s="1"/>
  <c r="AF51" i="3" s="1"/>
  <c r="AG51" i="3" s="1"/>
  <c r="AH51" i="3" s="1"/>
  <c r="AI51" i="3" s="1"/>
  <c r="AJ51" i="3" s="1"/>
  <c r="AK51" i="3" s="1"/>
  <c r="AL51" i="3" s="1"/>
  <c r="AM51" i="3" s="1"/>
  <c r="AN51" i="3" s="1"/>
  <c r="AO51" i="3" s="1"/>
  <c r="AP51" i="3" s="1"/>
  <c r="AQ51" i="3" s="1"/>
  <c r="AR51" i="3" s="1"/>
  <c r="AS51" i="3" s="1"/>
  <c r="AT51" i="3" s="1"/>
  <c r="AU51" i="3" s="1"/>
  <c r="AV51" i="3" s="1"/>
  <c r="AW51" i="3" s="1"/>
  <c r="AX51" i="3" s="1"/>
  <c r="O52" i="3"/>
  <c r="P52" i="3" s="1"/>
  <c r="Q52" i="3" s="1"/>
  <c r="R52" i="3" s="1"/>
  <c r="S52" i="3" s="1"/>
  <c r="T52" i="3" s="1"/>
  <c r="U52" i="3" s="1"/>
  <c r="V52" i="3" s="1"/>
  <c r="W52" i="3" s="1"/>
  <c r="X52" i="3" s="1"/>
  <c r="Y52" i="3" s="1"/>
  <c r="Z52" i="3" s="1"/>
  <c r="AA52" i="3" s="1"/>
  <c r="AB52" i="3" s="1"/>
  <c r="AC52" i="3" s="1"/>
  <c r="AD52" i="3" s="1"/>
  <c r="AE52" i="3" s="1"/>
  <c r="AF52" i="3" s="1"/>
  <c r="AG52" i="3" s="1"/>
  <c r="AH52" i="3" s="1"/>
  <c r="AI52" i="3" s="1"/>
  <c r="AJ52" i="3" s="1"/>
  <c r="AK52" i="3" s="1"/>
  <c r="AL52" i="3" s="1"/>
  <c r="AM52" i="3" s="1"/>
  <c r="AN52" i="3" s="1"/>
  <c r="AO52" i="3" s="1"/>
  <c r="AP52" i="3" s="1"/>
  <c r="AQ52" i="3" s="1"/>
  <c r="AR52" i="3" s="1"/>
  <c r="AS52" i="3" s="1"/>
  <c r="AT52" i="3" s="1"/>
  <c r="AU52" i="3" s="1"/>
  <c r="AV52" i="3" s="1"/>
  <c r="AW52" i="3" s="1"/>
  <c r="AX52" i="3" s="1"/>
  <c r="O54" i="3"/>
  <c r="P54" i="3" s="1"/>
  <c r="Q54" i="3" s="1"/>
  <c r="R54" i="3" s="1"/>
  <c r="S54" i="3" s="1"/>
  <c r="T54" i="3" s="1"/>
  <c r="U54" i="3" s="1"/>
  <c r="V54" i="3" s="1"/>
  <c r="W54" i="3" s="1"/>
  <c r="X54" i="3" s="1"/>
  <c r="Y54" i="3" s="1"/>
  <c r="Z54" i="3" s="1"/>
  <c r="AA54" i="3" s="1"/>
  <c r="AB54" i="3" s="1"/>
  <c r="AC54" i="3" s="1"/>
  <c r="AD54" i="3" s="1"/>
  <c r="AE54" i="3" s="1"/>
  <c r="AF54" i="3" s="1"/>
  <c r="AG54" i="3" s="1"/>
  <c r="AH54" i="3" s="1"/>
  <c r="AI54" i="3" s="1"/>
  <c r="AJ54" i="3" s="1"/>
  <c r="AK54" i="3" s="1"/>
  <c r="AL54" i="3" s="1"/>
  <c r="AM54" i="3" s="1"/>
  <c r="AN54" i="3" s="1"/>
  <c r="AO54" i="3" s="1"/>
  <c r="AP54" i="3" s="1"/>
  <c r="AQ54" i="3" s="1"/>
  <c r="AR54" i="3" s="1"/>
  <c r="AS54" i="3" s="1"/>
  <c r="AT54" i="3" s="1"/>
  <c r="AU54" i="3" s="1"/>
  <c r="AV54" i="3" s="1"/>
  <c r="AW54" i="3" s="1"/>
  <c r="AX54" i="3" s="1"/>
  <c r="O55" i="3"/>
  <c r="P55" i="3" s="1"/>
  <c r="Q55" i="3" s="1"/>
  <c r="R55" i="3" s="1"/>
  <c r="S55" i="3" s="1"/>
  <c r="T55" i="3" s="1"/>
  <c r="U55" i="3" s="1"/>
  <c r="V55" i="3" s="1"/>
  <c r="W55" i="3" s="1"/>
  <c r="X55" i="3" s="1"/>
  <c r="Y55" i="3" s="1"/>
  <c r="Z55" i="3" s="1"/>
  <c r="AA55" i="3" s="1"/>
  <c r="AB55" i="3" s="1"/>
  <c r="AC55" i="3" s="1"/>
  <c r="AD55" i="3" s="1"/>
  <c r="AE55" i="3" s="1"/>
  <c r="AF55" i="3" s="1"/>
  <c r="AG55" i="3" s="1"/>
  <c r="AH55" i="3" s="1"/>
  <c r="AI55" i="3" s="1"/>
  <c r="AJ55" i="3" s="1"/>
  <c r="AK55" i="3" s="1"/>
  <c r="AL55" i="3" s="1"/>
  <c r="AM55" i="3" s="1"/>
  <c r="AN55" i="3" s="1"/>
  <c r="AO55" i="3" s="1"/>
  <c r="AP55" i="3" s="1"/>
  <c r="AQ55" i="3" s="1"/>
  <c r="AR55" i="3" s="1"/>
  <c r="AS55" i="3" s="1"/>
  <c r="AT55" i="3" s="1"/>
  <c r="AU55" i="3" s="1"/>
  <c r="AV55" i="3" s="1"/>
  <c r="AW55" i="3" s="1"/>
  <c r="AX55" i="3" s="1"/>
  <c r="O56" i="3"/>
  <c r="P56" i="3" s="1"/>
  <c r="Q56" i="3" s="1"/>
  <c r="R56" i="3" s="1"/>
  <c r="S56" i="3" s="1"/>
  <c r="T56" i="3" s="1"/>
  <c r="U56" i="3" s="1"/>
  <c r="V56" i="3" s="1"/>
  <c r="W56" i="3" s="1"/>
  <c r="X56" i="3" s="1"/>
  <c r="Y56" i="3" s="1"/>
  <c r="Z56" i="3" s="1"/>
  <c r="AA56" i="3" s="1"/>
  <c r="AB56" i="3" s="1"/>
  <c r="AC56" i="3" s="1"/>
  <c r="AD56" i="3" s="1"/>
  <c r="AE56" i="3" s="1"/>
  <c r="AF56" i="3" s="1"/>
  <c r="AG56" i="3" s="1"/>
  <c r="AH56" i="3" s="1"/>
  <c r="AI56" i="3" s="1"/>
  <c r="AJ56" i="3" s="1"/>
  <c r="AK56" i="3" s="1"/>
  <c r="AL56" i="3" s="1"/>
  <c r="AM56" i="3" s="1"/>
  <c r="AN56" i="3" s="1"/>
  <c r="AO56" i="3" s="1"/>
  <c r="AP56" i="3" s="1"/>
  <c r="AQ56" i="3" s="1"/>
  <c r="AR56" i="3" s="1"/>
  <c r="AS56" i="3" s="1"/>
  <c r="AT56" i="3" s="1"/>
  <c r="AU56" i="3" s="1"/>
  <c r="AV56" i="3" s="1"/>
  <c r="AW56" i="3" s="1"/>
  <c r="AX56" i="3" s="1"/>
  <c r="T26" i="1"/>
  <c r="R25" i="1"/>
  <c r="Z25" i="1"/>
  <c r="O61" i="3"/>
  <c r="O77" i="3"/>
  <c r="O81" i="3"/>
  <c r="P81" i="3" s="1"/>
  <c r="Q81" i="3" s="1"/>
  <c r="R81" i="3" s="1"/>
  <c r="S81" i="3" s="1"/>
  <c r="T81" i="3" s="1"/>
  <c r="U81" i="3" s="1"/>
  <c r="V81" i="3" s="1"/>
  <c r="W81" i="3" s="1"/>
  <c r="X81" i="3" s="1"/>
  <c r="Y81" i="3" s="1"/>
  <c r="Z81" i="3" s="1"/>
  <c r="AA81" i="3" s="1"/>
  <c r="AB81" i="3" s="1"/>
  <c r="AC81" i="3" s="1"/>
  <c r="AD81" i="3" s="1"/>
  <c r="AE81" i="3" s="1"/>
  <c r="AF81" i="3" s="1"/>
  <c r="AG81" i="3" s="1"/>
  <c r="AH81" i="3" s="1"/>
  <c r="AI81" i="3" s="1"/>
  <c r="AJ81" i="3" s="1"/>
  <c r="AK81" i="3" s="1"/>
  <c r="AL81" i="3" s="1"/>
  <c r="AM81" i="3" s="1"/>
  <c r="AN81" i="3" s="1"/>
  <c r="AO81" i="3" s="1"/>
  <c r="AP81" i="3" s="1"/>
  <c r="AQ81" i="3" s="1"/>
  <c r="AR81" i="3" s="1"/>
  <c r="AS81" i="3" s="1"/>
  <c r="AT81" i="3" s="1"/>
  <c r="AU81" i="3" s="1"/>
  <c r="AV81" i="3" s="1"/>
  <c r="AW81" i="3" s="1"/>
  <c r="AX81" i="3" s="1"/>
  <c r="O88" i="3"/>
  <c r="P88" i="3" s="1"/>
  <c r="Q88" i="3" s="1"/>
  <c r="R88" i="3" s="1"/>
  <c r="S88" i="3" s="1"/>
  <c r="T88" i="3" s="1"/>
  <c r="U88" i="3" s="1"/>
  <c r="V88" i="3" s="1"/>
  <c r="W88" i="3" s="1"/>
  <c r="X88" i="3" s="1"/>
  <c r="Y88" i="3" s="1"/>
  <c r="Z88" i="3" s="1"/>
  <c r="AA88" i="3" s="1"/>
  <c r="AB88" i="3" s="1"/>
  <c r="AC88" i="3" s="1"/>
  <c r="AD88" i="3" s="1"/>
  <c r="AE88" i="3" s="1"/>
  <c r="AF88" i="3" s="1"/>
  <c r="AG88" i="3" s="1"/>
  <c r="AH88" i="3" s="1"/>
  <c r="AI88" i="3" s="1"/>
  <c r="AJ88" i="3" s="1"/>
  <c r="AK88" i="3" s="1"/>
  <c r="AL88" i="3" s="1"/>
  <c r="AM88" i="3" s="1"/>
  <c r="AN88" i="3" s="1"/>
  <c r="AO88" i="3" s="1"/>
  <c r="AP88" i="3" s="1"/>
  <c r="AQ88" i="3" s="1"/>
  <c r="AR88" i="3" s="1"/>
  <c r="AS88" i="3" s="1"/>
  <c r="AT88" i="3" s="1"/>
  <c r="AU88" i="3" s="1"/>
  <c r="AV88" i="3" s="1"/>
  <c r="AW88" i="3" s="1"/>
  <c r="AX88" i="3" s="1"/>
  <c r="O96" i="3"/>
  <c r="P96" i="3" s="1"/>
  <c r="Q96" i="3" s="1"/>
  <c r="R96" i="3" s="1"/>
  <c r="S96" i="3" s="1"/>
  <c r="T96" i="3" s="1"/>
  <c r="U96" i="3" s="1"/>
  <c r="V96" i="3" s="1"/>
  <c r="W96" i="3" s="1"/>
  <c r="X96" i="3" s="1"/>
  <c r="Y96" i="3" s="1"/>
  <c r="Z96" i="3" s="1"/>
  <c r="AA96" i="3" s="1"/>
  <c r="AB96" i="3" s="1"/>
  <c r="AC96" i="3" s="1"/>
  <c r="AD96" i="3" s="1"/>
  <c r="AE96" i="3" s="1"/>
  <c r="AF96" i="3" s="1"/>
  <c r="AG96" i="3" s="1"/>
  <c r="AH96" i="3" s="1"/>
  <c r="AI96" i="3" s="1"/>
  <c r="AJ96" i="3" s="1"/>
  <c r="AK96" i="3" s="1"/>
  <c r="AL96" i="3" s="1"/>
  <c r="AM96" i="3" s="1"/>
  <c r="AN96" i="3" s="1"/>
  <c r="AO96" i="3" s="1"/>
  <c r="AP96" i="3" s="1"/>
  <c r="AQ96" i="3" s="1"/>
  <c r="AR96" i="3" s="1"/>
  <c r="AS96" i="3" s="1"/>
  <c r="AT96" i="3" s="1"/>
  <c r="AU96" i="3" s="1"/>
  <c r="AV96" i="3" s="1"/>
  <c r="AW96" i="3" s="1"/>
  <c r="AX96" i="3" s="1"/>
  <c r="O97" i="3"/>
  <c r="P97" i="3" s="1"/>
  <c r="Q97" i="3" s="1"/>
  <c r="R97" i="3" s="1"/>
  <c r="S97" i="3" s="1"/>
  <c r="T97" i="3" s="1"/>
  <c r="U97" i="3" s="1"/>
  <c r="V97" i="3" s="1"/>
  <c r="W97" i="3" s="1"/>
  <c r="X97" i="3" s="1"/>
  <c r="Y97" i="3" s="1"/>
  <c r="Z97" i="3" s="1"/>
  <c r="AA97" i="3" s="1"/>
  <c r="AB97" i="3" s="1"/>
  <c r="AC97" i="3" s="1"/>
  <c r="AD97" i="3" s="1"/>
  <c r="AE97" i="3" s="1"/>
  <c r="AF97" i="3" s="1"/>
  <c r="AG97" i="3" s="1"/>
  <c r="AH97" i="3" s="1"/>
  <c r="AI97" i="3" s="1"/>
  <c r="AJ97" i="3" s="1"/>
  <c r="AK97" i="3" s="1"/>
  <c r="AL97" i="3" s="1"/>
  <c r="AM97" i="3" s="1"/>
  <c r="AN97" i="3" s="1"/>
  <c r="AO97" i="3" s="1"/>
  <c r="AP97" i="3" s="1"/>
  <c r="AQ97" i="3" s="1"/>
  <c r="AR97" i="3" s="1"/>
  <c r="AS97" i="3" s="1"/>
  <c r="AT97" i="3" s="1"/>
  <c r="AU97" i="3" s="1"/>
  <c r="AV97" i="3" s="1"/>
  <c r="AW97" i="3" s="1"/>
  <c r="AX97" i="3" s="1"/>
  <c r="O98" i="3"/>
  <c r="P98" i="3" s="1"/>
  <c r="Q98" i="3" s="1"/>
  <c r="R98" i="3" s="1"/>
  <c r="S98" i="3" s="1"/>
  <c r="T98" i="3" s="1"/>
  <c r="U98" i="3" s="1"/>
  <c r="V98" i="3" s="1"/>
  <c r="W98" i="3" s="1"/>
  <c r="X98" i="3" s="1"/>
  <c r="Y98" i="3" s="1"/>
  <c r="Z98" i="3" s="1"/>
  <c r="AA98" i="3" s="1"/>
  <c r="AB98" i="3" s="1"/>
  <c r="AC98" i="3" s="1"/>
  <c r="AD98" i="3" s="1"/>
  <c r="AE98" i="3" s="1"/>
  <c r="AF98" i="3" s="1"/>
  <c r="AG98" i="3" s="1"/>
  <c r="AH98" i="3" s="1"/>
  <c r="AI98" i="3" s="1"/>
  <c r="AJ98" i="3" s="1"/>
  <c r="AK98" i="3" s="1"/>
  <c r="AL98" i="3" s="1"/>
  <c r="AM98" i="3" s="1"/>
  <c r="AN98" i="3" s="1"/>
  <c r="AO98" i="3" s="1"/>
  <c r="AP98" i="3" s="1"/>
  <c r="AQ98" i="3" s="1"/>
  <c r="AR98" i="3" s="1"/>
  <c r="AS98" i="3" s="1"/>
  <c r="AT98" i="3" s="1"/>
  <c r="AU98" i="3" s="1"/>
  <c r="AV98" i="3" s="1"/>
  <c r="AW98" i="3" s="1"/>
  <c r="AX98" i="3" s="1"/>
  <c r="O99" i="3"/>
  <c r="P99" i="3" s="1"/>
  <c r="Q99" i="3" s="1"/>
  <c r="R99" i="3" s="1"/>
  <c r="S99" i="3" s="1"/>
  <c r="T99" i="3" s="1"/>
  <c r="U99" i="3" s="1"/>
  <c r="V99" i="3" s="1"/>
  <c r="W99" i="3" s="1"/>
  <c r="X99" i="3" s="1"/>
  <c r="Y99" i="3" s="1"/>
  <c r="Z99" i="3" s="1"/>
  <c r="AA99" i="3" s="1"/>
  <c r="AB99" i="3" s="1"/>
  <c r="AC99" i="3" s="1"/>
  <c r="AD99" i="3" s="1"/>
  <c r="AE99" i="3" s="1"/>
  <c r="AF99" i="3" s="1"/>
  <c r="AG99" i="3" s="1"/>
  <c r="AH99" i="3" s="1"/>
  <c r="AI99" i="3" s="1"/>
  <c r="AJ99" i="3" s="1"/>
  <c r="AK99" i="3" s="1"/>
  <c r="AL99" i="3" s="1"/>
  <c r="AM99" i="3" s="1"/>
  <c r="AN99" i="3" s="1"/>
  <c r="AO99" i="3" s="1"/>
  <c r="AP99" i="3" s="1"/>
  <c r="AQ99" i="3" s="1"/>
  <c r="AR99" i="3" s="1"/>
  <c r="AS99" i="3" s="1"/>
  <c r="AT99" i="3" s="1"/>
  <c r="AU99" i="3" s="1"/>
  <c r="AV99" i="3" s="1"/>
  <c r="AW99" i="3" s="1"/>
  <c r="AX99" i="3" s="1"/>
  <c r="O100" i="3"/>
  <c r="P100" i="3" s="1"/>
  <c r="Q100" i="3" s="1"/>
  <c r="R100" i="3" s="1"/>
  <c r="S100" i="3" s="1"/>
  <c r="T100" i="3" s="1"/>
  <c r="U100" i="3" s="1"/>
  <c r="V100" i="3" s="1"/>
  <c r="W100" i="3" s="1"/>
  <c r="X100" i="3" s="1"/>
  <c r="Y100" i="3" s="1"/>
  <c r="Z100" i="3" s="1"/>
  <c r="AA100" i="3" s="1"/>
  <c r="AB100" i="3" s="1"/>
  <c r="AC100" i="3" s="1"/>
  <c r="AD100" i="3" s="1"/>
  <c r="AE100" i="3" s="1"/>
  <c r="AF100" i="3" s="1"/>
  <c r="AG100" i="3" s="1"/>
  <c r="AH100" i="3" s="1"/>
  <c r="AI100" i="3" s="1"/>
  <c r="AJ100" i="3" s="1"/>
  <c r="AK100" i="3" s="1"/>
  <c r="AL100" i="3" s="1"/>
  <c r="AM100" i="3" s="1"/>
  <c r="AN100" i="3" s="1"/>
  <c r="AO100" i="3" s="1"/>
  <c r="AP100" i="3" s="1"/>
  <c r="AQ100" i="3" s="1"/>
  <c r="AR100" i="3" s="1"/>
  <c r="AS100" i="3" s="1"/>
  <c r="AT100" i="3" s="1"/>
  <c r="AU100" i="3" s="1"/>
  <c r="AV100" i="3" s="1"/>
  <c r="AW100" i="3" s="1"/>
  <c r="AX100" i="3" s="1"/>
  <c r="O101" i="3"/>
  <c r="P101" i="3" s="1"/>
  <c r="Q101" i="3" s="1"/>
  <c r="R101" i="3" s="1"/>
  <c r="S101" i="3" s="1"/>
  <c r="T101" i="3" s="1"/>
  <c r="U101" i="3" s="1"/>
  <c r="V101" i="3" s="1"/>
  <c r="W101" i="3" s="1"/>
  <c r="X101" i="3" s="1"/>
  <c r="Y101" i="3" s="1"/>
  <c r="Z101" i="3" s="1"/>
  <c r="AA101" i="3" s="1"/>
  <c r="AB101" i="3" s="1"/>
  <c r="AC101" i="3" s="1"/>
  <c r="AD101" i="3" s="1"/>
  <c r="AE101" i="3" s="1"/>
  <c r="AF101" i="3" s="1"/>
  <c r="AG101" i="3" s="1"/>
  <c r="AH101" i="3" s="1"/>
  <c r="AI101" i="3" s="1"/>
  <c r="AJ101" i="3" s="1"/>
  <c r="AK101" i="3" s="1"/>
  <c r="AL101" i="3" s="1"/>
  <c r="AM101" i="3" s="1"/>
  <c r="AN101" i="3" s="1"/>
  <c r="AO101" i="3" s="1"/>
  <c r="AP101" i="3" s="1"/>
  <c r="AQ101" i="3" s="1"/>
  <c r="AR101" i="3" s="1"/>
  <c r="AS101" i="3" s="1"/>
  <c r="AT101" i="3" s="1"/>
  <c r="AU101" i="3" s="1"/>
  <c r="AV101" i="3" s="1"/>
  <c r="AW101" i="3" s="1"/>
  <c r="AX101" i="3" s="1"/>
  <c r="O102" i="3"/>
  <c r="P102" i="3" s="1"/>
  <c r="Q102" i="3" s="1"/>
  <c r="R102" i="3" s="1"/>
  <c r="S102" i="3" s="1"/>
  <c r="T102" i="3" s="1"/>
  <c r="U102" i="3" s="1"/>
  <c r="V102" i="3" s="1"/>
  <c r="W102" i="3" s="1"/>
  <c r="X102" i="3" s="1"/>
  <c r="Y102" i="3" s="1"/>
  <c r="Z102" i="3" s="1"/>
  <c r="AA102" i="3" s="1"/>
  <c r="AB102" i="3" s="1"/>
  <c r="AC102" i="3" s="1"/>
  <c r="AD102" i="3" s="1"/>
  <c r="AE102" i="3" s="1"/>
  <c r="AF102" i="3" s="1"/>
  <c r="AG102" i="3" s="1"/>
  <c r="AH102" i="3" s="1"/>
  <c r="AI102" i="3" s="1"/>
  <c r="AJ102" i="3" s="1"/>
  <c r="AK102" i="3" s="1"/>
  <c r="AL102" i="3" s="1"/>
  <c r="AM102" i="3" s="1"/>
  <c r="AN102" i="3" s="1"/>
  <c r="AO102" i="3" s="1"/>
  <c r="AP102" i="3" s="1"/>
  <c r="AQ102" i="3" s="1"/>
  <c r="AR102" i="3" s="1"/>
  <c r="AS102" i="3" s="1"/>
  <c r="AT102" i="3" s="1"/>
  <c r="AU102" i="3" s="1"/>
  <c r="AV102" i="3" s="1"/>
  <c r="AW102" i="3" s="1"/>
  <c r="AX102" i="3" s="1"/>
  <c r="O103" i="3"/>
  <c r="P103" i="3" s="1"/>
  <c r="Q103" i="3" s="1"/>
  <c r="R103" i="3" s="1"/>
  <c r="S103" i="3" s="1"/>
  <c r="T103" i="3" s="1"/>
  <c r="U103" i="3" s="1"/>
  <c r="V103" i="3" s="1"/>
  <c r="W103" i="3" s="1"/>
  <c r="X103" i="3" s="1"/>
  <c r="Y103" i="3" s="1"/>
  <c r="Z103" i="3" s="1"/>
  <c r="AA103" i="3" s="1"/>
  <c r="AB103" i="3" s="1"/>
  <c r="AC103" i="3" s="1"/>
  <c r="AD103" i="3" s="1"/>
  <c r="AE103" i="3" s="1"/>
  <c r="AF103" i="3" s="1"/>
  <c r="AG103" i="3" s="1"/>
  <c r="AH103" i="3" s="1"/>
  <c r="AI103" i="3" s="1"/>
  <c r="AJ103" i="3" s="1"/>
  <c r="AK103" i="3" s="1"/>
  <c r="AL103" i="3" s="1"/>
  <c r="AM103" i="3" s="1"/>
  <c r="AN103" i="3" s="1"/>
  <c r="AO103" i="3" s="1"/>
  <c r="AP103" i="3" s="1"/>
  <c r="AQ103" i="3" s="1"/>
  <c r="AR103" i="3" s="1"/>
  <c r="AS103" i="3" s="1"/>
  <c r="AT103" i="3" s="1"/>
  <c r="AU103" i="3" s="1"/>
  <c r="AV103" i="3" s="1"/>
  <c r="AW103" i="3" s="1"/>
  <c r="AX103" i="3" s="1"/>
  <c r="O104" i="3"/>
  <c r="P104" i="3" s="1"/>
  <c r="Q104" i="3" s="1"/>
  <c r="R104" i="3" s="1"/>
  <c r="S104" i="3" s="1"/>
  <c r="T104" i="3" s="1"/>
  <c r="U104" i="3" s="1"/>
  <c r="V104" i="3" s="1"/>
  <c r="W104" i="3" s="1"/>
  <c r="X104" i="3" s="1"/>
  <c r="Y104" i="3" s="1"/>
  <c r="Z104" i="3" s="1"/>
  <c r="AA104" i="3" s="1"/>
  <c r="AB104" i="3" s="1"/>
  <c r="AC104" i="3" s="1"/>
  <c r="AD104" i="3" s="1"/>
  <c r="AE104" i="3" s="1"/>
  <c r="AF104" i="3" s="1"/>
  <c r="AG104" i="3" s="1"/>
  <c r="AH104" i="3" s="1"/>
  <c r="AI104" i="3" s="1"/>
  <c r="AJ104" i="3" s="1"/>
  <c r="AK104" i="3" s="1"/>
  <c r="AL104" i="3" s="1"/>
  <c r="AM104" i="3" s="1"/>
  <c r="AN104" i="3" s="1"/>
  <c r="AO104" i="3" s="1"/>
  <c r="AP104" i="3" s="1"/>
  <c r="AQ104" i="3" s="1"/>
  <c r="AR104" i="3" s="1"/>
  <c r="AS104" i="3" s="1"/>
  <c r="AT104" i="3" s="1"/>
  <c r="AU104" i="3" s="1"/>
  <c r="AV104" i="3" s="1"/>
  <c r="AW104" i="3" s="1"/>
  <c r="AX104" i="3" s="1"/>
  <c r="O105" i="3"/>
  <c r="P105" i="3" s="1"/>
  <c r="Q105" i="3" s="1"/>
  <c r="R105" i="3" s="1"/>
  <c r="S105" i="3" s="1"/>
  <c r="T105" i="3" s="1"/>
  <c r="U105" i="3" s="1"/>
  <c r="V105" i="3" s="1"/>
  <c r="W105" i="3" s="1"/>
  <c r="X105" i="3" s="1"/>
  <c r="Y105" i="3" s="1"/>
  <c r="Z105" i="3" s="1"/>
  <c r="AA105" i="3" s="1"/>
  <c r="AB105" i="3" s="1"/>
  <c r="AC105" i="3" s="1"/>
  <c r="AD105" i="3" s="1"/>
  <c r="AE105" i="3" s="1"/>
  <c r="AF105" i="3" s="1"/>
  <c r="AG105" i="3" s="1"/>
  <c r="AH105" i="3" s="1"/>
  <c r="AI105" i="3" s="1"/>
  <c r="AJ105" i="3" s="1"/>
  <c r="AK105" i="3" s="1"/>
  <c r="AL105" i="3" s="1"/>
  <c r="AM105" i="3" s="1"/>
  <c r="AN105" i="3" s="1"/>
  <c r="AO105" i="3" s="1"/>
  <c r="AP105" i="3" s="1"/>
  <c r="AQ105" i="3" s="1"/>
  <c r="AR105" i="3" s="1"/>
  <c r="AS105" i="3" s="1"/>
  <c r="AT105" i="3" s="1"/>
  <c r="AU105" i="3" s="1"/>
  <c r="AV105" i="3" s="1"/>
  <c r="AW105" i="3" s="1"/>
  <c r="AX105" i="3" s="1"/>
  <c r="O106" i="3"/>
  <c r="P106" i="3" s="1"/>
  <c r="Q106" i="3" s="1"/>
  <c r="R106" i="3" s="1"/>
  <c r="S106" i="3" s="1"/>
  <c r="T106" i="3" s="1"/>
  <c r="U106" i="3" s="1"/>
  <c r="V106" i="3" s="1"/>
  <c r="W106" i="3" s="1"/>
  <c r="X106" i="3" s="1"/>
  <c r="Y106" i="3" s="1"/>
  <c r="Z106" i="3" s="1"/>
  <c r="AA106" i="3" s="1"/>
  <c r="AB106" i="3" s="1"/>
  <c r="AC106" i="3" s="1"/>
  <c r="AD106" i="3" s="1"/>
  <c r="AE106" i="3" s="1"/>
  <c r="AF106" i="3" s="1"/>
  <c r="AG106" i="3" s="1"/>
  <c r="AH106" i="3" s="1"/>
  <c r="AI106" i="3" s="1"/>
  <c r="AJ106" i="3" s="1"/>
  <c r="AK106" i="3" s="1"/>
  <c r="AL106" i="3" s="1"/>
  <c r="AM106" i="3" s="1"/>
  <c r="AN106" i="3" s="1"/>
  <c r="AO106" i="3" s="1"/>
  <c r="AP106" i="3" s="1"/>
  <c r="AQ106" i="3" s="1"/>
  <c r="AR106" i="3" s="1"/>
  <c r="AS106" i="3" s="1"/>
  <c r="AT106" i="3" s="1"/>
  <c r="AU106" i="3" s="1"/>
  <c r="AV106" i="3" s="1"/>
  <c r="AW106" i="3" s="1"/>
  <c r="AX106" i="3" s="1"/>
  <c r="O107" i="3"/>
  <c r="P107" i="3" s="1"/>
  <c r="Q107" i="3" s="1"/>
  <c r="R107" i="3" s="1"/>
  <c r="S107" i="3" s="1"/>
  <c r="T107" i="3" s="1"/>
  <c r="U107" i="3" s="1"/>
  <c r="V107" i="3" s="1"/>
  <c r="W107" i="3" s="1"/>
  <c r="X107" i="3" s="1"/>
  <c r="Y107" i="3" s="1"/>
  <c r="Z107" i="3" s="1"/>
  <c r="AA107" i="3" s="1"/>
  <c r="AB107" i="3" s="1"/>
  <c r="AC107" i="3" s="1"/>
  <c r="AD107" i="3" s="1"/>
  <c r="AE107" i="3" s="1"/>
  <c r="AF107" i="3" s="1"/>
  <c r="AG107" i="3" s="1"/>
  <c r="AH107" i="3" s="1"/>
  <c r="AI107" i="3" s="1"/>
  <c r="AJ107" i="3" s="1"/>
  <c r="AK107" i="3" s="1"/>
  <c r="AL107" i="3" s="1"/>
  <c r="AM107" i="3" s="1"/>
  <c r="AN107" i="3" s="1"/>
  <c r="AO107" i="3" s="1"/>
  <c r="AP107" i="3" s="1"/>
  <c r="AQ107" i="3" s="1"/>
  <c r="AR107" i="3" s="1"/>
  <c r="AS107" i="3" s="1"/>
  <c r="AT107" i="3" s="1"/>
  <c r="AU107" i="3" s="1"/>
  <c r="AV107" i="3" s="1"/>
  <c r="AW107" i="3" s="1"/>
  <c r="AX107" i="3" s="1"/>
  <c r="O110" i="3"/>
  <c r="P110" i="3" s="1"/>
  <c r="Q110" i="3" s="1"/>
  <c r="R110" i="3" s="1"/>
  <c r="S110" i="3" s="1"/>
  <c r="T110" i="3" s="1"/>
  <c r="U110" i="3" s="1"/>
  <c r="V110" i="3" s="1"/>
  <c r="W110" i="3" s="1"/>
  <c r="X110" i="3" s="1"/>
  <c r="Y110" i="3" s="1"/>
  <c r="Z110" i="3" s="1"/>
  <c r="AA110" i="3" s="1"/>
  <c r="AB110" i="3" s="1"/>
  <c r="AC110" i="3" s="1"/>
  <c r="AD110" i="3" s="1"/>
  <c r="AE110" i="3" s="1"/>
  <c r="AF110" i="3" s="1"/>
  <c r="AG110" i="3" s="1"/>
  <c r="AH110" i="3" s="1"/>
  <c r="AI110" i="3" s="1"/>
  <c r="AJ110" i="3" s="1"/>
  <c r="AK110" i="3" s="1"/>
  <c r="AL110" i="3" s="1"/>
  <c r="AM110" i="3" s="1"/>
  <c r="AN110" i="3" s="1"/>
  <c r="AO110" i="3" s="1"/>
  <c r="AP110" i="3" s="1"/>
  <c r="AQ110" i="3" s="1"/>
  <c r="AR110" i="3" s="1"/>
  <c r="AS110" i="3" s="1"/>
  <c r="AT110" i="3" s="1"/>
  <c r="AU110" i="3" s="1"/>
  <c r="AV110" i="3" s="1"/>
  <c r="AW110" i="3" s="1"/>
  <c r="AX110" i="3" s="1"/>
  <c r="O111" i="3"/>
  <c r="P111" i="3" s="1"/>
  <c r="Q111" i="3" s="1"/>
  <c r="R111" i="3" s="1"/>
  <c r="S111" i="3" s="1"/>
  <c r="T111" i="3" s="1"/>
  <c r="U111" i="3" s="1"/>
  <c r="V111" i="3" s="1"/>
  <c r="W111" i="3" s="1"/>
  <c r="X111" i="3" s="1"/>
  <c r="Y111" i="3" s="1"/>
  <c r="Z111" i="3" s="1"/>
  <c r="AA111" i="3" s="1"/>
  <c r="AB111" i="3" s="1"/>
  <c r="AC111" i="3" s="1"/>
  <c r="AD111" i="3" s="1"/>
  <c r="AE111" i="3" s="1"/>
  <c r="AF111" i="3" s="1"/>
  <c r="AG111" i="3" s="1"/>
  <c r="AH111" i="3" s="1"/>
  <c r="AI111" i="3" s="1"/>
  <c r="AJ111" i="3" s="1"/>
  <c r="AK111" i="3" s="1"/>
  <c r="AL111" i="3" s="1"/>
  <c r="AM111" i="3" s="1"/>
  <c r="AN111" i="3" s="1"/>
  <c r="AO111" i="3" s="1"/>
  <c r="AP111" i="3" s="1"/>
  <c r="AQ111" i="3" s="1"/>
  <c r="AR111" i="3" s="1"/>
  <c r="AS111" i="3" s="1"/>
  <c r="AT111" i="3" s="1"/>
  <c r="AU111" i="3" s="1"/>
  <c r="AV111" i="3" s="1"/>
  <c r="AW111" i="3" s="1"/>
  <c r="AX111" i="3" s="1"/>
  <c r="O11" i="2"/>
  <c r="P11" i="2" s="1"/>
  <c r="N10" i="2"/>
  <c r="I37" i="1"/>
  <c r="I20" i="1"/>
  <c r="I18" i="1"/>
  <c r="H37" i="1"/>
  <c r="H20" i="1"/>
  <c r="H18" i="1"/>
  <c r="G37" i="1"/>
  <c r="G20" i="1"/>
  <c r="G18" i="1"/>
  <c r="Q25" i="1"/>
  <c r="AB37" i="1"/>
  <c r="AA37" i="1"/>
  <c r="Z37" i="1"/>
  <c r="Y37" i="1"/>
  <c r="X37" i="1"/>
  <c r="W37" i="1"/>
  <c r="V37" i="1"/>
  <c r="U37" i="1"/>
  <c r="T37" i="1"/>
  <c r="S37" i="1"/>
  <c r="R37" i="1"/>
  <c r="U27" i="1"/>
  <c r="T27" i="1"/>
  <c r="S27" i="1"/>
  <c r="AB20" i="1"/>
  <c r="F20" i="1" s="1"/>
  <c r="AA20" i="1"/>
  <c r="Z20" i="1"/>
  <c r="Y20" i="1"/>
  <c r="X20" i="1"/>
  <c r="W20" i="1"/>
  <c r="V20" i="1"/>
  <c r="U20" i="1"/>
  <c r="T20" i="1"/>
  <c r="S20" i="1"/>
  <c r="R20" i="1"/>
  <c r="AB18" i="1"/>
  <c r="F18" i="1" s="1"/>
  <c r="AA18" i="1"/>
  <c r="Z18" i="1"/>
  <c r="Y18" i="1"/>
  <c r="X18" i="1"/>
  <c r="W18" i="1"/>
  <c r="V18" i="1"/>
  <c r="U18" i="1"/>
  <c r="T18" i="1"/>
  <c r="S18" i="1"/>
  <c r="R18" i="1"/>
  <c r="W15" i="1"/>
  <c r="V15" i="1"/>
  <c r="Q18" i="1"/>
  <c r="Q42" i="1"/>
  <c r="Q37" i="1"/>
  <c r="Q36" i="1"/>
  <c r="Q27" i="1"/>
  <c r="Q26" i="1"/>
  <c r="Q20" i="1"/>
  <c r="Q19" i="1"/>
  <c r="Q16" i="1"/>
  <c r="Q10" i="1"/>
  <c r="BX10" i="5" l="1"/>
  <c r="BY11" i="5"/>
  <c r="R19" i="1"/>
  <c r="N130" i="3"/>
  <c r="N126" i="3"/>
  <c r="R35" i="1"/>
  <c r="R15" i="1"/>
  <c r="P77" i="3"/>
  <c r="P61" i="3"/>
  <c r="AC19" i="1"/>
  <c r="O40" i="3"/>
  <c r="P40" i="3" s="1"/>
  <c r="Q40" i="3" s="1"/>
  <c r="R40" i="3" s="1"/>
  <c r="S40" i="3" s="1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AD40" i="3" s="1"/>
  <c r="AE40" i="3" s="1"/>
  <c r="AF40" i="3" s="1"/>
  <c r="AG40" i="3" s="1"/>
  <c r="AH40" i="3" s="1"/>
  <c r="AI40" i="3" s="1"/>
  <c r="AJ40" i="3" s="1"/>
  <c r="AK40" i="3" s="1"/>
  <c r="AL40" i="3" s="1"/>
  <c r="AM40" i="3" s="1"/>
  <c r="AN40" i="3" s="1"/>
  <c r="AO40" i="3" s="1"/>
  <c r="AP40" i="3" s="1"/>
  <c r="AQ40" i="3" s="1"/>
  <c r="AR40" i="3" s="1"/>
  <c r="AS40" i="3" s="1"/>
  <c r="AT40" i="3" s="1"/>
  <c r="AU40" i="3" s="1"/>
  <c r="AV40" i="3" s="1"/>
  <c r="AW40" i="3" s="1"/>
  <c r="AX40" i="3" s="1"/>
  <c r="N129" i="3"/>
  <c r="N131" i="3" s="1"/>
  <c r="O38" i="3"/>
  <c r="P38" i="3" s="1"/>
  <c r="Q38" i="3" s="1"/>
  <c r="R38" i="3" s="1"/>
  <c r="S38" i="3" s="1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AD38" i="3" s="1"/>
  <c r="AE38" i="3" s="1"/>
  <c r="AF38" i="3" s="1"/>
  <c r="AG38" i="3" s="1"/>
  <c r="AH38" i="3" s="1"/>
  <c r="AI38" i="3" s="1"/>
  <c r="AJ38" i="3" s="1"/>
  <c r="AK38" i="3" s="1"/>
  <c r="AL38" i="3" s="1"/>
  <c r="AM38" i="3" s="1"/>
  <c r="AN38" i="3" s="1"/>
  <c r="AO38" i="3" s="1"/>
  <c r="AP38" i="3" s="1"/>
  <c r="AQ38" i="3" s="1"/>
  <c r="AR38" i="3" s="1"/>
  <c r="AS38" i="3" s="1"/>
  <c r="AT38" i="3" s="1"/>
  <c r="AU38" i="3" s="1"/>
  <c r="AV38" i="3" s="1"/>
  <c r="AW38" i="3" s="1"/>
  <c r="AX38" i="3" s="1"/>
  <c r="N125" i="3"/>
  <c r="Q15" i="1"/>
  <c r="F37" i="1"/>
  <c r="AG23" i="5"/>
  <c r="Q34" i="1"/>
  <c r="Y146" i="2"/>
  <c r="Y266" i="2"/>
  <c r="Y269" i="2" s="1"/>
  <c r="AA15" i="1"/>
  <c r="R27" i="1"/>
  <c r="V27" i="1"/>
  <c r="S42" i="1"/>
  <c r="T17" i="1"/>
  <c r="Y14" i="1"/>
  <c r="Q24" i="1"/>
  <c r="U34" i="1"/>
  <c r="R23" i="1"/>
  <c r="O53" i="3"/>
  <c r="P53" i="3" s="1"/>
  <c r="Q53" i="3" s="1"/>
  <c r="R53" i="3" s="1"/>
  <c r="S53" i="3" s="1"/>
  <c r="T53" i="3" s="1"/>
  <c r="U53" i="3" s="1"/>
  <c r="V53" i="3" s="1"/>
  <c r="W53" i="3" s="1"/>
  <c r="X53" i="3" s="1"/>
  <c r="Y53" i="3" s="1"/>
  <c r="Z53" i="3" s="1"/>
  <c r="AA53" i="3" s="1"/>
  <c r="AB53" i="3" s="1"/>
  <c r="AC53" i="3" s="1"/>
  <c r="AD53" i="3" s="1"/>
  <c r="AE53" i="3" s="1"/>
  <c r="AF53" i="3" s="1"/>
  <c r="AG53" i="3" s="1"/>
  <c r="AH53" i="3" s="1"/>
  <c r="AI53" i="3" s="1"/>
  <c r="AJ53" i="3" s="1"/>
  <c r="AK53" i="3" s="1"/>
  <c r="AL53" i="3" s="1"/>
  <c r="AM53" i="3" s="1"/>
  <c r="AN53" i="3" s="1"/>
  <c r="AO53" i="3" s="1"/>
  <c r="AP53" i="3" s="1"/>
  <c r="AQ53" i="3" s="1"/>
  <c r="AR53" i="3" s="1"/>
  <c r="AS53" i="3" s="1"/>
  <c r="AT53" i="3" s="1"/>
  <c r="AU53" i="3" s="1"/>
  <c r="AV53" i="3" s="1"/>
  <c r="AW53" i="3" s="1"/>
  <c r="AX53" i="3" s="1"/>
  <c r="O10" i="2"/>
  <c r="Q17" i="1"/>
  <c r="X26" i="1"/>
  <c r="U36" i="1"/>
  <c r="Z26" i="1"/>
  <c r="S19" i="1"/>
  <c r="U41" i="1"/>
  <c r="R41" i="1"/>
  <c r="Y26" i="1"/>
  <c r="S16" i="1"/>
  <c r="V41" i="1"/>
  <c r="Q35" i="1"/>
  <c r="Q41" i="1"/>
  <c r="Q44" i="1" s="1"/>
  <c r="R34" i="1"/>
  <c r="R17" i="1"/>
  <c r="V36" i="1"/>
  <c r="U15" i="1"/>
  <c r="T15" i="1"/>
  <c r="O95" i="3"/>
  <c r="P95" i="3" s="1"/>
  <c r="Q95" i="3" s="1"/>
  <c r="R95" i="3" s="1"/>
  <c r="S95" i="3" s="1"/>
  <c r="T95" i="3" s="1"/>
  <c r="U95" i="3" s="1"/>
  <c r="V95" i="3" s="1"/>
  <c r="W95" i="3" s="1"/>
  <c r="X95" i="3" s="1"/>
  <c r="Y95" i="3" s="1"/>
  <c r="Z95" i="3" s="1"/>
  <c r="AA95" i="3" s="1"/>
  <c r="AB95" i="3" s="1"/>
  <c r="AC95" i="3" s="1"/>
  <c r="AD95" i="3" s="1"/>
  <c r="AE95" i="3" s="1"/>
  <c r="AF95" i="3" s="1"/>
  <c r="AG95" i="3" s="1"/>
  <c r="AH95" i="3" s="1"/>
  <c r="AI95" i="3" s="1"/>
  <c r="AJ95" i="3" s="1"/>
  <c r="AK95" i="3" s="1"/>
  <c r="AL95" i="3" s="1"/>
  <c r="AM95" i="3" s="1"/>
  <c r="AN95" i="3" s="1"/>
  <c r="AO95" i="3" s="1"/>
  <c r="AP95" i="3" s="1"/>
  <c r="AQ95" i="3" s="1"/>
  <c r="AR95" i="3" s="1"/>
  <c r="AS95" i="3" s="1"/>
  <c r="AT95" i="3" s="1"/>
  <c r="AU95" i="3" s="1"/>
  <c r="AV95" i="3" s="1"/>
  <c r="AW95" i="3" s="1"/>
  <c r="AX95" i="3" s="1"/>
  <c r="S15" i="1"/>
  <c r="T41" i="1"/>
  <c r="Q23" i="1"/>
  <c r="S41" i="1"/>
  <c r="S17" i="1"/>
  <c r="T36" i="1"/>
  <c r="Y25" i="1"/>
  <c r="AB15" i="1"/>
  <c r="F15" i="1" s="1"/>
  <c r="Y15" i="1"/>
  <c r="S24" i="1"/>
  <c r="R36" i="1"/>
  <c r="R42" i="1"/>
  <c r="W41" i="1"/>
  <c r="R26" i="1"/>
  <c r="R16" i="1"/>
  <c r="S26" i="1"/>
  <c r="X25" i="1"/>
  <c r="S14" i="1"/>
  <c r="Q14" i="1"/>
  <c r="Q11" i="2"/>
  <c r="P10" i="2"/>
  <c r="R11" i="1"/>
  <c r="R10" i="1" s="1"/>
  <c r="BZ11" i="5" l="1"/>
  <c r="BY10" i="5"/>
  <c r="G23" i="5"/>
  <c r="Q39" i="1"/>
  <c r="Q46" i="1" s="1"/>
  <c r="S36" i="1"/>
  <c r="R24" i="1"/>
  <c r="R28" i="1" s="1"/>
  <c r="U24" i="1"/>
  <c r="O129" i="3"/>
  <c r="O130" i="3"/>
  <c r="N127" i="3"/>
  <c r="Q61" i="3"/>
  <c r="AD19" i="1"/>
  <c r="AH20" i="5" s="1"/>
  <c r="Q77" i="3"/>
  <c r="T34" i="1"/>
  <c r="S34" i="1"/>
  <c r="S44" i="1"/>
  <c r="Q21" i="1"/>
  <c r="R44" i="1"/>
  <c r="V34" i="1"/>
  <c r="AA25" i="1"/>
  <c r="T24" i="1"/>
  <c r="U26" i="1"/>
  <c r="T42" i="1"/>
  <c r="T44" i="1" s="1"/>
  <c r="S21" i="1"/>
  <c r="Q28" i="1"/>
  <c r="R39" i="1"/>
  <c r="W27" i="1"/>
  <c r="U17" i="1"/>
  <c r="W14" i="1"/>
  <c r="V24" i="1"/>
  <c r="O86" i="3"/>
  <c r="Z14" i="1"/>
  <c r="S35" i="1"/>
  <c r="Y41" i="1"/>
  <c r="T19" i="1"/>
  <c r="S23" i="1"/>
  <c r="X14" i="1"/>
  <c r="O59" i="3"/>
  <c r="P59" i="3" s="1"/>
  <c r="AA26" i="1"/>
  <c r="T16" i="1"/>
  <c r="U14" i="1"/>
  <c r="X41" i="1"/>
  <c r="R14" i="1"/>
  <c r="R21" i="1" s="1"/>
  <c r="T14" i="1"/>
  <c r="V14" i="1"/>
  <c r="S25" i="1"/>
  <c r="W36" i="1"/>
  <c r="Q10" i="2"/>
  <c r="R11" i="2"/>
  <c r="S11" i="1"/>
  <c r="T11" i="1" s="1"/>
  <c r="CA11" i="5" l="1"/>
  <c r="BZ10" i="5"/>
  <c r="R30" i="1"/>
  <c r="S39" i="1"/>
  <c r="O131" i="3"/>
  <c r="P129" i="3" s="1"/>
  <c r="Q30" i="1"/>
  <c r="Q48" i="1" s="1"/>
  <c r="O125" i="3"/>
  <c r="O126" i="3"/>
  <c r="P130" i="3"/>
  <c r="Q130" i="3" s="1"/>
  <c r="R130" i="3" s="1"/>
  <c r="S130" i="3" s="1"/>
  <c r="T130" i="3" s="1"/>
  <c r="U130" i="3" s="1"/>
  <c r="V130" i="3" s="1"/>
  <c r="W130" i="3" s="1"/>
  <c r="X130" i="3" s="1"/>
  <c r="Y130" i="3" s="1"/>
  <c r="Z130" i="3" s="1"/>
  <c r="AA130" i="3" s="1"/>
  <c r="AB130" i="3" s="1"/>
  <c r="AC130" i="3" s="1"/>
  <c r="AD130" i="3" s="1"/>
  <c r="AE130" i="3" s="1"/>
  <c r="AF130" i="3" s="1"/>
  <c r="AG130" i="3" s="1"/>
  <c r="AH130" i="3" s="1"/>
  <c r="AI130" i="3" s="1"/>
  <c r="AJ130" i="3" s="1"/>
  <c r="AK130" i="3" s="1"/>
  <c r="AL130" i="3" s="1"/>
  <c r="O41" i="3"/>
  <c r="R46" i="1"/>
  <c r="R48" i="1" s="1"/>
  <c r="R77" i="3"/>
  <c r="S46" i="1"/>
  <c r="AC26" i="1"/>
  <c r="AC25" i="1"/>
  <c r="P86" i="3"/>
  <c r="R61" i="3"/>
  <c r="AE19" i="1"/>
  <c r="AI20" i="5" s="1"/>
  <c r="W26" i="1"/>
  <c r="V26" i="1"/>
  <c r="X27" i="1"/>
  <c r="U42" i="1"/>
  <c r="U44" i="1" s="1"/>
  <c r="S28" i="1"/>
  <c r="S30" i="1" s="1"/>
  <c r="AB25" i="1"/>
  <c r="F25" i="1" s="1"/>
  <c r="T25" i="1"/>
  <c r="X36" i="1"/>
  <c r="T23" i="1"/>
  <c r="U19" i="1"/>
  <c r="AA14" i="1"/>
  <c r="V17" i="1"/>
  <c r="T21" i="1"/>
  <c r="U16" i="1"/>
  <c r="AB26" i="1"/>
  <c r="Z41" i="1"/>
  <c r="T35" i="1"/>
  <c r="T39" i="1" s="1"/>
  <c r="T46" i="1" s="1"/>
  <c r="W24" i="1"/>
  <c r="R10" i="2"/>
  <c r="S11" i="2"/>
  <c r="S10" i="1"/>
  <c r="T10" i="1"/>
  <c r="U11" i="1"/>
  <c r="CB11" i="5" l="1"/>
  <c r="CA10" i="5"/>
  <c r="P41" i="3"/>
  <c r="Q41" i="3" s="1"/>
  <c r="R41" i="3" s="1"/>
  <c r="S41" i="3" s="1"/>
  <c r="T41" i="3" s="1"/>
  <c r="U41" i="3" s="1"/>
  <c r="V41" i="3" s="1"/>
  <c r="W41" i="3" s="1"/>
  <c r="X41" i="3" s="1"/>
  <c r="Y41" i="3" s="1"/>
  <c r="Z41" i="3" s="1"/>
  <c r="AA41" i="3" s="1"/>
  <c r="AB41" i="3" s="1"/>
  <c r="AC41" i="3" s="1"/>
  <c r="AD41" i="3" s="1"/>
  <c r="AE41" i="3" s="1"/>
  <c r="AF41" i="3" s="1"/>
  <c r="AG41" i="3" s="1"/>
  <c r="AH41" i="3" s="1"/>
  <c r="AI41" i="3" s="1"/>
  <c r="AJ41" i="3" s="1"/>
  <c r="AK41" i="3" s="1"/>
  <c r="AL41" i="3" s="1"/>
  <c r="AM41" i="3" s="1"/>
  <c r="AN41" i="3" s="1"/>
  <c r="AO41" i="3" s="1"/>
  <c r="AP41" i="3" s="1"/>
  <c r="AQ41" i="3" s="1"/>
  <c r="AR41" i="3" s="1"/>
  <c r="AS41" i="3" s="1"/>
  <c r="AT41" i="3" s="1"/>
  <c r="AU41" i="3" s="1"/>
  <c r="AV41" i="3" s="1"/>
  <c r="AW41" i="3" s="1"/>
  <c r="AX41" i="3" s="1"/>
  <c r="O127" i="3"/>
  <c r="P125" i="3" s="1"/>
  <c r="S48" i="1"/>
  <c r="P126" i="3"/>
  <c r="O39" i="3"/>
  <c r="P39" i="3" s="1"/>
  <c r="W34" i="1"/>
  <c r="P131" i="3"/>
  <c r="Q129" i="3" s="1"/>
  <c r="Q131" i="3" s="1"/>
  <c r="R129" i="3" s="1"/>
  <c r="R131" i="3" s="1"/>
  <c r="S129" i="3" s="1"/>
  <c r="S131" i="3" s="1"/>
  <c r="T129" i="3" s="1"/>
  <c r="T131" i="3" s="1"/>
  <c r="U129" i="3" s="1"/>
  <c r="U131" i="3" s="1"/>
  <c r="V129" i="3" s="1"/>
  <c r="V131" i="3" s="1"/>
  <c r="W129" i="3" s="1"/>
  <c r="W131" i="3" s="1"/>
  <c r="X129" i="3" s="1"/>
  <c r="X131" i="3" s="1"/>
  <c r="Y129" i="3" s="1"/>
  <c r="Y131" i="3" s="1"/>
  <c r="Z129" i="3" s="1"/>
  <c r="Z131" i="3" s="1"/>
  <c r="AA129" i="3" s="1"/>
  <c r="AA131" i="3" s="1"/>
  <c r="AB129" i="3" s="1"/>
  <c r="AB131" i="3" s="1"/>
  <c r="AC129" i="3" s="1"/>
  <c r="AC131" i="3" s="1"/>
  <c r="AD129" i="3" s="1"/>
  <c r="AD131" i="3" s="1"/>
  <c r="AE129" i="3" s="1"/>
  <c r="AE131" i="3" s="1"/>
  <c r="AF129" i="3" s="1"/>
  <c r="AF131" i="3" s="1"/>
  <c r="AG129" i="3" s="1"/>
  <c r="AG131" i="3" s="1"/>
  <c r="AH129" i="3" s="1"/>
  <c r="AH131" i="3" s="1"/>
  <c r="AI129" i="3" s="1"/>
  <c r="AI131" i="3" s="1"/>
  <c r="AJ129" i="3" s="1"/>
  <c r="AJ131" i="3" s="1"/>
  <c r="AK129" i="3" s="1"/>
  <c r="AK131" i="3" s="1"/>
  <c r="AL129" i="3" s="1"/>
  <c r="AL131" i="3" s="1"/>
  <c r="AM129" i="3" s="1"/>
  <c r="AM131" i="3" s="1"/>
  <c r="AN129" i="3" s="1"/>
  <c r="AN131" i="3" s="1"/>
  <c r="AO129" i="3" s="1"/>
  <c r="AO131" i="3" s="1"/>
  <c r="AP129" i="3" s="1"/>
  <c r="AP131" i="3" s="1"/>
  <c r="AQ129" i="3" s="1"/>
  <c r="AQ131" i="3" s="1"/>
  <c r="AR129" i="3" s="1"/>
  <c r="AR131" i="3" s="1"/>
  <c r="AS129" i="3" s="1"/>
  <c r="AS131" i="3" s="1"/>
  <c r="AT129" i="3" s="1"/>
  <c r="AT131" i="3" s="1"/>
  <c r="AU129" i="3" s="1"/>
  <c r="AU131" i="3" s="1"/>
  <c r="AV129" i="3" s="1"/>
  <c r="AV131" i="3" s="1"/>
  <c r="AW129" i="3" s="1"/>
  <c r="AW131" i="3" s="1"/>
  <c r="AX129" i="3" s="1"/>
  <c r="AX131" i="3" s="1"/>
  <c r="U21" i="1"/>
  <c r="S61" i="3"/>
  <c r="AF19" i="1"/>
  <c r="AJ20" i="5" s="1"/>
  <c r="Q86" i="3"/>
  <c r="AD25" i="1"/>
  <c r="Q59" i="3"/>
  <c r="AD26" i="1"/>
  <c r="AH28" i="5" s="1"/>
  <c r="S77" i="3"/>
  <c r="F26" i="1"/>
  <c r="AG28" i="5"/>
  <c r="Y27" i="1"/>
  <c r="V42" i="1"/>
  <c r="V44" i="1" s="1"/>
  <c r="Y36" i="1"/>
  <c r="V16" i="1"/>
  <c r="U35" i="1"/>
  <c r="U39" i="1" s="1"/>
  <c r="U46" i="1" s="1"/>
  <c r="O94" i="3"/>
  <c r="AA41" i="1"/>
  <c r="T28" i="1"/>
  <c r="T30" i="1" s="1"/>
  <c r="T48" i="1" s="1"/>
  <c r="U25" i="1"/>
  <c r="W17" i="1"/>
  <c r="U23" i="1"/>
  <c r="AB14" i="1"/>
  <c r="AG38" i="5"/>
  <c r="P38" i="5" s="1"/>
  <c r="Q21" i="7" s="1"/>
  <c r="X34" i="1"/>
  <c r="X24" i="1"/>
  <c r="V19" i="1"/>
  <c r="S10" i="2"/>
  <c r="T11" i="2"/>
  <c r="V11" i="1"/>
  <c r="U10" i="1"/>
  <c r="CB10" i="5" l="1"/>
  <c r="CC11" i="5"/>
  <c r="Q126" i="3"/>
  <c r="R126" i="3" s="1"/>
  <c r="S126" i="3" s="1"/>
  <c r="T126" i="3" s="1"/>
  <c r="U126" i="3" s="1"/>
  <c r="V126" i="3" s="1"/>
  <c r="W126" i="3" s="1"/>
  <c r="X126" i="3" s="1"/>
  <c r="Y126" i="3" s="1"/>
  <c r="Z126" i="3" s="1"/>
  <c r="AA126" i="3" s="1"/>
  <c r="AB126" i="3" s="1"/>
  <c r="AC126" i="3" s="1"/>
  <c r="AD126" i="3" s="1"/>
  <c r="AE126" i="3" s="1"/>
  <c r="AF126" i="3" s="1"/>
  <c r="AG126" i="3" s="1"/>
  <c r="AH126" i="3" s="1"/>
  <c r="AI126" i="3" s="1"/>
  <c r="AJ126" i="3" s="1"/>
  <c r="AK126" i="3" s="1"/>
  <c r="AL126" i="3" s="1"/>
  <c r="P127" i="3"/>
  <c r="Q125" i="3" s="1"/>
  <c r="Q127" i="3" s="1"/>
  <c r="R125" i="3" s="1"/>
  <c r="V21" i="1"/>
  <c r="R59" i="3"/>
  <c r="AF26" i="1" s="1"/>
  <c r="AE26" i="1"/>
  <c r="AI28" i="5" s="1"/>
  <c r="P94" i="3"/>
  <c r="AC41" i="1"/>
  <c r="T77" i="3"/>
  <c r="AE25" i="1"/>
  <c r="R86" i="3"/>
  <c r="T61" i="3"/>
  <c r="AG19" i="1"/>
  <c r="AK20" i="5" s="1"/>
  <c r="W42" i="1"/>
  <c r="W44" i="1" s="1"/>
  <c r="Z27" i="1"/>
  <c r="V23" i="1"/>
  <c r="X17" i="1"/>
  <c r="F14" i="1"/>
  <c r="W16" i="1"/>
  <c r="W19" i="1"/>
  <c r="Y24" i="1"/>
  <c r="Z36" i="1"/>
  <c r="U28" i="1"/>
  <c r="U30" i="1" s="1"/>
  <c r="U48" i="1" s="1"/>
  <c r="Y34" i="1"/>
  <c r="V25" i="1"/>
  <c r="V35" i="1"/>
  <c r="V39" i="1" s="1"/>
  <c r="V46" i="1" s="1"/>
  <c r="AB41" i="1"/>
  <c r="T10" i="2"/>
  <c r="U11" i="2"/>
  <c r="W11" i="1"/>
  <c r="V10" i="1"/>
  <c r="P28" i="5" l="1"/>
  <c r="S23" i="5"/>
  <c r="Q23" i="5"/>
  <c r="R23" i="5"/>
  <c r="CC10" i="5"/>
  <c r="CD11" i="5"/>
  <c r="P23" i="5"/>
  <c r="F14" i="6"/>
  <c r="F23" i="7"/>
  <c r="F40" i="5"/>
  <c r="Q39" i="3"/>
  <c r="R39" i="3" s="1"/>
  <c r="S39" i="3" s="1"/>
  <c r="T39" i="3" s="1"/>
  <c r="U39" i="3" s="1"/>
  <c r="V39" i="3" s="1"/>
  <c r="W39" i="3" s="1"/>
  <c r="X39" i="3" s="1"/>
  <c r="Y39" i="3" s="1"/>
  <c r="Z39" i="3" s="1"/>
  <c r="AA39" i="3" s="1"/>
  <c r="AB39" i="3" s="1"/>
  <c r="AC39" i="3" s="1"/>
  <c r="AD39" i="3" s="1"/>
  <c r="AE39" i="3" s="1"/>
  <c r="AF39" i="3" s="1"/>
  <c r="AG39" i="3" s="1"/>
  <c r="AH39" i="3" s="1"/>
  <c r="AI39" i="3" s="1"/>
  <c r="AJ39" i="3" s="1"/>
  <c r="AK39" i="3" s="1"/>
  <c r="AL39" i="3" s="1"/>
  <c r="AM39" i="3" s="1"/>
  <c r="AN39" i="3" s="1"/>
  <c r="AO39" i="3" s="1"/>
  <c r="AP39" i="3" s="1"/>
  <c r="AQ39" i="3" s="1"/>
  <c r="AR39" i="3" s="1"/>
  <c r="AS39" i="3" s="1"/>
  <c r="AT39" i="3" s="1"/>
  <c r="AU39" i="3" s="1"/>
  <c r="AV39" i="3" s="1"/>
  <c r="AW39" i="3" s="1"/>
  <c r="AX39" i="3" s="1"/>
  <c r="AG33" i="5"/>
  <c r="U61" i="3"/>
  <c r="AH19" i="1"/>
  <c r="AL20" i="5" s="1"/>
  <c r="S86" i="3"/>
  <c r="AF25" i="1"/>
  <c r="Q94" i="3"/>
  <c r="AD41" i="1"/>
  <c r="AH33" i="5" s="1"/>
  <c r="S59" i="3"/>
  <c r="AJ28" i="5"/>
  <c r="U77" i="3"/>
  <c r="O109" i="3"/>
  <c r="P109" i="3" s="1"/>
  <c r="Q109" i="3" s="1"/>
  <c r="R109" i="3" s="1"/>
  <c r="S109" i="3" s="1"/>
  <c r="T109" i="3" s="1"/>
  <c r="U109" i="3" s="1"/>
  <c r="V109" i="3" s="1"/>
  <c r="W109" i="3" s="1"/>
  <c r="X109" i="3" s="1"/>
  <c r="Y109" i="3" s="1"/>
  <c r="Z109" i="3" s="1"/>
  <c r="AA109" i="3" s="1"/>
  <c r="AB109" i="3" s="1"/>
  <c r="AC109" i="3" s="1"/>
  <c r="AD109" i="3" s="1"/>
  <c r="AE109" i="3" s="1"/>
  <c r="AF109" i="3" s="1"/>
  <c r="AG109" i="3" s="1"/>
  <c r="AH109" i="3" s="1"/>
  <c r="AI109" i="3" s="1"/>
  <c r="AJ109" i="3" s="1"/>
  <c r="AK109" i="3" s="1"/>
  <c r="AL109" i="3" s="1"/>
  <c r="AM109" i="3" s="1"/>
  <c r="AN109" i="3" s="1"/>
  <c r="AO109" i="3" s="1"/>
  <c r="AP109" i="3" s="1"/>
  <c r="AQ109" i="3" s="1"/>
  <c r="AR109" i="3" s="1"/>
  <c r="AS109" i="3" s="1"/>
  <c r="AT109" i="3" s="1"/>
  <c r="AU109" i="3" s="1"/>
  <c r="AV109" i="3" s="1"/>
  <c r="AW109" i="3" s="1"/>
  <c r="AX109" i="3" s="1"/>
  <c r="AA27" i="1"/>
  <c r="X42" i="1"/>
  <c r="X44" i="1" s="1"/>
  <c r="F41" i="1"/>
  <c r="O87" i="3"/>
  <c r="AA36" i="1"/>
  <c r="W35" i="1"/>
  <c r="W39" i="1" s="1"/>
  <c r="W46" i="1" s="1"/>
  <c r="Y17" i="1"/>
  <c r="V28" i="1"/>
  <c r="V30" i="1" s="1"/>
  <c r="V48" i="1" s="1"/>
  <c r="W21" i="1"/>
  <c r="W23" i="1"/>
  <c r="Z34" i="1"/>
  <c r="Z24" i="1"/>
  <c r="W25" i="1"/>
  <c r="X19" i="1"/>
  <c r="X16" i="1"/>
  <c r="U10" i="2"/>
  <c r="V11" i="2"/>
  <c r="X11" i="1"/>
  <c r="W10" i="1"/>
  <c r="Q20" i="5" l="1"/>
  <c r="CD10" i="5"/>
  <c r="CE11" i="5"/>
  <c r="R127" i="3"/>
  <c r="S125" i="3" s="1"/>
  <c r="T86" i="3"/>
  <c r="R94" i="3"/>
  <c r="AE41" i="1"/>
  <c r="AI33" i="5" s="1"/>
  <c r="P87" i="3"/>
  <c r="AC36" i="1"/>
  <c r="AG32" i="5" s="1"/>
  <c r="AG25" i="1"/>
  <c r="V77" i="3"/>
  <c r="V61" i="3"/>
  <c r="AI19" i="1"/>
  <c r="AM20" i="5" s="1"/>
  <c r="T59" i="3"/>
  <c r="AG26" i="1"/>
  <c r="AK28" i="5" s="1"/>
  <c r="AB27" i="1"/>
  <c r="F27" i="1" s="1"/>
  <c r="O58" i="3"/>
  <c r="Y42" i="1"/>
  <c r="Y44" i="1" s="1"/>
  <c r="X21" i="1"/>
  <c r="Y16" i="1"/>
  <c r="X35" i="1"/>
  <c r="X39" i="1" s="1"/>
  <c r="X46" i="1" s="1"/>
  <c r="Y19" i="1"/>
  <c r="AA34" i="1"/>
  <c r="AB36" i="1"/>
  <c r="F36" i="1" s="1"/>
  <c r="W28" i="1"/>
  <c r="W30" i="1" s="1"/>
  <c r="W48" i="1" s="1"/>
  <c r="X23" i="1"/>
  <c r="X28" i="1" s="1"/>
  <c r="O78" i="3"/>
  <c r="AA24" i="1"/>
  <c r="O50" i="3"/>
  <c r="Z17" i="1"/>
  <c r="V10" i="2"/>
  <c r="W11" i="2"/>
  <c r="Y11" i="1"/>
  <c r="X10" i="1"/>
  <c r="P33" i="5" l="1"/>
  <c r="CF11" i="5"/>
  <c r="CE10" i="5"/>
  <c r="AG34" i="5"/>
  <c r="W77" i="3"/>
  <c r="AH25" i="1"/>
  <c r="U86" i="3"/>
  <c r="U59" i="3"/>
  <c r="AH26" i="1"/>
  <c r="AL28" i="5" s="1"/>
  <c r="P50" i="3"/>
  <c r="AC24" i="1"/>
  <c r="S94" i="3"/>
  <c r="AF41" i="1"/>
  <c r="AJ33" i="5" s="1"/>
  <c r="P78" i="3"/>
  <c r="P58" i="3"/>
  <c r="AC27" i="1"/>
  <c r="W61" i="3"/>
  <c r="AJ19" i="1"/>
  <c r="AN20" i="5" s="1"/>
  <c r="Q87" i="3"/>
  <c r="AD36" i="1"/>
  <c r="AH32" i="5" s="1"/>
  <c r="Z42" i="1"/>
  <c r="Z44" i="1" s="1"/>
  <c r="X30" i="1"/>
  <c r="X48" i="1" s="1"/>
  <c r="Y6" i="2"/>
  <c r="AB34" i="1"/>
  <c r="Z19" i="1"/>
  <c r="Y23" i="1"/>
  <c r="Y28" i="1" s="1"/>
  <c r="Y35" i="1"/>
  <c r="Y39" i="1" s="1"/>
  <c r="Y46" i="1" s="1"/>
  <c r="Z16" i="1"/>
  <c r="AA17" i="1"/>
  <c r="AB24" i="1"/>
  <c r="F24" i="1" s="1"/>
  <c r="Y21" i="1"/>
  <c r="W10" i="2"/>
  <c r="X11" i="2"/>
  <c r="Z11" i="1"/>
  <c r="Y10" i="1"/>
  <c r="Q28" i="5" l="1"/>
  <c r="AH34" i="5"/>
  <c r="CF10" i="5"/>
  <c r="CG11" i="5"/>
  <c r="S127" i="3"/>
  <c r="T125" i="3" s="1"/>
  <c r="X61" i="3"/>
  <c r="AK19" i="1"/>
  <c r="AO20" i="5" s="1"/>
  <c r="T94" i="3"/>
  <c r="AG41" i="1"/>
  <c r="AK33" i="5" s="1"/>
  <c r="V59" i="3"/>
  <c r="AI26" i="1"/>
  <c r="AM28" i="5" s="1"/>
  <c r="Q58" i="3"/>
  <c r="AD27" i="1"/>
  <c r="AI25" i="1"/>
  <c r="Q78" i="3"/>
  <c r="R87" i="3"/>
  <c r="AE36" i="1"/>
  <c r="AI32" i="5" s="1"/>
  <c r="Q50" i="3"/>
  <c r="AD24" i="1"/>
  <c r="V86" i="3"/>
  <c r="X77" i="3"/>
  <c r="Y355" i="2"/>
  <c r="Y357" i="2" s="1"/>
  <c r="Y319" i="2"/>
  <c r="Y30" i="1"/>
  <c r="Y48" i="1" s="1"/>
  <c r="AA42" i="1"/>
  <c r="AA44" i="1" s="1"/>
  <c r="AA16" i="1"/>
  <c r="Z23" i="1"/>
  <c r="Z28" i="1" s="1"/>
  <c r="AA19" i="1"/>
  <c r="Z35" i="1"/>
  <c r="Z39" i="1" s="1"/>
  <c r="Z46" i="1" s="1"/>
  <c r="AB17" i="1"/>
  <c r="F34" i="1"/>
  <c r="F22" i="6" s="1"/>
  <c r="Z21" i="1"/>
  <c r="X10" i="2"/>
  <c r="Y11" i="2"/>
  <c r="AA11" i="1"/>
  <c r="Z10" i="1"/>
  <c r="R20" i="5" l="1"/>
  <c r="AI34" i="5"/>
  <c r="CH11" i="5"/>
  <c r="CG10" i="5"/>
  <c r="P32" i="5"/>
  <c r="P34" i="5" s="1"/>
  <c r="Q18" i="7" s="1"/>
  <c r="T127" i="3"/>
  <c r="U125" i="3" s="1"/>
  <c r="W86" i="3"/>
  <c r="S87" i="3"/>
  <c r="AF36" i="1"/>
  <c r="AJ32" i="5" s="1"/>
  <c r="R58" i="3"/>
  <c r="AE27" i="1"/>
  <c r="W59" i="3"/>
  <c r="AJ26" i="1"/>
  <c r="AN28" i="5" s="1"/>
  <c r="U94" i="3"/>
  <c r="AH41" i="1"/>
  <c r="AL33" i="5" s="1"/>
  <c r="AJ25" i="1"/>
  <c r="R50" i="3"/>
  <c r="AE24" i="1"/>
  <c r="R78" i="3"/>
  <c r="Y77" i="3"/>
  <c r="Y61" i="3"/>
  <c r="AL19" i="1"/>
  <c r="AP20" i="5" s="1"/>
  <c r="F17" i="1"/>
  <c r="O37" i="3"/>
  <c r="Z30" i="1"/>
  <c r="Z48" i="1" s="1"/>
  <c r="AB19" i="1"/>
  <c r="O79" i="3"/>
  <c r="AA35" i="1"/>
  <c r="AA39" i="1" s="1"/>
  <c r="AA46" i="1" s="1"/>
  <c r="AA23" i="1"/>
  <c r="AA28" i="1" s="1"/>
  <c r="AA21" i="1"/>
  <c r="AB16" i="1"/>
  <c r="Z11" i="2"/>
  <c r="Y10" i="2"/>
  <c r="AB11" i="1"/>
  <c r="AA10" i="1"/>
  <c r="Q33" i="5" l="1"/>
  <c r="CH10" i="5"/>
  <c r="CI11" i="5"/>
  <c r="AJ34" i="5"/>
  <c r="Z207" i="2"/>
  <c r="S78" i="3"/>
  <c r="AK25" i="1"/>
  <c r="X59" i="3"/>
  <c r="AK26" i="1"/>
  <c r="AO28" i="5" s="1"/>
  <c r="S58" i="3"/>
  <c r="AF27" i="1"/>
  <c r="V94" i="3"/>
  <c r="AI41" i="1"/>
  <c r="AM33" i="5" s="1"/>
  <c r="Z61" i="3"/>
  <c r="AM19" i="1"/>
  <c r="AQ20" i="5" s="1"/>
  <c r="X86" i="3"/>
  <c r="S50" i="3"/>
  <c r="AF24" i="1"/>
  <c r="P79" i="3"/>
  <c r="AC35" i="1"/>
  <c r="P37" i="3"/>
  <c r="T87" i="3"/>
  <c r="AG36" i="1"/>
  <c r="AK32" i="5" s="1"/>
  <c r="Z77" i="3"/>
  <c r="F19" i="1"/>
  <c r="AG20" i="5"/>
  <c r="Y4" i="2"/>
  <c r="Y84" i="2" s="1"/>
  <c r="Z206" i="2"/>
  <c r="AA30" i="1"/>
  <c r="AA48" i="1" s="1"/>
  <c r="F16" i="1"/>
  <c r="AB21" i="1"/>
  <c r="AB23" i="1"/>
  <c r="AB35" i="1"/>
  <c r="AA11" i="2"/>
  <c r="Z10" i="2"/>
  <c r="AB10" i="1"/>
  <c r="AC11" i="1"/>
  <c r="O5" i="3" s="1"/>
  <c r="AK34" i="5" l="1"/>
  <c r="R28" i="5"/>
  <c r="P20" i="5"/>
  <c r="CI10" i="5"/>
  <c r="CJ11" i="5"/>
  <c r="AA207" i="2"/>
  <c r="F21" i="1"/>
  <c r="F15" i="6" s="1"/>
  <c r="U127" i="3"/>
  <c r="V125" i="3" s="1"/>
  <c r="AG22" i="5"/>
  <c r="Q79" i="3"/>
  <c r="AD35" i="1"/>
  <c r="AH22" i="5" s="1"/>
  <c r="T50" i="3"/>
  <c r="AG24" i="1"/>
  <c r="Y86" i="3"/>
  <c r="AA61" i="3"/>
  <c r="AN19" i="1"/>
  <c r="Q37" i="3"/>
  <c r="W94" i="3"/>
  <c r="AJ41" i="1"/>
  <c r="AN33" i="5" s="1"/>
  <c r="T58" i="3"/>
  <c r="AG27" i="1"/>
  <c r="Y59" i="3"/>
  <c r="AL26" i="1"/>
  <c r="AP28" i="5" s="1"/>
  <c r="AA77" i="3"/>
  <c r="AL25" i="1"/>
  <c r="U87" i="3"/>
  <c r="AH36" i="1"/>
  <c r="AL32" i="5" s="1"/>
  <c r="T78" i="3"/>
  <c r="Z48" i="2"/>
  <c r="Z30" i="2"/>
  <c r="Y86" i="2"/>
  <c r="AA206" i="2"/>
  <c r="AA319" i="2"/>
  <c r="Z337" i="2" s="1"/>
  <c r="Z319" i="2"/>
  <c r="F35" i="1"/>
  <c r="F39" i="1" s="1"/>
  <c r="AB39" i="1"/>
  <c r="F23" i="1"/>
  <c r="F28" i="1" s="1"/>
  <c r="F17" i="6" s="1"/>
  <c r="AB28" i="1"/>
  <c r="AB30" i="1" s="1"/>
  <c r="AB11" i="2"/>
  <c r="AA10" i="2"/>
  <c r="AD11" i="1"/>
  <c r="P5" i="3" s="1"/>
  <c r="AC10" i="1"/>
  <c r="AL34" i="5" l="1"/>
  <c r="CJ10" i="5"/>
  <c r="CK11" i="5"/>
  <c r="Q32" i="5"/>
  <c r="Q34" i="5" s="1"/>
  <c r="R18" i="7" s="1"/>
  <c r="F23" i="6"/>
  <c r="AB207" i="2"/>
  <c r="AB337" i="2"/>
  <c r="F30" i="1"/>
  <c r="G19" i="1"/>
  <c r="AR20" i="5"/>
  <c r="Z59" i="3"/>
  <c r="AM26" i="1"/>
  <c r="AQ28" i="5" s="1"/>
  <c r="AB77" i="3"/>
  <c r="U58" i="3"/>
  <c r="AH27" i="1"/>
  <c r="X94" i="3"/>
  <c r="AK41" i="1"/>
  <c r="AO33" i="5" s="1"/>
  <c r="R37" i="3"/>
  <c r="AB61" i="3"/>
  <c r="AO19" i="1"/>
  <c r="AS20" i="5" s="1"/>
  <c r="U78" i="3"/>
  <c r="Z86" i="3"/>
  <c r="V87" i="3"/>
  <c r="AI36" i="1"/>
  <c r="AM32" i="5" s="1"/>
  <c r="U50" i="3"/>
  <c r="AH24" i="1"/>
  <c r="AM25" i="1"/>
  <c r="R79" i="3"/>
  <c r="AE35" i="1"/>
  <c r="AI22" i="5" s="1"/>
  <c r="Z84" i="2"/>
  <c r="AA30" i="2" s="1"/>
  <c r="AA84" i="2" s="1"/>
  <c r="AB30" i="2" s="1"/>
  <c r="Z32" i="2"/>
  <c r="Z355" i="2"/>
  <c r="AB206" i="2"/>
  <c r="AB319" i="2"/>
  <c r="AA337" i="2"/>
  <c r="Z332" i="2"/>
  <c r="Z335" i="2"/>
  <c r="Z333" i="2"/>
  <c r="Z334" i="2"/>
  <c r="Z336" i="2"/>
  <c r="Z329" i="2"/>
  <c r="Z328" i="2"/>
  <c r="Z331" i="2"/>
  <c r="Z326" i="2"/>
  <c r="AC11" i="2"/>
  <c r="AB10" i="2"/>
  <c r="AE11" i="1"/>
  <c r="Q5" i="3" s="1"/>
  <c r="AD10" i="1"/>
  <c r="R33" i="5" l="1"/>
  <c r="P22" i="5"/>
  <c r="CK10" i="5"/>
  <c r="CL11" i="5"/>
  <c r="G20" i="5"/>
  <c r="S20" i="5"/>
  <c r="AM34" i="5"/>
  <c r="F18" i="6"/>
  <c r="AC207" i="2"/>
  <c r="V127" i="3"/>
  <c r="W125" i="3" s="1"/>
  <c r="AA355" i="2"/>
  <c r="AB355" i="2" s="1"/>
  <c r="AA86" i="3"/>
  <c r="V78" i="3"/>
  <c r="AC61" i="3"/>
  <c r="AP19" i="1"/>
  <c r="AT20" i="5" s="1"/>
  <c r="S37" i="3"/>
  <c r="Y94" i="3"/>
  <c r="AL41" i="1"/>
  <c r="AP33" i="5" s="1"/>
  <c r="V58" i="3"/>
  <c r="AI27" i="1"/>
  <c r="S79" i="3"/>
  <c r="AF35" i="1"/>
  <c r="AJ22" i="5" s="1"/>
  <c r="AC77" i="3"/>
  <c r="AN25" i="1"/>
  <c r="G25" i="1" s="1"/>
  <c r="W87" i="3"/>
  <c r="AJ36" i="1"/>
  <c r="AN32" i="5" s="1"/>
  <c r="V50" i="3"/>
  <c r="AI24" i="1"/>
  <c r="AA59" i="3"/>
  <c r="AN26" i="1"/>
  <c r="AC337" i="2"/>
  <c r="AC206" i="2"/>
  <c r="AC319" i="2"/>
  <c r="AB84" i="2"/>
  <c r="AC30" i="2" s="1"/>
  <c r="AD11" i="2"/>
  <c r="AC10" i="2"/>
  <c r="AF11" i="1"/>
  <c r="R5" i="3" s="1"/>
  <c r="AE10" i="1"/>
  <c r="AN34" i="5" l="1"/>
  <c r="CM11" i="5"/>
  <c r="CL10" i="5"/>
  <c r="AD207" i="2"/>
  <c r="G26" i="1"/>
  <c r="AR28" i="5"/>
  <c r="AO25" i="1"/>
  <c r="AD77" i="3"/>
  <c r="X87" i="3"/>
  <c r="AK36" i="1"/>
  <c r="AO32" i="5" s="1"/>
  <c r="T79" i="3"/>
  <c r="AG35" i="1"/>
  <c r="AK22" i="5" s="1"/>
  <c r="W58" i="3"/>
  <c r="AJ27" i="1"/>
  <c r="Z94" i="3"/>
  <c r="AM41" i="1"/>
  <c r="AQ33" i="5" s="1"/>
  <c r="T37" i="3"/>
  <c r="AB59" i="3"/>
  <c r="AO26" i="1"/>
  <c r="AS28" i="5" s="1"/>
  <c r="AD61" i="3"/>
  <c r="AQ19" i="1"/>
  <c r="W50" i="3"/>
  <c r="AJ24" i="1"/>
  <c r="W78" i="3"/>
  <c r="AB86" i="3"/>
  <c r="AC84" i="2"/>
  <c r="AD30" i="2" s="1"/>
  <c r="AC355" i="2"/>
  <c r="AD337" i="2"/>
  <c r="AD206" i="2"/>
  <c r="AD319" i="2"/>
  <c r="AE11" i="2"/>
  <c r="AD10" i="2"/>
  <c r="AG11" i="1"/>
  <c r="S5" i="3" s="1"/>
  <c r="AF10" i="1"/>
  <c r="AO34" i="5" l="1"/>
  <c r="AU20" i="5"/>
  <c r="CN11" i="5"/>
  <c r="CM10" i="5"/>
  <c r="G28" i="5"/>
  <c r="S28" i="5"/>
  <c r="R32" i="5"/>
  <c r="R34" i="5" s="1"/>
  <c r="S18" i="7" s="1"/>
  <c r="AE207" i="2"/>
  <c r="W127" i="3"/>
  <c r="X125" i="3" s="1"/>
  <c r="AE61" i="3"/>
  <c r="AR19" i="1"/>
  <c r="AV20" i="5" s="1"/>
  <c r="AC59" i="3"/>
  <c r="AP26" i="1"/>
  <c r="AT28" i="5" s="1"/>
  <c r="U37" i="3"/>
  <c r="AA94" i="3"/>
  <c r="AN41" i="1"/>
  <c r="X58" i="3"/>
  <c r="AK27" i="1"/>
  <c r="X50" i="3"/>
  <c r="AK24" i="1"/>
  <c r="U79" i="3"/>
  <c r="AH35" i="1"/>
  <c r="AL22" i="5" s="1"/>
  <c r="AC86" i="3"/>
  <c r="Y87" i="3"/>
  <c r="AL36" i="1"/>
  <c r="AP32" i="5" s="1"/>
  <c r="AE77" i="3"/>
  <c r="X78" i="3"/>
  <c r="AP25" i="1"/>
  <c r="AD355" i="2"/>
  <c r="AE337" i="2"/>
  <c r="AD84" i="2"/>
  <c r="AE30" i="2" s="1"/>
  <c r="AE206" i="2"/>
  <c r="AE319" i="2"/>
  <c r="AF11" i="2"/>
  <c r="AE10" i="2"/>
  <c r="AH11" i="1"/>
  <c r="T5" i="3" s="1"/>
  <c r="AG10" i="1"/>
  <c r="Q22" i="5" l="1"/>
  <c r="CN10" i="5"/>
  <c r="CO11" i="5"/>
  <c r="AP34" i="5"/>
  <c r="AF207" i="2"/>
  <c r="G41" i="1"/>
  <c r="AR33" i="5"/>
  <c r="Z87" i="3"/>
  <c r="AM36" i="1"/>
  <c r="AQ32" i="5" s="1"/>
  <c r="AD86" i="3"/>
  <c r="V79" i="3"/>
  <c r="AI35" i="1"/>
  <c r="AM22" i="5" s="1"/>
  <c r="Y50" i="3"/>
  <c r="AL24" i="1"/>
  <c r="Y58" i="3"/>
  <c r="AL27" i="1"/>
  <c r="AB94" i="3"/>
  <c r="AO41" i="1"/>
  <c r="AS33" i="5" s="1"/>
  <c r="AQ25" i="1"/>
  <c r="V37" i="3"/>
  <c r="Y78" i="3"/>
  <c r="AD59" i="3"/>
  <c r="AQ26" i="1"/>
  <c r="AF77" i="3"/>
  <c r="AF61" i="3"/>
  <c r="AS19" i="1"/>
  <c r="AW20" i="5" s="1"/>
  <c r="AE84" i="2"/>
  <c r="AF30" i="2" s="1"/>
  <c r="AE355" i="2"/>
  <c r="AF206" i="2"/>
  <c r="AF319" i="2"/>
  <c r="AF337" i="2"/>
  <c r="AF10" i="2"/>
  <c r="AG11" i="2"/>
  <c r="AH10" i="1"/>
  <c r="AI11" i="1"/>
  <c r="U5" i="3" s="1"/>
  <c r="AQ34" i="5" l="1"/>
  <c r="AU28" i="5"/>
  <c r="CO10" i="5"/>
  <c r="CP11" i="5"/>
  <c r="G33" i="5"/>
  <c r="S33" i="5"/>
  <c r="AG207" i="2"/>
  <c r="X127" i="3"/>
  <c r="Y125" i="3" s="1"/>
  <c r="Z78" i="3"/>
  <c r="W37" i="3"/>
  <c r="AR25" i="1"/>
  <c r="AC94" i="3"/>
  <c r="AP41" i="1"/>
  <c r="AT33" i="5" s="1"/>
  <c r="Z58" i="3"/>
  <c r="AM27" i="1"/>
  <c r="Z50" i="3"/>
  <c r="AM24" i="1"/>
  <c r="AG61" i="3"/>
  <c r="AT19" i="1"/>
  <c r="AX20" i="5" s="1"/>
  <c r="W79" i="3"/>
  <c r="AJ35" i="1"/>
  <c r="AN22" i="5" s="1"/>
  <c r="AG77" i="3"/>
  <c r="AE86" i="3"/>
  <c r="AE59" i="3"/>
  <c r="AR26" i="1"/>
  <c r="AV28" i="5" s="1"/>
  <c r="AA87" i="3"/>
  <c r="AN36" i="1"/>
  <c r="AR32" i="5" s="1"/>
  <c r="AF355" i="2"/>
  <c r="AG206" i="2"/>
  <c r="AG319" i="2"/>
  <c r="AG337" i="2"/>
  <c r="AF84" i="2"/>
  <c r="AG30" i="2" s="1"/>
  <c r="AH11" i="2"/>
  <c r="AG10" i="2"/>
  <c r="AJ11" i="1"/>
  <c r="V5" i="3" s="1"/>
  <c r="AI10" i="1"/>
  <c r="CP10" i="5" l="1"/>
  <c r="CQ11" i="5"/>
  <c r="AH207" i="2"/>
  <c r="G36" i="1"/>
  <c r="Y127" i="3"/>
  <c r="Z125" i="3" s="1"/>
  <c r="AH77" i="3"/>
  <c r="X79" i="3"/>
  <c r="AK35" i="1"/>
  <c r="AO22" i="5" s="1"/>
  <c r="AH61" i="3"/>
  <c r="AU19" i="1"/>
  <c r="AY20" i="5" s="1"/>
  <c r="AA50" i="3"/>
  <c r="AN24" i="1"/>
  <c r="G24" i="1" s="1"/>
  <c r="AA58" i="3"/>
  <c r="AN27" i="1"/>
  <c r="G27" i="1" s="1"/>
  <c r="AD94" i="3"/>
  <c r="AQ41" i="1"/>
  <c r="AS25" i="1"/>
  <c r="AB87" i="3"/>
  <c r="AO36" i="1"/>
  <c r="AS32" i="5" s="1"/>
  <c r="X37" i="3"/>
  <c r="AF59" i="3"/>
  <c r="AS26" i="1"/>
  <c r="AW28" i="5" s="1"/>
  <c r="AA78" i="3"/>
  <c r="AF86" i="3"/>
  <c r="AG84" i="2"/>
  <c r="AH30" i="2" s="1"/>
  <c r="AG355" i="2"/>
  <c r="AH206" i="2"/>
  <c r="AH319" i="2"/>
  <c r="AH337" i="2"/>
  <c r="AI11" i="2"/>
  <c r="AH10" i="2"/>
  <c r="AJ10" i="1"/>
  <c r="AK11" i="1"/>
  <c r="W5" i="3" s="1"/>
  <c r="S32" i="5" l="1"/>
  <c r="S34" i="5" s="1"/>
  <c r="T18" i="7" s="1"/>
  <c r="R22" i="5"/>
  <c r="AU33" i="5"/>
  <c r="CQ10" i="5"/>
  <c r="CR11" i="5"/>
  <c r="AR34" i="5"/>
  <c r="G32" i="5"/>
  <c r="G34" i="5" s="1"/>
  <c r="G18" i="7" s="1"/>
  <c r="AS34" i="5"/>
  <c r="AI207" i="2"/>
  <c r="Z127" i="3"/>
  <c r="AA125" i="3" s="1"/>
  <c r="Y37" i="3"/>
  <c r="AC87" i="3"/>
  <c r="AP36" i="1"/>
  <c r="AT32" i="5" s="1"/>
  <c r="AG59" i="3"/>
  <c r="AT26" i="1"/>
  <c r="AX28" i="5" s="1"/>
  <c r="AT25" i="1"/>
  <c r="AE94" i="3"/>
  <c r="AR41" i="1"/>
  <c r="AV33" i="5" s="1"/>
  <c r="AB58" i="3"/>
  <c r="AO27" i="1"/>
  <c r="AB50" i="3"/>
  <c r="AO24" i="1"/>
  <c r="AI61" i="3"/>
  <c r="AV19" i="1"/>
  <c r="AZ20" i="5" s="1"/>
  <c r="AG86" i="3"/>
  <c r="Y79" i="3"/>
  <c r="AL35" i="1"/>
  <c r="AP22" i="5" s="1"/>
  <c r="AB78" i="3"/>
  <c r="AI77" i="3"/>
  <c r="AH355" i="2"/>
  <c r="AI206" i="2"/>
  <c r="AI319" i="2"/>
  <c r="AH84" i="2"/>
  <c r="AI30" i="2" s="1"/>
  <c r="AI337" i="2"/>
  <c r="AJ11" i="2"/>
  <c r="AI10" i="2"/>
  <c r="AK10" i="1"/>
  <c r="AL11" i="1"/>
  <c r="X5" i="3" s="1"/>
  <c r="AT34" i="5" l="1"/>
  <c r="CR10" i="5"/>
  <c r="CS11" i="5"/>
  <c r="AJ207" i="2"/>
  <c r="AJ61" i="3"/>
  <c r="AW19" i="1"/>
  <c r="BA20" i="5" s="1"/>
  <c r="AC50" i="3"/>
  <c r="AP24" i="1"/>
  <c r="AC58" i="3"/>
  <c r="AP27" i="1"/>
  <c r="AF94" i="3"/>
  <c r="AS41" i="1"/>
  <c r="AW33" i="5" s="1"/>
  <c r="AU25" i="1"/>
  <c r="AJ77" i="3"/>
  <c r="AH59" i="3"/>
  <c r="AU26" i="1"/>
  <c r="AY28" i="5" s="1"/>
  <c r="AC78" i="3"/>
  <c r="AD87" i="3"/>
  <c r="AQ36" i="1"/>
  <c r="AU32" i="5" s="1"/>
  <c r="AH86" i="3"/>
  <c r="Z79" i="3"/>
  <c r="AM35" i="1"/>
  <c r="AQ22" i="5" s="1"/>
  <c r="Z37" i="3"/>
  <c r="AI355" i="2"/>
  <c r="AI84" i="2"/>
  <c r="AJ30" i="2" s="1"/>
  <c r="AJ206" i="2"/>
  <c r="AJ319" i="2"/>
  <c r="AJ337" i="2"/>
  <c r="AK11" i="2"/>
  <c r="AJ10" i="2"/>
  <c r="AL10" i="1"/>
  <c r="AM11" i="1"/>
  <c r="Y5" i="3" s="1"/>
  <c r="CS10" i="5" l="1"/>
  <c r="CT11" i="5"/>
  <c r="AK207" i="2"/>
  <c r="AA127" i="3"/>
  <c r="AB125" i="3" s="1"/>
  <c r="AD78" i="3"/>
  <c r="AI59" i="3"/>
  <c r="AV26" i="1"/>
  <c r="AZ28" i="5" s="1"/>
  <c r="AK77" i="3"/>
  <c r="AE87" i="3"/>
  <c r="AR36" i="1"/>
  <c r="AV32" i="5" s="1"/>
  <c r="AV25" i="1"/>
  <c r="AG94" i="3"/>
  <c r="AT41" i="1"/>
  <c r="AX33" i="5" s="1"/>
  <c r="AD58" i="3"/>
  <c r="AQ27" i="1"/>
  <c r="AA37" i="3"/>
  <c r="AD50" i="3"/>
  <c r="AQ24" i="1"/>
  <c r="AI86" i="3"/>
  <c r="AA79" i="3"/>
  <c r="AN35" i="1"/>
  <c r="AK61" i="3"/>
  <c r="AX19" i="1"/>
  <c r="AK337" i="2"/>
  <c r="AJ355" i="2"/>
  <c r="AK206" i="2"/>
  <c r="AK319" i="2"/>
  <c r="AJ84" i="2"/>
  <c r="AK30" i="2" s="1"/>
  <c r="AK10" i="2"/>
  <c r="AL11" i="2"/>
  <c r="AM10" i="1"/>
  <c r="AN11" i="1"/>
  <c r="Z5" i="3" s="1"/>
  <c r="AU34" i="5" l="1"/>
  <c r="AV34" i="5"/>
  <c r="CU11" i="5"/>
  <c r="CT10" i="5"/>
  <c r="AL207" i="2"/>
  <c r="AL77" i="3"/>
  <c r="AL61" i="3"/>
  <c r="AY19" i="1"/>
  <c r="BC20" i="5" s="1"/>
  <c r="G35" i="1"/>
  <c r="AR22" i="5"/>
  <c r="BB20" i="5"/>
  <c r="AB127" i="3"/>
  <c r="AC125" i="3" s="1"/>
  <c r="AE50" i="3"/>
  <c r="AR24" i="1"/>
  <c r="AB37" i="3"/>
  <c r="AE58" i="3"/>
  <c r="AR27" i="1"/>
  <c r="AH94" i="3"/>
  <c r="AU41" i="1"/>
  <c r="AY33" i="5" s="1"/>
  <c r="AW25" i="1"/>
  <c r="AF87" i="3"/>
  <c r="AS36" i="1"/>
  <c r="AW32" i="5" s="1"/>
  <c r="AB79" i="3"/>
  <c r="AO35" i="1"/>
  <c r="AS22" i="5" s="1"/>
  <c r="AJ59" i="3"/>
  <c r="AW26" i="1"/>
  <c r="BA28" i="5" s="1"/>
  <c r="AJ86" i="3"/>
  <c r="AE78" i="3"/>
  <c r="AK355" i="2"/>
  <c r="AK84" i="2"/>
  <c r="AL30" i="2" s="1"/>
  <c r="AL206" i="2"/>
  <c r="AL319" i="2"/>
  <c r="AL337" i="2"/>
  <c r="AL10" i="2"/>
  <c r="AM11" i="2"/>
  <c r="AN10" i="1"/>
  <c r="AO11" i="1"/>
  <c r="AA5" i="3" s="1"/>
  <c r="AW34" i="5" l="1"/>
  <c r="CV11" i="5"/>
  <c r="CU10" i="5"/>
  <c r="G22" i="5"/>
  <c r="S22" i="5"/>
  <c r="AM207" i="2"/>
  <c r="AM61" i="3"/>
  <c r="AZ19" i="1"/>
  <c r="AM77" i="3"/>
  <c r="AK59" i="3"/>
  <c r="AX26" i="1"/>
  <c r="AC79" i="3"/>
  <c r="AP35" i="1"/>
  <c r="AT22" i="5" s="1"/>
  <c r="AG87" i="3"/>
  <c r="AT36" i="1"/>
  <c r="AX32" i="5" s="1"/>
  <c r="AX25" i="1"/>
  <c r="AI94" i="3"/>
  <c r="AV41" i="1"/>
  <c r="AZ33" i="5" s="1"/>
  <c r="AF58" i="3"/>
  <c r="AS27" i="1"/>
  <c r="AC37" i="3"/>
  <c r="AK86" i="3"/>
  <c r="AF78" i="3"/>
  <c r="AF50" i="3"/>
  <c r="AS24" i="1"/>
  <c r="AL355" i="2"/>
  <c r="AM206" i="2"/>
  <c r="AM319" i="2"/>
  <c r="AM337" i="2"/>
  <c r="AL84" i="2"/>
  <c r="AM30" i="2" s="1"/>
  <c r="AM10" i="2"/>
  <c r="AN11" i="2"/>
  <c r="AP11" i="1"/>
  <c r="AB5" i="3" s="1"/>
  <c r="AO10" i="1"/>
  <c r="AX34" i="5" l="1"/>
  <c r="CV10" i="5"/>
  <c r="CW11" i="5"/>
  <c r="AN337" i="2"/>
  <c r="AN207" i="2"/>
  <c r="AY25" i="1"/>
  <c r="AN77" i="3"/>
  <c r="AL86" i="3"/>
  <c r="BD20" i="5"/>
  <c r="H19" i="1"/>
  <c r="AN61" i="3"/>
  <c r="BA19" i="1"/>
  <c r="BE20" i="5" s="1"/>
  <c r="AL59" i="3"/>
  <c r="AY26" i="1"/>
  <c r="BC28" i="5" s="1"/>
  <c r="BB28" i="5"/>
  <c r="AM355" i="2"/>
  <c r="AC127" i="3"/>
  <c r="AD125" i="3" s="1"/>
  <c r="AG78" i="3"/>
  <c r="AD37" i="3"/>
  <c r="AG50" i="3"/>
  <c r="AT24" i="1"/>
  <c r="AG58" i="3"/>
  <c r="AT27" i="1"/>
  <c r="AJ94" i="3"/>
  <c r="AW41" i="1"/>
  <c r="BA33" i="5" s="1"/>
  <c r="AH87" i="3"/>
  <c r="AU36" i="1"/>
  <c r="AY32" i="5" s="1"/>
  <c r="AD79" i="3"/>
  <c r="AQ35" i="1"/>
  <c r="AM84" i="2"/>
  <c r="AN30" i="2" s="1"/>
  <c r="AN206" i="2"/>
  <c r="AN319" i="2"/>
  <c r="AN10" i="2"/>
  <c r="AO11" i="2"/>
  <c r="AQ11" i="1"/>
  <c r="AC5" i="3" s="1"/>
  <c r="AP10" i="1"/>
  <c r="AY34" i="5" l="1"/>
  <c r="H20" i="5"/>
  <c r="AU22" i="5"/>
  <c r="CW10" i="5"/>
  <c r="CX11" i="5"/>
  <c r="AO207" i="2"/>
  <c r="AN355" i="2"/>
  <c r="AO61" i="3"/>
  <c r="BB19" i="1"/>
  <c r="BF20" i="5" s="1"/>
  <c r="AM86" i="3"/>
  <c r="AO77" i="3"/>
  <c r="AZ25" i="1"/>
  <c r="H25" i="1" s="1"/>
  <c r="AM59" i="3"/>
  <c r="AZ26" i="1"/>
  <c r="AE79" i="3"/>
  <c r="AR35" i="1"/>
  <c r="AV22" i="5" s="1"/>
  <c r="AI87" i="3"/>
  <c r="AV36" i="1"/>
  <c r="AZ32" i="5" s="1"/>
  <c r="AK94" i="3"/>
  <c r="AX41" i="1"/>
  <c r="AH58" i="3"/>
  <c r="AU27" i="1"/>
  <c r="AH50" i="3"/>
  <c r="AU24" i="1"/>
  <c r="AE37" i="3"/>
  <c r="AH78" i="3"/>
  <c r="AO337" i="2"/>
  <c r="AN84" i="2"/>
  <c r="AO30" i="2" s="1"/>
  <c r="AO206" i="2"/>
  <c r="AO319" i="2"/>
  <c r="AO10" i="2"/>
  <c r="AP11" i="2"/>
  <c r="AQ10" i="1"/>
  <c r="AR11" i="1"/>
  <c r="AD5" i="3" s="1"/>
  <c r="AZ34" i="5" l="1"/>
  <c r="CY11" i="5"/>
  <c r="CX10" i="5"/>
  <c r="AP207" i="2"/>
  <c r="BA25" i="1"/>
  <c r="AP77" i="3"/>
  <c r="AL94" i="3"/>
  <c r="AY41" i="1"/>
  <c r="BC33" i="5" s="1"/>
  <c r="AN86" i="3"/>
  <c r="AP61" i="3"/>
  <c r="BC19" i="1"/>
  <c r="BD28" i="5"/>
  <c r="H26" i="1"/>
  <c r="AN59" i="3"/>
  <c r="BA26" i="1"/>
  <c r="BB33" i="5"/>
  <c r="AD127" i="3"/>
  <c r="AE125" i="3" s="1"/>
  <c r="AI78" i="3"/>
  <c r="AF37" i="3"/>
  <c r="AI50" i="3"/>
  <c r="AV24" i="1"/>
  <c r="AI58" i="3"/>
  <c r="AV27" i="1"/>
  <c r="AJ87" i="3"/>
  <c r="AW36" i="1"/>
  <c r="BA32" i="5" s="1"/>
  <c r="AF79" i="3"/>
  <c r="AS35" i="1"/>
  <c r="AW22" i="5" s="1"/>
  <c r="AO355" i="2"/>
  <c r="AP337" i="2"/>
  <c r="AO84" i="2"/>
  <c r="AP30" i="2" s="1"/>
  <c r="AP206" i="2"/>
  <c r="AP319" i="2"/>
  <c r="AP10" i="2"/>
  <c r="AQ11" i="2"/>
  <c r="AS11" i="1"/>
  <c r="AE5" i="3" s="1"/>
  <c r="AR10" i="1"/>
  <c r="BA34" i="5" l="1"/>
  <c r="H28" i="5"/>
  <c r="BG20" i="5"/>
  <c r="CY10" i="5"/>
  <c r="CZ11" i="5"/>
  <c r="CZ10" i="5" s="1"/>
  <c r="AQ207" i="2"/>
  <c r="AQ61" i="3"/>
  <c r="BD19" i="1"/>
  <c r="BH20" i="5" s="1"/>
  <c r="AO86" i="3"/>
  <c r="AM94" i="3"/>
  <c r="AZ41" i="1"/>
  <c r="AQ77" i="3"/>
  <c r="BB25" i="1"/>
  <c r="BE28" i="5"/>
  <c r="AO59" i="3"/>
  <c r="BB26" i="1"/>
  <c r="AG79" i="3"/>
  <c r="AT35" i="1"/>
  <c r="AX22" i="5" s="1"/>
  <c r="AK87" i="3"/>
  <c r="AX36" i="1"/>
  <c r="BB32" i="5" s="1"/>
  <c r="AJ58" i="3"/>
  <c r="AW27" i="1"/>
  <c r="AJ50" i="3"/>
  <c r="AW24" i="1"/>
  <c r="AG37" i="3"/>
  <c r="AJ78" i="3"/>
  <c r="AP355" i="2"/>
  <c r="AQ206" i="2"/>
  <c r="AQ319" i="2"/>
  <c r="AQ337" i="2"/>
  <c r="AP84" i="2"/>
  <c r="AQ30" i="2" s="1"/>
  <c r="AQ10" i="2"/>
  <c r="AR11" i="2"/>
  <c r="AS10" i="1"/>
  <c r="AT11" i="1"/>
  <c r="AF5" i="3" s="1"/>
  <c r="BB34" i="5" l="1"/>
  <c r="AR207" i="2"/>
  <c r="BC25" i="1"/>
  <c r="AL87" i="3"/>
  <c r="AY36" i="1"/>
  <c r="BC32" i="5" s="1"/>
  <c r="AR77" i="3"/>
  <c r="BD33" i="5"/>
  <c r="H41" i="1"/>
  <c r="AN94" i="3"/>
  <c r="BA41" i="1"/>
  <c r="BE33" i="5" s="1"/>
  <c r="AP86" i="3"/>
  <c r="AR61" i="3"/>
  <c r="BE19" i="1"/>
  <c r="BI20" i="5" s="1"/>
  <c r="AP59" i="3"/>
  <c r="BC26" i="1"/>
  <c r="BF28" i="5"/>
  <c r="AE127" i="3"/>
  <c r="AF125" i="3" s="1"/>
  <c r="AK78" i="3"/>
  <c r="AH37" i="3"/>
  <c r="AK50" i="3"/>
  <c r="AX24" i="1"/>
  <c r="AK58" i="3"/>
  <c r="AX27" i="1"/>
  <c r="AH79" i="3"/>
  <c r="AU35" i="1"/>
  <c r="AY22" i="5" s="1"/>
  <c r="AQ355" i="2"/>
  <c r="AQ84" i="2"/>
  <c r="AR30" i="2" s="1"/>
  <c r="AR206" i="2"/>
  <c r="AR319" i="2"/>
  <c r="AR337" i="2"/>
  <c r="AR10" i="2"/>
  <c r="AS11" i="2"/>
  <c r="AU11" i="1"/>
  <c r="AG5" i="3" s="1"/>
  <c r="AT10" i="1"/>
  <c r="H33" i="5" l="1"/>
  <c r="BC34" i="5"/>
  <c r="AS207" i="2"/>
  <c r="AS61" i="3"/>
  <c r="BF19" i="1"/>
  <c r="BJ20" i="5" s="1"/>
  <c r="AL58" i="3"/>
  <c r="AY27" i="1"/>
  <c r="AQ86" i="3"/>
  <c r="AL50" i="3"/>
  <c r="AY24" i="1"/>
  <c r="AO94" i="3"/>
  <c r="BB41" i="1"/>
  <c r="BF33" i="5" s="1"/>
  <c r="AL78" i="3"/>
  <c r="AS77" i="3"/>
  <c r="AM87" i="3"/>
  <c r="AZ36" i="1"/>
  <c r="BD32" i="5" s="1"/>
  <c r="BD25" i="1"/>
  <c r="BG28" i="5"/>
  <c r="AQ59" i="3"/>
  <c r="BD26" i="1"/>
  <c r="AF127" i="3"/>
  <c r="AG125" i="3" s="1"/>
  <c r="AI79" i="3"/>
  <c r="AV35" i="1"/>
  <c r="AZ22" i="5" s="1"/>
  <c r="AI37" i="3"/>
  <c r="AS337" i="2"/>
  <c r="AR355" i="2"/>
  <c r="AR84" i="2"/>
  <c r="AS30" i="2" s="1"/>
  <c r="AS206" i="2"/>
  <c r="AS319" i="2"/>
  <c r="AT11" i="2"/>
  <c r="AS10" i="2"/>
  <c r="AU10" i="1"/>
  <c r="AV11" i="1"/>
  <c r="AH5" i="3" s="1"/>
  <c r="AT207" i="2" l="1"/>
  <c r="AT77" i="3"/>
  <c r="AM78" i="3"/>
  <c r="AP94" i="3"/>
  <c r="BC41" i="1"/>
  <c r="AM50" i="3"/>
  <c r="AZ24" i="1"/>
  <c r="H24" i="1" s="1"/>
  <c r="AR86" i="3"/>
  <c r="BE25" i="1"/>
  <c r="AM58" i="3"/>
  <c r="AZ27" i="1"/>
  <c r="H27" i="1" s="1"/>
  <c r="H36" i="1"/>
  <c r="AN87" i="3"/>
  <c r="BA36" i="1"/>
  <c r="BE32" i="5" s="1"/>
  <c r="AT61" i="3"/>
  <c r="BG19" i="1"/>
  <c r="BK20" i="5" s="1"/>
  <c r="BH28" i="5"/>
  <c r="AR59" i="3"/>
  <c r="BE26" i="1"/>
  <c r="AJ37" i="3"/>
  <c r="AJ79" i="3"/>
  <c r="AW35" i="1"/>
  <c r="BA22" i="5" s="1"/>
  <c r="AT337" i="2"/>
  <c r="AS355" i="2"/>
  <c r="AS84" i="2"/>
  <c r="AT30" i="2" s="1"/>
  <c r="AT206" i="2"/>
  <c r="AT319" i="2"/>
  <c r="AU11" i="2"/>
  <c r="AT10" i="2"/>
  <c r="AW11" i="1"/>
  <c r="AI5" i="3" s="1"/>
  <c r="AV10" i="1"/>
  <c r="BG33" i="5" l="1"/>
  <c r="BE34" i="5"/>
  <c r="BD34" i="5"/>
  <c r="H32" i="5"/>
  <c r="H34" i="5" s="1"/>
  <c r="H18" i="7" s="1"/>
  <c r="AU207" i="2"/>
  <c r="AN58" i="3"/>
  <c r="BA27" i="1"/>
  <c r="BF25" i="1"/>
  <c r="AS86" i="3"/>
  <c r="AN50" i="3"/>
  <c r="BA24" i="1"/>
  <c r="AQ94" i="3"/>
  <c r="BD41" i="1"/>
  <c r="BH33" i="5" s="1"/>
  <c r="AN78" i="3"/>
  <c r="AU61" i="3"/>
  <c r="BH19" i="1"/>
  <c r="BL20" i="5" s="1"/>
  <c r="AO87" i="3"/>
  <c r="BB36" i="1"/>
  <c r="BF32" i="5" s="1"/>
  <c r="AU77" i="3"/>
  <c r="BI28" i="5"/>
  <c r="AS59" i="3"/>
  <c r="BF26" i="1"/>
  <c r="AG127" i="3"/>
  <c r="AH125" i="3" s="1"/>
  <c r="AT355" i="2"/>
  <c r="AK79" i="3"/>
  <c r="AX35" i="1"/>
  <c r="AK37" i="3"/>
  <c r="AU337" i="2"/>
  <c r="AU206" i="2"/>
  <c r="AU319" i="2"/>
  <c r="AT84" i="2"/>
  <c r="AU30" i="2" s="1"/>
  <c r="AV11" i="2"/>
  <c r="AU10" i="2"/>
  <c r="AX11" i="1"/>
  <c r="AW10" i="1"/>
  <c r="BF34" i="5" l="1"/>
  <c r="AY11" i="1"/>
  <c r="AJ5" i="3"/>
  <c r="AV207" i="2"/>
  <c r="AV61" i="3"/>
  <c r="BI19" i="1"/>
  <c r="BM20" i="5" s="1"/>
  <c r="AO78" i="3"/>
  <c r="AR94" i="3"/>
  <c r="BE41" i="1"/>
  <c r="BI33" i="5" s="1"/>
  <c r="AO50" i="3"/>
  <c r="BB24" i="1"/>
  <c r="AL37" i="3"/>
  <c r="AT86" i="3"/>
  <c r="BG25" i="1"/>
  <c r="AV77" i="3"/>
  <c r="AL79" i="3"/>
  <c r="AY35" i="1"/>
  <c r="BC22" i="5" s="1"/>
  <c r="AP87" i="3"/>
  <c r="BC36" i="1"/>
  <c r="BG32" i="5" s="1"/>
  <c r="AO58" i="3"/>
  <c r="BB27" i="1"/>
  <c r="BJ28" i="5"/>
  <c r="AT59" i="3"/>
  <c r="BG26" i="1"/>
  <c r="BB22" i="5"/>
  <c r="AU355" i="2"/>
  <c r="AU84" i="2"/>
  <c r="AV30" i="2" s="1"/>
  <c r="AV206" i="2"/>
  <c r="AV319" i="2"/>
  <c r="AV337" i="2"/>
  <c r="AW11" i="2"/>
  <c r="AV10" i="2"/>
  <c r="AX10" i="1"/>
  <c r="AY10" i="1" l="1"/>
  <c r="AZ11" i="1"/>
  <c r="AK5" i="3"/>
  <c r="AW207" i="2"/>
  <c r="BH25" i="1"/>
  <c r="AU86" i="3"/>
  <c r="AM37" i="3"/>
  <c r="AP50" i="3"/>
  <c r="BC24" i="1"/>
  <c r="AS94" i="3"/>
  <c r="BF41" i="1"/>
  <c r="BJ33" i="5" s="1"/>
  <c r="AP58" i="3"/>
  <c r="BC27" i="1"/>
  <c r="AP78" i="3"/>
  <c r="AQ87" i="3"/>
  <c r="BD36" i="1"/>
  <c r="BH32" i="5" s="1"/>
  <c r="AM79" i="3"/>
  <c r="AZ35" i="1"/>
  <c r="AW61" i="3"/>
  <c r="BJ19" i="1"/>
  <c r="BN20" i="5" s="1"/>
  <c r="AW77" i="3"/>
  <c r="BK28" i="5"/>
  <c r="AU59" i="3"/>
  <c r="BH26" i="1"/>
  <c r="AV355" i="2"/>
  <c r="AH127" i="3"/>
  <c r="AI125" i="3" s="1"/>
  <c r="AW337" i="2"/>
  <c r="AV84" i="2"/>
  <c r="AW30" i="2" s="1"/>
  <c r="AW206" i="2"/>
  <c r="AW319" i="2"/>
  <c r="AX11" i="2"/>
  <c r="AW10" i="2"/>
  <c r="BG34" i="5" l="1"/>
  <c r="BH34" i="5"/>
  <c r="AZ10" i="1"/>
  <c r="BA11" i="1"/>
  <c r="AL5" i="3"/>
  <c r="AX207" i="2"/>
  <c r="AN79" i="3"/>
  <c r="BA35" i="1"/>
  <c r="BE22" i="5" s="1"/>
  <c r="AR87" i="3"/>
  <c r="BE36" i="1"/>
  <c r="BI32" i="5" s="1"/>
  <c r="AQ78" i="3"/>
  <c r="AQ58" i="3"/>
  <c r="BD27" i="1"/>
  <c r="AT94" i="3"/>
  <c r="BG41" i="1"/>
  <c r="BK33" i="5" s="1"/>
  <c r="BD22" i="5"/>
  <c r="H35" i="1"/>
  <c r="AQ50" i="3"/>
  <c r="BD24" i="1"/>
  <c r="AN37" i="3"/>
  <c r="AX77" i="3"/>
  <c r="AV86" i="3"/>
  <c r="AX61" i="3"/>
  <c r="BL19" i="1" s="1"/>
  <c r="BQ20" i="5" s="1"/>
  <c r="BK19" i="1"/>
  <c r="BO20" i="5" s="1"/>
  <c r="BI25" i="1"/>
  <c r="BL28" i="5"/>
  <c r="AV59" i="3"/>
  <c r="BI26" i="1"/>
  <c r="AW84" i="2"/>
  <c r="AX30" i="2" s="1"/>
  <c r="AX337" i="2"/>
  <c r="AW355" i="2"/>
  <c r="AX206" i="2"/>
  <c r="AX319" i="2"/>
  <c r="AY11" i="2"/>
  <c r="AX10" i="2"/>
  <c r="BI34" i="5" l="1"/>
  <c r="H22" i="5"/>
  <c r="J20" i="5"/>
  <c r="BA10" i="1"/>
  <c r="BB11" i="1"/>
  <c r="AM5" i="3"/>
  <c r="AY207" i="2"/>
  <c r="AR50" i="3"/>
  <c r="BE24" i="1"/>
  <c r="BJ25" i="1"/>
  <c r="BP20" i="5"/>
  <c r="I19" i="1"/>
  <c r="AU94" i="3"/>
  <c r="BH41" i="1"/>
  <c r="BL33" i="5" s="1"/>
  <c r="AW86" i="3"/>
  <c r="AR58" i="3"/>
  <c r="BE27" i="1"/>
  <c r="AR78" i="3"/>
  <c r="AS87" i="3"/>
  <c r="BF36" i="1"/>
  <c r="BJ32" i="5" s="1"/>
  <c r="AO37" i="3"/>
  <c r="AO79" i="3"/>
  <c r="BB35" i="1"/>
  <c r="BF22" i="5" s="1"/>
  <c r="BM28" i="5"/>
  <c r="AW59" i="3"/>
  <c r="BJ26" i="1"/>
  <c r="AI127" i="3"/>
  <c r="AJ125" i="3" s="1"/>
  <c r="AX355" i="2"/>
  <c r="AX84" i="2"/>
  <c r="AY30" i="2" s="1"/>
  <c r="AY337" i="2"/>
  <c r="AY206" i="2"/>
  <c r="AY319" i="2"/>
  <c r="AZ11" i="2"/>
  <c r="AY10" i="2"/>
  <c r="I20" i="5" l="1"/>
  <c r="BJ34" i="5"/>
  <c r="BB10" i="1"/>
  <c r="BC11" i="1"/>
  <c r="AN5" i="3"/>
  <c r="AZ207" i="2"/>
  <c r="AT87" i="3"/>
  <c r="BG36" i="1"/>
  <c r="BK32" i="5" s="1"/>
  <c r="AS78" i="3"/>
  <c r="AS58" i="3"/>
  <c r="BF27" i="1"/>
  <c r="AX86" i="3"/>
  <c r="AV94" i="3"/>
  <c r="BI41" i="1"/>
  <c r="BM33" i="5" s="1"/>
  <c r="AP79" i="3"/>
  <c r="BC35" i="1"/>
  <c r="BK25" i="1"/>
  <c r="AP37" i="3"/>
  <c r="AS50" i="3"/>
  <c r="BF24" i="1"/>
  <c r="BN28" i="5"/>
  <c r="AX59" i="3"/>
  <c r="BL26" i="1" s="1"/>
  <c r="BQ28" i="5" s="1"/>
  <c r="BK26" i="1"/>
  <c r="AZ337" i="2"/>
  <c r="AY355" i="2"/>
  <c r="AY84" i="2"/>
  <c r="AZ30" i="2" s="1"/>
  <c r="AZ206" i="2"/>
  <c r="AZ319" i="2"/>
  <c r="BA11" i="2"/>
  <c r="AZ10" i="2"/>
  <c r="BL25" i="1" l="1"/>
  <c r="I25" i="1" s="1"/>
  <c r="J28" i="5"/>
  <c r="BK34" i="5"/>
  <c r="BG22" i="5"/>
  <c r="BC10" i="1"/>
  <c r="BD11" i="1"/>
  <c r="AO5" i="3"/>
  <c r="BA207" i="2"/>
  <c r="AQ79" i="3"/>
  <c r="BD35" i="1"/>
  <c r="BH22" i="5" s="1"/>
  <c r="AW94" i="3"/>
  <c r="BJ41" i="1"/>
  <c r="BN33" i="5" s="1"/>
  <c r="AT58" i="3"/>
  <c r="BG27" i="1"/>
  <c r="AT50" i="3"/>
  <c r="BG24" i="1"/>
  <c r="AT78" i="3"/>
  <c r="AQ37" i="3"/>
  <c r="AU87" i="3"/>
  <c r="BH36" i="1"/>
  <c r="BL32" i="5" s="1"/>
  <c r="BO28" i="5"/>
  <c r="BP28" i="5"/>
  <c r="I26" i="1"/>
  <c r="AJ127" i="3"/>
  <c r="AK125" i="3" s="1"/>
  <c r="AZ84" i="2"/>
  <c r="BA30" i="2" s="1"/>
  <c r="BA337" i="2"/>
  <c r="AZ355" i="2"/>
  <c r="BA206" i="2"/>
  <c r="BA319" i="2"/>
  <c r="BB11" i="2"/>
  <c r="BA10" i="2"/>
  <c r="BM25" i="1" l="1"/>
  <c r="BM28" i="1" s="1"/>
  <c r="BL34" i="5"/>
  <c r="I28" i="5"/>
  <c r="BD10" i="1"/>
  <c r="BE11" i="1"/>
  <c r="AP5" i="3"/>
  <c r="BB207" i="2"/>
  <c r="AV87" i="3"/>
  <c r="BI36" i="1"/>
  <c r="BM32" i="5" s="1"/>
  <c r="AR37" i="3"/>
  <c r="AU78" i="3"/>
  <c r="AU50" i="3"/>
  <c r="BH24" i="1"/>
  <c r="AU58" i="3"/>
  <c r="BH27" i="1"/>
  <c r="AX94" i="3"/>
  <c r="BL41" i="1" s="1"/>
  <c r="BQ33" i="5" s="1"/>
  <c r="BK41" i="1"/>
  <c r="BO33" i="5" s="1"/>
  <c r="AR79" i="3"/>
  <c r="BE35" i="1"/>
  <c r="BI22" i="5" s="1"/>
  <c r="AK127" i="3"/>
  <c r="AL125" i="3" s="1"/>
  <c r="BB337" i="2"/>
  <c r="BA355" i="2"/>
  <c r="BB206" i="2"/>
  <c r="BB319" i="2"/>
  <c r="BA84" i="2"/>
  <c r="BB30" i="2" s="1"/>
  <c r="BB10" i="2"/>
  <c r="BC11" i="2"/>
  <c r="BN25" i="1" l="1"/>
  <c r="BM34" i="5"/>
  <c r="J33" i="5"/>
  <c r="BF11" i="1"/>
  <c r="BE10" i="1"/>
  <c r="AQ5" i="3"/>
  <c r="BC207" i="2"/>
  <c r="BP33" i="5"/>
  <c r="I41" i="1"/>
  <c r="AV58" i="3"/>
  <c r="BI27" i="1"/>
  <c r="AV50" i="3"/>
  <c r="BI24" i="1"/>
  <c r="AV78" i="3"/>
  <c r="AS37" i="3"/>
  <c r="AS79" i="3"/>
  <c r="BF35" i="1"/>
  <c r="BJ22" i="5" s="1"/>
  <c r="AW87" i="3"/>
  <c r="BJ36" i="1"/>
  <c r="BN32" i="5" s="1"/>
  <c r="BB355" i="2"/>
  <c r="BB84" i="2"/>
  <c r="BC30" i="2" s="1"/>
  <c r="BC337" i="2"/>
  <c r="BC206" i="2"/>
  <c r="BC319" i="2"/>
  <c r="BD11" i="2"/>
  <c r="BC10" i="2"/>
  <c r="BN28" i="1" l="1"/>
  <c r="BR32" i="5"/>
  <c r="BR34" i="5" s="1"/>
  <c r="BO25" i="1"/>
  <c r="I33" i="5"/>
  <c r="BN34" i="5"/>
  <c r="BG11" i="1"/>
  <c r="BF10" i="1"/>
  <c r="AR5" i="3"/>
  <c r="BD207" i="2"/>
  <c r="AX87" i="3"/>
  <c r="BL36" i="1" s="1"/>
  <c r="BK36" i="1"/>
  <c r="BO32" i="5" s="1"/>
  <c r="AT79" i="3"/>
  <c r="BG35" i="1"/>
  <c r="BK22" i="5" s="1"/>
  <c r="AT37" i="3"/>
  <c r="AW78" i="3"/>
  <c r="AW50" i="3"/>
  <c r="BJ24" i="1"/>
  <c r="AW58" i="3"/>
  <c r="BJ27" i="1"/>
  <c r="AL127" i="3"/>
  <c r="AM125" i="3" s="1"/>
  <c r="BC355" i="2"/>
  <c r="BD337" i="2"/>
  <c r="BC84" i="2"/>
  <c r="BD30" i="2" s="1"/>
  <c r="BD206" i="2"/>
  <c r="BD319" i="2"/>
  <c r="BE11" i="2"/>
  <c r="BD10" i="2"/>
  <c r="BO28" i="1" l="1"/>
  <c r="BS32" i="5"/>
  <c r="BS34" i="5" s="1"/>
  <c r="BP32" i="5"/>
  <c r="BQ32" i="5"/>
  <c r="BP25" i="1"/>
  <c r="BO34" i="5"/>
  <c r="BH11" i="1"/>
  <c r="BG10" i="1"/>
  <c r="AS5" i="3"/>
  <c r="BE207" i="2"/>
  <c r="AX58" i="3"/>
  <c r="BL27" i="1" s="1"/>
  <c r="I27" i="1" s="1"/>
  <c r="BK27" i="1"/>
  <c r="AX50" i="3"/>
  <c r="BL24" i="1" s="1"/>
  <c r="I24" i="1" s="1"/>
  <c r="BK24" i="1"/>
  <c r="AX78" i="3"/>
  <c r="AU37" i="3"/>
  <c r="AU79" i="3"/>
  <c r="BH35" i="1"/>
  <c r="BL22" i="5" s="1"/>
  <c r="I36" i="1"/>
  <c r="AM127" i="3"/>
  <c r="AN125" i="3" s="1"/>
  <c r="BD84" i="2"/>
  <c r="BE30" i="2" s="1"/>
  <c r="BE337" i="2"/>
  <c r="BD355" i="2"/>
  <c r="BE206" i="2"/>
  <c r="BE319" i="2"/>
  <c r="BE10" i="2"/>
  <c r="BF11" i="2"/>
  <c r="BP28" i="1" l="1"/>
  <c r="BT32" i="5"/>
  <c r="BT34" i="5" s="1"/>
  <c r="BQ34" i="5"/>
  <c r="BQ25" i="1"/>
  <c r="BP34" i="5"/>
  <c r="I32" i="5"/>
  <c r="I34" i="5" s="1"/>
  <c r="I18" i="7" s="1"/>
  <c r="BI11" i="1"/>
  <c r="BH10" i="1"/>
  <c r="AT5" i="3"/>
  <c r="BF207" i="2"/>
  <c r="AV79" i="3"/>
  <c r="BI35" i="1"/>
  <c r="BM22" i="5" s="1"/>
  <c r="AV37" i="3"/>
  <c r="BF206" i="2"/>
  <c r="BF319" i="2"/>
  <c r="BE355" i="2"/>
  <c r="BE84" i="2"/>
  <c r="BF30" i="2" s="1"/>
  <c r="BF337" i="2"/>
  <c r="BF10" i="2"/>
  <c r="BG11" i="2"/>
  <c r="BQ28" i="1" l="1"/>
  <c r="BU32" i="5"/>
  <c r="BR25" i="1"/>
  <c r="BI10" i="1"/>
  <c r="BJ11" i="1"/>
  <c r="AU5" i="3"/>
  <c r="BG337" i="2"/>
  <c r="BG207" i="2"/>
  <c r="AW37" i="3"/>
  <c r="AW79" i="3"/>
  <c r="BJ35" i="1"/>
  <c r="BN22" i="5" s="1"/>
  <c r="AN127" i="3"/>
  <c r="AO125" i="3" s="1"/>
  <c r="BF355" i="2"/>
  <c r="BF84" i="2"/>
  <c r="BG30" i="2" s="1"/>
  <c r="BG206" i="2"/>
  <c r="BG319" i="2"/>
  <c r="BG10" i="2"/>
  <c r="BH11" i="2"/>
  <c r="BU34" i="5" l="1"/>
  <c r="BR28" i="1"/>
  <c r="BV32" i="5"/>
  <c r="BV34" i="5" s="1"/>
  <c r="BS25" i="1"/>
  <c r="BJ10" i="1"/>
  <c r="BK11" i="1"/>
  <c r="AV5" i="3"/>
  <c r="BH337" i="2"/>
  <c r="BH207" i="2"/>
  <c r="AX79" i="3"/>
  <c r="BL35" i="1" s="1"/>
  <c r="BQ22" i="5" s="1"/>
  <c r="BK35" i="1"/>
  <c r="BO22" i="5" s="1"/>
  <c r="AX37" i="3"/>
  <c r="AO127" i="3"/>
  <c r="AP125" i="3" s="1"/>
  <c r="BG355" i="2"/>
  <c r="BH206" i="2"/>
  <c r="BH319" i="2"/>
  <c r="BG84" i="2"/>
  <c r="BH30" i="2" s="1"/>
  <c r="BH10" i="2"/>
  <c r="BI11" i="2"/>
  <c r="BJ11" i="2" s="1"/>
  <c r="BS28" i="1" l="1"/>
  <c r="BW32" i="5"/>
  <c r="BW34" i="5" s="1"/>
  <c r="BT25" i="1"/>
  <c r="J22" i="5"/>
  <c r="BJ10" i="2"/>
  <c r="BK11" i="2"/>
  <c r="BJ337" i="2"/>
  <c r="BJ207" i="2"/>
  <c r="BJ206" i="2"/>
  <c r="BK10" i="1"/>
  <c r="BL11" i="1"/>
  <c r="BM11" i="1" s="1"/>
  <c r="AW5" i="3"/>
  <c r="BI337" i="2"/>
  <c r="BI207" i="2"/>
  <c r="BP22" i="5"/>
  <c r="I35" i="1"/>
  <c r="BH355" i="2"/>
  <c r="BH84" i="2"/>
  <c r="BI30" i="2" s="1"/>
  <c r="BI206" i="2"/>
  <c r="BI319" i="2"/>
  <c r="BK337" i="2" s="1"/>
  <c r="BI10" i="2"/>
  <c r="BT28" i="1" l="1"/>
  <c r="BX32" i="5"/>
  <c r="BX34" i="5" s="1"/>
  <c r="BU25" i="1"/>
  <c r="I22" i="5"/>
  <c r="BM10" i="1"/>
  <c r="AY5" i="3"/>
  <c r="BN11" i="1"/>
  <c r="BK10" i="2"/>
  <c r="BL11" i="2"/>
  <c r="BK207" i="2"/>
  <c r="BK206" i="2"/>
  <c r="BL10" i="1"/>
  <c r="AX5" i="3"/>
  <c r="BI355" i="2"/>
  <c r="BJ355" i="2" s="1"/>
  <c r="BK355" i="2" s="1"/>
  <c r="AP127" i="3"/>
  <c r="AQ125" i="3" s="1"/>
  <c r="BI84" i="2"/>
  <c r="BJ30" i="2" s="1"/>
  <c r="BJ84" i="2" s="1"/>
  <c r="BK30" i="2" s="1"/>
  <c r="BK84" i="2" s="1"/>
  <c r="BL30" i="2" s="1"/>
  <c r="BL84" i="2" s="1"/>
  <c r="BM30" i="2" s="1"/>
  <c r="BM84" i="2" s="1"/>
  <c r="BN30" i="2" s="1"/>
  <c r="BN84" i="2" s="1"/>
  <c r="BO30" i="2" s="1"/>
  <c r="BO84" i="2" s="1"/>
  <c r="BP30" i="2" s="1"/>
  <c r="BP84" i="2" s="1"/>
  <c r="BQ30" i="2" s="1"/>
  <c r="BQ84" i="2" s="1"/>
  <c r="BR30" i="2" s="1"/>
  <c r="BR84" i="2" s="1"/>
  <c r="BS30" i="2" s="1"/>
  <c r="BS84" i="2" s="1"/>
  <c r="BT30" i="2" s="1"/>
  <c r="BT84" i="2" s="1"/>
  <c r="BU30" i="2" s="1"/>
  <c r="BU84" i="2" s="1"/>
  <c r="BV30" i="2" s="1"/>
  <c r="BV84" i="2" s="1"/>
  <c r="BW30" i="2" s="1"/>
  <c r="BW84" i="2" s="1"/>
  <c r="BX30" i="2" s="1"/>
  <c r="BX84" i="2" s="1"/>
  <c r="BY30" i="2" s="1"/>
  <c r="BY84" i="2" s="1"/>
  <c r="BZ30" i="2" s="1"/>
  <c r="BZ84" i="2" s="1"/>
  <c r="CA30" i="2" s="1"/>
  <c r="CA84" i="2" s="1"/>
  <c r="CB30" i="2" s="1"/>
  <c r="CB84" i="2" s="1"/>
  <c r="CC30" i="2" s="1"/>
  <c r="CC84" i="2" s="1"/>
  <c r="CD30" i="2" s="1"/>
  <c r="CD84" i="2" s="1"/>
  <c r="CE30" i="2" s="1"/>
  <c r="CE84" i="2" s="1"/>
  <c r="CF30" i="2" s="1"/>
  <c r="CF84" i="2" s="1"/>
  <c r="CG30" i="2" s="1"/>
  <c r="CG84" i="2" s="1"/>
  <c r="CH30" i="2" s="1"/>
  <c r="CH84" i="2" s="1"/>
  <c r="CI30" i="2" s="1"/>
  <c r="CI84" i="2" s="1"/>
  <c r="CJ30" i="2" s="1"/>
  <c r="CJ84" i="2" s="1"/>
  <c r="CK30" i="2" s="1"/>
  <c r="CK84" i="2" s="1"/>
  <c r="CL30" i="2" s="1"/>
  <c r="CL84" i="2" s="1"/>
  <c r="CM30" i="2" s="1"/>
  <c r="CM84" i="2" s="1"/>
  <c r="CN30" i="2" s="1"/>
  <c r="CN84" i="2" s="1"/>
  <c r="CO30" i="2" s="1"/>
  <c r="CO84" i="2" s="1"/>
  <c r="CP30" i="2" s="1"/>
  <c r="CP84" i="2" s="1"/>
  <c r="CQ30" i="2" s="1"/>
  <c r="CQ84" i="2" s="1"/>
  <c r="CR30" i="2" s="1"/>
  <c r="CR84" i="2" s="1"/>
  <c r="CS30" i="2" s="1"/>
  <c r="CS84" i="2" s="1"/>
  <c r="CT30" i="2" s="1"/>
  <c r="CT84" i="2" s="1"/>
  <c r="CU30" i="2" s="1"/>
  <c r="CU84" i="2" s="1"/>
  <c r="CV30" i="2" s="1"/>
  <c r="CV84" i="2" s="1"/>
  <c r="CT319" i="2"/>
  <c r="BU28" i="1" l="1"/>
  <c r="BY32" i="5"/>
  <c r="BY34" i="5" s="1"/>
  <c r="BV25" i="1"/>
  <c r="AZ5" i="3"/>
  <c r="BN10" i="1"/>
  <c r="BO11" i="1"/>
  <c r="BL337" i="2"/>
  <c r="BL355" i="2" s="1"/>
  <c r="BL10" i="2"/>
  <c r="BM11" i="2"/>
  <c r="BL207" i="2"/>
  <c r="BL206" i="2"/>
  <c r="CU319" i="2"/>
  <c r="BV28" i="1" l="1"/>
  <c r="BZ32" i="5"/>
  <c r="BW25" i="1"/>
  <c r="BA5" i="3"/>
  <c r="BP11" i="1"/>
  <c r="BO10" i="1"/>
  <c r="BM337" i="2"/>
  <c r="BM355" i="2" s="1"/>
  <c r="BM10" i="2"/>
  <c r="BN11" i="2"/>
  <c r="BM207" i="2"/>
  <c r="BM206" i="2"/>
  <c r="AQ127" i="3"/>
  <c r="AR125" i="3" s="1"/>
  <c r="CV319" i="2"/>
  <c r="BZ34" i="5" l="1"/>
  <c r="BW28" i="1"/>
  <c r="CA32" i="5"/>
  <c r="CA34" i="5" s="1"/>
  <c r="BX25" i="1"/>
  <c r="CB32" i="5" s="1"/>
  <c r="CB34" i="5" s="1"/>
  <c r="BB5" i="3"/>
  <c r="BQ11" i="1"/>
  <c r="BP10" i="1"/>
  <c r="BN337" i="2"/>
  <c r="BN355" i="2" s="1"/>
  <c r="BN10" i="2"/>
  <c r="BO11" i="2"/>
  <c r="BN207" i="2"/>
  <c r="BN206" i="2"/>
  <c r="J32" i="5" l="1"/>
  <c r="J34" i="5" s="1"/>
  <c r="J18" i="7" s="1"/>
  <c r="BY25" i="1"/>
  <c r="J25" i="1"/>
  <c r="BX28" i="1"/>
  <c r="BC5" i="3"/>
  <c r="BQ10" i="1"/>
  <c r="BR11" i="1"/>
  <c r="BO337" i="2"/>
  <c r="BO355" i="2" s="1"/>
  <c r="BP11" i="2"/>
  <c r="BO10" i="2"/>
  <c r="BO207" i="2"/>
  <c r="BO206" i="2"/>
  <c r="AR127" i="3"/>
  <c r="AS125" i="3" s="1"/>
  <c r="BY28" i="1" l="1"/>
  <c r="CC32" i="5"/>
  <c r="BZ25" i="1"/>
  <c r="BD5" i="3"/>
  <c r="BR10" i="1"/>
  <c r="BS11" i="1"/>
  <c r="BQ11" i="2"/>
  <c r="BP10" i="2"/>
  <c r="BP337" i="2"/>
  <c r="BP355" i="2" s="1"/>
  <c r="BP206" i="2"/>
  <c r="BP207" i="2"/>
  <c r="AS127" i="3"/>
  <c r="AT125" i="3" s="1"/>
  <c r="CC34" i="5" l="1"/>
  <c r="BZ28" i="1"/>
  <c r="CD32" i="5"/>
  <c r="CD34" i="5" s="1"/>
  <c r="CA25" i="1"/>
  <c r="BE5" i="3"/>
  <c r="BT11" i="1"/>
  <c r="BS10" i="1"/>
  <c r="BR11" i="2"/>
  <c r="BQ337" i="2"/>
  <c r="BQ355" i="2" s="1"/>
  <c r="BQ10" i="2"/>
  <c r="BQ206" i="2"/>
  <c r="BQ207" i="2"/>
  <c r="AT127" i="3"/>
  <c r="AU125" i="3" s="1"/>
  <c r="CA28" i="1" l="1"/>
  <c r="CE32" i="5"/>
  <c r="CE34" i="5" s="1"/>
  <c r="CB25" i="1"/>
  <c r="BF5" i="3"/>
  <c r="BU11" i="1"/>
  <c r="BT10" i="1"/>
  <c r="BS11" i="2"/>
  <c r="BR10" i="2"/>
  <c r="BR337" i="2"/>
  <c r="BR355" i="2" s="1"/>
  <c r="BR206" i="2"/>
  <c r="BR207" i="2"/>
  <c r="AU127" i="3"/>
  <c r="AV125" i="3" s="1"/>
  <c r="CB28" i="1" l="1"/>
  <c r="CF32" i="5"/>
  <c r="CF34" i="5" s="1"/>
  <c r="CC25" i="1"/>
  <c r="BG5" i="3"/>
  <c r="BV11" i="1"/>
  <c r="BU10" i="1"/>
  <c r="BS10" i="2"/>
  <c r="BS337" i="2"/>
  <c r="BS355" i="2" s="1"/>
  <c r="BT11" i="2"/>
  <c r="BS207" i="2"/>
  <c r="BS206" i="2"/>
  <c r="AV127" i="3"/>
  <c r="AW125" i="3" s="1"/>
  <c r="CC28" i="1" l="1"/>
  <c r="CG32" i="5"/>
  <c r="CG34" i="5" s="1"/>
  <c r="CD25" i="1"/>
  <c r="BH5" i="3"/>
  <c r="BW11" i="1"/>
  <c r="BV10" i="1"/>
  <c r="BT10" i="2"/>
  <c r="BU11" i="2"/>
  <c r="BT337" i="2"/>
  <c r="BT355" i="2" s="1"/>
  <c r="BT207" i="2"/>
  <c r="BT206" i="2"/>
  <c r="AW127" i="3"/>
  <c r="AX125" i="3" s="1"/>
  <c r="CD28" i="1" l="1"/>
  <c r="CH32" i="5"/>
  <c r="CH34" i="5" s="1"/>
  <c r="CE25" i="1"/>
  <c r="BI5" i="3"/>
  <c r="BX11" i="1"/>
  <c r="BW10" i="1"/>
  <c r="BU337" i="2"/>
  <c r="BU355" i="2" s="1"/>
  <c r="BU10" i="2"/>
  <c r="BV11" i="2"/>
  <c r="BU206" i="2"/>
  <c r="BU207" i="2"/>
  <c r="AX127" i="3"/>
  <c r="CE28" i="1" l="1"/>
  <c r="CI32" i="5"/>
  <c r="CI34" i="5" s="1"/>
  <c r="CF25" i="1"/>
  <c r="BJ5" i="3"/>
  <c r="BY11" i="1"/>
  <c r="BX10" i="1"/>
  <c r="BV337" i="2"/>
  <c r="BV355" i="2" s="1"/>
  <c r="BW11" i="2"/>
  <c r="BV10" i="2"/>
  <c r="BV206" i="2"/>
  <c r="BV207" i="2"/>
  <c r="Z330" i="2"/>
  <c r="CF28" i="1" l="1"/>
  <c r="CJ32" i="5"/>
  <c r="CJ34" i="5" s="1"/>
  <c r="CG25" i="1"/>
  <c r="BK5" i="3"/>
  <c r="BY10" i="1"/>
  <c r="BZ11" i="1"/>
  <c r="BW337" i="2"/>
  <c r="BW355" i="2" s="1"/>
  <c r="BW10" i="2"/>
  <c r="BX11" i="2"/>
  <c r="BW206" i="2"/>
  <c r="BW207" i="2"/>
  <c r="AC17" i="1"/>
  <c r="AG19" i="5" s="1"/>
  <c r="CG28" i="1" l="1"/>
  <c r="CK32" i="5"/>
  <c r="CK34" i="5" s="1"/>
  <c r="CH25" i="1"/>
  <c r="BL5" i="3"/>
  <c r="CA11" i="1"/>
  <c r="BZ10" i="1"/>
  <c r="BX337" i="2"/>
  <c r="BX355" i="2" s="1"/>
  <c r="BY11" i="2"/>
  <c r="BX10" i="2"/>
  <c r="BX206" i="2"/>
  <c r="BX207" i="2"/>
  <c r="AD17" i="1"/>
  <c r="AH19" i="5" s="1"/>
  <c r="CH28" i="1" l="1"/>
  <c r="CL32" i="5"/>
  <c r="CL34" i="5" s="1"/>
  <c r="CI25" i="1"/>
  <c r="BM5" i="3"/>
  <c r="CA10" i="1"/>
  <c r="CB11" i="1"/>
  <c r="BZ11" i="2"/>
  <c r="BY337" i="2"/>
  <c r="BY355" i="2" s="1"/>
  <c r="BY10" i="2"/>
  <c r="BY207" i="2"/>
  <c r="BY206" i="2"/>
  <c r="C167" i="2"/>
  <c r="C158" i="2"/>
  <c r="C159" i="2"/>
  <c r="C164" i="2"/>
  <c r="C169" i="2"/>
  <c r="C163" i="2"/>
  <c r="C165" i="2"/>
  <c r="C166" i="2"/>
  <c r="C170" i="2"/>
  <c r="CI28" i="1" l="1"/>
  <c r="CM32" i="5"/>
  <c r="CM34" i="5" s="1"/>
  <c r="CJ25" i="1"/>
  <c r="CN32" i="5" s="1"/>
  <c r="BN5" i="3"/>
  <c r="CB10" i="1"/>
  <c r="CC11" i="1"/>
  <c r="CA11" i="2"/>
  <c r="BZ10" i="2"/>
  <c r="BZ337" i="2"/>
  <c r="BZ355" i="2" s="1"/>
  <c r="BZ207" i="2"/>
  <c r="BZ206" i="2"/>
  <c r="C155" i="2"/>
  <c r="C175" i="2"/>
  <c r="C168" i="2"/>
  <c r="C160" i="2"/>
  <c r="C226" i="2"/>
  <c r="C174" i="2"/>
  <c r="C154" i="2"/>
  <c r="C172" i="2"/>
  <c r="C171" i="2"/>
  <c r="C225" i="2"/>
  <c r="C162" i="2"/>
  <c r="C161" i="2"/>
  <c r="C215" i="2"/>
  <c r="C224" i="2"/>
  <c r="C230" i="2"/>
  <c r="C229" i="2"/>
  <c r="C223" i="2"/>
  <c r="C219" i="2"/>
  <c r="C227" i="2"/>
  <c r="C157" i="2"/>
  <c r="C173" i="2"/>
  <c r="C156" i="2"/>
  <c r="C218" i="2"/>
  <c r="C260" i="2"/>
  <c r="C290" i="2"/>
  <c r="CN34" i="5" l="1"/>
  <c r="K32" i="5"/>
  <c r="K34" i="5" s="1"/>
  <c r="K18" i="7" s="1"/>
  <c r="K25" i="1"/>
  <c r="CJ28" i="1"/>
  <c r="CK25" i="1"/>
  <c r="BO5" i="3"/>
  <c r="CC10" i="1"/>
  <c r="CD11" i="1"/>
  <c r="CA337" i="2"/>
  <c r="CA355" i="2" s="1"/>
  <c r="CB11" i="2"/>
  <c r="CA10" i="2"/>
  <c r="CA207" i="2"/>
  <c r="CA206" i="2"/>
  <c r="BK237" i="2"/>
  <c r="BJ237" i="2"/>
  <c r="BL237" i="2"/>
  <c r="BM237" i="2"/>
  <c r="BN237" i="2"/>
  <c r="BO237" i="2"/>
  <c r="BP237" i="2"/>
  <c r="BQ237" i="2"/>
  <c r="BR237" i="2"/>
  <c r="BS237" i="2"/>
  <c r="BT237" i="2"/>
  <c r="BU237" i="2"/>
  <c r="BV237" i="2"/>
  <c r="BV236" i="2"/>
  <c r="BK236" i="2"/>
  <c r="BJ236" i="2"/>
  <c r="BL236" i="2"/>
  <c r="BW237" i="2"/>
  <c r="BM236" i="2"/>
  <c r="BW236" i="2"/>
  <c r="BN236" i="2"/>
  <c r="BO236" i="2"/>
  <c r="BP236" i="2"/>
  <c r="BQ236" i="2"/>
  <c r="BR236" i="2"/>
  <c r="BS236" i="2"/>
  <c r="BT236" i="2"/>
  <c r="BU236" i="2"/>
  <c r="BX236" i="2"/>
  <c r="BX237" i="2"/>
  <c r="BY237" i="2"/>
  <c r="BY236" i="2"/>
  <c r="BZ236" i="2"/>
  <c r="BZ237" i="2"/>
  <c r="CA237" i="2"/>
  <c r="CA236" i="2"/>
  <c r="CB237" i="2"/>
  <c r="CB236" i="2"/>
  <c r="C235" i="2"/>
  <c r="C220" i="2"/>
  <c r="C228" i="2"/>
  <c r="Z236" i="2"/>
  <c r="Z237" i="2"/>
  <c r="AA237" i="2"/>
  <c r="AA236" i="2"/>
  <c r="AB237" i="2"/>
  <c r="AB236" i="2"/>
  <c r="AC237" i="2"/>
  <c r="AC236" i="2"/>
  <c r="AD236" i="2"/>
  <c r="AD237" i="2"/>
  <c r="AE237" i="2"/>
  <c r="AE236" i="2"/>
  <c r="AF236" i="2"/>
  <c r="AF237" i="2"/>
  <c r="AG236" i="2"/>
  <c r="AG237" i="2"/>
  <c r="AH237" i="2"/>
  <c r="AH236" i="2"/>
  <c r="AI237" i="2"/>
  <c r="AI236" i="2"/>
  <c r="AJ237" i="2"/>
  <c r="AJ236" i="2"/>
  <c r="AK237" i="2"/>
  <c r="AK236" i="2"/>
  <c r="AL237" i="2"/>
  <c r="AL236" i="2"/>
  <c r="AM237" i="2"/>
  <c r="AM236" i="2"/>
  <c r="AN237" i="2"/>
  <c r="AN236" i="2"/>
  <c r="AO236" i="2"/>
  <c r="AO237" i="2"/>
  <c r="AP237" i="2"/>
  <c r="AP236" i="2"/>
  <c r="AQ237" i="2"/>
  <c r="AQ236" i="2"/>
  <c r="AR237" i="2"/>
  <c r="AR236" i="2"/>
  <c r="AS237" i="2"/>
  <c r="AS236" i="2"/>
  <c r="AT237" i="2"/>
  <c r="AT236" i="2"/>
  <c r="AU237" i="2"/>
  <c r="AU236" i="2"/>
  <c r="AV237" i="2"/>
  <c r="AV236" i="2"/>
  <c r="AW237" i="2"/>
  <c r="AW236" i="2"/>
  <c r="AX237" i="2"/>
  <c r="AX236" i="2"/>
  <c r="AY237" i="2"/>
  <c r="AY236" i="2"/>
  <c r="AZ236" i="2"/>
  <c r="AZ237" i="2"/>
  <c r="BA237" i="2"/>
  <c r="BA236" i="2"/>
  <c r="BB236" i="2"/>
  <c r="BB237" i="2"/>
  <c r="BC236" i="2"/>
  <c r="BC237" i="2"/>
  <c r="BD236" i="2"/>
  <c r="BD237" i="2"/>
  <c r="BE236" i="2"/>
  <c r="BE237" i="2"/>
  <c r="BF237" i="2"/>
  <c r="BF236" i="2"/>
  <c r="BG236" i="2"/>
  <c r="BG237" i="2"/>
  <c r="BH236" i="2"/>
  <c r="BH237" i="2"/>
  <c r="BI236" i="2"/>
  <c r="BI237" i="2"/>
  <c r="C217" i="2"/>
  <c r="C248" i="2"/>
  <c r="C278" i="2"/>
  <c r="C234" i="2"/>
  <c r="C257" i="2"/>
  <c r="C287" i="2"/>
  <c r="C265" i="2"/>
  <c r="C295" i="2"/>
  <c r="C255" i="2"/>
  <c r="C285" i="2"/>
  <c r="C249" i="2"/>
  <c r="C279" i="2"/>
  <c r="C259" i="2"/>
  <c r="C289" i="2"/>
  <c r="C233" i="2"/>
  <c r="C253" i="2"/>
  <c r="C283" i="2"/>
  <c r="C245" i="2"/>
  <c r="C275" i="2"/>
  <c r="C250" i="2"/>
  <c r="C280" i="2"/>
  <c r="C221" i="2"/>
  <c r="C216" i="2"/>
  <c r="C232" i="2"/>
  <c r="C258" i="2"/>
  <c r="C288" i="2"/>
  <c r="C222" i="2"/>
  <c r="C254" i="2"/>
  <c r="C284" i="2"/>
  <c r="C214" i="2"/>
  <c r="C256" i="2"/>
  <c r="C286" i="2"/>
  <c r="CK28" i="1" l="1"/>
  <c r="CO32" i="5"/>
  <c r="CL25" i="1"/>
  <c r="BP5" i="3"/>
  <c r="CD10" i="1"/>
  <c r="CE11" i="1"/>
  <c r="CB337" i="2"/>
  <c r="CB355" i="2" s="1"/>
  <c r="CB10" i="2"/>
  <c r="CC11" i="2"/>
  <c r="CB207" i="2"/>
  <c r="CB206" i="2"/>
  <c r="C231" i="2"/>
  <c r="C261" i="2"/>
  <c r="C291" i="2"/>
  <c r="Z297" i="2"/>
  <c r="AA297" i="2" s="1"/>
  <c r="AB297" i="2" s="1"/>
  <c r="AC297" i="2" s="1"/>
  <c r="AD297" i="2" s="1"/>
  <c r="AE297" i="2" s="1"/>
  <c r="AF297" i="2" s="1"/>
  <c r="AG297" i="2" s="1"/>
  <c r="AH297" i="2" s="1"/>
  <c r="AI297" i="2" s="1"/>
  <c r="AJ297" i="2" s="1"/>
  <c r="AK297" i="2" s="1"/>
  <c r="AL297" i="2" s="1"/>
  <c r="AM297" i="2" s="1"/>
  <c r="AN297" i="2" s="1"/>
  <c r="AO297" i="2" s="1"/>
  <c r="AP297" i="2" s="1"/>
  <c r="AQ297" i="2" s="1"/>
  <c r="AR297" i="2" s="1"/>
  <c r="AS297" i="2" s="1"/>
  <c r="AT297" i="2" s="1"/>
  <c r="AU297" i="2" s="1"/>
  <c r="AV297" i="2" s="1"/>
  <c r="AW297" i="2" s="1"/>
  <c r="AX297" i="2" s="1"/>
  <c r="AY297" i="2" s="1"/>
  <c r="AZ297" i="2" s="1"/>
  <c r="BA297" i="2" s="1"/>
  <c r="BB297" i="2" s="1"/>
  <c r="BC297" i="2" s="1"/>
  <c r="BD297" i="2" s="1"/>
  <c r="BE297" i="2" s="1"/>
  <c r="BF297" i="2" s="1"/>
  <c r="BG297" i="2" s="1"/>
  <c r="BH297" i="2" s="1"/>
  <c r="BI297" i="2" s="1"/>
  <c r="BJ297" i="2" s="1"/>
  <c r="BK297" i="2" s="1"/>
  <c r="BL297" i="2" s="1"/>
  <c r="BM297" i="2" s="1"/>
  <c r="BN297" i="2" s="1"/>
  <c r="BO297" i="2" s="1"/>
  <c r="BP297" i="2" s="1"/>
  <c r="BQ297" i="2" s="1"/>
  <c r="BR297" i="2" s="1"/>
  <c r="BS297" i="2" s="1"/>
  <c r="BT297" i="2" s="1"/>
  <c r="BU297" i="2" s="1"/>
  <c r="BV297" i="2" s="1"/>
  <c r="BW297" i="2" s="1"/>
  <c r="BX297" i="2" s="1"/>
  <c r="BY297" i="2" s="1"/>
  <c r="BZ297" i="2" s="1"/>
  <c r="CA297" i="2" s="1"/>
  <c r="CB297" i="2" s="1"/>
  <c r="Z267" i="2"/>
  <c r="AA267" i="2" s="1"/>
  <c r="AB267" i="2" s="1"/>
  <c r="AC267" i="2" s="1"/>
  <c r="AD267" i="2" s="1"/>
  <c r="AE267" i="2" s="1"/>
  <c r="AF267" i="2" s="1"/>
  <c r="AG267" i="2" s="1"/>
  <c r="AH267" i="2" s="1"/>
  <c r="AI267" i="2" s="1"/>
  <c r="AJ267" i="2" s="1"/>
  <c r="AK267" i="2" s="1"/>
  <c r="AL267" i="2" s="1"/>
  <c r="AM267" i="2" s="1"/>
  <c r="AN267" i="2" s="1"/>
  <c r="AO267" i="2" s="1"/>
  <c r="AP267" i="2" s="1"/>
  <c r="AQ267" i="2" s="1"/>
  <c r="AR267" i="2" s="1"/>
  <c r="AS267" i="2" s="1"/>
  <c r="AT267" i="2" s="1"/>
  <c r="AU267" i="2" s="1"/>
  <c r="AV267" i="2" s="1"/>
  <c r="AW267" i="2" s="1"/>
  <c r="AX267" i="2" s="1"/>
  <c r="AY267" i="2" s="1"/>
  <c r="AZ267" i="2" s="1"/>
  <c r="BA267" i="2" s="1"/>
  <c r="BB267" i="2" s="1"/>
  <c r="BC267" i="2" s="1"/>
  <c r="BD267" i="2" s="1"/>
  <c r="BE267" i="2" s="1"/>
  <c r="BF267" i="2" s="1"/>
  <c r="BG267" i="2" s="1"/>
  <c r="BH267" i="2" s="1"/>
  <c r="BI267" i="2" s="1"/>
  <c r="BJ267" i="2" s="1"/>
  <c r="BK267" i="2" s="1"/>
  <c r="BL267" i="2" s="1"/>
  <c r="BM267" i="2" s="1"/>
  <c r="BN267" i="2" s="1"/>
  <c r="BO267" i="2" s="1"/>
  <c r="BP267" i="2" s="1"/>
  <c r="BQ267" i="2" s="1"/>
  <c r="BR267" i="2" s="1"/>
  <c r="BS267" i="2" s="1"/>
  <c r="BT267" i="2" s="1"/>
  <c r="BU267" i="2" s="1"/>
  <c r="BV267" i="2" s="1"/>
  <c r="BW267" i="2" s="1"/>
  <c r="BX267" i="2" s="1"/>
  <c r="BY267" i="2" s="1"/>
  <c r="BZ267" i="2" s="1"/>
  <c r="CA267" i="2" s="1"/>
  <c r="Z296" i="2"/>
  <c r="AA296" i="2" s="1"/>
  <c r="AB296" i="2" s="1"/>
  <c r="AC296" i="2" s="1"/>
  <c r="AD296" i="2" s="1"/>
  <c r="AE296" i="2" s="1"/>
  <c r="AF296" i="2" s="1"/>
  <c r="AG296" i="2" s="1"/>
  <c r="AH296" i="2" s="1"/>
  <c r="AI296" i="2" s="1"/>
  <c r="AJ296" i="2" s="1"/>
  <c r="AK296" i="2" s="1"/>
  <c r="AL296" i="2" s="1"/>
  <c r="AM296" i="2" s="1"/>
  <c r="AN296" i="2" s="1"/>
  <c r="AO296" i="2" s="1"/>
  <c r="AP296" i="2" s="1"/>
  <c r="AQ296" i="2" s="1"/>
  <c r="AR296" i="2" s="1"/>
  <c r="AS296" i="2" s="1"/>
  <c r="AT296" i="2" s="1"/>
  <c r="AU296" i="2" s="1"/>
  <c r="AV296" i="2" s="1"/>
  <c r="AW296" i="2" s="1"/>
  <c r="AX296" i="2" s="1"/>
  <c r="AY296" i="2" s="1"/>
  <c r="AZ296" i="2" s="1"/>
  <c r="BA296" i="2" s="1"/>
  <c r="BB296" i="2" s="1"/>
  <c r="BC296" i="2" s="1"/>
  <c r="BD296" i="2" s="1"/>
  <c r="BE296" i="2" s="1"/>
  <c r="BF296" i="2" s="1"/>
  <c r="BG296" i="2" s="1"/>
  <c r="BH296" i="2" s="1"/>
  <c r="BI296" i="2" s="1"/>
  <c r="BJ296" i="2" s="1"/>
  <c r="BK296" i="2" s="1"/>
  <c r="BL296" i="2" s="1"/>
  <c r="BM296" i="2" s="1"/>
  <c r="BN296" i="2" s="1"/>
  <c r="BO296" i="2" s="1"/>
  <c r="BP296" i="2" s="1"/>
  <c r="BQ296" i="2" s="1"/>
  <c r="BR296" i="2" s="1"/>
  <c r="BS296" i="2" s="1"/>
  <c r="BT296" i="2" s="1"/>
  <c r="BU296" i="2" s="1"/>
  <c r="BV296" i="2" s="1"/>
  <c r="BW296" i="2" s="1"/>
  <c r="BX296" i="2" s="1"/>
  <c r="BY296" i="2" s="1"/>
  <c r="BZ296" i="2" s="1"/>
  <c r="CA296" i="2" s="1"/>
  <c r="CB296" i="2" s="1"/>
  <c r="Z266" i="2"/>
  <c r="AA266" i="2" s="1"/>
  <c r="AB266" i="2" s="1"/>
  <c r="AC266" i="2" s="1"/>
  <c r="AD266" i="2" s="1"/>
  <c r="AE266" i="2" s="1"/>
  <c r="AF266" i="2" s="1"/>
  <c r="AG266" i="2" s="1"/>
  <c r="AH266" i="2" s="1"/>
  <c r="AI266" i="2" s="1"/>
  <c r="AJ266" i="2" s="1"/>
  <c r="AK266" i="2" s="1"/>
  <c r="AL266" i="2" s="1"/>
  <c r="AM266" i="2" s="1"/>
  <c r="AN266" i="2" s="1"/>
  <c r="AO266" i="2" s="1"/>
  <c r="AP266" i="2" s="1"/>
  <c r="AQ266" i="2" s="1"/>
  <c r="AR266" i="2" s="1"/>
  <c r="AS266" i="2" s="1"/>
  <c r="AT266" i="2" s="1"/>
  <c r="AU266" i="2" s="1"/>
  <c r="AV266" i="2" s="1"/>
  <c r="AW266" i="2" s="1"/>
  <c r="AX266" i="2" s="1"/>
  <c r="AY266" i="2" s="1"/>
  <c r="AZ266" i="2" s="1"/>
  <c r="BA266" i="2" s="1"/>
  <c r="BB266" i="2" s="1"/>
  <c r="BC266" i="2" s="1"/>
  <c r="BD266" i="2" s="1"/>
  <c r="BE266" i="2" s="1"/>
  <c r="BF266" i="2" s="1"/>
  <c r="BG266" i="2" s="1"/>
  <c r="BH266" i="2" s="1"/>
  <c r="BI266" i="2" s="1"/>
  <c r="BJ266" i="2" s="1"/>
  <c r="BK266" i="2" s="1"/>
  <c r="BL266" i="2" s="1"/>
  <c r="BM266" i="2" s="1"/>
  <c r="BN266" i="2" s="1"/>
  <c r="BO266" i="2" s="1"/>
  <c r="BP266" i="2" s="1"/>
  <c r="BQ266" i="2" s="1"/>
  <c r="BR266" i="2" s="1"/>
  <c r="BS266" i="2" s="1"/>
  <c r="BT266" i="2" s="1"/>
  <c r="BU266" i="2" s="1"/>
  <c r="BV266" i="2" s="1"/>
  <c r="BW266" i="2" s="1"/>
  <c r="BX266" i="2" s="1"/>
  <c r="BY266" i="2" s="1"/>
  <c r="BZ266" i="2" s="1"/>
  <c r="CA266" i="2" s="1"/>
  <c r="C244" i="2"/>
  <c r="C274" i="2"/>
  <c r="C293" i="2"/>
  <c r="C263" i="2"/>
  <c r="C294" i="2"/>
  <c r="C264" i="2"/>
  <c r="C252" i="2"/>
  <c r="C282" i="2"/>
  <c r="C262" i="2"/>
  <c r="C292" i="2"/>
  <c r="C246" i="2"/>
  <c r="C276" i="2"/>
  <c r="C277" i="2"/>
  <c r="C247" i="2"/>
  <c r="C251" i="2"/>
  <c r="C281" i="2"/>
  <c r="CL28" i="1" l="1"/>
  <c r="CP32" i="5"/>
  <c r="CP34" i="5" s="1"/>
  <c r="CO34" i="5"/>
  <c r="CM25" i="1"/>
  <c r="CB267" i="2"/>
  <c r="CB266" i="2"/>
  <c r="BQ5" i="3"/>
  <c r="CF11" i="1"/>
  <c r="CE10" i="1"/>
  <c r="CC337" i="2"/>
  <c r="CC355" i="2" s="1"/>
  <c r="CC10" i="2"/>
  <c r="CD11" i="2"/>
  <c r="CC207" i="2"/>
  <c r="CC206" i="2"/>
  <c r="CC237" i="2"/>
  <c r="CC297" i="2" s="1"/>
  <c r="CC236" i="2"/>
  <c r="CC296" i="2" s="1"/>
  <c r="CM28" i="1" l="1"/>
  <c r="CQ32" i="5"/>
  <c r="CN25" i="1"/>
  <c r="BR5" i="3"/>
  <c r="CG11" i="1"/>
  <c r="CF10" i="1"/>
  <c r="CC266" i="2"/>
  <c r="CC267" i="2"/>
  <c r="CD10" i="2"/>
  <c r="CE11" i="2"/>
  <c r="CD337" i="2"/>
  <c r="CD355" i="2" s="1"/>
  <c r="CD206" i="2"/>
  <c r="CD207" i="2"/>
  <c r="CD236" i="2"/>
  <c r="CD296" i="2" s="1"/>
  <c r="CD237" i="2"/>
  <c r="CD297" i="2" s="1"/>
  <c r="CQ34" i="5" l="1"/>
  <c r="CN28" i="1"/>
  <c r="CR32" i="5"/>
  <c r="CR34" i="5" s="1"/>
  <c r="CO25" i="1"/>
  <c r="BS5" i="3"/>
  <c r="CH11" i="1"/>
  <c r="CG10" i="1"/>
  <c r="CD267" i="2"/>
  <c r="CD266" i="2"/>
  <c r="CE337" i="2"/>
  <c r="CE355" i="2" s="1"/>
  <c r="CE10" i="2"/>
  <c r="CF11" i="2"/>
  <c r="CE207" i="2"/>
  <c r="CE206" i="2"/>
  <c r="CE237" i="2"/>
  <c r="CE297" i="2" s="1"/>
  <c r="CE236" i="2"/>
  <c r="CE296" i="2" s="1"/>
  <c r="AE17" i="1"/>
  <c r="AI19" i="5" s="1"/>
  <c r="CO28" i="1" l="1"/>
  <c r="CS32" i="5"/>
  <c r="CP25" i="1"/>
  <c r="CE266" i="2"/>
  <c r="BT5" i="3"/>
  <c r="CI11" i="1"/>
  <c r="CH10" i="1"/>
  <c r="CE267" i="2"/>
  <c r="CF337" i="2"/>
  <c r="CF355" i="2" s="1"/>
  <c r="CG11" i="2"/>
  <c r="CF10" i="2"/>
  <c r="CF206" i="2"/>
  <c r="CF207" i="2"/>
  <c r="CF236" i="2"/>
  <c r="CF296" i="2" s="1"/>
  <c r="CF237" i="2"/>
  <c r="CF297" i="2" s="1"/>
  <c r="P19" i="5"/>
  <c r="AF17" i="1"/>
  <c r="AJ19" i="5" s="1"/>
  <c r="CS34" i="5" l="1"/>
  <c r="CP28" i="1"/>
  <c r="CT32" i="5"/>
  <c r="CT34" i="5" s="1"/>
  <c r="CQ25" i="1"/>
  <c r="CF266" i="2"/>
  <c r="BU5" i="3"/>
  <c r="CJ11" i="1"/>
  <c r="CI10" i="1"/>
  <c r="CF267" i="2"/>
  <c r="CG337" i="2"/>
  <c r="CG355" i="2" s="1"/>
  <c r="CH11" i="2"/>
  <c r="CG10" i="2"/>
  <c r="CG206" i="2"/>
  <c r="CG207" i="2"/>
  <c r="CG237" i="2"/>
  <c r="CG297" i="2" s="1"/>
  <c r="CG236" i="2"/>
  <c r="CG296" i="2" s="1"/>
  <c r="AG17" i="1"/>
  <c r="AK19" i="5" s="1"/>
  <c r="AH17" i="1"/>
  <c r="CQ28" i="1" l="1"/>
  <c r="CU32" i="5"/>
  <c r="CU34" i="5" s="1"/>
  <c r="CR25" i="1"/>
  <c r="BV5" i="3"/>
  <c r="CJ10" i="1"/>
  <c r="CK11" i="1"/>
  <c r="CG266" i="2"/>
  <c r="CG267" i="2"/>
  <c r="CH10" i="2"/>
  <c r="CH337" i="2"/>
  <c r="CH355" i="2" s="1"/>
  <c r="CI11" i="2"/>
  <c r="CH206" i="2"/>
  <c r="CH207" i="2"/>
  <c r="CH237" i="2"/>
  <c r="CH297" i="2" s="1"/>
  <c r="CH236" i="2"/>
  <c r="CH296" i="2" s="1"/>
  <c r="AL19" i="5"/>
  <c r="AI17" i="1"/>
  <c r="AM19" i="5" s="1"/>
  <c r="CR28" i="1" l="1"/>
  <c r="CV32" i="5"/>
  <c r="CV34" i="5" s="1"/>
  <c r="CS25" i="1"/>
  <c r="Q19" i="5"/>
  <c r="BW5" i="3"/>
  <c r="CL11" i="1"/>
  <c r="CK10" i="1"/>
  <c r="CH266" i="2"/>
  <c r="CH267" i="2"/>
  <c r="CI337" i="2"/>
  <c r="CI355" i="2" s="1"/>
  <c r="CJ11" i="2"/>
  <c r="CI10" i="2"/>
  <c r="CI207" i="2"/>
  <c r="CI206" i="2"/>
  <c r="CI236" i="2"/>
  <c r="CI296" i="2" s="1"/>
  <c r="CI237" i="2"/>
  <c r="CI297" i="2" s="1"/>
  <c r="AJ17" i="1"/>
  <c r="AN19" i="5" s="1"/>
  <c r="CS28" i="1" l="1"/>
  <c r="CW32" i="5"/>
  <c r="CW34" i="5" s="1"/>
  <c r="CT25" i="1"/>
  <c r="CI267" i="2"/>
  <c r="BX5" i="3"/>
  <c r="CL10" i="1"/>
  <c r="CM11" i="1"/>
  <c r="CI266" i="2"/>
  <c r="CJ10" i="2"/>
  <c r="CK11" i="2"/>
  <c r="CJ337" i="2"/>
  <c r="CJ355" i="2" s="1"/>
  <c r="CJ207" i="2"/>
  <c r="CJ206" i="2"/>
  <c r="CJ236" i="2"/>
  <c r="CJ296" i="2" s="1"/>
  <c r="CJ237" i="2"/>
  <c r="CJ297" i="2" s="1"/>
  <c r="AK17" i="1"/>
  <c r="AO19" i="5" s="1"/>
  <c r="CT28" i="1" l="1"/>
  <c r="CX32" i="5"/>
  <c r="CX34" i="5" s="1"/>
  <c r="CV25" i="1"/>
  <c r="CU25" i="1"/>
  <c r="R19" i="5"/>
  <c r="BY5" i="3"/>
  <c r="CN11" i="1"/>
  <c r="CM10" i="1"/>
  <c r="CJ266" i="2"/>
  <c r="CJ267" i="2"/>
  <c r="CL11" i="2"/>
  <c r="CK337" i="2"/>
  <c r="CK355" i="2" s="1"/>
  <c r="CK10" i="2"/>
  <c r="CK207" i="2"/>
  <c r="CK206" i="2"/>
  <c r="CK236" i="2"/>
  <c r="CK296" i="2" s="1"/>
  <c r="CK237" i="2"/>
  <c r="CK297" i="2" s="1"/>
  <c r="AL17" i="1"/>
  <c r="AP19" i="5" s="1"/>
  <c r="CU28" i="1" l="1"/>
  <c r="CY32" i="5"/>
  <c r="CY34" i="5" s="1"/>
  <c r="CZ32" i="5"/>
  <c r="L25" i="1"/>
  <c r="L28" i="1" s="1"/>
  <c r="L17" i="6" s="1"/>
  <c r="CV28" i="1"/>
  <c r="BZ5" i="3"/>
  <c r="CO11" i="1"/>
  <c r="CN10" i="1"/>
  <c r="CK267" i="2"/>
  <c r="CK266" i="2"/>
  <c r="CL10" i="2"/>
  <c r="CM11" i="2"/>
  <c r="CL337" i="2"/>
  <c r="CL355" i="2" s="1"/>
  <c r="CL207" i="2"/>
  <c r="CL206" i="2"/>
  <c r="CL236" i="2"/>
  <c r="CL296" i="2" s="1"/>
  <c r="CL237" i="2"/>
  <c r="CL297" i="2" s="1"/>
  <c r="AM17" i="1"/>
  <c r="AQ19" i="5" s="1"/>
  <c r="CZ34" i="5" l="1"/>
  <c r="L32" i="5"/>
  <c r="L34" i="5" s="1"/>
  <c r="L18" i="7" s="1"/>
  <c r="CL267" i="2"/>
  <c r="CA5" i="3"/>
  <c r="CO10" i="1"/>
  <c r="CP11" i="1"/>
  <c r="CN11" i="2"/>
  <c r="CM10" i="2"/>
  <c r="CM337" i="2"/>
  <c r="CM355" i="2" s="1"/>
  <c r="CM206" i="2"/>
  <c r="CM207" i="2"/>
  <c r="CM237" i="2"/>
  <c r="CM297" i="2" s="1"/>
  <c r="CM236" i="2"/>
  <c r="CM296" i="2" s="1"/>
  <c r="CL266" i="2"/>
  <c r="AN17" i="1"/>
  <c r="CB5" i="3" l="1"/>
  <c r="CP10" i="1"/>
  <c r="CQ11" i="1"/>
  <c r="CM267" i="2"/>
  <c r="CN337" i="2"/>
  <c r="CN355" i="2" s="1"/>
  <c r="CN10" i="2"/>
  <c r="CO11" i="2"/>
  <c r="CN206" i="2"/>
  <c r="CN207" i="2"/>
  <c r="CN237" i="2"/>
  <c r="CN297" i="2" s="1"/>
  <c r="CN236" i="2"/>
  <c r="CN296" i="2" s="1"/>
  <c r="CM266" i="2"/>
  <c r="AR19" i="5"/>
  <c r="G17" i="1"/>
  <c r="AO17" i="1"/>
  <c r="AS19" i="5" s="1"/>
  <c r="CN267" i="2" l="1"/>
  <c r="CC5" i="3"/>
  <c r="CR11" i="1"/>
  <c r="CQ10" i="1"/>
  <c r="CO337" i="2"/>
  <c r="CO355" i="2" s="1"/>
  <c r="CO10" i="2"/>
  <c r="CP11" i="2"/>
  <c r="CO207" i="2"/>
  <c r="CO206" i="2"/>
  <c r="CO237" i="2"/>
  <c r="CO297" i="2" s="1"/>
  <c r="CO236" i="2"/>
  <c r="CO296" i="2" s="1"/>
  <c r="CN266" i="2"/>
  <c r="G19" i="5"/>
  <c r="S19" i="5"/>
  <c r="AP17" i="1"/>
  <c r="AT19" i="5" s="1"/>
  <c r="CO267" i="2" l="1"/>
  <c r="CD5" i="3"/>
  <c r="CS11" i="1"/>
  <c r="CR10" i="1"/>
  <c r="CQ11" i="2"/>
  <c r="CP10" i="2"/>
  <c r="CP337" i="2"/>
  <c r="CP355" i="2" s="1"/>
  <c r="CP207" i="2"/>
  <c r="CP206" i="2"/>
  <c r="CP236" i="2"/>
  <c r="CP296" i="2" s="1"/>
  <c r="CP237" i="2"/>
  <c r="CP297" i="2" s="1"/>
  <c r="CO266" i="2"/>
  <c r="AQ17" i="1"/>
  <c r="CP267" i="2" l="1"/>
  <c r="AU19" i="5"/>
  <c r="CE5" i="3"/>
  <c r="CT11" i="1"/>
  <c r="CS10" i="1"/>
  <c r="CQ10" i="2"/>
  <c r="CR11" i="2"/>
  <c r="CQ337" i="2"/>
  <c r="CQ355" i="2" s="1"/>
  <c r="CQ207" i="2"/>
  <c r="CQ206" i="2"/>
  <c r="CQ237" i="2"/>
  <c r="CQ297" i="2" s="1"/>
  <c r="CQ236" i="2"/>
  <c r="CQ296" i="2" s="1"/>
  <c r="CP266" i="2"/>
  <c r="AR17" i="1"/>
  <c r="AV19" i="5" s="1"/>
  <c r="CF5" i="3" l="1"/>
  <c r="CT10" i="1"/>
  <c r="CU11" i="1"/>
  <c r="CQ267" i="2"/>
  <c r="CS11" i="2"/>
  <c r="CR10" i="2"/>
  <c r="CR337" i="2"/>
  <c r="CR355" i="2" s="1"/>
  <c r="CR207" i="2"/>
  <c r="CR206" i="2"/>
  <c r="CR237" i="2"/>
  <c r="CR297" i="2" s="1"/>
  <c r="CR236" i="2"/>
  <c r="CR296" i="2" s="1"/>
  <c r="CQ266" i="2"/>
  <c r="AS17" i="1"/>
  <c r="AW19" i="5" s="1"/>
  <c r="CR267" i="2" l="1"/>
  <c r="CG5" i="3"/>
  <c r="CU10" i="1"/>
  <c r="CV11" i="1"/>
  <c r="CT11" i="2"/>
  <c r="CS337" i="2"/>
  <c r="CS355" i="2" s="1"/>
  <c r="CS10" i="2"/>
  <c r="CS207" i="2"/>
  <c r="CS206" i="2"/>
  <c r="CS236" i="2"/>
  <c r="CS296" i="2" s="1"/>
  <c r="CS237" i="2"/>
  <c r="CS297" i="2" s="1"/>
  <c r="CR266" i="2"/>
  <c r="AT17" i="1"/>
  <c r="AX19" i="5" s="1"/>
  <c r="CS267" i="2" l="1"/>
  <c r="CH5" i="3"/>
  <c r="CW11" i="1"/>
  <c r="CV10" i="1"/>
  <c r="CU11" i="2"/>
  <c r="CT10" i="2"/>
  <c r="CT196" i="2"/>
  <c r="CT205" i="2"/>
  <c r="CT207" i="2"/>
  <c r="CT206" i="2"/>
  <c r="CT337" i="2"/>
  <c r="CT355" i="2" s="1"/>
  <c r="CT237" i="2"/>
  <c r="CT297" i="2" s="1"/>
  <c r="CT236" i="2"/>
  <c r="CT296" i="2" s="1"/>
  <c r="CT226" i="2"/>
  <c r="CT235" i="2"/>
  <c r="CS266" i="2"/>
  <c r="AU17" i="1"/>
  <c r="AY19" i="5" s="1"/>
  <c r="CX11" i="1" l="1"/>
  <c r="CW10" i="1"/>
  <c r="CT267" i="2"/>
  <c r="CU203" i="2"/>
  <c r="CU55" i="2"/>
  <c r="CU195" i="2"/>
  <c r="CU201" i="2"/>
  <c r="CU62" i="2"/>
  <c r="CU315" i="2" s="1"/>
  <c r="CU60" i="2"/>
  <c r="CU313" i="2" s="1"/>
  <c r="CU200" i="2"/>
  <c r="CU65" i="2"/>
  <c r="CU318" i="2" s="1"/>
  <c r="CU198" i="2"/>
  <c r="CU57" i="2"/>
  <c r="CU310" i="2" s="1"/>
  <c r="CU63" i="2"/>
  <c r="CU316" i="2" s="1"/>
  <c r="CU64" i="2"/>
  <c r="CU317" i="2" s="1"/>
  <c r="CU204" i="2"/>
  <c r="CU197" i="2"/>
  <c r="CV11" i="2"/>
  <c r="CU202" i="2"/>
  <c r="CU205" i="2"/>
  <c r="CU10" i="2"/>
  <c r="CU207" i="2"/>
  <c r="CU196" i="2"/>
  <c r="CU59" i="2"/>
  <c r="CU312" i="2" s="1"/>
  <c r="CU206" i="2"/>
  <c r="CU58" i="2"/>
  <c r="CU311" i="2" s="1"/>
  <c r="CU56" i="2"/>
  <c r="CU309" i="2" s="1"/>
  <c r="CU61" i="2"/>
  <c r="CU314" i="2" s="1"/>
  <c r="CU337" i="2"/>
  <c r="CU355" i="2" s="1"/>
  <c r="CU199" i="2"/>
  <c r="CU227" i="2"/>
  <c r="CU229" i="2"/>
  <c r="CU225" i="2"/>
  <c r="CU236" i="2"/>
  <c r="CU296" i="2" s="1"/>
  <c r="CU237" i="2"/>
  <c r="CU297" i="2" s="1"/>
  <c r="CU230" i="2"/>
  <c r="CU226" i="2"/>
  <c r="CU233" i="2"/>
  <c r="CU235" i="2"/>
  <c r="CU228" i="2"/>
  <c r="CU234" i="2"/>
  <c r="CU232" i="2"/>
  <c r="CU231" i="2"/>
  <c r="CT266" i="2"/>
  <c r="AV17" i="1"/>
  <c r="AZ19" i="5" s="1"/>
  <c r="CX10" i="1" l="1"/>
  <c r="CY11" i="1"/>
  <c r="CV187" i="2"/>
  <c r="CV195" i="2"/>
  <c r="CV189" i="2"/>
  <c r="CV190" i="2"/>
  <c r="CV62" i="2"/>
  <c r="CV315" i="2" s="1"/>
  <c r="CV188" i="2"/>
  <c r="CV63" i="2"/>
  <c r="CV316" i="2" s="1"/>
  <c r="CV205" i="2"/>
  <c r="CV61" i="2"/>
  <c r="CV314" i="2" s="1"/>
  <c r="CV58" i="2"/>
  <c r="CV311" i="2" s="1"/>
  <c r="CV186" i="2"/>
  <c r="CV185" i="2"/>
  <c r="CV59" i="2"/>
  <c r="CV312" i="2" s="1"/>
  <c r="CV203" i="2"/>
  <c r="CV65" i="2"/>
  <c r="CV318" i="2" s="1"/>
  <c r="CV191" i="2"/>
  <c r="CV202" i="2"/>
  <c r="CV196" i="2"/>
  <c r="CV184" i="2"/>
  <c r="CV200" i="2"/>
  <c r="CV60" i="2"/>
  <c r="CV313" i="2" s="1"/>
  <c r="CV198" i="2"/>
  <c r="CV64" i="2"/>
  <c r="CV317" i="2" s="1"/>
  <c r="CV10" i="2"/>
  <c r="CV56" i="2"/>
  <c r="CV309" i="2" s="1"/>
  <c r="CV193" i="2"/>
  <c r="CV337" i="2"/>
  <c r="CV355" i="2" s="1"/>
  <c r="CV192" i="2"/>
  <c r="CV57" i="2"/>
  <c r="CV310" i="2" s="1"/>
  <c r="CV197" i="2"/>
  <c r="CV201" i="2"/>
  <c r="CV207" i="2"/>
  <c r="CV55" i="2"/>
  <c r="CV206" i="2"/>
  <c r="CV204" i="2"/>
  <c r="CV199" i="2"/>
  <c r="CV194" i="2"/>
  <c r="CV227" i="2"/>
  <c r="CV225" i="2"/>
  <c r="CV219" i="2"/>
  <c r="CV218" i="2"/>
  <c r="CV229" i="2"/>
  <c r="CV223" i="2"/>
  <c r="CV215" i="2"/>
  <c r="CV237" i="2"/>
  <c r="CV297" i="2" s="1"/>
  <c r="CV230" i="2"/>
  <c r="CV236" i="2"/>
  <c r="CV296" i="2" s="1"/>
  <c r="CV224" i="2"/>
  <c r="CV226" i="2"/>
  <c r="CV216" i="2"/>
  <c r="CV217" i="2"/>
  <c r="CV220" i="2"/>
  <c r="CV221" i="2"/>
  <c r="CV214" i="2"/>
  <c r="CV234" i="2"/>
  <c r="CV233" i="2"/>
  <c r="CV222" i="2"/>
  <c r="CV235" i="2"/>
  <c r="CV228" i="2"/>
  <c r="CV232" i="2"/>
  <c r="CV231" i="2"/>
  <c r="CU266" i="2"/>
  <c r="CU308" i="2"/>
  <c r="CU321" i="2" s="1"/>
  <c r="CU68" i="2"/>
  <c r="CU267" i="2"/>
  <c r="AW17" i="1"/>
  <c r="BA19" i="5" s="1"/>
  <c r="CY10" i="1" l="1"/>
  <c r="CZ11" i="1"/>
  <c r="CZ10" i="1" s="1"/>
  <c r="CV308" i="2"/>
  <c r="CV321" i="2" s="1"/>
  <c r="CV68" i="2"/>
  <c r="CV267" i="2"/>
  <c r="CV266" i="2"/>
  <c r="CV239" i="2"/>
  <c r="CV209" i="2"/>
  <c r="AX17" i="1"/>
  <c r="BB19" i="5" s="1"/>
  <c r="CV210" i="2" l="1"/>
  <c r="CV240" i="2"/>
  <c r="AY17" i="1"/>
  <c r="BC19" i="5" s="1"/>
  <c r="AZ17" i="1" l="1"/>
  <c r="H17" i="1" l="1"/>
  <c r="BD19" i="5"/>
  <c r="BA17" i="1"/>
  <c r="BE19" i="5" s="1"/>
  <c r="H19" i="5" l="1"/>
  <c r="BB17" i="1"/>
  <c r="BF19" i="5" s="1"/>
  <c r="BC17" i="1" l="1"/>
  <c r="BG19" i="5" l="1"/>
  <c r="BD17" i="1"/>
  <c r="BH19" i="5" s="1"/>
  <c r="BE17" i="1" l="1"/>
  <c r="BI19" i="5" s="1"/>
  <c r="BF17" i="1" l="1"/>
  <c r="BJ19" i="5" s="1"/>
  <c r="BG17" i="1" l="1"/>
  <c r="BK19" i="5" s="1"/>
  <c r="BH17" i="1" l="1"/>
  <c r="BL19" i="5" s="1"/>
  <c r="BI17" i="1" l="1"/>
  <c r="BM19" i="5" s="1"/>
  <c r="BJ17" i="1" l="1"/>
  <c r="BN19" i="5" s="1"/>
  <c r="BK17" i="1" l="1"/>
  <c r="BO19" i="5" s="1"/>
  <c r="BL17" i="1" l="1"/>
  <c r="BP19" i="5" l="1"/>
  <c r="BQ19" i="5"/>
  <c r="I17" i="1"/>
  <c r="J19" i="5" l="1"/>
  <c r="I19" i="5"/>
  <c r="AC23" i="1"/>
  <c r="AC28" i="1" s="1"/>
  <c r="AD23" i="1"/>
  <c r="AD28" i="1" s="1"/>
  <c r="AE23" i="1" l="1"/>
  <c r="AE28" i="1" s="1"/>
  <c r="AF23" i="1" l="1"/>
  <c r="AF28" i="1" s="1"/>
  <c r="AG23" i="1"/>
  <c r="AG28" i="1" s="1"/>
  <c r="AH23" i="1" l="1"/>
  <c r="AH28" i="1" s="1"/>
  <c r="AI23" i="1" l="1"/>
  <c r="AI28" i="1" s="1"/>
  <c r="AJ23" i="1"/>
  <c r="AJ28" i="1" s="1"/>
  <c r="AK23" i="1" l="1"/>
  <c r="AK28" i="1" s="1"/>
  <c r="AL23" i="1" l="1"/>
  <c r="AL28" i="1" s="1"/>
  <c r="AM23" i="1"/>
  <c r="AM28" i="1" s="1"/>
  <c r="AN23" i="1" l="1"/>
  <c r="AN28" i="1" l="1"/>
  <c r="G23" i="1"/>
  <c r="G28" i="1" s="1"/>
  <c r="G17" i="6" s="1"/>
  <c r="AO23" i="1" l="1"/>
  <c r="AO28" i="1" s="1"/>
  <c r="AP23" i="1"/>
  <c r="AP28" i="1" s="1"/>
  <c r="AQ23" i="1" l="1"/>
  <c r="AQ28" i="1" l="1"/>
  <c r="J28" i="1"/>
  <c r="J17" i="6" s="1"/>
  <c r="AR23" i="1" l="1"/>
  <c r="AR28" i="1" s="1"/>
  <c r="AS23" i="1"/>
  <c r="AS28" i="1" s="1"/>
  <c r="AA224" i="2" l="1"/>
  <c r="AA216" i="2"/>
  <c r="AA215" i="2"/>
  <c r="AA223" i="2"/>
  <c r="AA217" i="2"/>
  <c r="AA221" i="2"/>
  <c r="AA220" i="2"/>
  <c r="CT234" i="2"/>
  <c r="AA218" i="2"/>
  <c r="Z327" i="2"/>
  <c r="AA326" i="2"/>
  <c r="AA328" i="2"/>
  <c r="AA336" i="2"/>
  <c r="AA332" i="2"/>
  <c r="AA331" i="2"/>
  <c r="AA334" i="2"/>
  <c r="AA333" i="2"/>
  <c r="AA329" i="2"/>
  <c r="AA335" i="2"/>
  <c r="AA330" i="2"/>
  <c r="AA222" i="2"/>
  <c r="AA219" i="2"/>
  <c r="AA327" i="2"/>
  <c r="Z218" i="2"/>
  <c r="Z222" i="2"/>
  <c r="Z217" i="2"/>
  <c r="Z224" i="2"/>
  <c r="Z220" i="2"/>
  <c r="Z216" i="2"/>
  <c r="Z219" i="2"/>
  <c r="AT23" i="1"/>
  <c r="AT28" i="1" s="1"/>
  <c r="Z223" i="2" l="1"/>
  <c r="CT231" i="2"/>
  <c r="CT233" i="2"/>
  <c r="AA186" i="2"/>
  <c r="Z221" i="2"/>
  <c r="Z339" i="2"/>
  <c r="AA188" i="2"/>
  <c r="CT227" i="2"/>
  <c r="AA191" i="2"/>
  <c r="AA187" i="2"/>
  <c r="AA190" i="2"/>
  <c r="AA185" i="2"/>
  <c r="CT232" i="2"/>
  <c r="AA189" i="2"/>
  <c r="AA194" i="2"/>
  <c r="AA339" i="2"/>
  <c r="AA192" i="2"/>
  <c r="CT229" i="2"/>
  <c r="CT228" i="2"/>
  <c r="Z215" i="2"/>
  <c r="CT230" i="2"/>
  <c r="CT200" i="2"/>
  <c r="AA193" i="2"/>
  <c r="CT197" i="2"/>
  <c r="AA214" i="2"/>
  <c r="Z189" i="2" l="1"/>
  <c r="Z185" i="2"/>
  <c r="CT203" i="2"/>
  <c r="CT199" i="2"/>
  <c r="Z188" i="2"/>
  <c r="CT202" i="2"/>
  <c r="Z192" i="2"/>
  <c r="Z194" i="2"/>
  <c r="Z191" i="2"/>
  <c r="Z186" i="2"/>
  <c r="CT201" i="2"/>
  <c r="Z187" i="2"/>
  <c r="Z193" i="2"/>
  <c r="CT225" i="2"/>
  <c r="CT198" i="2"/>
  <c r="CT204" i="2"/>
  <c r="Z190" i="2"/>
  <c r="AU23" i="1"/>
  <c r="AU28" i="1" s="1"/>
  <c r="AV23" i="1"/>
  <c r="AV28" i="1" s="1"/>
  <c r="AA184" i="2"/>
  <c r="CT195" i="2" l="1"/>
  <c r="Z214" i="2"/>
  <c r="Z184" i="2" l="1"/>
  <c r="AW23" i="1"/>
  <c r="AW28" i="1" s="1"/>
  <c r="AX23" i="1" l="1"/>
  <c r="AX28" i="1" s="1"/>
  <c r="AY23" i="1"/>
  <c r="AY28" i="1" s="1"/>
  <c r="AZ23" i="1" l="1"/>
  <c r="AZ28" i="1" l="1"/>
  <c r="H23" i="1"/>
  <c r="H28" i="1" s="1"/>
  <c r="H17" i="6" s="1"/>
  <c r="BA23" i="1" l="1"/>
  <c r="BA28" i="1" s="1"/>
  <c r="BB23" i="1"/>
  <c r="BB28" i="1" s="1"/>
  <c r="BC23" i="1" l="1"/>
  <c r="BC28" i="1" l="1"/>
  <c r="K28" i="1"/>
  <c r="K17" i="6" s="1"/>
  <c r="BD23" i="1" l="1"/>
  <c r="BD28" i="1" s="1"/>
  <c r="BE23" i="1"/>
  <c r="BE28" i="1" s="1"/>
  <c r="BF23" i="1" l="1"/>
  <c r="BF28" i="1" s="1"/>
  <c r="BG23" i="1" l="1"/>
  <c r="BG28" i="1" s="1"/>
  <c r="BH23" i="1"/>
  <c r="BH28" i="1" s="1"/>
  <c r="BI23" i="1" l="1"/>
  <c r="BI28" i="1" s="1"/>
  <c r="BJ23" i="1" l="1"/>
  <c r="BJ28" i="1" s="1"/>
  <c r="BK23" i="1"/>
  <c r="BK28" i="1" s="1"/>
  <c r="BL23" i="1" l="1"/>
  <c r="BL28" i="1" l="1"/>
  <c r="I23" i="1"/>
  <c r="I28" i="1" s="1"/>
  <c r="I17" i="6" s="1"/>
  <c r="CW42" i="1" l="1"/>
  <c r="CW44" i="1" s="1"/>
  <c r="CW46" i="1" s="1"/>
  <c r="CW48" i="1" s="1"/>
  <c r="CX42" i="1" l="1"/>
  <c r="CX44" i="1" s="1"/>
  <c r="CX46" i="1" s="1"/>
  <c r="CX48" i="1" s="1"/>
  <c r="CY42" i="1" l="1"/>
  <c r="CY44" i="1" s="1"/>
  <c r="CY46" i="1" s="1"/>
  <c r="CY48" i="1" s="1"/>
  <c r="CZ42" i="1" l="1"/>
  <c r="CZ44" i="1" s="1"/>
  <c r="CZ46" i="1" s="1"/>
  <c r="CZ48" i="1" s="1"/>
  <c r="Z253" i="2" l="1"/>
  <c r="Z250" i="2"/>
  <c r="Z246" i="2"/>
  <c r="Z251" i="2"/>
  <c r="Z245" i="2"/>
  <c r="Z249" i="2"/>
  <c r="Z248" i="2" l="1"/>
  <c r="AA248" i="2" s="1"/>
  <c r="AA251" i="2"/>
  <c r="AA246" i="2"/>
  <c r="AA253" i="2"/>
  <c r="AA250" i="2"/>
  <c r="AA249" i="2"/>
  <c r="AA245" i="2"/>
  <c r="Z254" i="2"/>
  <c r="AA254" i="2" s="1"/>
  <c r="Z244" i="2"/>
  <c r="AE119" i="2" l="1"/>
  <c r="AM119" i="2"/>
  <c r="AW119" i="2"/>
  <c r="BC119" i="2"/>
  <c r="AV119" i="2"/>
  <c r="AV229" i="2"/>
  <c r="BG119" i="2"/>
  <c r="BA119" i="2"/>
  <c r="AP119" i="2"/>
  <c r="BE217" i="2"/>
  <c r="BH234" i="2"/>
  <c r="AO233" i="2"/>
  <c r="AD119" i="2"/>
  <c r="AX119" i="2"/>
  <c r="AM218" i="2"/>
  <c r="AT228" i="2"/>
  <c r="AA244" i="2"/>
  <c r="AI231" i="2"/>
  <c r="AD231" i="2"/>
  <c r="AE231" i="2"/>
  <c r="Z231" i="2"/>
  <c r="Z291" i="2" s="1"/>
  <c r="AC231" i="2"/>
  <c r="AR231" i="2"/>
  <c r="AB231" i="2"/>
  <c r="AS231" i="2"/>
  <c r="BA231" i="2"/>
  <c r="AT231" i="2"/>
  <c r="AZ231" i="2"/>
  <c r="AG231" i="2"/>
  <c r="BC231" i="2"/>
  <c r="BG231" i="2"/>
  <c r="AJ231" i="2"/>
  <c r="BH231" i="2"/>
  <c r="BB231" i="2"/>
  <c r="AU231" i="2"/>
  <c r="BI231" i="2"/>
  <c r="AK231" i="2"/>
  <c r="AW231" i="2"/>
  <c r="AA231" i="2"/>
  <c r="BE231" i="2"/>
  <c r="AN231" i="2"/>
  <c r="AP231" i="2"/>
  <c r="AY231" i="2"/>
  <c r="AL231" i="2"/>
  <c r="AO231" i="2"/>
  <c r="AX231" i="2"/>
  <c r="AH231" i="2"/>
  <c r="BF231" i="2"/>
  <c r="AV231" i="2"/>
  <c r="AF231" i="2"/>
  <c r="AQ231" i="2"/>
  <c r="AM231" i="2"/>
  <c r="BD231" i="2"/>
  <c r="AE227" i="2"/>
  <c r="AB232" i="2"/>
  <c r="AJ227" i="2"/>
  <c r="BC233" i="2"/>
  <c r="AW229" i="2"/>
  <c r="BE230" i="2"/>
  <c r="AA226" i="2"/>
  <c r="AB226" i="2"/>
  <c r="AG234" i="2"/>
  <c r="AM234" i="2"/>
  <c r="AD230" i="2"/>
  <c r="AB233" i="2"/>
  <c r="AG230" i="2"/>
  <c r="AY232" i="2"/>
  <c r="AZ234" i="2"/>
  <c r="BB232" i="2"/>
  <c r="AT233" i="2"/>
  <c r="AA228" i="2"/>
  <c r="AN235" i="2"/>
  <c r="AM228" i="2"/>
  <c r="BB227" i="2"/>
  <c r="AN226" i="2"/>
  <c r="AP226" i="2"/>
  <c r="AB234" i="2"/>
  <c r="AG226" i="2"/>
  <c r="BI230" i="2"/>
  <c r="AY230" i="2"/>
  <c r="BF234" i="2"/>
  <c r="AK228" i="2"/>
  <c r="AM235" i="2"/>
  <c r="AJ234" i="2"/>
  <c r="AG232" i="2"/>
  <c r="AY235" i="2"/>
  <c r="AQ234" i="2"/>
  <c r="AG229" i="2"/>
  <c r="AV234" i="2"/>
  <c r="AM229" i="2"/>
  <c r="AJ229" i="2"/>
  <c r="AM226" i="2"/>
  <c r="AY227" i="2"/>
  <c r="BH233" i="2"/>
  <c r="AT235" i="2"/>
  <c r="AE226" i="2"/>
  <c r="AT226" i="2"/>
  <c r="AM230" i="2"/>
  <c r="AH235" i="2"/>
  <c r="AS227" i="2"/>
  <c r="BH229" i="2"/>
  <c r="AD235" i="2"/>
  <c r="BC228" i="2"/>
  <c r="BF229" i="2"/>
  <c r="BJ216" i="2"/>
  <c r="AY220" i="2"/>
  <c r="AU218" i="2"/>
  <c r="AU229" i="2"/>
  <c r="BH220" i="2"/>
  <c r="BF217" i="2"/>
  <c r="AF227" i="2"/>
  <c r="BA227" i="2"/>
  <c r="AZ215" i="2"/>
  <c r="AO223" i="2"/>
  <c r="BK215" i="2"/>
  <c r="BD235" i="2"/>
  <c r="AT216" i="2"/>
  <c r="AW217" i="2"/>
  <c r="AX223" i="2"/>
  <c r="BH219" i="2"/>
  <c r="BG227" i="2"/>
  <c r="AS219" i="2"/>
  <c r="AI227" i="2"/>
  <c r="BD218" i="2"/>
  <c r="AG216" i="2"/>
  <c r="BA235" i="2"/>
  <c r="BI220" i="2"/>
  <c r="AP215" i="2"/>
  <c r="AJ216" i="2"/>
  <c r="BG217" i="2"/>
  <c r="AE219" i="2"/>
  <c r="AJ219" i="2"/>
  <c r="BB220" i="2"/>
  <c r="AH215" i="2"/>
  <c r="BD232" i="2"/>
  <c r="BB219" i="2"/>
  <c r="BC224" i="2"/>
  <c r="AO215" i="2"/>
  <c r="AA227" i="2"/>
  <c r="BD227" i="2"/>
  <c r="AL224" i="2"/>
  <c r="AU217" i="2"/>
  <c r="AQ216" i="2"/>
  <c r="AC235" i="2"/>
  <c r="AS215" i="2"/>
  <c r="AU228" i="2"/>
  <c r="BD216" i="2"/>
  <c r="AL232" i="2"/>
  <c r="AY217" i="2"/>
  <c r="AT218" i="2"/>
  <c r="AV219" i="2"/>
  <c r="AU227" i="2"/>
  <c r="AH221" i="2"/>
  <c r="BE219" i="2"/>
  <c r="AM215" i="2"/>
  <c r="AL223" i="2"/>
  <c r="AT215" i="2"/>
  <c r="AS229" i="2"/>
  <c r="AG220" i="2"/>
  <c r="AM216" i="2"/>
  <c r="BE221" i="2"/>
  <c r="Z228" i="2"/>
  <c r="Z288" i="2" s="1"/>
  <c r="AE224" i="2"/>
  <c r="AK226" i="2"/>
  <c r="Z230" i="2"/>
  <c r="Z290" i="2" s="1"/>
  <c r="BI227" i="2"/>
  <c r="AG224" i="2"/>
  <c r="AJ221" i="2"/>
  <c r="AN229" i="2"/>
  <c r="AI221" i="2"/>
  <c r="AG219" i="2"/>
  <c r="BC235" i="2"/>
  <c r="AJ230" i="2"/>
  <c r="AF226" i="2"/>
  <c r="AO218" i="2"/>
  <c r="AE220" i="2"/>
  <c r="AZ220" i="2"/>
  <c r="AH223" i="2"/>
  <c r="AI230" i="2"/>
  <c r="AI220" i="2"/>
  <c r="AD234" i="2"/>
  <c r="BA226" i="2"/>
  <c r="AM221" i="2"/>
  <c r="AI215" i="2"/>
  <c r="AD219" i="2"/>
  <c r="AO224" i="2"/>
  <c r="AI232" i="2"/>
  <c r="AT217" i="2"/>
  <c r="AF230" i="2"/>
  <c r="AW235" i="2"/>
  <c r="AC232" i="2"/>
  <c r="BE228" i="2"/>
  <c r="AI235" i="2"/>
  <c r="AP222" i="2"/>
  <c r="AL228" i="2"/>
  <c r="AY222" i="2"/>
  <c r="AX218" i="2"/>
  <c r="AL235" i="2"/>
  <c r="AC215" i="2"/>
  <c r="AP221" i="2"/>
  <c r="AL220" i="2"/>
  <c r="AU226" i="2"/>
  <c r="AP228" i="2"/>
  <c r="BB233" i="2"/>
  <c r="AI224" i="2"/>
  <c r="AN227" i="2"/>
  <c r="Z233" i="2"/>
  <c r="Z293" i="2" s="1"/>
  <c r="AG217" i="2"/>
  <c r="AR224" i="2"/>
  <c r="AC221" i="2"/>
  <c r="AH228" i="2"/>
  <c r="AJ215" i="2"/>
  <c r="AM227" i="2"/>
  <c r="AF232" i="2"/>
  <c r="AR217" i="2"/>
  <c r="AC216" i="2"/>
  <c r="AU220" i="2"/>
  <c r="AZ223" i="2"/>
  <c r="AY218" i="2"/>
  <c r="BB218" i="2"/>
  <c r="AP219" i="2"/>
  <c r="BH224" i="2"/>
  <c r="AQ235" i="2"/>
  <c r="AJ220" i="2"/>
  <c r="BG220" i="2"/>
  <c r="AU233" i="2"/>
  <c r="BE216" i="2"/>
  <c r="AO222" i="2"/>
  <c r="AA230" i="2"/>
  <c r="AI226" i="2"/>
  <c r="AX233" i="2"/>
  <c r="BB217" i="2"/>
  <c r="AP218" i="2"/>
  <c r="AX228" i="2"/>
  <c r="AU235" i="2"/>
  <c r="AH233" i="2"/>
  <c r="BD234" i="2"/>
  <c r="AY219" i="2"/>
  <c r="BA229" i="2"/>
  <c r="AT221" i="2"/>
  <c r="AC223" i="2"/>
  <c r="AD217" i="2"/>
  <c r="AV224" i="2"/>
  <c r="BC220" i="2"/>
  <c r="AQ221" i="2"/>
  <c r="AN219" i="2"/>
  <c r="AP229" i="2"/>
  <c r="AR230" i="2"/>
  <c r="AS217" i="2"/>
  <c r="AC218" i="2"/>
  <c r="BH227" i="2"/>
  <c r="AC220" i="2"/>
  <c r="AK230" i="2"/>
  <c r="BH222" i="2"/>
  <c r="AF218" i="2"/>
  <c r="BH235" i="2"/>
  <c r="AV222" i="2"/>
  <c r="AY223" i="2"/>
  <c r="AX232" i="2"/>
  <c r="AU230" i="2"/>
  <c r="AV228" i="2"/>
  <c r="AG223" i="2"/>
  <c r="AZ226" i="2"/>
  <c r="AX222" i="2"/>
  <c r="BF232" i="2"/>
  <c r="AZ217" i="2"/>
  <c r="AR235" i="2"/>
  <c r="BG235" i="2"/>
  <c r="BA221" i="2"/>
  <c r="Z234" i="2"/>
  <c r="Z294" i="2" s="1"/>
  <c r="AC219" i="2"/>
  <c r="AD227" i="2"/>
  <c r="AD226" i="2"/>
  <c r="AJ224" i="2"/>
  <c r="AQ230" i="2"/>
  <c r="AZ216" i="2"/>
  <c r="BC226" i="2"/>
  <c r="AL215" i="2"/>
  <c r="AE235" i="2"/>
  <c r="AW222" i="2"/>
  <c r="AI217" i="2"/>
  <c r="AN223" i="2"/>
  <c r="BJ219" i="2"/>
  <c r="BC230" i="2"/>
  <c r="AS220" i="2"/>
  <c r="AS224" i="2"/>
  <c r="AC230" i="2"/>
  <c r="AH224" i="2"/>
  <c r="AW221" i="2"/>
  <c r="AK220" i="2"/>
  <c r="AC226" i="2"/>
  <c r="AX227" i="2"/>
  <c r="AG227" i="2"/>
  <c r="AC224" i="2"/>
  <c r="AY228" i="2"/>
  <c r="AD221" i="2"/>
  <c r="AA232" i="2"/>
  <c r="AZ224" i="2"/>
  <c r="AV216" i="2"/>
  <c r="BB230" i="2"/>
  <c r="AU221" i="2"/>
  <c r="AR221" i="2"/>
  <c r="AO230" i="2"/>
  <c r="AE216" i="2"/>
  <c r="AP216" i="2"/>
  <c r="AF224" i="2"/>
  <c r="AL216" i="2"/>
  <c r="AF215" i="2"/>
  <c r="AC217" i="2"/>
  <c r="AU222" i="2"/>
  <c r="AB230" i="2"/>
  <c r="AY224" i="2"/>
  <c r="BK224" i="2"/>
  <c r="BD219" i="2"/>
  <c r="AQ218" i="2"/>
  <c r="AO219" i="2"/>
  <c r="AF233" i="2"/>
  <c r="AR232" i="2"/>
  <c r="BC221" i="2"/>
  <c r="AB235" i="2"/>
  <c r="AX229" i="2"/>
  <c r="AO232" i="2"/>
  <c r="BE215" i="2"/>
  <c r="AI218" i="2"/>
  <c r="AH219" i="2"/>
  <c r="AW232" i="2"/>
  <c r="AR219" i="2"/>
  <c r="AR222" i="2"/>
  <c r="AL218" i="2"/>
  <c r="AG218" i="2"/>
  <c r="BA216" i="2"/>
  <c r="AY215" i="2"/>
  <c r="BF227" i="2"/>
  <c r="BA224" i="2"/>
  <c r="AX230" i="2"/>
  <c r="AL234" i="2"/>
  <c r="BF235" i="2"/>
  <c r="AW219" i="2"/>
  <c r="AD222" i="2"/>
  <c r="AL219" i="2"/>
  <c r="AR218" i="2"/>
  <c r="AO226" i="2"/>
  <c r="AM220" i="2"/>
  <c r="AV233" i="2"/>
  <c r="BG219" i="2"/>
  <c r="BF218" i="2"/>
  <c r="BF224" i="2"/>
  <c r="BC222" i="2"/>
  <c r="BH226" i="2"/>
  <c r="AO216" i="2"/>
  <c r="BC219" i="2"/>
  <c r="AU232" i="2"/>
  <c r="AQ220" i="2"/>
  <c r="AN220" i="2"/>
  <c r="AZ219" i="2"/>
  <c r="AL217" i="2"/>
  <c r="AD232" i="2"/>
  <c r="BD233" i="2"/>
  <c r="AP230" i="2"/>
  <c r="BF216" i="2"/>
  <c r="AS232" i="2"/>
  <c r="AT219" i="2"/>
  <c r="AQ219" i="2"/>
  <c r="AY221" i="2"/>
  <c r="AW220" i="2"/>
  <c r="AN215" i="2"/>
  <c r="BB222" i="2"/>
  <c r="BC218" i="2"/>
  <c r="AW215" i="2"/>
  <c r="AH227" i="2"/>
  <c r="BH215" i="2"/>
  <c r="AL230" i="2"/>
  <c r="AI234" i="2"/>
  <c r="BD223" i="2"/>
  <c r="AU216" i="2"/>
  <c r="AL226" i="2"/>
  <c r="AE229" i="2"/>
  <c r="AZ235" i="2"/>
  <c r="AF221" i="2"/>
  <c r="BJ215" i="2"/>
  <c r="BA228" i="2"/>
  <c r="AF235" i="2"/>
  <c r="BB224" i="2"/>
  <c r="AO235" i="2"/>
  <c r="BA217" i="2"/>
  <c r="AG235" i="2"/>
  <c r="BD221" i="2"/>
  <c r="AR220" i="2"/>
  <c r="AF229" i="2"/>
  <c r="AV230" i="2"/>
  <c r="AX220" i="2"/>
  <c r="AW230" i="2"/>
  <c r="AR229" i="2"/>
  <c r="BE226" i="2"/>
  <c r="BI222" i="2"/>
  <c r="AP224" i="2"/>
  <c r="AT229" i="2"/>
  <c r="BD229" i="2"/>
  <c r="AP227" i="2"/>
  <c r="BC215" i="2"/>
  <c r="Z226" i="2"/>
  <c r="Z286" i="2" s="1"/>
  <c r="AM232" i="2"/>
  <c r="AY234" i="2"/>
  <c r="BE222" i="2"/>
  <c r="AW223" i="2"/>
  <c r="AV220" i="2"/>
  <c r="BI224" i="2"/>
  <c r="AP235" i="2"/>
  <c r="BB234" i="2"/>
  <c r="AR216" i="2"/>
  <c r="BB216" i="2"/>
  <c r="AN221" i="2"/>
  <c r="AM233" i="2"/>
  <c r="AI228" i="2"/>
  <c r="BA223" i="2"/>
  <c r="BK223" i="2"/>
  <c r="BH221" i="2"/>
  <c r="AV232" i="2"/>
  <c r="AL229" i="2"/>
  <c r="BG230" i="2"/>
  <c r="AE234" i="2"/>
  <c r="AS221" i="2"/>
  <c r="AX216" i="2"/>
  <c r="AO221" i="2"/>
  <c r="AW216" i="2"/>
  <c r="AC234" i="2"/>
  <c r="AI219" i="2"/>
  <c r="BB229" i="2"/>
  <c r="AS228" i="2"/>
  <c r="BI215" i="2"/>
  <c r="BE223" i="2"/>
  <c r="BI235" i="2"/>
  <c r="AV221" i="2"/>
  <c r="AJ222" i="2"/>
  <c r="BG224" i="2"/>
  <c r="BI232" i="2"/>
  <c r="BA230" i="2"/>
  <c r="AE230" i="2"/>
  <c r="AP220" i="2"/>
  <c r="AS235" i="2"/>
  <c r="AX221" i="2"/>
  <c r="AG228" i="2"/>
  <c r="BF230" i="2"/>
  <c r="Z232" i="2"/>
  <c r="Z292" i="2" s="1"/>
  <c r="BF220" i="2"/>
  <c r="AN216" i="2"/>
  <c r="BC217" i="2"/>
  <c r="AD215" i="2"/>
  <c r="AF220" i="2"/>
  <c r="BJ221" i="2"/>
  <c r="AQ224" i="2"/>
  <c r="AY229" i="2"/>
  <c r="BK220" i="2"/>
  <c r="AQ232" i="2"/>
  <c r="AS230" i="2"/>
  <c r="AO217" i="2"/>
  <c r="BF228" i="2"/>
  <c r="BA219" i="2"/>
  <c r="AH234" i="2"/>
  <c r="AX215" i="2"/>
  <c r="BC234" i="2"/>
  <c r="AH232" i="2"/>
  <c r="AP223" i="2"/>
  <c r="AL221" i="2"/>
  <c r="BE220" i="2"/>
  <c r="AN224" i="2"/>
  <c r="AD233" i="2"/>
  <c r="AK232" i="2"/>
  <c r="AE215" i="2"/>
  <c r="BJ222" i="2"/>
  <c r="AF216" i="2"/>
  <c r="BC232" i="2"/>
  <c r="AM219" i="2"/>
  <c r="AV235" i="2"/>
  <c r="BK221" i="2"/>
  <c r="BF226" i="2"/>
  <c r="AK234" i="2"/>
  <c r="BB221" i="2"/>
  <c r="BH216" i="2"/>
  <c r="AV215" i="2"/>
  <c r="AX224" i="2"/>
  <c r="AX217" i="2"/>
  <c r="AK215" i="2"/>
  <c r="AH226" i="2"/>
  <c r="BI217" i="2"/>
  <c r="AP232" i="2"/>
  <c r="AK219" i="2"/>
  <c r="Z227" i="2"/>
  <c r="Z287" i="2" s="1"/>
  <c r="BF221" i="2"/>
  <c r="AO220" i="2"/>
  <c r="BB235" i="2"/>
  <c r="AF222" i="2"/>
  <c r="AZ227" i="2"/>
  <c r="BH230" i="2"/>
  <c r="AK227" i="2"/>
  <c r="AN217" i="2"/>
  <c r="AX226" i="2"/>
  <c r="AW234" i="2"/>
  <c r="AX235" i="2"/>
  <c r="AY226" i="2"/>
  <c r="AZ232" i="2"/>
  <c r="AK222" i="2"/>
  <c r="BG221" i="2"/>
  <c r="BK219" i="2"/>
  <c r="AZ218" i="2"/>
  <c r="AV227" i="2"/>
  <c r="AL227" i="2"/>
  <c r="AD220" i="2"/>
  <c r="BD224" i="2"/>
  <c r="AC228" i="2"/>
  <c r="BE227" i="2"/>
  <c r="AK221" i="2"/>
  <c r="BI234" i="2"/>
  <c r="BI219" i="2"/>
  <c r="AE217" i="2"/>
  <c r="BA233" i="2"/>
  <c r="AT227" i="2"/>
  <c r="AQ227" i="2"/>
  <c r="AT224" i="2"/>
  <c r="AV226" i="2"/>
  <c r="AB227" i="2"/>
  <c r="AF217" i="2"/>
  <c r="BI216" i="2"/>
  <c r="AN233" i="2"/>
  <c r="AK216" i="2"/>
  <c r="AR228" i="2"/>
  <c r="AS218" i="2"/>
  <c r="AH229" i="2"/>
  <c r="AS226" i="2"/>
  <c r="AZ230" i="2"/>
  <c r="BE232" i="2"/>
  <c r="AJ217" i="2"/>
  <c r="AH222" i="2"/>
  <c r="AK218" i="2"/>
  <c r="BF219" i="2"/>
  <c r="BH218" i="2"/>
  <c r="AH230" i="2"/>
  <c r="BK216" i="2"/>
  <c r="BC227" i="2"/>
  <c r="BI221" i="2"/>
  <c r="BD226" i="2"/>
  <c r="AX219" i="2"/>
  <c r="AT232" i="2"/>
  <c r="AN232" i="2"/>
  <c r="AR227" i="2"/>
  <c r="BG215" i="2"/>
  <c r="BG226" i="2"/>
  <c r="AU215" i="2"/>
  <c r="AN230" i="2"/>
  <c r="AY233" i="2"/>
  <c r="BF215" i="2"/>
  <c r="AM217" i="2"/>
  <c r="BE224" i="2"/>
  <c r="BA222" i="2"/>
  <c r="AO227" i="2"/>
  <c r="AE233" i="2"/>
  <c r="BJ220" i="2"/>
  <c r="AE228" i="2"/>
  <c r="AA233" i="2"/>
  <c r="BE233" i="2"/>
  <c r="BG229" i="2"/>
  <c r="AH220" i="2"/>
  <c r="BG218" i="2"/>
  <c r="AU224" i="2"/>
  <c r="BB215" i="2"/>
  <c r="AI223" i="2"/>
  <c r="BC223" i="2"/>
  <c r="AU219" i="2"/>
  <c r="AD228" i="2"/>
  <c r="BH232" i="2"/>
  <c r="AM224" i="2"/>
  <c r="BA232" i="2"/>
  <c r="AO228" i="2"/>
  <c r="AR215" i="2"/>
  <c r="AK223" i="2"/>
  <c r="BJ224" i="2"/>
  <c r="AW224" i="2"/>
  <c r="AE232" i="2"/>
  <c r="AG221" i="2"/>
  <c r="BA220" i="2"/>
  <c r="BG216" i="2"/>
  <c r="BG232" i="2"/>
  <c r="AJ232" i="2"/>
  <c r="AJ226" i="2"/>
  <c r="BB226" i="2"/>
  <c r="AQ215" i="2"/>
  <c r="AZ229" i="2"/>
  <c r="AD224" i="2"/>
  <c r="BD228" i="2"/>
  <c r="AG222" i="2"/>
  <c r="AZ221" i="2"/>
  <c r="AT234" i="2"/>
  <c r="BD220" i="2"/>
  <c r="AK217" i="2"/>
  <c r="BI226" i="2"/>
  <c r="BI233" i="2"/>
  <c r="AZ222" i="2"/>
  <c r="BF223" i="2"/>
  <c r="AT230" i="2"/>
  <c r="AS216" i="2"/>
  <c r="AG215" i="2"/>
  <c r="AK235" i="2"/>
  <c r="AD216" i="2"/>
  <c r="AT220" i="2"/>
  <c r="AI216" i="2"/>
  <c r="AA235" i="2"/>
  <c r="AW227" i="2"/>
  <c r="AK233" i="2"/>
  <c r="Z235" i="2"/>
  <c r="Z295" i="2" s="1"/>
  <c r="AC227" i="2"/>
  <c r="AF219" i="2"/>
  <c r="AR226" i="2"/>
  <c r="AY216" i="2"/>
  <c r="AQ233" i="2"/>
  <c r="AE223" i="2"/>
  <c r="AE221" i="2"/>
  <c r="BA215" i="2"/>
  <c r="AJ235" i="2"/>
  <c r="AF234" i="2"/>
  <c r="BD215" i="2"/>
  <c r="BE234" i="2"/>
  <c r="AW226" i="2"/>
  <c r="AK224" i="2"/>
  <c r="AQ226" i="2"/>
  <c r="AW228" i="2"/>
  <c r="BE235" i="2"/>
  <c r="AZ228" i="2"/>
  <c r="BD230" i="2"/>
  <c r="AH216" i="2"/>
  <c r="BC216" i="2"/>
  <c r="AR234" i="2" l="1"/>
  <c r="AD229" i="2"/>
  <c r="BJ217" i="2"/>
  <c r="AN234" i="2"/>
  <c r="BJ218" i="2"/>
  <c r="AS234" i="2"/>
  <c r="AB229" i="2"/>
  <c r="BH228" i="2"/>
  <c r="BG234" i="2"/>
  <c r="BA234" i="2"/>
  <c r="AQ229" i="2"/>
  <c r="BI223" i="2"/>
  <c r="BE218" i="2"/>
  <c r="AH218" i="2"/>
  <c r="AL233" i="2"/>
  <c r="AR223" i="2"/>
  <c r="AQ228" i="2"/>
  <c r="AE222" i="2"/>
  <c r="AH217" i="2"/>
  <c r="AA234" i="2"/>
  <c r="AJ233" i="2"/>
  <c r="BI218" i="2"/>
  <c r="AQ217" i="2"/>
  <c r="AS233" i="2"/>
  <c r="BF233" i="2"/>
  <c r="AV223" i="2"/>
  <c r="AI229" i="2"/>
  <c r="AW233" i="2"/>
  <c r="AP234" i="2"/>
  <c r="BI228" i="2"/>
  <c r="AM223" i="2"/>
  <c r="BB228" i="2"/>
  <c r="AJ228" i="2"/>
  <c r="BG233" i="2"/>
  <c r="BC229" i="2"/>
  <c r="AV217" i="2"/>
  <c r="AN218" i="2"/>
  <c r="BG223" i="2"/>
  <c r="AG233" i="2"/>
  <c r="AC233" i="2"/>
  <c r="BK218" i="2"/>
  <c r="AQ193" i="2"/>
  <c r="AO234" i="2"/>
  <c r="BF119" i="2"/>
  <c r="AK229" i="2"/>
  <c r="AU234" i="2"/>
  <c r="AR233" i="2"/>
  <c r="AP233" i="2"/>
  <c r="Z252" i="2"/>
  <c r="BD222" i="2"/>
  <c r="Z229" i="2"/>
  <c r="Z289" i="2" s="1"/>
  <c r="AZ119" i="2"/>
  <c r="BH119" i="2"/>
  <c r="AK119" i="2"/>
  <c r="BG228" i="2"/>
  <c r="AZ233" i="2"/>
  <c r="AO229" i="2"/>
  <c r="Z247" i="2"/>
  <c r="AA247" i="2" s="1"/>
  <c r="AU223" i="2"/>
  <c r="AE218" i="2"/>
  <c r="AX234" i="2"/>
  <c r="AJ119" i="2"/>
  <c r="AO119" i="2"/>
  <c r="AT119" i="2"/>
  <c r="AS119" i="2"/>
  <c r="AF119" i="2"/>
  <c r="AG119" i="2"/>
  <c r="AL119" i="2"/>
  <c r="AN119" i="2"/>
  <c r="AI119" i="2"/>
  <c r="AU119" i="2"/>
  <c r="BD119" i="2"/>
  <c r="AY119" i="2"/>
  <c r="AC119" i="2"/>
  <c r="BB119" i="2"/>
  <c r="AA286" i="2"/>
  <c r="AB286" i="2" s="1"/>
  <c r="AC286" i="2" s="1"/>
  <c r="AD286" i="2" s="1"/>
  <c r="AE286" i="2" s="1"/>
  <c r="AF286" i="2" s="1"/>
  <c r="AG286" i="2" s="1"/>
  <c r="AH286" i="2" s="1"/>
  <c r="AI286" i="2" s="1"/>
  <c r="AJ286" i="2" s="1"/>
  <c r="AK286" i="2" s="1"/>
  <c r="AL286" i="2" s="1"/>
  <c r="AM286" i="2" s="1"/>
  <c r="AN286" i="2" s="1"/>
  <c r="AO286" i="2" s="1"/>
  <c r="AP286" i="2" s="1"/>
  <c r="AQ286" i="2" s="1"/>
  <c r="AR286" i="2" s="1"/>
  <c r="AS286" i="2" s="1"/>
  <c r="AT286" i="2" s="1"/>
  <c r="AU286" i="2" s="1"/>
  <c r="AV286" i="2" s="1"/>
  <c r="AW286" i="2" s="1"/>
  <c r="AX286" i="2" s="1"/>
  <c r="AY286" i="2" s="1"/>
  <c r="AZ286" i="2" s="1"/>
  <c r="BA286" i="2" s="1"/>
  <c r="BB286" i="2" s="1"/>
  <c r="BC286" i="2" s="1"/>
  <c r="BD286" i="2" s="1"/>
  <c r="BE286" i="2" s="1"/>
  <c r="BF286" i="2" s="1"/>
  <c r="BG286" i="2" s="1"/>
  <c r="BH286" i="2" s="1"/>
  <c r="BI286" i="2" s="1"/>
  <c r="AA295" i="2"/>
  <c r="AB295" i="2" s="1"/>
  <c r="AC295" i="2" s="1"/>
  <c r="AD295" i="2" s="1"/>
  <c r="AE295" i="2" s="1"/>
  <c r="AF295" i="2" s="1"/>
  <c r="AG295" i="2" s="1"/>
  <c r="AH295" i="2" s="1"/>
  <c r="AI295" i="2" s="1"/>
  <c r="AJ295" i="2" s="1"/>
  <c r="AK295" i="2" s="1"/>
  <c r="AL295" i="2" s="1"/>
  <c r="AM295" i="2" s="1"/>
  <c r="AN295" i="2" s="1"/>
  <c r="AO295" i="2" s="1"/>
  <c r="AP295" i="2" s="1"/>
  <c r="AQ295" i="2" s="1"/>
  <c r="AR295" i="2" s="1"/>
  <c r="AS295" i="2" s="1"/>
  <c r="AT295" i="2" s="1"/>
  <c r="AU295" i="2" s="1"/>
  <c r="AV295" i="2" s="1"/>
  <c r="AW295" i="2" s="1"/>
  <c r="AX295" i="2" s="1"/>
  <c r="AY295" i="2" s="1"/>
  <c r="AZ295" i="2" s="1"/>
  <c r="BA295" i="2" s="1"/>
  <c r="BB295" i="2" s="1"/>
  <c r="BC295" i="2" s="1"/>
  <c r="BD295" i="2" s="1"/>
  <c r="BE295" i="2" s="1"/>
  <c r="BF295" i="2" s="1"/>
  <c r="BG295" i="2" s="1"/>
  <c r="BH295" i="2" s="1"/>
  <c r="BI295" i="2" s="1"/>
  <c r="AA291" i="2"/>
  <c r="AB291" i="2" s="1"/>
  <c r="AC291" i="2" s="1"/>
  <c r="AD291" i="2" s="1"/>
  <c r="AE291" i="2" s="1"/>
  <c r="AF291" i="2" s="1"/>
  <c r="AG291" i="2" s="1"/>
  <c r="AH291" i="2" s="1"/>
  <c r="AI291" i="2" s="1"/>
  <c r="AJ291" i="2" s="1"/>
  <c r="AK291" i="2" s="1"/>
  <c r="AL291" i="2" s="1"/>
  <c r="AM291" i="2" s="1"/>
  <c r="AN291" i="2" s="1"/>
  <c r="AO291" i="2" s="1"/>
  <c r="AP291" i="2" s="1"/>
  <c r="AQ291" i="2" s="1"/>
  <c r="AR291" i="2" s="1"/>
  <c r="AS291" i="2" s="1"/>
  <c r="AT291" i="2" s="1"/>
  <c r="AU291" i="2" s="1"/>
  <c r="AV291" i="2" s="1"/>
  <c r="AW291" i="2" s="1"/>
  <c r="AX291" i="2" s="1"/>
  <c r="AY291" i="2" s="1"/>
  <c r="AZ291" i="2" s="1"/>
  <c r="BA291" i="2" s="1"/>
  <c r="BB291" i="2" s="1"/>
  <c r="BC291" i="2" s="1"/>
  <c r="BD291" i="2" s="1"/>
  <c r="BE291" i="2" s="1"/>
  <c r="BF291" i="2" s="1"/>
  <c r="BG291" i="2" s="1"/>
  <c r="BH291" i="2" s="1"/>
  <c r="BI291" i="2" s="1"/>
  <c r="AA292" i="2"/>
  <c r="AB292" i="2" s="1"/>
  <c r="AC292" i="2" s="1"/>
  <c r="AD292" i="2" s="1"/>
  <c r="AE292" i="2" s="1"/>
  <c r="AF292" i="2" s="1"/>
  <c r="AG292" i="2" s="1"/>
  <c r="AH292" i="2" s="1"/>
  <c r="AI292" i="2" s="1"/>
  <c r="AJ292" i="2" s="1"/>
  <c r="AK292" i="2" s="1"/>
  <c r="AL292" i="2" s="1"/>
  <c r="AM292" i="2" s="1"/>
  <c r="AN292" i="2" s="1"/>
  <c r="AO292" i="2" s="1"/>
  <c r="AP292" i="2" s="1"/>
  <c r="AQ292" i="2" s="1"/>
  <c r="AR292" i="2" s="1"/>
  <c r="AS292" i="2" s="1"/>
  <c r="AT292" i="2" s="1"/>
  <c r="AU292" i="2" s="1"/>
  <c r="AV292" i="2" s="1"/>
  <c r="AW292" i="2" s="1"/>
  <c r="AX292" i="2" s="1"/>
  <c r="AY292" i="2" s="1"/>
  <c r="AZ292" i="2" s="1"/>
  <c r="BA292" i="2" s="1"/>
  <c r="BB292" i="2" s="1"/>
  <c r="BC292" i="2" s="1"/>
  <c r="BD292" i="2" s="1"/>
  <c r="BE292" i="2" s="1"/>
  <c r="BF292" i="2" s="1"/>
  <c r="BG292" i="2" s="1"/>
  <c r="BH292" i="2" s="1"/>
  <c r="BI292" i="2" s="1"/>
  <c r="AA288" i="2"/>
  <c r="AA293" i="2"/>
  <c r="AB293" i="2" s="1"/>
  <c r="AA287" i="2"/>
  <c r="AB287" i="2" s="1"/>
  <c r="AC287" i="2" s="1"/>
  <c r="AD287" i="2" s="1"/>
  <c r="AE287" i="2" s="1"/>
  <c r="AF287" i="2" s="1"/>
  <c r="AG287" i="2" s="1"/>
  <c r="AH287" i="2" s="1"/>
  <c r="AI287" i="2" s="1"/>
  <c r="AJ287" i="2" s="1"/>
  <c r="AK287" i="2" s="1"/>
  <c r="AL287" i="2" s="1"/>
  <c r="AM287" i="2" s="1"/>
  <c r="AN287" i="2" s="1"/>
  <c r="AO287" i="2" s="1"/>
  <c r="AP287" i="2" s="1"/>
  <c r="AQ287" i="2" s="1"/>
  <c r="AR287" i="2" s="1"/>
  <c r="AS287" i="2" s="1"/>
  <c r="AT287" i="2" s="1"/>
  <c r="AU287" i="2" s="1"/>
  <c r="AV287" i="2" s="1"/>
  <c r="AW287" i="2" s="1"/>
  <c r="AX287" i="2" s="1"/>
  <c r="AY287" i="2" s="1"/>
  <c r="AZ287" i="2" s="1"/>
  <c r="BA287" i="2" s="1"/>
  <c r="BB287" i="2" s="1"/>
  <c r="BC287" i="2" s="1"/>
  <c r="BD287" i="2" s="1"/>
  <c r="BE287" i="2" s="1"/>
  <c r="BF287" i="2" s="1"/>
  <c r="BG287" i="2" s="1"/>
  <c r="BH287" i="2" s="1"/>
  <c r="BI287" i="2" s="1"/>
  <c r="AA290" i="2"/>
  <c r="AB290" i="2" s="1"/>
  <c r="AC290" i="2" s="1"/>
  <c r="AD290" i="2" s="1"/>
  <c r="AE290" i="2" s="1"/>
  <c r="AF290" i="2" s="1"/>
  <c r="AG290" i="2" s="1"/>
  <c r="AH290" i="2" s="1"/>
  <c r="AI290" i="2" s="1"/>
  <c r="AJ290" i="2" s="1"/>
  <c r="AK290" i="2" s="1"/>
  <c r="AL290" i="2" s="1"/>
  <c r="AM290" i="2" s="1"/>
  <c r="AN290" i="2" s="1"/>
  <c r="AO290" i="2" s="1"/>
  <c r="AP290" i="2" s="1"/>
  <c r="AQ290" i="2" s="1"/>
  <c r="AR290" i="2" s="1"/>
  <c r="AS290" i="2" s="1"/>
  <c r="AT290" i="2" s="1"/>
  <c r="AU290" i="2" s="1"/>
  <c r="AV290" i="2" s="1"/>
  <c r="AW290" i="2" s="1"/>
  <c r="AX290" i="2" s="1"/>
  <c r="AY290" i="2" s="1"/>
  <c r="AZ290" i="2" s="1"/>
  <c r="BA290" i="2" s="1"/>
  <c r="BB290" i="2" s="1"/>
  <c r="BC290" i="2" s="1"/>
  <c r="BD290" i="2" s="1"/>
  <c r="BE290" i="2" s="1"/>
  <c r="BF290" i="2" s="1"/>
  <c r="BG290" i="2" s="1"/>
  <c r="BH290" i="2" s="1"/>
  <c r="BI290" i="2" s="1"/>
  <c r="AB218" i="2"/>
  <c r="Z278" i="2"/>
  <c r="AA278" i="2" s="1"/>
  <c r="AB219" i="2"/>
  <c r="Z279" i="2"/>
  <c r="AA279" i="2" s="1"/>
  <c r="AB216" i="2"/>
  <c r="Z276" i="2"/>
  <c r="AA276" i="2" s="1"/>
  <c r="AB221" i="2"/>
  <c r="Z281" i="2"/>
  <c r="AA281" i="2" s="1"/>
  <c r="AB220" i="2"/>
  <c r="Z280" i="2"/>
  <c r="AA280" i="2" s="1"/>
  <c r="AB215" i="2"/>
  <c r="Z275" i="2"/>
  <c r="AA275" i="2" s="1"/>
  <c r="AB223" i="2"/>
  <c r="Z283" i="2"/>
  <c r="AA283" i="2" s="1"/>
  <c r="AB217" i="2"/>
  <c r="Z277" i="2"/>
  <c r="AA277" i="2" s="1"/>
  <c r="AB224" i="2"/>
  <c r="Z284" i="2"/>
  <c r="AA284" i="2" s="1"/>
  <c r="AS225" i="2"/>
  <c r="AW198" i="2"/>
  <c r="BK186" i="2"/>
  <c r="AD190" i="2"/>
  <c r="AM189" i="2"/>
  <c r="AX185" i="2"/>
  <c r="BJ187" i="2"/>
  <c r="BJ185" i="2"/>
  <c r="BA186" i="2"/>
  <c r="BE185" i="2"/>
  <c r="BK194" i="2"/>
  <c r="AC194" i="2"/>
  <c r="BH197" i="2"/>
  <c r="AP189" i="2"/>
  <c r="AU190" i="2"/>
  <c r="AC185" i="2"/>
  <c r="BJ186" i="2"/>
  <c r="AE197" i="2"/>
  <c r="AG191" i="2"/>
  <c r="BJ194" i="2"/>
  <c r="BH188" i="2"/>
  <c r="AF192" i="2"/>
  <c r="BH186" i="2"/>
  <c r="AG198" i="2"/>
  <c r="AP194" i="2"/>
  <c r="AH197" i="2"/>
  <c r="BH196" i="2"/>
  <c r="AR189" i="2"/>
  <c r="AF185" i="2"/>
  <c r="AL186" i="2"/>
  <c r="AX192" i="2"/>
  <c r="AR194" i="2"/>
  <c r="AN197" i="2"/>
  <c r="AD189" i="2"/>
  <c r="AS185" i="2"/>
  <c r="BB198" i="2"/>
  <c r="AF189" i="2"/>
  <c r="AD194" i="2"/>
  <c r="BG188" i="2"/>
  <c r="AJ187" i="2"/>
  <c r="AB197" i="2"/>
  <c r="AI189" i="2"/>
  <c r="AO191" i="2"/>
  <c r="AF191" i="2"/>
  <c r="AG188" i="2"/>
  <c r="AR191" i="2"/>
  <c r="AV186" i="2"/>
  <c r="AL185" i="2"/>
  <c r="AU187" i="2"/>
  <c r="AS189" i="2"/>
  <c r="AM194" i="2"/>
  <c r="BB191" i="2"/>
  <c r="BB186" i="2"/>
  <c r="AP197" i="2"/>
  <c r="AC187" i="2"/>
  <c r="AF194" i="2"/>
  <c r="AC186" i="2"/>
  <c r="AV187" i="2"/>
  <c r="AO188" i="2"/>
  <c r="AM185" i="2"/>
  <c r="AK198" i="2"/>
  <c r="AZ198" i="2"/>
  <c r="AQ196" i="2"/>
  <c r="BA185" i="2"/>
  <c r="AR185" i="2"/>
  <c r="BJ191" i="2"/>
  <c r="AP190" i="2"/>
  <c r="BA193" i="2"/>
  <c r="AR190" i="2"/>
  <c r="AY191" i="2"/>
  <c r="BF197" i="2"/>
  <c r="AY194" i="2"/>
  <c r="AJ194" i="2"/>
  <c r="AZ196" i="2"/>
  <c r="AV194" i="2"/>
  <c r="AM197" i="2"/>
  <c r="AG187" i="2"/>
  <c r="AI190" i="2"/>
  <c r="BI197" i="2"/>
  <c r="AH196" i="2"/>
  <c r="BE190" i="2"/>
  <c r="BG193" i="2"/>
  <c r="AX191" i="2"/>
  <c r="BA187" i="2"/>
  <c r="AM190" i="2"/>
  <c r="AG197" i="2"/>
  <c r="AC189" i="2"/>
  <c r="AJ190" i="2"/>
  <c r="AJ185" i="2"/>
  <c r="AI185" i="2"/>
  <c r="AA197" i="2"/>
  <c r="BK185" i="2"/>
  <c r="BH190" i="2"/>
  <c r="AT196" i="2"/>
  <c r="AM198" i="2"/>
  <c r="BG186" i="2"/>
  <c r="AU185" i="2"/>
  <c r="AV196" i="2"/>
  <c r="AT197" i="2"/>
  <c r="AZ197" i="2"/>
  <c r="BD189" i="2"/>
  <c r="AG193" i="2"/>
  <c r="BB187" i="2"/>
  <c r="AX188" i="2"/>
  <c r="AV189" i="2"/>
  <c r="BG187" i="2"/>
  <c r="AP185" i="2"/>
  <c r="BH189" i="2"/>
  <c r="BC196" i="2"/>
  <c r="AH198" i="2"/>
  <c r="AP198" i="2"/>
  <c r="AJ191" i="2"/>
  <c r="BF196" i="2"/>
  <c r="AL187" i="2"/>
  <c r="AD196" i="2"/>
  <c r="BD185" i="2"/>
  <c r="AI186" i="2"/>
  <c r="AD186" i="2"/>
  <c r="AU189" i="2"/>
  <c r="BE194" i="2"/>
  <c r="BE188" i="2"/>
  <c r="BK189" i="2"/>
  <c r="BK190" i="2"/>
  <c r="BH191" i="2"/>
  <c r="AU186" i="2"/>
  <c r="AV198" i="2"/>
  <c r="AD187" i="2"/>
  <c r="BB188" i="2"/>
  <c r="AL194" i="2"/>
  <c r="AM196" i="2"/>
  <c r="BB196" i="2"/>
  <c r="AE198" i="2"/>
  <c r="AM188" i="2"/>
  <c r="BA189" i="2"/>
  <c r="AO187" i="2"/>
  <c r="AV191" i="2"/>
  <c r="AS198" i="2"/>
  <c r="AS191" i="2"/>
  <c r="BK193" i="2"/>
  <c r="BB192" i="2"/>
  <c r="AR188" i="2"/>
  <c r="BJ188" i="2"/>
  <c r="AU191" i="2"/>
  <c r="AF188" i="2"/>
  <c r="BH192" i="2"/>
  <c r="AR187" i="2"/>
  <c r="BE187" i="2"/>
  <c r="AI194" i="2"/>
  <c r="AM191" i="2"/>
  <c r="AG194" i="2"/>
  <c r="AK196" i="2"/>
  <c r="AY190" i="2"/>
  <c r="AW197" i="2"/>
  <c r="AD198" i="2"/>
  <c r="BG191" i="2"/>
  <c r="AX187" i="2"/>
  <c r="AR186" i="2"/>
  <c r="AL189" i="2"/>
  <c r="AD197" i="2"/>
  <c r="AO192" i="2"/>
  <c r="AY188" i="2"/>
  <c r="AP191" i="2"/>
  <c r="BE191" i="2"/>
  <c r="AG190" i="2"/>
  <c r="AA196" i="2"/>
  <c r="AJ196" i="2"/>
  <c r="AL191" i="2"/>
  <c r="BG194" i="2"/>
  <c r="AX190" i="2"/>
  <c r="AI187" i="2"/>
  <c r="BA191" i="2"/>
  <c r="AC193" i="2"/>
  <c r="AJ189" i="2"/>
  <c r="AX193" i="2"/>
  <c r="AS197" i="2"/>
  <c r="AG196" i="2"/>
  <c r="AU194" i="2"/>
  <c r="AQ197" i="2"/>
  <c r="BK191" i="2"/>
  <c r="AF186" i="2"/>
  <c r="BF198" i="2"/>
  <c r="AD185" i="2"/>
  <c r="AL188" i="2"/>
  <c r="AI188" i="2"/>
  <c r="AP186" i="2"/>
  <c r="AC188" i="2"/>
  <c r="AY189" i="2"/>
  <c r="BE189" i="2"/>
  <c r="AY187" i="2"/>
  <c r="AO185" i="2"/>
  <c r="AG186" i="2"/>
  <c r="AU188" i="2"/>
  <c r="AE196" i="2"/>
  <c r="BB197" i="2"/>
  <c r="AJ197" i="2"/>
  <c r="BB185" i="2"/>
  <c r="AM187" i="2"/>
  <c r="BG185" i="2"/>
  <c r="AS196" i="2"/>
  <c r="AO190" i="2"/>
  <c r="AX194" i="2"/>
  <c r="AV190" i="2"/>
  <c r="BE192" i="2"/>
  <c r="BB194" i="2"/>
  <c r="AY185" i="2"/>
  <c r="AM186" i="2"/>
  <c r="BC198" i="2"/>
  <c r="BI196" i="2"/>
  <c r="AS194" i="2"/>
  <c r="AP188" i="2"/>
  <c r="BG190" i="2"/>
  <c r="AT198" i="2"/>
  <c r="BB189" i="2"/>
  <c r="AO193" i="2"/>
  <c r="BD194" i="2"/>
  <c r="AY196" i="2"/>
  <c r="AK197" i="2"/>
  <c r="BD190" i="2"/>
  <c r="BJ192" i="2"/>
  <c r="AF190" i="2"/>
  <c r="AX186" i="2"/>
  <c r="BE196" i="2"/>
  <c r="AR192" i="2"/>
  <c r="AY193" i="2"/>
  <c r="AC190" i="2"/>
  <c r="AS187" i="2"/>
  <c r="BH194" i="2"/>
  <c r="AP192" i="2"/>
  <c r="BB190" i="2"/>
  <c r="BD188" i="2"/>
  <c r="AY186" i="2"/>
  <c r="AP193" i="2"/>
  <c r="BE193" i="2"/>
  <c r="BG189" i="2"/>
  <c r="AD192" i="2"/>
  <c r="BJ189" i="2"/>
  <c r="BE186" i="2"/>
  <c r="AY197" i="2"/>
  <c r="AO186" i="2"/>
  <c r="AW196" i="2"/>
  <c r="AS186" i="2"/>
  <c r="BJ190" i="2"/>
  <c r="BA192" i="2"/>
  <c r="BA194" i="2"/>
  <c r="AD191" i="2"/>
  <c r="AS190" i="2"/>
  <c r="AV192" i="2"/>
  <c r="AO194" i="2"/>
  <c r="AG189" i="2"/>
  <c r="AM193" i="2"/>
  <c r="AJ186" i="2"/>
  <c r="AP196" i="2"/>
  <c r="AG192" i="2"/>
  <c r="AX189" i="2"/>
  <c r="BC197" i="2"/>
  <c r="AF187" i="2"/>
  <c r="BE197" i="2"/>
  <c r="BD193" i="2"/>
  <c r="BH185" i="2"/>
  <c r="AO189" i="2"/>
  <c r="AU192" i="2"/>
  <c r="AR193" i="2"/>
  <c r="AL193" i="2"/>
  <c r="BD186" i="2"/>
  <c r="AN196" i="2"/>
  <c r="AG185" i="2"/>
  <c r="BA190" i="2"/>
  <c r="AI193" i="2"/>
  <c r="AS188" i="2"/>
  <c r="AV197" i="2"/>
  <c r="AV185" i="2"/>
  <c r="AJ192" i="2"/>
  <c r="BI198" i="2"/>
  <c r="BD191" i="2"/>
  <c r="AY198" i="2"/>
  <c r="AC191" i="2"/>
  <c r="AL190" i="2"/>
  <c r="AY192" i="2"/>
  <c r="BE198" i="2"/>
  <c r="AI191" i="2"/>
  <c r="AA198" i="2"/>
  <c r="AB196" i="2"/>
  <c r="AV225" i="2"/>
  <c r="BH225" i="2"/>
  <c r="AP225" i="2"/>
  <c r="AD225" i="2"/>
  <c r="AL225" i="2"/>
  <c r="AA225" i="2"/>
  <c r="BG225" i="2"/>
  <c r="AQ225" i="2"/>
  <c r="BF225" i="2"/>
  <c r="AI225" i="2"/>
  <c r="AT225" i="2"/>
  <c r="AK201" i="2"/>
  <c r="AY205" i="2"/>
  <c r="AN203" i="2"/>
  <c r="BI204" i="2"/>
  <c r="AW204" i="2"/>
  <c r="BC204" i="2"/>
  <c r="AP205" i="2"/>
  <c r="BE201" i="2"/>
  <c r="AJ200" i="2"/>
  <c r="BH199" i="2"/>
  <c r="AT203" i="2"/>
  <c r="AJ199" i="2"/>
  <c r="AM204" i="2"/>
  <c r="BH202" i="2"/>
  <c r="AS205" i="2"/>
  <c r="BB199" i="2"/>
  <c r="AM202" i="2"/>
  <c r="AH205" i="2"/>
  <c r="AG202" i="2"/>
  <c r="AD201" i="2"/>
  <c r="BF200" i="2"/>
  <c r="AT205" i="2"/>
  <c r="AZ201" i="2"/>
  <c r="AJ203" i="2"/>
  <c r="AM205" i="2"/>
  <c r="AY200" i="2"/>
  <c r="AN205" i="2"/>
  <c r="AG204" i="2"/>
  <c r="BE200" i="2"/>
  <c r="AA205" i="2"/>
  <c r="AK204" i="2"/>
  <c r="AH204" i="2"/>
  <c r="AS199" i="2"/>
  <c r="AQ201" i="2"/>
  <c r="BB202" i="2"/>
  <c r="AH202" i="2"/>
  <c r="BB204" i="2"/>
  <c r="BI201" i="2"/>
  <c r="AW205" i="2"/>
  <c r="AN200" i="2"/>
  <c r="AQ203" i="2"/>
  <c r="BH201" i="2"/>
  <c r="AT200" i="2"/>
  <c r="BH200" i="2"/>
  <c r="BC205" i="2"/>
  <c r="AV199" i="2"/>
  <c r="AS204" i="2"/>
  <c r="BH203" i="2"/>
  <c r="AV201" i="2"/>
  <c r="AB203" i="2"/>
  <c r="BI200" i="2"/>
  <c r="AY202" i="2"/>
  <c r="AE204" i="2"/>
  <c r="AS202" i="2"/>
  <c r="BH205" i="2"/>
  <c r="AK200" i="2"/>
  <c r="AH203" i="2"/>
  <c r="AD205" i="2"/>
  <c r="AV204" i="2"/>
  <c r="AD200" i="2"/>
  <c r="AW199" i="2"/>
  <c r="AB202" i="2"/>
  <c r="AE202" i="2"/>
  <c r="AQ202" i="2"/>
  <c r="AV202" i="2"/>
  <c r="AM203" i="2"/>
  <c r="AV200" i="2"/>
  <c r="AE205" i="2"/>
  <c r="AG200" i="2"/>
  <c r="BC203" i="2"/>
  <c r="AP204" i="2"/>
  <c r="AJ205" i="2"/>
  <c r="AT204" i="2"/>
  <c r="BB201" i="2"/>
  <c r="AH201" i="2"/>
  <c r="AG201" i="2"/>
  <c r="BH204" i="2"/>
  <c r="AB200" i="2"/>
  <c r="AA200" i="2"/>
  <c r="AD204" i="2"/>
  <c r="AP201" i="2"/>
  <c r="AB204" i="2"/>
  <c r="AY201" i="2"/>
  <c r="AG205" i="2"/>
  <c r="AE201" i="2"/>
  <c r="BC200" i="2"/>
  <c r="BB203" i="2"/>
  <c r="AJ204" i="2"/>
  <c r="AN202" i="2"/>
  <c r="AJ201" i="2"/>
  <c r="AY199" i="2"/>
  <c r="AA202" i="2"/>
  <c r="BF204" i="2"/>
  <c r="BB205" i="2"/>
  <c r="AJ202" i="2"/>
  <c r="AV203" i="2"/>
  <c r="AB205" i="2"/>
  <c r="AW201" i="2"/>
  <c r="BI203" i="2"/>
  <c r="AH199" i="2"/>
  <c r="AS200" i="2"/>
  <c r="BI205" i="2"/>
  <c r="AN204" i="2"/>
  <c r="BF199" i="2"/>
  <c r="AZ204" i="2"/>
  <c r="AP203" i="2"/>
  <c r="AP200" i="2"/>
  <c r="AZ202" i="2"/>
  <c r="BC202" i="2"/>
  <c r="BI202" i="2"/>
  <c r="AK203" i="2"/>
  <c r="AT202" i="2"/>
  <c r="AB201" i="2"/>
  <c r="AT199" i="2"/>
  <c r="AM199" i="2"/>
  <c r="AP202" i="2"/>
  <c r="AZ205" i="2"/>
  <c r="AD202" i="2"/>
  <c r="BF205" i="2"/>
  <c r="AP199" i="2"/>
  <c r="AN199" i="2"/>
  <c r="AM200" i="2"/>
  <c r="BE205" i="2"/>
  <c r="AN201" i="2"/>
  <c r="AE203" i="2"/>
  <c r="AT201" i="2"/>
  <c r="AV205" i="2"/>
  <c r="AW200" i="2"/>
  <c r="AS201" i="2"/>
  <c r="BC201" i="2"/>
  <c r="AG199" i="2"/>
  <c r="AZ199" i="2"/>
  <c r="BE203" i="2"/>
  <c r="AY203" i="2"/>
  <c r="AE200" i="2"/>
  <c r="AY204" i="2"/>
  <c r="AQ204" i="2"/>
  <c r="AH200" i="2"/>
  <c r="AA203" i="2"/>
  <c r="BF201" i="2"/>
  <c r="AK202" i="2"/>
  <c r="AE199" i="2"/>
  <c r="AK205" i="2"/>
  <c r="BE202" i="2"/>
  <c r="BE204" i="2"/>
  <c r="AZ203" i="2"/>
  <c r="AZ200" i="2"/>
  <c r="AB199" i="2"/>
  <c r="AD203" i="2"/>
  <c r="AM201" i="2"/>
  <c r="AW202" i="2"/>
  <c r="BB200" i="2"/>
  <c r="AQ205" i="2"/>
  <c r="AA201" i="2"/>
  <c r="AQ200" i="2"/>
  <c r="BF202" i="2"/>
  <c r="AE225" i="2"/>
  <c r="AH225" i="2"/>
  <c r="AB225" i="2"/>
  <c r="AR198" i="2"/>
  <c r="BI225" i="2"/>
  <c r="AK186" i="2"/>
  <c r="AW193" i="2"/>
  <c r="BG199" i="2"/>
  <c r="AL199" i="2"/>
  <c r="AI196" i="2"/>
  <c r="BC186" i="2"/>
  <c r="AX200" i="2"/>
  <c r="AN193" i="2"/>
  <c r="AR197" i="2"/>
  <c r="AU200" i="2"/>
  <c r="AE189" i="2"/>
  <c r="BF191" i="2"/>
  <c r="AC204" i="2"/>
  <c r="AW190" i="2"/>
  <c r="BG200" i="2"/>
  <c r="BA204" i="2"/>
  <c r="AF200" i="2"/>
  <c r="AW192" i="2"/>
  <c r="AZ186" i="2"/>
  <c r="AF204" i="2"/>
  <c r="BF190" i="2"/>
  <c r="AW186" i="2"/>
  <c r="AW185" i="2"/>
  <c r="AN190" i="2"/>
  <c r="BC189" i="2"/>
  <c r="BC192" i="2"/>
  <c r="AX197" i="2"/>
  <c r="AZ187" i="2"/>
  <c r="BD196" i="2"/>
  <c r="AE185" i="2"/>
  <c r="Z197" i="2"/>
  <c r="Z257" i="2" s="1"/>
  <c r="BI187" i="2"/>
  <c r="AW189" i="2"/>
  <c r="AN188" i="2"/>
  <c r="AZ189" i="2"/>
  <c r="AO200" i="2"/>
  <c r="AX202" i="2"/>
  <c r="BG197" i="2"/>
  <c r="BG196" i="2"/>
  <c r="AX203" i="2"/>
  <c r="AE193" i="2"/>
  <c r="AB189" i="2"/>
  <c r="AU205" i="2"/>
  <c r="AF202" i="2"/>
  <c r="AI205" i="2"/>
  <c r="BA196" i="2"/>
  <c r="AE191" i="2"/>
  <c r="AK225" i="2"/>
  <c r="AC198" i="2"/>
  <c r="AR200" i="2"/>
  <c r="AC202" i="2"/>
  <c r="AC197" i="2"/>
  <c r="AK188" i="2"/>
  <c r="Z202" i="2"/>
  <c r="Z262" i="2" s="1"/>
  <c r="BG198" i="2"/>
  <c r="BG201" i="2"/>
  <c r="AC196" i="2"/>
  <c r="AN225" i="2"/>
  <c r="AR204" i="2"/>
  <c r="AT185" i="2"/>
  <c r="BD198" i="2"/>
  <c r="Z201" i="2"/>
  <c r="Z261" i="2" s="1"/>
  <c r="BC188" i="2"/>
  <c r="AW194" i="2"/>
  <c r="AZ188" i="2"/>
  <c r="AN187" i="2"/>
  <c r="AX201" i="2"/>
  <c r="BI192" i="2"/>
  <c r="AX198" i="2"/>
  <c r="AU199" i="2"/>
  <c r="AB185" i="2"/>
  <c r="AH187" i="2"/>
  <c r="BD200" i="2"/>
  <c r="BD204" i="2"/>
  <c r="AH193" i="2"/>
  <c r="AT188" i="2"/>
  <c r="AI197" i="2"/>
  <c r="AQ194" i="2"/>
  <c r="AF205" i="2"/>
  <c r="AB190" i="2"/>
  <c r="AZ192" i="2"/>
  <c r="AK187" i="2"/>
  <c r="AE187" i="2"/>
  <c r="AK192" i="2"/>
  <c r="AX205" i="2"/>
  <c r="BA202" i="2"/>
  <c r="BD225" i="2"/>
  <c r="AX199" i="2"/>
  <c r="AR205" i="2"/>
  <c r="AT190" i="2"/>
  <c r="BE225" i="2"/>
  <c r="AZ193" i="2"/>
  <c r="AO197" i="2"/>
  <c r="AH192" i="2"/>
  <c r="AO196" i="2"/>
  <c r="AH189" i="2"/>
  <c r="AO203" i="2"/>
  <c r="AR225" i="2"/>
  <c r="AZ225" i="2"/>
  <c r="AE190" i="2"/>
  <c r="AH191" i="2"/>
  <c r="BD202" i="2"/>
  <c r="AZ185" i="2"/>
  <c r="BF185" i="2"/>
  <c r="BA201" i="2"/>
  <c r="AN186" i="2"/>
  <c r="BA200" i="2"/>
  <c r="BA225" i="2"/>
  <c r="Z196" i="2"/>
  <c r="Z256" i="2" s="1"/>
  <c r="AF199" i="2"/>
  <c r="AL196" i="2"/>
  <c r="AT189" i="2"/>
  <c r="AT191" i="2"/>
  <c r="AT187" i="2"/>
  <c r="AW187" i="2"/>
  <c r="AO225" i="2"/>
  <c r="AB188" i="2"/>
  <c r="BI191" i="2"/>
  <c r="AH188" i="2"/>
  <c r="AF201" i="2"/>
  <c r="BF194" i="2"/>
  <c r="AC205" i="2"/>
  <c r="AC201" i="2"/>
  <c r="AH186" i="2"/>
  <c r="BI189" i="2"/>
  <c r="AK189" i="2"/>
  <c r="BC191" i="2"/>
  <c r="AH194" i="2"/>
  <c r="BA199" i="2"/>
  <c r="BI193" i="2"/>
  <c r="AZ191" i="2"/>
  <c r="BC193" i="2"/>
  <c r="AU225" i="2"/>
  <c r="AL201" i="2"/>
  <c r="AQ189" i="2"/>
  <c r="AK190" i="2"/>
  <c r="BC190" i="2"/>
  <c r="AF196" i="2"/>
  <c r="BC194" i="2"/>
  <c r="BC225" i="2"/>
  <c r="BI190" i="2"/>
  <c r="AT186" i="2"/>
  <c r="AF197" i="2"/>
  <c r="AK194" i="2"/>
  <c r="BA198" i="2"/>
  <c r="AF203" i="2"/>
  <c r="AI199" i="2"/>
  <c r="AU197" i="2"/>
  <c r="BD197" i="2"/>
  <c r="BG202" i="2"/>
  <c r="AL197" i="2"/>
  <c r="AR201" i="2"/>
  <c r="AB186" i="2"/>
  <c r="BD203" i="2"/>
  <c r="AI201" i="2"/>
  <c r="AO202" i="2"/>
  <c r="AE186" i="2"/>
  <c r="AL205" i="2"/>
  <c r="AE194" i="2"/>
  <c r="AK193" i="2"/>
  <c r="BC185" i="2"/>
  <c r="BF188" i="2"/>
  <c r="Z204" i="2"/>
  <c r="Z264" i="2" s="1"/>
  <c r="BG204" i="2"/>
  <c r="AL202" i="2"/>
  <c r="AR196" i="2"/>
  <c r="AK191" i="2"/>
  <c r="AQ190" i="2"/>
  <c r="AM225" i="2"/>
  <c r="AQ185" i="2"/>
  <c r="BC187" i="2"/>
  <c r="BI194" i="2"/>
  <c r="BD199" i="2"/>
  <c r="AO205" i="2"/>
  <c r="BF186" i="2"/>
  <c r="AN189" i="2"/>
  <c r="AU203" i="2"/>
  <c r="AB193" i="2"/>
  <c r="BA205" i="2"/>
  <c r="BD205" i="2"/>
  <c r="AX225" i="2"/>
  <c r="AO201" i="2"/>
  <c r="AB187" i="2"/>
  <c r="BD201" i="2"/>
  <c r="AX196" i="2"/>
  <c r="AR199" i="2"/>
  <c r="AU201" i="2"/>
  <c r="BA197" i="2"/>
  <c r="BF187" i="2"/>
  <c r="Z205" i="2"/>
  <c r="Z265" i="2" s="1"/>
  <c r="BF193" i="2"/>
  <c r="AH190" i="2"/>
  <c r="BB225" i="2"/>
  <c r="BI185" i="2"/>
  <c r="AL204" i="2"/>
  <c r="AR202" i="2"/>
  <c r="AQ188" i="2"/>
  <c r="AB191" i="2"/>
  <c r="AC200" i="2"/>
  <c r="Z203" i="2"/>
  <c r="Z263" i="2" s="1"/>
  <c r="Z198" i="2"/>
  <c r="Z258" i="2" s="1"/>
  <c r="AH185" i="2"/>
  <c r="AT194" i="2"/>
  <c r="BA203" i="2"/>
  <c r="AF225" i="2"/>
  <c r="AW225" i="2"/>
  <c r="AN194" i="2"/>
  <c r="AQ187" i="2"/>
  <c r="AL200" i="2"/>
  <c r="AN185" i="2"/>
  <c r="AU202" i="2"/>
  <c r="BG205" i="2"/>
  <c r="AQ191" i="2"/>
  <c r="AG225" i="2"/>
  <c r="AU196" i="2"/>
  <c r="AI200" i="2"/>
  <c r="AY225" i="2"/>
  <c r="AO198" i="2"/>
  <c r="BI186" i="2"/>
  <c r="AK185" i="2"/>
  <c r="AI198" i="2"/>
  <c r="AN191" i="2"/>
  <c r="AJ225" i="2"/>
  <c r="AZ194" i="2"/>
  <c r="AW191" i="2"/>
  <c r="AL198" i="2"/>
  <c r="AI202" i="2"/>
  <c r="AC225" i="2"/>
  <c r="AQ186" i="2"/>
  <c r="AB194" i="2"/>
  <c r="Z199" i="2" l="1"/>
  <c r="Z259" i="2" s="1"/>
  <c r="AO199" i="2"/>
  <c r="BK188" i="2"/>
  <c r="BH198" i="2"/>
  <c r="AA294" i="2"/>
  <c r="AB294" i="2" s="1"/>
  <c r="AC294" i="2" s="1"/>
  <c r="AD294" i="2" s="1"/>
  <c r="AE294" i="2" s="1"/>
  <c r="AF294" i="2" s="1"/>
  <c r="AG294" i="2" s="1"/>
  <c r="AH294" i="2" s="1"/>
  <c r="AI294" i="2" s="1"/>
  <c r="AJ294" i="2" s="1"/>
  <c r="AK294" i="2" s="1"/>
  <c r="AL294" i="2" s="1"/>
  <c r="AM294" i="2" s="1"/>
  <c r="AN294" i="2" s="1"/>
  <c r="AO294" i="2" s="1"/>
  <c r="AP294" i="2" s="1"/>
  <c r="AQ294" i="2" s="1"/>
  <c r="AR294" i="2" s="1"/>
  <c r="AS294" i="2" s="1"/>
  <c r="AT294" i="2" s="1"/>
  <c r="AU294" i="2" s="1"/>
  <c r="AV294" i="2" s="1"/>
  <c r="AW294" i="2" s="1"/>
  <c r="AX294" i="2" s="1"/>
  <c r="AY294" i="2" s="1"/>
  <c r="AZ294" i="2" s="1"/>
  <c r="BA294" i="2" s="1"/>
  <c r="BB294" i="2" s="1"/>
  <c r="BC294" i="2" s="1"/>
  <c r="BD294" i="2" s="1"/>
  <c r="BE294" i="2" s="1"/>
  <c r="BF294" i="2" s="1"/>
  <c r="BG294" i="2" s="1"/>
  <c r="BH294" i="2" s="1"/>
  <c r="BI294" i="2" s="1"/>
  <c r="AE192" i="2"/>
  <c r="AA204" i="2"/>
  <c r="AA264" i="2" s="1"/>
  <c r="AB264" i="2" s="1"/>
  <c r="AC264" i="2" s="1"/>
  <c r="AD264" i="2" s="1"/>
  <c r="AE264" i="2" s="1"/>
  <c r="AF264" i="2" s="1"/>
  <c r="AG264" i="2" s="1"/>
  <c r="AH264" i="2" s="1"/>
  <c r="AQ199" i="2"/>
  <c r="AR203" i="2"/>
  <c r="AL203" i="2"/>
  <c r="AD199" i="2"/>
  <c r="AQ198" i="2"/>
  <c r="AJ198" i="2"/>
  <c r="BI188" i="2"/>
  <c r="AU193" i="2"/>
  <c r="AH119" i="2"/>
  <c r="AS203" i="2"/>
  <c r="AC293" i="2"/>
  <c r="AD293" i="2" s="1"/>
  <c r="AE293" i="2" s="1"/>
  <c r="AF293" i="2" s="1"/>
  <c r="AG293" i="2" s="1"/>
  <c r="AH293" i="2" s="1"/>
  <c r="AO204" i="2"/>
  <c r="AX204" i="2"/>
  <c r="BG203" i="2"/>
  <c r="AU204" i="2"/>
  <c r="AB119" i="2"/>
  <c r="AC203" i="2"/>
  <c r="AW203" i="2"/>
  <c r="AE188" i="2"/>
  <c r="Z119" i="2"/>
  <c r="AV193" i="2"/>
  <c r="BC199" i="2"/>
  <c r="AG203" i="2"/>
  <c r="BF203" i="2"/>
  <c r="AQ119" i="2"/>
  <c r="AR119" i="2"/>
  <c r="AF223" i="2"/>
  <c r="AF193" i="2"/>
  <c r="AQ223" i="2"/>
  <c r="AN228" i="2"/>
  <c r="AN198" i="2"/>
  <c r="BH223" i="2"/>
  <c r="BH193" i="2"/>
  <c r="AK199" i="2"/>
  <c r="BD192" i="2"/>
  <c r="BI119" i="2"/>
  <c r="BE119" i="2"/>
  <c r="AA252" i="2"/>
  <c r="AA119" i="2"/>
  <c r="AB247" i="2"/>
  <c r="AC247" i="2" s="1"/>
  <c r="AD247" i="2" s="1"/>
  <c r="AE247" i="2" s="1"/>
  <c r="AF247" i="2" s="1"/>
  <c r="AG247" i="2" s="1"/>
  <c r="AH247" i="2" s="1"/>
  <c r="AI247" i="2" s="1"/>
  <c r="AJ247" i="2" s="1"/>
  <c r="AK247" i="2" s="1"/>
  <c r="AL247" i="2" s="1"/>
  <c r="AM247" i="2" s="1"/>
  <c r="AN247" i="2" s="1"/>
  <c r="AO247" i="2" s="1"/>
  <c r="AB253" i="2"/>
  <c r="AC253" i="2" s="1"/>
  <c r="AB254" i="2"/>
  <c r="AC254" i="2" s="1"/>
  <c r="AD254" i="2" s="1"/>
  <c r="AE254" i="2" s="1"/>
  <c r="AF254" i="2" s="1"/>
  <c r="AG254" i="2" s="1"/>
  <c r="AH254" i="2" s="1"/>
  <c r="AI254" i="2" s="1"/>
  <c r="AJ254" i="2" s="1"/>
  <c r="AK254" i="2" s="1"/>
  <c r="AL254" i="2" s="1"/>
  <c r="AM254" i="2" s="1"/>
  <c r="AN254" i="2" s="1"/>
  <c r="AO254" i="2" s="1"/>
  <c r="AP254" i="2" s="1"/>
  <c r="AQ254" i="2" s="1"/>
  <c r="AR254" i="2" s="1"/>
  <c r="AS254" i="2" s="1"/>
  <c r="AT254" i="2" s="1"/>
  <c r="AU254" i="2" s="1"/>
  <c r="AV254" i="2" s="1"/>
  <c r="AW254" i="2" s="1"/>
  <c r="AX254" i="2" s="1"/>
  <c r="AY254" i="2" s="1"/>
  <c r="AZ254" i="2" s="1"/>
  <c r="BA254" i="2" s="1"/>
  <c r="BB254" i="2" s="1"/>
  <c r="BC254" i="2" s="1"/>
  <c r="BD254" i="2" s="1"/>
  <c r="BE254" i="2" s="1"/>
  <c r="BF254" i="2" s="1"/>
  <c r="BG254" i="2" s="1"/>
  <c r="BH254" i="2" s="1"/>
  <c r="BI254" i="2" s="1"/>
  <c r="AB281" i="2"/>
  <c r="AC281" i="2" s="1"/>
  <c r="AD281" i="2" s="1"/>
  <c r="AE281" i="2" s="1"/>
  <c r="AF281" i="2" s="1"/>
  <c r="AG281" i="2" s="1"/>
  <c r="AH281" i="2" s="1"/>
  <c r="AI281" i="2" s="1"/>
  <c r="AJ281" i="2" s="1"/>
  <c r="AK281" i="2" s="1"/>
  <c r="AL281" i="2" s="1"/>
  <c r="AM281" i="2" s="1"/>
  <c r="AN281" i="2" s="1"/>
  <c r="AO281" i="2" s="1"/>
  <c r="AP281" i="2" s="1"/>
  <c r="AQ281" i="2" s="1"/>
  <c r="AR281" i="2" s="1"/>
  <c r="AS281" i="2" s="1"/>
  <c r="AT281" i="2" s="1"/>
  <c r="AU281" i="2" s="1"/>
  <c r="AV281" i="2" s="1"/>
  <c r="AW281" i="2" s="1"/>
  <c r="AX281" i="2" s="1"/>
  <c r="AY281" i="2" s="1"/>
  <c r="AZ281" i="2" s="1"/>
  <c r="BA281" i="2" s="1"/>
  <c r="BB281" i="2" s="1"/>
  <c r="BC281" i="2" s="1"/>
  <c r="BD281" i="2" s="1"/>
  <c r="BE281" i="2" s="1"/>
  <c r="BF281" i="2" s="1"/>
  <c r="BG281" i="2" s="1"/>
  <c r="BH281" i="2" s="1"/>
  <c r="BI281" i="2" s="1"/>
  <c r="AB276" i="2"/>
  <c r="AC276" i="2" s="1"/>
  <c r="AD276" i="2" s="1"/>
  <c r="AE276" i="2" s="1"/>
  <c r="AF276" i="2" s="1"/>
  <c r="AG276" i="2" s="1"/>
  <c r="AH276" i="2" s="1"/>
  <c r="AI276" i="2" s="1"/>
  <c r="AJ276" i="2" s="1"/>
  <c r="AK276" i="2" s="1"/>
  <c r="AL276" i="2" s="1"/>
  <c r="AM276" i="2" s="1"/>
  <c r="AN276" i="2" s="1"/>
  <c r="AO276" i="2" s="1"/>
  <c r="AP276" i="2" s="1"/>
  <c r="AQ276" i="2" s="1"/>
  <c r="AR276" i="2" s="1"/>
  <c r="AS276" i="2" s="1"/>
  <c r="AT276" i="2" s="1"/>
  <c r="AU276" i="2" s="1"/>
  <c r="AV276" i="2" s="1"/>
  <c r="AW276" i="2" s="1"/>
  <c r="AX276" i="2" s="1"/>
  <c r="AY276" i="2" s="1"/>
  <c r="AZ276" i="2" s="1"/>
  <c r="BA276" i="2" s="1"/>
  <c r="BB276" i="2" s="1"/>
  <c r="BC276" i="2" s="1"/>
  <c r="BD276" i="2" s="1"/>
  <c r="BE276" i="2" s="1"/>
  <c r="BF276" i="2" s="1"/>
  <c r="BG276" i="2" s="1"/>
  <c r="BH276" i="2" s="1"/>
  <c r="BI276" i="2" s="1"/>
  <c r="AB246" i="2"/>
  <c r="AC246" i="2" s="1"/>
  <c r="AD246" i="2" s="1"/>
  <c r="AE246" i="2" s="1"/>
  <c r="AF246" i="2" s="1"/>
  <c r="AG246" i="2" s="1"/>
  <c r="AH246" i="2" s="1"/>
  <c r="AI246" i="2" s="1"/>
  <c r="AJ246" i="2" s="1"/>
  <c r="AK246" i="2" s="1"/>
  <c r="AL246" i="2" s="1"/>
  <c r="AM246" i="2" s="1"/>
  <c r="AN246" i="2" s="1"/>
  <c r="AO246" i="2" s="1"/>
  <c r="AP246" i="2" s="1"/>
  <c r="AQ246" i="2" s="1"/>
  <c r="AR246" i="2" s="1"/>
  <c r="AS246" i="2" s="1"/>
  <c r="AT246" i="2" s="1"/>
  <c r="AU246" i="2" s="1"/>
  <c r="AV246" i="2" s="1"/>
  <c r="AW246" i="2" s="1"/>
  <c r="AX246" i="2" s="1"/>
  <c r="AY246" i="2" s="1"/>
  <c r="AZ246" i="2" s="1"/>
  <c r="BA246" i="2" s="1"/>
  <c r="BB246" i="2" s="1"/>
  <c r="BC246" i="2" s="1"/>
  <c r="BD246" i="2" s="1"/>
  <c r="BE246" i="2" s="1"/>
  <c r="BF246" i="2" s="1"/>
  <c r="BG246" i="2" s="1"/>
  <c r="BH246" i="2" s="1"/>
  <c r="BI246" i="2" s="1"/>
  <c r="AA265" i="2"/>
  <c r="AB265" i="2" s="1"/>
  <c r="AC265" i="2" s="1"/>
  <c r="AD265" i="2" s="1"/>
  <c r="AE265" i="2" s="1"/>
  <c r="AF265" i="2" s="1"/>
  <c r="AG265" i="2" s="1"/>
  <c r="AH265" i="2" s="1"/>
  <c r="AI265" i="2" s="1"/>
  <c r="AJ265" i="2" s="1"/>
  <c r="AK265" i="2" s="1"/>
  <c r="AL265" i="2" s="1"/>
  <c r="AM265" i="2" s="1"/>
  <c r="AN265" i="2" s="1"/>
  <c r="AO265" i="2" s="1"/>
  <c r="AP265" i="2" s="1"/>
  <c r="AQ265" i="2" s="1"/>
  <c r="AR265" i="2" s="1"/>
  <c r="AS265" i="2" s="1"/>
  <c r="AT265" i="2" s="1"/>
  <c r="AU265" i="2" s="1"/>
  <c r="AV265" i="2" s="1"/>
  <c r="AW265" i="2" s="1"/>
  <c r="AX265" i="2" s="1"/>
  <c r="AY265" i="2" s="1"/>
  <c r="AZ265" i="2" s="1"/>
  <c r="BA265" i="2" s="1"/>
  <c r="BB265" i="2" s="1"/>
  <c r="BC265" i="2" s="1"/>
  <c r="BD265" i="2" s="1"/>
  <c r="BE265" i="2" s="1"/>
  <c r="BF265" i="2" s="1"/>
  <c r="BG265" i="2" s="1"/>
  <c r="BH265" i="2" s="1"/>
  <c r="BI265" i="2" s="1"/>
  <c r="AB248" i="2"/>
  <c r="AC248" i="2" s="1"/>
  <c r="AB250" i="2"/>
  <c r="AC250" i="2" s="1"/>
  <c r="AD250" i="2" s="1"/>
  <c r="AE250" i="2" s="1"/>
  <c r="AF250" i="2" s="1"/>
  <c r="AG250" i="2" s="1"/>
  <c r="AH250" i="2" s="1"/>
  <c r="AI250" i="2" s="1"/>
  <c r="AJ250" i="2" s="1"/>
  <c r="AK250" i="2" s="1"/>
  <c r="AL250" i="2" s="1"/>
  <c r="AM250" i="2" s="1"/>
  <c r="AN250" i="2" s="1"/>
  <c r="AO250" i="2" s="1"/>
  <c r="AP250" i="2" s="1"/>
  <c r="AQ250" i="2" s="1"/>
  <c r="AR250" i="2" s="1"/>
  <c r="AS250" i="2" s="1"/>
  <c r="AT250" i="2" s="1"/>
  <c r="AU250" i="2" s="1"/>
  <c r="AV250" i="2" s="1"/>
  <c r="AW250" i="2" s="1"/>
  <c r="AX250" i="2" s="1"/>
  <c r="AY250" i="2" s="1"/>
  <c r="AB251" i="2"/>
  <c r="AC251" i="2" s="1"/>
  <c r="AD251" i="2" s="1"/>
  <c r="AE251" i="2" s="1"/>
  <c r="AF251" i="2" s="1"/>
  <c r="AG251" i="2" s="1"/>
  <c r="AH251" i="2" s="1"/>
  <c r="AI251" i="2" s="1"/>
  <c r="AJ251" i="2" s="1"/>
  <c r="AK251" i="2" s="1"/>
  <c r="AL251" i="2" s="1"/>
  <c r="AM251" i="2" s="1"/>
  <c r="AN251" i="2" s="1"/>
  <c r="AO251" i="2" s="1"/>
  <c r="AP251" i="2" s="1"/>
  <c r="AQ251" i="2" s="1"/>
  <c r="AR251" i="2" s="1"/>
  <c r="AS251" i="2" s="1"/>
  <c r="AT251" i="2" s="1"/>
  <c r="AU251" i="2" s="1"/>
  <c r="AV251" i="2" s="1"/>
  <c r="AW251" i="2" s="1"/>
  <c r="AX251" i="2" s="1"/>
  <c r="AY251" i="2" s="1"/>
  <c r="AZ251" i="2" s="1"/>
  <c r="BA251" i="2" s="1"/>
  <c r="BB251" i="2" s="1"/>
  <c r="BC251" i="2" s="1"/>
  <c r="BD251" i="2" s="1"/>
  <c r="BE251" i="2" s="1"/>
  <c r="BF251" i="2" s="1"/>
  <c r="BG251" i="2" s="1"/>
  <c r="BH251" i="2" s="1"/>
  <c r="BI251" i="2" s="1"/>
  <c r="AB245" i="2"/>
  <c r="AC245" i="2" s="1"/>
  <c r="AD245" i="2" s="1"/>
  <c r="AE245" i="2" s="1"/>
  <c r="AF245" i="2" s="1"/>
  <c r="AG245" i="2" s="1"/>
  <c r="AH245" i="2" s="1"/>
  <c r="AI245" i="2" s="1"/>
  <c r="AJ245" i="2" s="1"/>
  <c r="AK245" i="2" s="1"/>
  <c r="AL245" i="2" s="1"/>
  <c r="AM245" i="2" s="1"/>
  <c r="AN245" i="2" s="1"/>
  <c r="AO245" i="2" s="1"/>
  <c r="AP245" i="2" s="1"/>
  <c r="AQ245" i="2" s="1"/>
  <c r="AR245" i="2" s="1"/>
  <c r="AS245" i="2" s="1"/>
  <c r="AT245" i="2" s="1"/>
  <c r="AU245" i="2" s="1"/>
  <c r="AV245" i="2" s="1"/>
  <c r="AW245" i="2" s="1"/>
  <c r="AX245" i="2" s="1"/>
  <c r="AY245" i="2" s="1"/>
  <c r="AZ245" i="2" s="1"/>
  <c r="BA245" i="2" s="1"/>
  <c r="BB245" i="2" s="1"/>
  <c r="BC245" i="2" s="1"/>
  <c r="BD245" i="2" s="1"/>
  <c r="BE245" i="2" s="1"/>
  <c r="BF245" i="2" s="1"/>
  <c r="BG245" i="2" s="1"/>
  <c r="BH245" i="2" s="1"/>
  <c r="BI245" i="2" s="1"/>
  <c r="AA261" i="2"/>
  <c r="AB261" i="2" s="1"/>
  <c r="AC261" i="2" s="1"/>
  <c r="AD261" i="2" s="1"/>
  <c r="AE261" i="2" s="1"/>
  <c r="AF261" i="2" s="1"/>
  <c r="AG261" i="2" s="1"/>
  <c r="AH261" i="2" s="1"/>
  <c r="AI261" i="2" s="1"/>
  <c r="AJ261" i="2" s="1"/>
  <c r="AK261" i="2" s="1"/>
  <c r="AL261" i="2" s="1"/>
  <c r="AM261" i="2" s="1"/>
  <c r="AN261" i="2" s="1"/>
  <c r="AO261" i="2" s="1"/>
  <c r="AP261" i="2" s="1"/>
  <c r="AQ261" i="2" s="1"/>
  <c r="AR261" i="2" s="1"/>
  <c r="AS261" i="2" s="1"/>
  <c r="AT261" i="2" s="1"/>
  <c r="AU261" i="2" s="1"/>
  <c r="AV261" i="2" s="1"/>
  <c r="AW261" i="2" s="1"/>
  <c r="AX261" i="2" s="1"/>
  <c r="AY261" i="2" s="1"/>
  <c r="AZ261" i="2" s="1"/>
  <c r="BA261" i="2" s="1"/>
  <c r="BB261" i="2" s="1"/>
  <c r="BC261" i="2" s="1"/>
  <c r="BD261" i="2" s="1"/>
  <c r="BE261" i="2" s="1"/>
  <c r="BF261" i="2" s="1"/>
  <c r="BG261" i="2" s="1"/>
  <c r="BH261" i="2" s="1"/>
  <c r="BI261" i="2" s="1"/>
  <c r="AA263" i="2"/>
  <c r="AB263" i="2" s="1"/>
  <c r="AB249" i="2"/>
  <c r="AC249" i="2" s="1"/>
  <c r="AD249" i="2" s="1"/>
  <c r="AE249" i="2" s="1"/>
  <c r="AF249" i="2" s="1"/>
  <c r="AG249" i="2" s="1"/>
  <c r="AH249" i="2" s="1"/>
  <c r="AI249" i="2" s="1"/>
  <c r="AJ249" i="2" s="1"/>
  <c r="AK249" i="2" s="1"/>
  <c r="AL249" i="2" s="1"/>
  <c r="AM249" i="2" s="1"/>
  <c r="AN249" i="2" s="1"/>
  <c r="AO249" i="2" s="1"/>
  <c r="AP249" i="2" s="1"/>
  <c r="AQ249" i="2" s="1"/>
  <c r="AR249" i="2" s="1"/>
  <c r="AS249" i="2" s="1"/>
  <c r="AT249" i="2" s="1"/>
  <c r="AU249" i="2" s="1"/>
  <c r="AV249" i="2" s="1"/>
  <c r="AW249" i="2" s="1"/>
  <c r="AX249" i="2" s="1"/>
  <c r="AY249" i="2" s="1"/>
  <c r="AZ249" i="2" s="1"/>
  <c r="BA249" i="2" s="1"/>
  <c r="BB249" i="2" s="1"/>
  <c r="BC249" i="2" s="1"/>
  <c r="BD249" i="2" s="1"/>
  <c r="BE249" i="2" s="1"/>
  <c r="AA256" i="2"/>
  <c r="AB256" i="2" s="1"/>
  <c r="AC256" i="2" s="1"/>
  <c r="AD256" i="2" s="1"/>
  <c r="AE256" i="2" s="1"/>
  <c r="AF256" i="2" s="1"/>
  <c r="AG256" i="2" s="1"/>
  <c r="AH256" i="2" s="1"/>
  <c r="AI256" i="2" s="1"/>
  <c r="AJ256" i="2" s="1"/>
  <c r="AK256" i="2" s="1"/>
  <c r="AL256" i="2" s="1"/>
  <c r="AM256" i="2" s="1"/>
  <c r="AN256" i="2" s="1"/>
  <c r="AO256" i="2" s="1"/>
  <c r="AP256" i="2" s="1"/>
  <c r="AQ256" i="2" s="1"/>
  <c r="AR256" i="2" s="1"/>
  <c r="AS256" i="2" s="1"/>
  <c r="AT256" i="2" s="1"/>
  <c r="AU256" i="2" s="1"/>
  <c r="AV256" i="2" s="1"/>
  <c r="AW256" i="2" s="1"/>
  <c r="AX256" i="2" s="1"/>
  <c r="AY256" i="2" s="1"/>
  <c r="AZ256" i="2" s="1"/>
  <c r="BA256" i="2" s="1"/>
  <c r="BB256" i="2" s="1"/>
  <c r="BC256" i="2" s="1"/>
  <c r="BD256" i="2" s="1"/>
  <c r="BE256" i="2" s="1"/>
  <c r="BF256" i="2" s="1"/>
  <c r="BG256" i="2" s="1"/>
  <c r="BH256" i="2" s="1"/>
  <c r="BI256" i="2" s="1"/>
  <c r="AA262" i="2"/>
  <c r="AB262" i="2" s="1"/>
  <c r="AC262" i="2" s="1"/>
  <c r="AD262" i="2" s="1"/>
  <c r="AE262" i="2" s="1"/>
  <c r="AF262" i="2" s="1"/>
  <c r="AG262" i="2" s="1"/>
  <c r="AH262" i="2" s="1"/>
  <c r="AI262" i="2" s="1"/>
  <c r="AJ262" i="2" s="1"/>
  <c r="AK262" i="2" s="1"/>
  <c r="AL262" i="2" s="1"/>
  <c r="AM262" i="2" s="1"/>
  <c r="AN262" i="2" s="1"/>
  <c r="AO262" i="2" s="1"/>
  <c r="AP262" i="2" s="1"/>
  <c r="AQ262" i="2" s="1"/>
  <c r="AR262" i="2" s="1"/>
  <c r="AS262" i="2" s="1"/>
  <c r="AT262" i="2" s="1"/>
  <c r="AU262" i="2" s="1"/>
  <c r="AV262" i="2" s="1"/>
  <c r="AW262" i="2" s="1"/>
  <c r="AX262" i="2" s="1"/>
  <c r="AY262" i="2" s="1"/>
  <c r="AZ262" i="2" s="1"/>
  <c r="BA262" i="2" s="1"/>
  <c r="BB262" i="2" s="1"/>
  <c r="BC262" i="2" s="1"/>
  <c r="BD262" i="2" s="1"/>
  <c r="BE262" i="2" s="1"/>
  <c r="BF262" i="2" s="1"/>
  <c r="BG262" i="2" s="1"/>
  <c r="BH262" i="2" s="1"/>
  <c r="BI262" i="2" s="1"/>
  <c r="AA257" i="2"/>
  <c r="AB257" i="2" s="1"/>
  <c r="AC257" i="2" s="1"/>
  <c r="AD257" i="2" s="1"/>
  <c r="AE257" i="2" s="1"/>
  <c r="AF257" i="2" s="1"/>
  <c r="AG257" i="2" s="1"/>
  <c r="AH257" i="2" s="1"/>
  <c r="AI257" i="2" s="1"/>
  <c r="AJ257" i="2" s="1"/>
  <c r="AK257" i="2" s="1"/>
  <c r="AL257" i="2" s="1"/>
  <c r="AM257" i="2" s="1"/>
  <c r="AN257" i="2" s="1"/>
  <c r="AO257" i="2" s="1"/>
  <c r="AP257" i="2" s="1"/>
  <c r="AQ257" i="2" s="1"/>
  <c r="AR257" i="2" s="1"/>
  <c r="AS257" i="2" s="1"/>
  <c r="AT257" i="2" s="1"/>
  <c r="AU257" i="2" s="1"/>
  <c r="AV257" i="2" s="1"/>
  <c r="AW257" i="2" s="1"/>
  <c r="AX257" i="2" s="1"/>
  <c r="AY257" i="2" s="1"/>
  <c r="AZ257" i="2" s="1"/>
  <c r="BA257" i="2" s="1"/>
  <c r="BB257" i="2" s="1"/>
  <c r="BC257" i="2" s="1"/>
  <c r="BD257" i="2" s="1"/>
  <c r="BE257" i="2" s="1"/>
  <c r="BF257" i="2" s="1"/>
  <c r="BG257" i="2" s="1"/>
  <c r="BH257" i="2" s="1"/>
  <c r="BI257" i="2" s="1"/>
  <c r="AA258" i="2"/>
  <c r="AB284" i="2"/>
  <c r="AC284" i="2" s="1"/>
  <c r="AD284" i="2" s="1"/>
  <c r="AE284" i="2" s="1"/>
  <c r="AF284" i="2" s="1"/>
  <c r="AG284" i="2" s="1"/>
  <c r="AH284" i="2" s="1"/>
  <c r="AI284" i="2" s="1"/>
  <c r="AJ284" i="2" s="1"/>
  <c r="AK284" i="2" s="1"/>
  <c r="AL284" i="2" s="1"/>
  <c r="AM284" i="2" s="1"/>
  <c r="AN284" i="2" s="1"/>
  <c r="AO284" i="2" s="1"/>
  <c r="AP284" i="2" s="1"/>
  <c r="AQ284" i="2" s="1"/>
  <c r="AR284" i="2" s="1"/>
  <c r="AS284" i="2" s="1"/>
  <c r="AT284" i="2" s="1"/>
  <c r="AU284" i="2" s="1"/>
  <c r="AV284" i="2" s="1"/>
  <c r="AW284" i="2" s="1"/>
  <c r="AX284" i="2" s="1"/>
  <c r="AY284" i="2" s="1"/>
  <c r="AZ284" i="2" s="1"/>
  <c r="BA284" i="2" s="1"/>
  <c r="BB284" i="2" s="1"/>
  <c r="BC284" i="2" s="1"/>
  <c r="BD284" i="2" s="1"/>
  <c r="BE284" i="2" s="1"/>
  <c r="BF284" i="2" s="1"/>
  <c r="BG284" i="2" s="1"/>
  <c r="BH284" i="2" s="1"/>
  <c r="BI284" i="2" s="1"/>
  <c r="AB280" i="2"/>
  <c r="AC280" i="2" s="1"/>
  <c r="AD280" i="2" s="1"/>
  <c r="AE280" i="2" s="1"/>
  <c r="AF280" i="2" s="1"/>
  <c r="AG280" i="2" s="1"/>
  <c r="AH280" i="2" s="1"/>
  <c r="AI280" i="2" s="1"/>
  <c r="AJ280" i="2" s="1"/>
  <c r="AK280" i="2" s="1"/>
  <c r="AL280" i="2" s="1"/>
  <c r="AM280" i="2" s="1"/>
  <c r="AN280" i="2" s="1"/>
  <c r="AO280" i="2" s="1"/>
  <c r="AP280" i="2" s="1"/>
  <c r="AQ280" i="2" s="1"/>
  <c r="AR280" i="2" s="1"/>
  <c r="AS280" i="2" s="1"/>
  <c r="AT280" i="2" s="1"/>
  <c r="AU280" i="2" s="1"/>
  <c r="AV280" i="2" s="1"/>
  <c r="AW280" i="2" s="1"/>
  <c r="AX280" i="2" s="1"/>
  <c r="AY280" i="2" s="1"/>
  <c r="AZ280" i="2" s="1"/>
  <c r="BA280" i="2" s="1"/>
  <c r="BB280" i="2" s="1"/>
  <c r="BC280" i="2" s="1"/>
  <c r="BD280" i="2" s="1"/>
  <c r="BE280" i="2" s="1"/>
  <c r="BF280" i="2" s="1"/>
  <c r="BG280" i="2" s="1"/>
  <c r="BH280" i="2" s="1"/>
  <c r="BI280" i="2" s="1"/>
  <c r="AB279" i="2"/>
  <c r="AC279" i="2" s="1"/>
  <c r="AD279" i="2" s="1"/>
  <c r="AE279" i="2" s="1"/>
  <c r="AF279" i="2" s="1"/>
  <c r="AG279" i="2" s="1"/>
  <c r="AH279" i="2" s="1"/>
  <c r="AI279" i="2" s="1"/>
  <c r="AJ279" i="2" s="1"/>
  <c r="AK279" i="2" s="1"/>
  <c r="AL279" i="2" s="1"/>
  <c r="AM279" i="2" s="1"/>
  <c r="AN279" i="2" s="1"/>
  <c r="AO279" i="2" s="1"/>
  <c r="AP279" i="2" s="1"/>
  <c r="AQ279" i="2" s="1"/>
  <c r="AR279" i="2" s="1"/>
  <c r="AS279" i="2" s="1"/>
  <c r="AT279" i="2" s="1"/>
  <c r="AU279" i="2" s="1"/>
  <c r="AV279" i="2" s="1"/>
  <c r="AW279" i="2" s="1"/>
  <c r="AX279" i="2" s="1"/>
  <c r="AY279" i="2" s="1"/>
  <c r="AZ279" i="2" s="1"/>
  <c r="BA279" i="2" s="1"/>
  <c r="BB279" i="2" s="1"/>
  <c r="BC279" i="2" s="1"/>
  <c r="BD279" i="2" s="1"/>
  <c r="BE279" i="2" s="1"/>
  <c r="BF279" i="2" s="1"/>
  <c r="BG279" i="2" s="1"/>
  <c r="BH279" i="2" s="1"/>
  <c r="BI279" i="2" s="1"/>
  <c r="AB277" i="2"/>
  <c r="AC277" i="2" s="1"/>
  <c r="AD277" i="2" s="1"/>
  <c r="AE277" i="2" s="1"/>
  <c r="AF277" i="2" s="1"/>
  <c r="AG277" i="2" s="1"/>
  <c r="AH277" i="2" s="1"/>
  <c r="AI277" i="2" s="1"/>
  <c r="AJ277" i="2" s="1"/>
  <c r="AK277" i="2" s="1"/>
  <c r="AL277" i="2" s="1"/>
  <c r="AM277" i="2" s="1"/>
  <c r="AB275" i="2"/>
  <c r="AC275" i="2" s="1"/>
  <c r="AD275" i="2" s="1"/>
  <c r="AE275" i="2" s="1"/>
  <c r="AF275" i="2" s="1"/>
  <c r="AG275" i="2" s="1"/>
  <c r="AH275" i="2" s="1"/>
  <c r="AI275" i="2" s="1"/>
  <c r="AJ275" i="2" s="1"/>
  <c r="AK275" i="2" s="1"/>
  <c r="AL275" i="2" s="1"/>
  <c r="AM275" i="2" s="1"/>
  <c r="AN275" i="2" s="1"/>
  <c r="AO275" i="2" s="1"/>
  <c r="AP275" i="2" s="1"/>
  <c r="AQ275" i="2" s="1"/>
  <c r="AR275" i="2" s="1"/>
  <c r="AS275" i="2" s="1"/>
  <c r="AT275" i="2" s="1"/>
  <c r="AU275" i="2" s="1"/>
  <c r="AV275" i="2" s="1"/>
  <c r="AW275" i="2" s="1"/>
  <c r="AX275" i="2" s="1"/>
  <c r="AY275" i="2" s="1"/>
  <c r="AZ275" i="2" s="1"/>
  <c r="BA275" i="2" s="1"/>
  <c r="BB275" i="2" s="1"/>
  <c r="BC275" i="2" s="1"/>
  <c r="BD275" i="2" s="1"/>
  <c r="BE275" i="2" s="1"/>
  <c r="BF275" i="2" s="1"/>
  <c r="BG275" i="2" s="1"/>
  <c r="BH275" i="2" s="1"/>
  <c r="BI275" i="2" s="1"/>
  <c r="AU198" i="2"/>
  <c r="Z225" i="2"/>
  <c r="Z239" i="2" s="1"/>
  <c r="Z240" i="2" s="1"/>
  <c r="Z200" i="2"/>
  <c r="Z260" i="2" s="1"/>
  <c r="AA260" i="2" s="1"/>
  <c r="AB260" i="2" s="1"/>
  <c r="AC260" i="2" s="1"/>
  <c r="AD260" i="2" s="1"/>
  <c r="AE260" i="2" s="1"/>
  <c r="AF260" i="2" s="1"/>
  <c r="AG260" i="2" s="1"/>
  <c r="AH260" i="2" s="1"/>
  <c r="AI260" i="2" s="1"/>
  <c r="AJ260" i="2" s="1"/>
  <c r="AK260" i="2" s="1"/>
  <c r="AL260" i="2" s="1"/>
  <c r="AM260" i="2" s="1"/>
  <c r="AN260" i="2" s="1"/>
  <c r="AO260" i="2" s="1"/>
  <c r="AP260" i="2" s="1"/>
  <c r="AQ260" i="2" s="1"/>
  <c r="AR260" i="2" s="1"/>
  <c r="AS260" i="2" s="1"/>
  <c r="AT260" i="2" s="1"/>
  <c r="AU260" i="2" s="1"/>
  <c r="AV260" i="2" s="1"/>
  <c r="AW260" i="2" s="1"/>
  <c r="AX260" i="2" s="1"/>
  <c r="AY260" i="2" s="1"/>
  <c r="AZ260" i="2" s="1"/>
  <c r="BA260" i="2" s="1"/>
  <c r="BB260" i="2" s="1"/>
  <c r="BC260" i="2" s="1"/>
  <c r="BD260" i="2" s="1"/>
  <c r="BE260" i="2" s="1"/>
  <c r="BF260" i="2" s="1"/>
  <c r="BG260" i="2" s="1"/>
  <c r="BH260" i="2" s="1"/>
  <c r="BI260" i="2" s="1"/>
  <c r="AI204" i="2"/>
  <c r="BF189" i="2"/>
  <c r="AZ190" i="2"/>
  <c r="AL195" i="2"/>
  <c r="AS195" i="2"/>
  <c r="BH195" i="2"/>
  <c r="BE195" i="2"/>
  <c r="AI195" i="2"/>
  <c r="AE195" i="2"/>
  <c r="AV195" i="2"/>
  <c r="BF195" i="2"/>
  <c r="AY195" i="2"/>
  <c r="AG195" i="2"/>
  <c r="BB195" i="2"/>
  <c r="AT195" i="2"/>
  <c r="AJ195" i="2"/>
  <c r="AQ195" i="2"/>
  <c r="AZ195" i="2"/>
  <c r="AN195" i="2"/>
  <c r="AD195" i="2"/>
  <c r="AB195" i="2"/>
  <c r="AW195" i="2"/>
  <c r="BG195" i="2"/>
  <c r="AH195" i="2"/>
  <c r="BC195" i="2"/>
  <c r="AK195" i="2"/>
  <c r="AP195" i="2"/>
  <c r="BI195" i="2"/>
  <c r="AM195" i="2"/>
  <c r="BA195" i="2"/>
  <c r="AR195" i="2"/>
  <c r="AF195" i="2"/>
  <c r="AC195" i="2"/>
  <c r="AU195" i="2"/>
  <c r="AO195" i="2"/>
  <c r="BD195" i="2"/>
  <c r="AX195" i="2"/>
  <c r="AC263" i="2" l="1"/>
  <c r="AD263" i="2" s="1"/>
  <c r="AE263" i="2" s="1"/>
  <c r="AF263" i="2" s="1"/>
  <c r="AG263" i="2" s="1"/>
  <c r="AH263" i="2" s="1"/>
  <c r="AI222" i="2"/>
  <c r="AP217" i="2"/>
  <c r="AV218" i="2"/>
  <c r="BJ223" i="2"/>
  <c r="BE229" i="2"/>
  <c r="BH217" i="2"/>
  <c r="BB223" i="2"/>
  <c r="BK217" i="2"/>
  <c r="BI229" i="2"/>
  <c r="BF222" i="2"/>
  <c r="AM222" i="2"/>
  <c r="AN222" i="2"/>
  <c r="AI179" i="2"/>
  <c r="AL222" i="2"/>
  <c r="BG222" i="2"/>
  <c r="AS223" i="2"/>
  <c r="AJ223" i="2"/>
  <c r="BK222" i="2"/>
  <c r="AQ222" i="2"/>
  <c r="AW218" i="2"/>
  <c r="AN277" i="2"/>
  <c r="AO277" i="2" s="1"/>
  <c r="AF228" i="2"/>
  <c r="AT222" i="2"/>
  <c r="Z179" i="2"/>
  <c r="AT223" i="2"/>
  <c r="AC179" i="2"/>
  <c r="BA218" i="2"/>
  <c r="BD217" i="2"/>
  <c r="AS222" i="2"/>
  <c r="AJ218" i="2"/>
  <c r="Z285" i="2"/>
  <c r="AA285" i="2" s="1"/>
  <c r="AB285" i="2" s="1"/>
  <c r="AC285" i="2" s="1"/>
  <c r="AD285" i="2" s="1"/>
  <c r="AE285" i="2" s="1"/>
  <c r="AF285" i="2" s="1"/>
  <c r="AG285" i="2" s="1"/>
  <c r="AH285" i="2" s="1"/>
  <c r="AI285" i="2" s="1"/>
  <c r="AJ285" i="2" s="1"/>
  <c r="AK285" i="2" s="1"/>
  <c r="AL285" i="2" s="1"/>
  <c r="AM285" i="2" s="1"/>
  <c r="AN285" i="2" s="1"/>
  <c r="AO285" i="2" s="1"/>
  <c r="AP285" i="2" s="1"/>
  <c r="AQ285" i="2" s="1"/>
  <c r="AR285" i="2" s="1"/>
  <c r="AS285" i="2" s="1"/>
  <c r="AT285" i="2" s="1"/>
  <c r="AU285" i="2" s="1"/>
  <c r="AV285" i="2" s="1"/>
  <c r="AW285" i="2" s="1"/>
  <c r="AX285" i="2" s="1"/>
  <c r="AY285" i="2" s="1"/>
  <c r="AZ285" i="2" s="1"/>
  <c r="BA285" i="2" s="1"/>
  <c r="BB285" i="2" s="1"/>
  <c r="BC285" i="2" s="1"/>
  <c r="BD285" i="2" s="1"/>
  <c r="BE285" i="2" s="1"/>
  <c r="BF285" i="2" s="1"/>
  <c r="BG285" i="2" s="1"/>
  <c r="BH285" i="2" s="1"/>
  <c r="BI285" i="2" s="1"/>
  <c r="BF249" i="2"/>
  <c r="BG249" i="2" s="1"/>
  <c r="BH249" i="2" s="1"/>
  <c r="BI249" i="2" s="1"/>
  <c r="AI264" i="2"/>
  <c r="AJ264" i="2" s="1"/>
  <c r="AK264" i="2" s="1"/>
  <c r="AL264" i="2" s="1"/>
  <c r="AM264" i="2" s="1"/>
  <c r="AN264" i="2" s="1"/>
  <c r="AO264" i="2" s="1"/>
  <c r="AP264" i="2" s="1"/>
  <c r="AQ264" i="2" s="1"/>
  <c r="AR264" i="2" s="1"/>
  <c r="AS264" i="2" s="1"/>
  <c r="AT264" i="2" s="1"/>
  <c r="AU264" i="2" s="1"/>
  <c r="AV264" i="2" s="1"/>
  <c r="AW264" i="2" s="1"/>
  <c r="AX264" i="2" s="1"/>
  <c r="AY264" i="2" s="1"/>
  <c r="AZ264" i="2" s="1"/>
  <c r="BA264" i="2" s="1"/>
  <c r="BB264" i="2" s="1"/>
  <c r="BC264" i="2" s="1"/>
  <c r="BD264" i="2" s="1"/>
  <c r="BE264" i="2" s="1"/>
  <c r="BF264" i="2" s="1"/>
  <c r="BG264" i="2" s="1"/>
  <c r="BH264" i="2" s="1"/>
  <c r="BI264" i="2" s="1"/>
  <c r="AZ250" i="2"/>
  <c r="BA250" i="2" s="1"/>
  <c r="BB250" i="2" s="1"/>
  <c r="BC250" i="2" s="1"/>
  <c r="BD250" i="2" s="1"/>
  <c r="BE250" i="2" s="1"/>
  <c r="BF250" i="2" s="1"/>
  <c r="BG250" i="2" s="1"/>
  <c r="BH250" i="2" s="1"/>
  <c r="BI250" i="2" s="1"/>
  <c r="AQ214" i="2"/>
  <c r="AP179" i="2"/>
  <c r="AR214" i="2"/>
  <c r="AR239" i="2" s="1"/>
  <c r="AR240" i="2" s="1"/>
  <c r="BD214" i="2"/>
  <c r="BE214" i="2"/>
  <c r="BC179" i="2"/>
  <c r="AP214" i="2"/>
  <c r="AN179" i="2"/>
  <c r="AL179" i="2"/>
  <c r="AN214" i="2"/>
  <c r="AV179" i="2"/>
  <c r="AX214" i="2"/>
  <c r="AX239" i="2" s="1"/>
  <c r="AX240" i="2" s="1"/>
  <c r="BG179" i="2"/>
  <c r="BI214" i="2"/>
  <c r="BH214" i="2"/>
  <c r="AS214" i="2"/>
  <c r="AX179" i="2"/>
  <c r="AZ214" i="2"/>
  <c r="AZ239" i="2" s="1"/>
  <c r="AZ240" i="2" s="1"/>
  <c r="AT214" i="2"/>
  <c r="AK214" i="2"/>
  <c r="AK239" i="2" s="1"/>
  <c r="AK240" i="2" s="1"/>
  <c r="AF214" i="2"/>
  <c r="AD179" i="2"/>
  <c r="AV214" i="2"/>
  <c r="AB214" i="2"/>
  <c r="Z274" i="2"/>
  <c r="AJ214" i="2"/>
  <c r="AS179" i="2"/>
  <c r="AU214" i="2"/>
  <c r="AU239" i="2" s="1"/>
  <c r="AU240" i="2" s="1"/>
  <c r="AD214" i="2"/>
  <c r="BG214" i="2"/>
  <c r="AM214" i="2"/>
  <c r="AE179" i="2"/>
  <c r="AG214" i="2"/>
  <c r="AG239" i="2" s="1"/>
  <c r="AG240" i="2" s="1"/>
  <c r="AL214" i="2"/>
  <c r="BK214" i="2"/>
  <c r="AM179" i="2"/>
  <c r="AO214" i="2"/>
  <c r="AO239" i="2" s="1"/>
  <c r="AO240" i="2" s="1"/>
  <c r="BA179" i="2"/>
  <c r="BC214" i="2"/>
  <c r="BC239" i="2" s="1"/>
  <c r="BC240" i="2" s="1"/>
  <c r="BA214" i="2"/>
  <c r="AC214" i="2"/>
  <c r="AE214" i="2"/>
  <c r="AE239" i="2" s="1"/>
  <c r="AE240" i="2" s="1"/>
  <c r="AH214" i="2"/>
  <c r="AH239" i="2" s="1"/>
  <c r="AH240" i="2" s="1"/>
  <c r="AY214" i="2"/>
  <c r="AY239" i="2" s="1"/>
  <c r="AY240" i="2" s="1"/>
  <c r="AW179" i="2"/>
  <c r="BB214" i="2"/>
  <c r="AI214" i="2"/>
  <c r="BF214" i="2"/>
  <c r="AW214" i="2"/>
  <c r="AU179" i="2"/>
  <c r="BJ214" i="2"/>
  <c r="Z195" i="2"/>
  <c r="Z210" i="2"/>
  <c r="AA195" i="2"/>
  <c r="BH179" i="2" l="1"/>
  <c r="AA179" i="2"/>
  <c r="BI179" i="2"/>
  <c r="AK179" i="2"/>
  <c r="AB179" i="2"/>
  <c r="AT179" i="2"/>
  <c r="AR179" i="2"/>
  <c r="BD179" i="2"/>
  <c r="AQ179" i="2"/>
  <c r="BE179" i="2"/>
  <c r="AF239" i="2"/>
  <c r="AF240" i="2" s="1"/>
  <c r="AP239" i="2"/>
  <c r="AP240" i="2" s="1"/>
  <c r="AV239" i="2"/>
  <c r="AV240" i="2" s="1"/>
  <c r="BF239" i="2"/>
  <c r="BF240" i="2" s="1"/>
  <c r="BE239" i="2"/>
  <c r="BE240" i="2" s="1"/>
  <c r="BG239" i="2"/>
  <c r="BG240" i="2" s="1"/>
  <c r="AW239" i="2"/>
  <c r="AW240" i="2" s="1"/>
  <c r="AL239" i="2"/>
  <c r="AL240" i="2" s="1"/>
  <c r="AM239" i="2"/>
  <c r="AM240" i="2" s="1"/>
  <c r="AP277" i="2"/>
  <c r="AQ277" i="2" s="1"/>
  <c r="AR277" i="2" s="1"/>
  <c r="AS277" i="2" s="1"/>
  <c r="AT277" i="2" s="1"/>
  <c r="AU277" i="2" s="1"/>
  <c r="AV277" i="2" s="1"/>
  <c r="AW277" i="2" s="1"/>
  <c r="AX277" i="2" s="1"/>
  <c r="AY277" i="2" s="1"/>
  <c r="AZ277" i="2" s="1"/>
  <c r="BA277" i="2" s="1"/>
  <c r="BB277" i="2" s="1"/>
  <c r="BC277" i="2" s="1"/>
  <c r="BD277" i="2" s="1"/>
  <c r="BE277" i="2" s="1"/>
  <c r="BF277" i="2" s="1"/>
  <c r="BG277" i="2" s="1"/>
  <c r="BH277" i="2" s="1"/>
  <c r="BI277" i="2" s="1"/>
  <c r="BF192" i="2"/>
  <c r="AZ179" i="2"/>
  <c r="AO179" i="2"/>
  <c r="AI203" i="2"/>
  <c r="AQ239" i="2"/>
  <c r="AQ240" i="2" s="1"/>
  <c r="BG192" i="2"/>
  <c r="AN192" i="2"/>
  <c r="AW188" i="2"/>
  <c r="AS193" i="2"/>
  <c r="AI233" i="2"/>
  <c r="AI239" i="2" s="1"/>
  <c r="AA229" i="2"/>
  <c r="AA239" i="2" s="1"/>
  <c r="AA240" i="2" s="1"/>
  <c r="BI199" i="2"/>
  <c r="AF179" i="2"/>
  <c r="BF179" i="2"/>
  <c r="AM192" i="2"/>
  <c r="BJ193" i="2"/>
  <c r="BB193" i="2"/>
  <c r="AJ179" i="2"/>
  <c r="Z282" i="2"/>
  <c r="Z299" i="2" s="1"/>
  <c r="Z7" i="2" s="1"/>
  <c r="AB222" i="2"/>
  <c r="AF198" i="2"/>
  <c r="BH239" i="2"/>
  <c r="BH240" i="2" s="1"/>
  <c r="BK192" i="2"/>
  <c r="AD188" i="2"/>
  <c r="BE199" i="2"/>
  <c r="AG179" i="2"/>
  <c r="BB179" i="2"/>
  <c r="BI239" i="2"/>
  <c r="BI240" i="2" s="1"/>
  <c r="AD218" i="2"/>
  <c r="AB278" i="2"/>
  <c r="AC278" i="2" s="1"/>
  <c r="BH187" i="2"/>
  <c r="BK187" i="2"/>
  <c r="AP187" i="2"/>
  <c r="AP247" i="2" s="1"/>
  <c r="AQ247" i="2" s="1"/>
  <c r="AR247" i="2" s="1"/>
  <c r="AS247" i="2" s="1"/>
  <c r="AT247" i="2" s="1"/>
  <c r="AU247" i="2" s="1"/>
  <c r="AV247" i="2" s="1"/>
  <c r="AW247" i="2" s="1"/>
  <c r="AX247" i="2" s="1"/>
  <c r="AY247" i="2" s="1"/>
  <c r="AZ247" i="2" s="1"/>
  <c r="BA247" i="2" s="1"/>
  <c r="BB247" i="2" s="1"/>
  <c r="BC247" i="2" s="1"/>
  <c r="AI192" i="2"/>
  <c r="AB192" i="2"/>
  <c r="AT192" i="2"/>
  <c r="AB228" i="2"/>
  <c r="AB288" i="2" s="1"/>
  <c r="AC288" i="2" s="1"/>
  <c r="AD288" i="2" s="1"/>
  <c r="AE288" i="2" s="1"/>
  <c r="AF288" i="2" s="1"/>
  <c r="AG288" i="2" s="1"/>
  <c r="AH288" i="2" s="1"/>
  <c r="AI288" i="2" s="1"/>
  <c r="AJ288" i="2" s="1"/>
  <c r="AK288" i="2" s="1"/>
  <c r="AL288" i="2" s="1"/>
  <c r="AM288" i="2" s="1"/>
  <c r="AN288" i="2" s="1"/>
  <c r="AO288" i="2" s="1"/>
  <c r="AP288" i="2" s="1"/>
  <c r="AQ288" i="2" s="1"/>
  <c r="AR288" i="2" s="1"/>
  <c r="AS288" i="2" s="1"/>
  <c r="AT288" i="2" s="1"/>
  <c r="AU288" i="2" s="1"/>
  <c r="AV288" i="2" s="1"/>
  <c r="AW288" i="2" s="1"/>
  <c r="AX288" i="2" s="1"/>
  <c r="AY288" i="2" s="1"/>
  <c r="AZ288" i="2" s="1"/>
  <c r="BA288" i="2" s="1"/>
  <c r="BB288" i="2" s="1"/>
  <c r="BC288" i="2" s="1"/>
  <c r="BD288" i="2" s="1"/>
  <c r="BE288" i="2" s="1"/>
  <c r="BF288" i="2" s="1"/>
  <c r="BG288" i="2" s="1"/>
  <c r="BH288" i="2" s="1"/>
  <c r="BI288" i="2" s="1"/>
  <c r="AV188" i="2"/>
  <c r="BB239" i="2"/>
  <c r="BB240" i="2" s="1"/>
  <c r="AB198" i="2"/>
  <c r="AL192" i="2"/>
  <c r="AQ192" i="2"/>
  <c r="AN239" i="2"/>
  <c r="AN240" i="2" s="1"/>
  <c r="AJ193" i="2"/>
  <c r="BD239" i="2"/>
  <c r="BD240" i="2" s="1"/>
  <c r="AT239" i="2"/>
  <c r="AT240" i="2" s="1"/>
  <c r="AS239" i="2"/>
  <c r="AS240" i="2" s="1"/>
  <c r="AD193" i="2"/>
  <c r="BA239" i="2"/>
  <c r="BA240" i="2" s="1"/>
  <c r="AH179" i="2"/>
  <c r="AD223" i="2"/>
  <c r="AB283" i="2"/>
  <c r="AC283" i="2" s="1"/>
  <c r="BD187" i="2"/>
  <c r="AY179" i="2"/>
  <c r="AJ239" i="2"/>
  <c r="AJ240" i="2" s="1"/>
  <c r="AC199" i="2"/>
  <c r="AC229" i="2"/>
  <c r="AS192" i="2"/>
  <c r="AJ188" i="2"/>
  <c r="AC222" i="2"/>
  <c r="AC192" i="2"/>
  <c r="AT193" i="2"/>
  <c r="BA188" i="2"/>
  <c r="AI184" i="2"/>
  <c r="BB184" i="2"/>
  <c r="BF184" i="2"/>
  <c r="AL149" i="2"/>
  <c r="AN184" i="2"/>
  <c r="AD149" i="2"/>
  <c r="AF184" i="2"/>
  <c r="AS149" i="2"/>
  <c r="AU184" i="2"/>
  <c r="AU209" i="2" s="1"/>
  <c r="AU210" i="2"/>
  <c r="BH184" i="2"/>
  <c r="AC184" i="2"/>
  <c r="BI184" i="2"/>
  <c r="BG149" i="2"/>
  <c r="AM149" i="2"/>
  <c r="AO184" i="2"/>
  <c r="AO209" i="2" s="1"/>
  <c r="AO210" i="2"/>
  <c r="AP184" i="2"/>
  <c r="BJ184" i="2"/>
  <c r="BK184" i="2"/>
  <c r="BE184" i="2"/>
  <c r="BC149" i="2"/>
  <c r="AL184" i="2"/>
  <c r="BD184" i="2"/>
  <c r="AG184" i="2"/>
  <c r="AG209" i="2" s="1"/>
  <c r="AG210" i="2"/>
  <c r="AE149" i="2"/>
  <c r="AP149" i="2"/>
  <c r="AR210" i="2"/>
  <c r="AR184" i="2"/>
  <c r="AR209" i="2" s="1"/>
  <c r="BG184" i="2"/>
  <c r="AB184" i="2"/>
  <c r="AD184" i="2"/>
  <c r="AW149" i="2"/>
  <c r="AY184" i="2"/>
  <c r="AY209" i="2" s="1"/>
  <c r="AY210" i="2"/>
  <c r="AJ184" i="2"/>
  <c r="AK184" i="2"/>
  <c r="AK209" i="2" s="1"/>
  <c r="AK210" i="2"/>
  <c r="AE210" i="2"/>
  <c r="AE184" i="2"/>
  <c r="AE209" i="2" s="1"/>
  <c r="AT184" i="2"/>
  <c r="AX149" i="2"/>
  <c r="AZ184" i="2"/>
  <c r="AZ209" i="2" s="1"/>
  <c r="AZ210" i="2"/>
  <c r="AS184" i="2"/>
  <c r="AV184" i="2"/>
  <c r="BA184" i="2"/>
  <c r="AM184" i="2"/>
  <c r="AW184" i="2"/>
  <c r="AH210" i="2"/>
  <c r="AH184" i="2"/>
  <c r="AH209" i="2" s="1"/>
  <c r="AV149" i="2"/>
  <c r="AX184" i="2"/>
  <c r="AX209" i="2" s="1"/>
  <c r="AX210" i="2"/>
  <c r="BC210" i="2"/>
  <c r="BC184" i="2"/>
  <c r="BC209" i="2" s="1"/>
  <c r="BA149" i="2"/>
  <c r="AQ184" i="2"/>
  <c r="Z255" i="2"/>
  <c r="Z209" i="2"/>
  <c r="AA274" i="2"/>
  <c r="AJ149" i="2" l="1"/>
  <c r="AO149" i="2"/>
  <c r="AI149" i="2"/>
  <c r="AZ149" i="2"/>
  <c r="AU149" i="2"/>
  <c r="BF149" i="2"/>
  <c r="BH149" i="2"/>
  <c r="Z149" i="2"/>
  <c r="BB149" i="2"/>
  <c r="AK149" i="2"/>
  <c r="AA149" i="2"/>
  <c r="AG149" i="2"/>
  <c r="AQ149" i="2"/>
  <c r="AV210" i="2"/>
  <c r="AN209" i="2"/>
  <c r="AC239" i="2"/>
  <c r="AC240" i="2" s="1"/>
  <c r="AL210" i="2"/>
  <c r="AL209" i="2"/>
  <c r="AD239" i="2"/>
  <c r="AD240" i="2" s="1"/>
  <c r="AW210" i="2"/>
  <c r="BE210" i="2"/>
  <c r="AN210" i="2"/>
  <c r="BB209" i="2"/>
  <c r="AD253" i="2"/>
  <c r="AE253" i="2" s="1"/>
  <c r="AF253" i="2" s="1"/>
  <c r="AG253" i="2" s="1"/>
  <c r="AH253" i="2" s="1"/>
  <c r="AI253" i="2" s="1"/>
  <c r="AJ253" i="2" s="1"/>
  <c r="AK253" i="2" s="1"/>
  <c r="AL253" i="2" s="1"/>
  <c r="AM253" i="2" s="1"/>
  <c r="AN253" i="2" s="1"/>
  <c r="AO253" i="2" s="1"/>
  <c r="AP253" i="2" s="1"/>
  <c r="AQ253" i="2" s="1"/>
  <c r="AR253" i="2" s="1"/>
  <c r="AS253" i="2" s="1"/>
  <c r="AT253" i="2" s="1"/>
  <c r="AU253" i="2" s="1"/>
  <c r="AV253" i="2" s="1"/>
  <c r="AW253" i="2" s="1"/>
  <c r="AX253" i="2" s="1"/>
  <c r="AY253" i="2" s="1"/>
  <c r="AZ253" i="2" s="1"/>
  <c r="BA253" i="2" s="1"/>
  <c r="BB253" i="2" s="1"/>
  <c r="BC253" i="2" s="1"/>
  <c r="BD253" i="2" s="1"/>
  <c r="BE253" i="2" s="1"/>
  <c r="BF253" i="2" s="1"/>
  <c r="BG253" i="2" s="1"/>
  <c r="BH253" i="2" s="1"/>
  <c r="BI253" i="2" s="1"/>
  <c r="AS210" i="2"/>
  <c r="BH210" i="2"/>
  <c r="AM210" i="2"/>
  <c r="BG210" i="2"/>
  <c r="AM209" i="2"/>
  <c r="BH209" i="2"/>
  <c r="AW209" i="2"/>
  <c r="AD209" i="2"/>
  <c r="AQ210" i="2"/>
  <c r="BG209" i="2"/>
  <c r="AB239" i="2"/>
  <c r="AB240" i="2" s="1"/>
  <c r="AI209" i="2"/>
  <c r="AQ209" i="2"/>
  <c r="BI210" i="2"/>
  <c r="BI209" i="2"/>
  <c r="AC209" i="2"/>
  <c r="AD278" i="2"/>
  <c r="AE278" i="2" s="1"/>
  <c r="AF278" i="2" s="1"/>
  <c r="AG278" i="2" s="1"/>
  <c r="AH278" i="2" s="1"/>
  <c r="AI278" i="2" s="1"/>
  <c r="AJ278" i="2" s="1"/>
  <c r="AK278" i="2" s="1"/>
  <c r="AL278" i="2" s="1"/>
  <c r="AM278" i="2" s="1"/>
  <c r="AN278" i="2" s="1"/>
  <c r="AO278" i="2" s="1"/>
  <c r="AP278" i="2" s="1"/>
  <c r="AQ278" i="2" s="1"/>
  <c r="AR278" i="2" s="1"/>
  <c r="AS278" i="2" s="1"/>
  <c r="AT278" i="2" s="1"/>
  <c r="AU278" i="2" s="1"/>
  <c r="AV278" i="2" s="1"/>
  <c r="AW278" i="2" s="1"/>
  <c r="AX278" i="2" s="1"/>
  <c r="AY278" i="2" s="1"/>
  <c r="AZ278" i="2" s="1"/>
  <c r="BA278" i="2" s="1"/>
  <c r="BB278" i="2" s="1"/>
  <c r="BC278" i="2" s="1"/>
  <c r="BD278" i="2" s="1"/>
  <c r="BE278" i="2" s="1"/>
  <c r="BF278" i="2" s="1"/>
  <c r="BG278" i="2" s="1"/>
  <c r="BH278" i="2" s="1"/>
  <c r="BI278" i="2" s="1"/>
  <c r="AI240" i="2"/>
  <c r="AI210" i="2"/>
  <c r="AA289" i="2"/>
  <c r="AB289" i="2" s="1"/>
  <c r="AC289" i="2" s="1"/>
  <c r="AD289" i="2" s="1"/>
  <c r="AE289" i="2" s="1"/>
  <c r="AF289" i="2" s="1"/>
  <c r="AG289" i="2" s="1"/>
  <c r="AH289" i="2" s="1"/>
  <c r="AI289" i="2" s="1"/>
  <c r="AJ289" i="2" s="1"/>
  <c r="AK289" i="2" s="1"/>
  <c r="AL289" i="2" s="1"/>
  <c r="AM289" i="2" s="1"/>
  <c r="AN289" i="2" s="1"/>
  <c r="AO289" i="2" s="1"/>
  <c r="AP289" i="2" s="1"/>
  <c r="AQ289" i="2" s="1"/>
  <c r="AR289" i="2" s="1"/>
  <c r="AS289" i="2" s="1"/>
  <c r="AT289" i="2" s="1"/>
  <c r="AU289" i="2" s="1"/>
  <c r="AV289" i="2" s="1"/>
  <c r="AW289" i="2" s="1"/>
  <c r="AX289" i="2" s="1"/>
  <c r="AY289" i="2" s="1"/>
  <c r="AZ289" i="2" s="1"/>
  <c r="BA289" i="2" s="1"/>
  <c r="BB289" i="2" s="1"/>
  <c r="BC289" i="2" s="1"/>
  <c r="BD289" i="2" s="1"/>
  <c r="BE289" i="2" s="1"/>
  <c r="BF289" i="2" s="1"/>
  <c r="BG289" i="2" s="1"/>
  <c r="BH289" i="2" s="1"/>
  <c r="BI289" i="2" s="1"/>
  <c r="AT149" i="2"/>
  <c r="AV209" i="2"/>
  <c r="AB149" i="2"/>
  <c r="BE209" i="2"/>
  <c r="AI293" i="2"/>
  <c r="AJ293" i="2" s="1"/>
  <c r="AK293" i="2" s="1"/>
  <c r="AL293" i="2" s="1"/>
  <c r="AM293" i="2" s="1"/>
  <c r="AN293" i="2" s="1"/>
  <c r="AO293" i="2" s="1"/>
  <c r="AP293" i="2" s="1"/>
  <c r="AQ293" i="2" s="1"/>
  <c r="AR293" i="2" s="1"/>
  <c r="AS293" i="2" s="1"/>
  <c r="AT293" i="2" s="1"/>
  <c r="AU293" i="2" s="1"/>
  <c r="AV293" i="2" s="1"/>
  <c r="AW293" i="2" s="1"/>
  <c r="AX293" i="2" s="1"/>
  <c r="AY293" i="2" s="1"/>
  <c r="AZ293" i="2" s="1"/>
  <c r="BA293" i="2" s="1"/>
  <c r="BB293" i="2" s="1"/>
  <c r="BC293" i="2" s="1"/>
  <c r="BD293" i="2" s="1"/>
  <c r="BE293" i="2" s="1"/>
  <c r="BF293" i="2" s="1"/>
  <c r="BG293" i="2" s="1"/>
  <c r="BH293" i="2" s="1"/>
  <c r="BI293" i="2" s="1"/>
  <c r="BI149" i="2"/>
  <c r="AF209" i="2"/>
  <c r="AF210" i="2"/>
  <c r="AD248" i="2"/>
  <c r="AE248" i="2" s="1"/>
  <c r="AF248" i="2" s="1"/>
  <c r="AG248" i="2" s="1"/>
  <c r="AH248" i="2" s="1"/>
  <c r="AI248" i="2" s="1"/>
  <c r="AJ248" i="2" s="1"/>
  <c r="AK248" i="2" s="1"/>
  <c r="AL248" i="2" s="1"/>
  <c r="AM248" i="2" s="1"/>
  <c r="AN248" i="2" s="1"/>
  <c r="AO248" i="2" s="1"/>
  <c r="AP248" i="2" s="1"/>
  <c r="AQ248" i="2" s="1"/>
  <c r="AR248" i="2" s="1"/>
  <c r="AS248" i="2" s="1"/>
  <c r="AT248" i="2" s="1"/>
  <c r="AU248" i="2" s="1"/>
  <c r="AV248" i="2" s="1"/>
  <c r="AW248" i="2" s="1"/>
  <c r="AX248" i="2" s="1"/>
  <c r="AY248" i="2" s="1"/>
  <c r="AZ248" i="2" s="1"/>
  <c r="BA248" i="2" s="1"/>
  <c r="BB248" i="2" s="1"/>
  <c r="BC248" i="2" s="1"/>
  <c r="BD248" i="2" s="1"/>
  <c r="BE248" i="2" s="1"/>
  <c r="BF248" i="2" s="1"/>
  <c r="BG248" i="2" s="1"/>
  <c r="BH248" i="2" s="1"/>
  <c r="BI248" i="2" s="1"/>
  <c r="AP210" i="2"/>
  <c r="BE149" i="2"/>
  <c r="AP209" i="2"/>
  <c r="AA282" i="2"/>
  <c r="AB282" i="2" s="1"/>
  <c r="AC282" i="2" s="1"/>
  <c r="AD282" i="2" s="1"/>
  <c r="AE282" i="2" s="1"/>
  <c r="AF282" i="2" s="1"/>
  <c r="AG282" i="2" s="1"/>
  <c r="AH282" i="2" s="1"/>
  <c r="AI282" i="2" s="1"/>
  <c r="AJ282" i="2" s="1"/>
  <c r="AK282" i="2" s="1"/>
  <c r="AL282" i="2" s="1"/>
  <c r="AM282" i="2" s="1"/>
  <c r="AN282" i="2" s="1"/>
  <c r="AO282" i="2" s="1"/>
  <c r="AP282" i="2" s="1"/>
  <c r="AQ282" i="2" s="1"/>
  <c r="AR282" i="2" s="1"/>
  <c r="AS282" i="2" s="1"/>
  <c r="AT282" i="2" s="1"/>
  <c r="AU282" i="2" s="1"/>
  <c r="AV282" i="2" s="1"/>
  <c r="AW282" i="2" s="1"/>
  <c r="AX282" i="2" s="1"/>
  <c r="AY282" i="2" s="1"/>
  <c r="AZ282" i="2" s="1"/>
  <c r="BA282" i="2" s="1"/>
  <c r="BB282" i="2" s="1"/>
  <c r="BC282" i="2" s="1"/>
  <c r="BD282" i="2" s="1"/>
  <c r="BE282" i="2" s="1"/>
  <c r="BF282" i="2" s="1"/>
  <c r="BG282" i="2" s="1"/>
  <c r="BH282" i="2" s="1"/>
  <c r="BI282" i="2" s="1"/>
  <c r="AA199" i="2"/>
  <c r="AA210" i="2"/>
  <c r="AB252" i="2"/>
  <c r="AC252" i="2" s="1"/>
  <c r="AD252" i="2" s="1"/>
  <c r="AE252" i="2" s="1"/>
  <c r="AF252" i="2" s="1"/>
  <c r="AG252" i="2" s="1"/>
  <c r="AH252" i="2" s="1"/>
  <c r="AI252" i="2" s="1"/>
  <c r="AJ252" i="2" s="1"/>
  <c r="AK252" i="2" s="1"/>
  <c r="AL252" i="2" s="1"/>
  <c r="AM252" i="2" s="1"/>
  <c r="AN252" i="2" s="1"/>
  <c r="AO252" i="2" s="1"/>
  <c r="AP252" i="2" s="1"/>
  <c r="AQ252" i="2" s="1"/>
  <c r="AR252" i="2" s="1"/>
  <c r="AS252" i="2" s="1"/>
  <c r="AT252" i="2" s="1"/>
  <c r="AU252" i="2" s="1"/>
  <c r="AV252" i="2" s="1"/>
  <c r="AW252" i="2" s="1"/>
  <c r="AX252" i="2" s="1"/>
  <c r="AY252" i="2" s="1"/>
  <c r="AZ252" i="2" s="1"/>
  <c r="BA252" i="2" s="1"/>
  <c r="BB252" i="2" s="1"/>
  <c r="BC252" i="2" s="1"/>
  <c r="BD252" i="2" s="1"/>
  <c r="BE252" i="2" s="1"/>
  <c r="BF252" i="2" s="1"/>
  <c r="BG252" i="2" s="1"/>
  <c r="BH252" i="2" s="1"/>
  <c r="BI252" i="2" s="1"/>
  <c r="AR149" i="2"/>
  <c r="AN149" i="2"/>
  <c r="AB258" i="2"/>
  <c r="AC258" i="2" s="1"/>
  <c r="AD258" i="2" s="1"/>
  <c r="AE258" i="2" s="1"/>
  <c r="AF258" i="2" s="1"/>
  <c r="AG258" i="2" s="1"/>
  <c r="AH258" i="2" s="1"/>
  <c r="AI258" i="2" s="1"/>
  <c r="AJ258" i="2" s="1"/>
  <c r="AK258" i="2" s="1"/>
  <c r="AL258" i="2" s="1"/>
  <c r="AM258" i="2" s="1"/>
  <c r="AN258" i="2" s="1"/>
  <c r="AO258" i="2" s="1"/>
  <c r="AP258" i="2" s="1"/>
  <c r="AQ258" i="2" s="1"/>
  <c r="AR258" i="2" s="1"/>
  <c r="AS258" i="2" s="1"/>
  <c r="AT258" i="2" s="1"/>
  <c r="AU258" i="2" s="1"/>
  <c r="AV258" i="2" s="1"/>
  <c r="AW258" i="2" s="1"/>
  <c r="AX258" i="2" s="1"/>
  <c r="AY258" i="2" s="1"/>
  <c r="AZ258" i="2" s="1"/>
  <c r="BA258" i="2" s="1"/>
  <c r="BB258" i="2" s="1"/>
  <c r="BC258" i="2" s="1"/>
  <c r="BD258" i="2" s="1"/>
  <c r="BE258" i="2" s="1"/>
  <c r="BF258" i="2" s="1"/>
  <c r="BG258" i="2" s="1"/>
  <c r="BH258" i="2" s="1"/>
  <c r="BI258" i="2" s="1"/>
  <c r="BD149" i="2"/>
  <c r="BF209" i="2"/>
  <c r="AI263" i="2"/>
  <c r="AJ263" i="2" s="1"/>
  <c r="AK263" i="2" s="1"/>
  <c r="AL263" i="2" s="1"/>
  <c r="AM263" i="2" s="1"/>
  <c r="AN263" i="2" s="1"/>
  <c r="AO263" i="2" s="1"/>
  <c r="AP263" i="2" s="1"/>
  <c r="AQ263" i="2" s="1"/>
  <c r="AR263" i="2" s="1"/>
  <c r="AS263" i="2" s="1"/>
  <c r="AT263" i="2" s="1"/>
  <c r="AU263" i="2" s="1"/>
  <c r="AV263" i="2" s="1"/>
  <c r="AW263" i="2" s="1"/>
  <c r="AX263" i="2" s="1"/>
  <c r="AY263" i="2" s="1"/>
  <c r="AZ263" i="2" s="1"/>
  <c r="BA263" i="2" s="1"/>
  <c r="BB263" i="2" s="1"/>
  <c r="BC263" i="2" s="1"/>
  <c r="BD263" i="2" s="1"/>
  <c r="BE263" i="2" s="1"/>
  <c r="BF263" i="2" s="1"/>
  <c r="BG263" i="2" s="1"/>
  <c r="BH263" i="2" s="1"/>
  <c r="BI263" i="2" s="1"/>
  <c r="AF149" i="2"/>
  <c r="AC149" i="2"/>
  <c r="BF210" i="2"/>
  <c r="BD247" i="2"/>
  <c r="BE247" i="2" s="1"/>
  <c r="BF247" i="2" s="1"/>
  <c r="BG247" i="2" s="1"/>
  <c r="BH247" i="2" s="1"/>
  <c r="BI247" i="2" s="1"/>
  <c r="BB210" i="2"/>
  <c r="AS209" i="2"/>
  <c r="AT210" i="2"/>
  <c r="AT209" i="2"/>
  <c r="BA210" i="2"/>
  <c r="BA209" i="2"/>
  <c r="AJ210" i="2"/>
  <c r="AY149" i="2"/>
  <c r="AJ209" i="2"/>
  <c r="BD209" i="2"/>
  <c r="AH149" i="2"/>
  <c r="BD210" i="2"/>
  <c r="AD283" i="2"/>
  <c r="AE283" i="2" s="1"/>
  <c r="AF283" i="2" s="1"/>
  <c r="AG283" i="2" s="1"/>
  <c r="AH283" i="2" s="1"/>
  <c r="AI283" i="2" s="1"/>
  <c r="AJ283" i="2" s="1"/>
  <c r="AK283" i="2" s="1"/>
  <c r="AL283" i="2" s="1"/>
  <c r="AM283" i="2" s="1"/>
  <c r="AN283" i="2" s="1"/>
  <c r="AO283" i="2" s="1"/>
  <c r="AP283" i="2" s="1"/>
  <c r="AQ283" i="2" s="1"/>
  <c r="AR283" i="2" s="1"/>
  <c r="AS283" i="2" s="1"/>
  <c r="AT283" i="2" s="1"/>
  <c r="AU283" i="2" s="1"/>
  <c r="AV283" i="2" s="1"/>
  <c r="AW283" i="2" s="1"/>
  <c r="AX283" i="2" s="1"/>
  <c r="AY283" i="2" s="1"/>
  <c r="AZ283" i="2" s="1"/>
  <c r="BA283" i="2" s="1"/>
  <c r="BB283" i="2" s="1"/>
  <c r="BC283" i="2" s="1"/>
  <c r="BD283" i="2" s="1"/>
  <c r="BE283" i="2" s="1"/>
  <c r="BF283" i="2" s="1"/>
  <c r="BG283" i="2" s="1"/>
  <c r="BH283" i="2" s="1"/>
  <c r="BI283" i="2" s="1"/>
  <c r="AA255" i="2"/>
  <c r="Z269" i="2"/>
  <c r="Z270" i="2" s="1"/>
  <c r="AB209" i="2"/>
  <c r="AB244" i="2"/>
  <c r="Z300" i="2"/>
  <c r="AB274" i="2"/>
  <c r="AD210" i="2" l="1"/>
  <c r="AC210" i="2"/>
  <c r="AB210" i="2"/>
  <c r="AA299" i="2"/>
  <c r="AA7" i="2" s="1"/>
  <c r="AA259" i="2"/>
  <c r="AB259" i="2" s="1"/>
  <c r="AC259" i="2" s="1"/>
  <c r="AD259" i="2" s="1"/>
  <c r="AE259" i="2" s="1"/>
  <c r="AF259" i="2" s="1"/>
  <c r="AG259" i="2" s="1"/>
  <c r="AH259" i="2" s="1"/>
  <c r="AI259" i="2" s="1"/>
  <c r="AJ259" i="2" s="1"/>
  <c r="AK259" i="2" s="1"/>
  <c r="AL259" i="2" s="1"/>
  <c r="AM259" i="2" s="1"/>
  <c r="AN259" i="2" s="1"/>
  <c r="AO259" i="2" s="1"/>
  <c r="AP259" i="2" s="1"/>
  <c r="AQ259" i="2" s="1"/>
  <c r="AR259" i="2" s="1"/>
  <c r="AS259" i="2" s="1"/>
  <c r="AT259" i="2" s="1"/>
  <c r="AU259" i="2" s="1"/>
  <c r="AV259" i="2" s="1"/>
  <c r="AW259" i="2" s="1"/>
  <c r="AX259" i="2" s="1"/>
  <c r="AY259" i="2" s="1"/>
  <c r="AZ259" i="2" s="1"/>
  <c r="BA259" i="2" s="1"/>
  <c r="BB259" i="2" s="1"/>
  <c r="BC259" i="2" s="1"/>
  <c r="BD259" i="2" s="1"/>
  <c r="BE259" i="2" s="1"/>
  <c r="BF259" i="2" s="1"/>
  <c r="BG259" i="2" s="1"/>
  <c r="BH259" i="2" s="1"/>
  <c r="BI259" i="2" s="1"/>
  <c r="AA209" i="2"/>
  <c r="AC244" i="2"/>
  <c r="Z5" i="2"/>
  <c r="O19" i="3" s="1"/>
  <c r="AB255" i="2"/>
  <c r="AC255" i="2" s="1"/>
  <c r="AD255" i="2" s="1"/>
  <c r="AE255" i="2" s="1"/>
  <c r="AF255" i="2" s="1"/>
  <c r="AG255" i="2" s="1"/>
  <c r="AH255" i="2" s="1"/>
  <c r="AI255" i="2" s="1"/>
  <c r="AJ255" i="2" s="1"/>
  <c r="AK255" i="2" s="1"/>
  <c r="AL255" i="2" s="1"/>
  <c r="AM255" i="2" s="1"/>
  <c r="AN255" i="2" s="1"/>
  <c r="AO255" i="2" s="1"/>
  <c r="AP255" i="2" s="1"/>
  <c r="AQ255" i="2" s="1"/>
  <c r="AR255" i="2" s="1"/>
  <c r="AS255" i="2" s="1"/>
  <c r="AT255" i="2" s="1"/>
  <c r="AU255" i="2" s="1"/>
  <c r="AV255" i="2" s="1"/>
  <c r="AW255" i="2" s="1"/>
  <c r="AX255" i="2" s="1"/>
  <c r="AY255" i="2" s="1"/>
  <c r="AZ255" i="2" s="1"/>
  <c r="BA255" i="2" s="1"/>
  <c r="BB255" i="2" s="1"/>
  <c r="BC255" i="2" s="1"/>
  <c r="BD255" i="2" s="1"/>
  <c r="BE255" i="2" s="1"/>
  <c r="BF255" i="2" s="1"/>
  <c r="BG255" i="2" s="1"/>
  <c r="BH255" i="2" s="1"/>
  <c r="BI255" i="2" s="1"/>
  <c r="AB299" i="2"/>
  <c r="AC274" i="2"/>
  <c r="AC15" i="1" l="1"/>
  <c r="AG17" i="5" s="1"/>
  <c r="AA300" i="2"/>
  <c r="AA269" i="2"/>
  <c r="AA5" i="2" s="1"/>
  <c r="P19" i="3" s="1"/>
  <c r="AB269" i="2"/>
  <c r="AC269" i="2"/>
  <c r="AD244" i="2"/>
  <c r="AC299" i="2"/>
  <c r="AC7" i="2" s="1"/>
  <c r="AD274" i="2"/>
  <c r="AB300" i="2"/>
  <c r="AB7" i="2"/>
  <c r="AD15" i="1" l="1"/>
  <c r="AH17" i="5" s="1"/>
  <c r="AB270" i="2"/>
  <c r="AA270" i="2"/>
  <c r="AC300" i="2"/>
  <c r="AB5" i="2"/>
  <c r="Q19" i="3" s="1"/>
  <c r="AC270" i="2"/>
  <c r="AD269" i="2"/>
  <c r="AD270" i="2" s="1"/>
  <c r="AE244" i="2"/>
  <c r="AC5" i="2"/>
  <c r="R19" i="3" s="1"/>
  <c r="AE274" i="2"/>
  <c r="AD299" i="2"/>
  <c r="AE15" i="1" l="1"/>
  <c r="AI17" i="5" s="1"/>
  <c r="P17" i="5" s="1"/>
  <c r="AF15" i="1"/>
  <c r="AE269" i="2"/>
  <c r="AE270" i="2" s="1"/>
  <c r="AF244" i="2"/>
  <c r="AD5" i="2"/>
  <c r="S19" i="3" s="1"/>
  <c r="AD300" i="2"/>
  <c r="AD7" i="2"/>
  <c r="AE299" i="2"/>
  <c r="AE7" i="2" s="1"/>
  <c r="AF274" i="2"/>
  <c r="AJ17" i="5" l="1"/>
  <c r="AG15" i="1"/>
  <c r="AK17" i="5" s="1"/>
  <c r="AE300" i="2"/>
  <c r="AF269" i="2"/>
  <c r="AF270" i="2" s="1"/>
  <c r="AG244" i="2"/>
  <c r="AE5" i="2"/>
  <c r="T19" i="3" s="1"/>
  <c r="AF299" i="2"/>
  <c r="AG274" i="2"/>
  <c r="AH15" i="1" l="1"/>
  <c r="AL17" i="5" s="1"/>
  <c r="Q17" i="5" s="1"/>
  <c r="AF5" i="2"/>
  <c r="U19" i="3" s="1"/>
  <c r="AG269" i="2"/>
  <c r="AG270" i="2" s="1"/>
  <c r="AH244" i="2"/>
  <c r="AG299" i="2"/>
  <c r="AH274" i="2"/>
  <c r="AF300" i="2"/>
  <c r="AF7" i="2"/>
  <c r="AI15" i="1" l="1"/>
  <c r="AM17" i="5" s="1"/>
  <c r="AI244" i="2"/>
  <c r="AH269" i="2"/>
  <c r="AH270" i="2" s="1"/>
  <c r="AG5" i="2"/>
  <c r="V19" i="3" s="1"/>
  <c r="AI274" i="2"/>
  <c r="AH299" i="2"/>
  <c r="AG300" i="2"/>
  <c r="AG7" i="2"/>
  <c r="AJ15" i="1" l="1"/>
  <c r="AN17" i="5" s="1"/>
  <c r="AI269" i="2"/>
  <c r="AI270" i="2" s="1"/>
  <c r="AJ244" i="2"/>
  <c r="AH5" i="2"/>
  <c r="W19" i="3" s="1"/>
  <c r="AH300" i="2"/>
  <c r="AH7" i="2"/>
  <c r="AI299" i="2"/>
  <c r="AI7" i="2" s="1"/>
  <c r="AJ274" i="2"/>
  <c r="AK15" i="1" l="1"/>
  <c r="AO17" i="5" s="1"/>
  <c r="R17" i="5" s="1"/>
  <c r="AK244" i="2"/>
  <c r="AJ269" i="2"/>
  <c r="AJ270" i="2" s="1"/>
  <c r="AI5" i="2"/>
  <c r="X19" i="3" s="1"/>
  <c r="AI300" i="2"/>
  <c r="AJ299" i="2"/>
  <c r="AK274" i="2"/>
  <c r="AL15" i="1" l="1"/>
  <c r="AP17" i="5" s="1"/>
  <c r="AL244" i="2"/>
  <c r="AK269" i="2"/>
  <c r="AK270" i="2" s="1"/>
  <c r="AJ5" i="2"/>
  <c r="Y19" i="3" s="1"/>
  <c r="AK299" i="2"/>
  <c r="AK7" i="2" s="1"/>
  <c r="AL274" i="2"/>
  <c r="AJ300" i="2"/>
  <c r="AJ7" i="2"/>
  <c r="AM15" i="1" l="1"/>
  <c r="AQ17" i="5" s="1"/>
  <c r="AK300" i="2"/>
  <c r="AK5" i="2"/>
  <c r="Z19" i="3" s="1"/>
  <c r="AM244" i="2"/>
  <c r="AL269" i="2"/>
  <c r="AL299" i="2"/>
  <c r="AM274" i="2"/>
  <c r="AN15" i="1" l="1"/>
  <c r="AR17" i="5" s="1"/>
  <c r="AL5" i="2"/>
  <c r="AA19" i="3" s="1"/>
  <c r="AM269" i="2"/>
  <c r="AM270" i="2" s="1"/>
  <c r="AN244" i="2"/>
  <c r="AL270" i="2"/>
  <c r="AN274" i="2"/>
  <c r="AM299" i="2"/>
  <c r="AL300" i="2"/>
  <c r="AL7" i="2"/>
  <c r="G15" i="1" l="1"/>
  <c r="AO15" i="1"/>
  <c r="AS17" i="5" s="1"/>
  <c r="G17" i="5"/>
  <c r="S17" i="5"/>
  <c r="AO244" i="2"/>
  <c r="AN269" i="2"/>
  <c r="AM5" i="2"/>
  <c r="AB19" i="3" s="1"/>
  <c r="AM300" i="2"/>
  <c r="AM7" i="2"/>
  <c r="AN299" i="2"/>
  <c r="AN7" i="2" s="1"/>
  <c r="AO274" i="2"/>
  <c r="AP15" i="1" l="1"/>
  <c r="AT17" i="5" s="1"/>
  <c r="AN5" i="2"/>
  <c r="AC19" i="3" s="1"/>
  <c r="AN270" i="2"/>
  <c r="AO269" i="2"/>
  <c r="AO270" i="2" s="1"/>
  <c r="AP244" i="2"/>
  <c r="AN300" i="2"/>
  <c r="AP274" i="2"/>
  <c r="AO299" i="2"/>
  <c r="AQ15" i="1" l="1"/>
  <c r="AU17" i="5" s="1"/>
  <c r="AO5" i="2"/>
  <c r="AD19" i="3" s="1"/>
  <c r="AQ244" i="2"/>
  <c r="AP269" i="2"/>
  <c r="AO300" i="2"/>
  <c r="AO7" i="2"/>
  <c r="AP299" i="2"/>
  <c r="AP300" i="2" s="1"/>
  <c r="AQ274" i="2"/>
  <c r="AR15" i="1" l="1"/>
  <c r="AV17" i="5" s="1"/>
  <c r="AP5" i="2"/>
  <c r="AE19" i="3" s="1"/>
  <c r="AQ269" i="2"/>
  <c r="AR244" i="2"/>
  <c r="AP7" i="2"/>
  <c r="AP270" i="2"/>
  <c r="AQ299" i="2"/>
  <c r="AQ7" i="2" s="1"/>
  <c r="AR274" i="2"/>
  <c r="AS15" i="1" l="1"/>
  <c r="AW17" i="5" s="1"/>
  <c r="AQ300" i="2"/>
  <c r="AR269" i="2"/>
  <c r="AR270" i="2" s="1"/>
  <c r="AS244" i="2"/>
  <c r="AQ5" i="2"/>
  <c r="AF19" i="3" s="1"/>
  <c r="AQ270" i="2"/>
  <c r="AS274" i="2"/>
  <c r="AR299" i="2"/>
  <c r="AT15" i="1" l="1"/>
  <c r="AX17" i="5" s="1"/>
  <c r="AS269" i="2"/>
  <c r="AS270" i="2" s="1"/>
  <c r="AT244" i="2"/>
  <c r="AR5" i="2"/>
  <c r="AG19" i="3" s="1"/>
  <c r="AR300" i="2"/>
  <c r="AR7" i="2"/>
  <c r="AS299" i="2"/>
  <c r="AT274" i="2"/>
  <c r="AU15" i="1" l="1"/>
  <c r="AY17" i="5" s="1"/>
  <c r="AS7" i="2"/>
  <c r="AS300" i="2"/>
  <c r="AU244" i="2"/>
  <c r="AT269" i="2"/>
  <c r="AT270" i="2" s="1"/>
  <c r="AS5" i="2"/>
  <c r="AH19" i="3" s="1"/>
  <c r="AU274" i="2"/>
  <c r="AT299" i="2"/>
  <c r="AT7" i="2" s="1"/>
  <c r="AV15" i="1" l="1"/>
  <c r="AZ17" i="5" s="1"/>
  <c r="AT5" i="2"/>
  <c r="AI19" i="3" s="1"/>
  <c r="AV244" i="2"/>
  <c r="AU269" i="2"/>
  <c r="AT300" i="2"/>
  <c r="AV274" i="2"/>
  <c r="AU299" i="2"/>
  <c r="AW15" i="1" l="1"/>
  <c r="BA17" i="5" s="1"/>
  <c r="AU5" i="2"/>
  <c r="AJ19" i="3" s="1"/>
  <c r="AV269" i="2"/>
  <c r="AV270" i="2" s="1"/>
  <c r="AW244" i="2"/>
  <c r="AU270" i="2"/>
  <c r="AU300" i="2"/>
  <c r="AU7" i="2"/>
  <c r="AW274" i="2"/>
  <c r="AV299" i="2"/>
  <c r="AX15" i="1" l="1"/>
  <c r="BB17" i="5" s="1"/>
  <c r="AW269" i="2"/>
  <c r="AW270" i="2" s="1"/>
  <c r="AX244" i="2"/>
  <c r="AV7" i="2"/>
  <c r="AV5" i="2"/>
  <c r="AK19" i="3" s="1"/>
  <c r="AV300" i="2"/>
  <c r="AX274" i="2"/>
  <c r="AW299" i="2"/>
  <c r="AY15" i="1" l="1"/>
  <c r="BC17" i="5" s="1"/>
  <c r="AW7" i="2"/>
  <c r="AW300" i="2"/>
  <c r="AX269" i="2"/>
  <c r="AX270" i="2" s="1"/>
  <c r="AY244" i="2"/>
  <c r="AW5" i="2"/>
  <c r="AL19" i="3" s="1"/>
  <c r="AY274" i="2"/>
  <c r="AX299" i="2"/>
  <c r="AX300" i="2" s="1"/>
  <c r="AZ15" i="1" l="1"/>
  <c r="BD17" i="5" s="1"/>
  <c r="AZ244" i="2"/>
  <c r="AY269" i="2"/>
  <c r="AY270" i="2" s="1"/>
  <c r="AX5" i="2"/>
  <c r="AM19" i="3" s="1"/>
  <c r="AX7" i="2"/>
  <c r="AZ274" i="2"/>
  <c r="AY299" i="2"/>
  <c r="H15" i="1" l="1"/>
  <c r="BA15" i="1"/>
  <c r="BE17" i="5" s="1"/>
  <c r="AY7" i="2"/>
  <c r="AY300" i="2"/>
  <c r="AY5" i="2"/>
  <c r="AN19" i="3" s="1"/>
  <c r="AZ269" i="2"/>
  <c r="AZ270" i="2" s="1"/>
  <c r="BA244" i="2"/>
  <c r="H17" i="5"/>
  <c r="AZ299" i="2"/>
  <c r="BA274" i="2"/>
  <c r="BB15" i="1" l="1"/>
  <c r="BF17" i="5" s="1"/>
  <c r="BB244" i="2"/>
  <c r="BA269" i="2"/>
  <c r="BA270" i="2" s="1"/>
  <c r="AZ5" i="2"/>
  <c r="AO19" i="3" s="1"/>
  <c r="AZ7" i="2"/>
  <c r="AZ300" i="2"/>
  <c r="BA299" i="2"/>
  <c r="BA7" i="2" s="1"/>
  <c r="BB274" i="2"/>
  <c r="BC15" i="1" l="1"/>
  <c r="BG17" i="5" s="1"/>
  <c r="BA300" i="2"/>
  <c r="BA5" i="2"/>
  <c r="AP19" i="3" s="1"/>
  <c r="BC244" i="2"/>
  <c r="BB269" i="2"/>
  <c r="BB270" i="2" s="1"/>
  <c r="BB299" i="2"/>
  <c r="BC274" i="2"/>
  <c r="BD15" i="1" l="1"/>
  <c r="BH17" i="5" s="1"/>
  <c r="BJ245" i="2"/>
  <c r="BJ251" i="2"/>
  <c r="BJ246" i="2"/>
  <c r="BJ249" i="2"/>
  <c r="BB5" i="2"/>
  <c r="AQ19" i="3" s="1"/>
  <c r="BC269" i="2"/>
  <c r="BC270" i="2" s="1"/>
  <c r="BD244" i="2"/>
  <c r="BD274" i="2"/>
  <c r="BC299" i="2"/>
  <c r="BB300" i="2"/>
  <c r="BB7" i="2"/>
  <c r="BE15" i="1" l="1"/>
  <c r="BI17" i="5" s="1"/>
  <c r="BJ252" i="2"/>
  <c r="BJ254" i="2"/>
  <c r="BK249" i="2"/>
  <c r="BJ250" i="2"/>
  <c r="BD269" i="2"/>
  <c r="BD270" i="2" s="1"/>
  <c r="BE244" i="2"/>
  <c r="BC5" i="2"/>
  <c r="AR19" i="3" s="1"/>
  <c r="BK251" i="2"/>
  <c r="BC300" i="2"/>
  <c r="BC7" i="2"/>
  <c r="BD299" i="2"/>
  <c r="BE274" i="2"/>
  <c r="BF15" i="1" l="1"/>
  <c r="BJ17" i="5" s="1"/>
  <c r="BK246" i="2"/>
  <c r="BK254" i="2"/>
  <c r="BK252" i="2"/>
  <c r="BJ253" i="2"/>
  <c r="BJ248" i="2"/>
  <c r="BK250" i="2"/>
  <c r="BJ197" i="2"/>
  <c r="BJ203" i="2"/>
  <c r="BK245" i="2"/>
  <c r="BJ205" i="2"/>
  <c r="BF244" i="2"/>
  <c r="BE269" i="2"/>
  <c r="BE270" i="2" s="1"/>
  <c r="BD5" i="2"/>
  <c r="AS19" i="3" s="1"/>
  <c r="BL190" i="2"/>
  <c r="BJ200" i="2"/>
  <c r="BE299" i="2"/>
  <c r="BF274" i="2"/>
  <c r="BD300" i="2"/>
  <c r="BD7" i="2"/>
  <c r="BG15" i="1" l="1"/>
  <c r="BK17" i="5" s="1"/>
  <c r="BM224" i="2"/>
  <c r="BJ275" i="2"/>
  <c r="BJ204" i="2"/>
  <c r="BJ199" i="2"/>
  <c r="BK253" i="2"/>
  <c r="BK248" i="2"/>
  <c r="BJ195" i="2"/>
  <c r="BJ196" i="2"/>
  <c r="BJ201" i="2"/>
  <c r="BE7" i="2"/>
  <c r="BE300" i="2"/>
  <c r="BL194" i="2"/>
  <c r="BM221" i="2"/>
  <c r="BM220" i="2"/>
  <c r="BM219" i="2"/>
  <c r="BM216" i="2"/>
  <c r="BL186" i="2"/>
  <c r="BL216" i="2"/>
  <c r="BJ276" i="2"/>
  <c r="BL191" i="2"/>
  <c r="BL221" i="2"/>
  <c r="BJ281" i="2"/>
  <c r="BE5" i="2"/>
  <c r="AT19" i="3" s="1"/>
  <c r="BF269" i="2"/>
  <c r="BF270" i="2" s="1"/>
  <c r="BG244" i="2"/>
  <c r="BL222" i="2"/>
  <c r="BJ282" i="2"/>
  <c r="BL184" i="2"/>
  <c r="BL189" i="2"/>
  <c r="BL219" i="2"/>
  <c r="BJ279" i="2"/>
  <c r="BF299" i="2"/>
  <c r="BG274" i="2"/>
  <c r="BH15" i="1" l="1"/>
  <c r="BL17" i="5" s="1"/>
  <c r="BL215" i="2"/>
  <c r="BM194" i="2"/>
  <c r="BJ234" i="2"/>
  <c r="BJ264" i="2" s="1"/>
  <c r="BN215" i="2"/>
  <c r="BN220" i="2"/>
  <c r="BL192" i="2"/>
  <c r="BL252" i="2" s="1"/>
  <c r="BJ229" i="2"/>
  <c r="BJ259" i="2" s="1"/>
  <c r="BM222" i="2"/>
  <c r="BL188" i="2"/>
  <c r="BL218" i="2"/>
  <c r="BK276" i="2"/>
  <c r="BK279" i="2"/>
  <c r="BK230" i="2"/>
  <c r="BK200" i="2"/>
  <c r="BL251" i="2"/>
  <c r="BL249" i="2"/>
  <c r="BL246" i="2"/>
  <c r="BM192" i="2"/>
  <c r="BK234" i="2"/>
  <c r="BM191" i="2"/>
  <c r="BN221" i="2"/>
  <c r="BK235" i="2"/>
  <c r="BK231" i="2"/>
  <c r="BK281" i="2"/>
  <c r="BK226" i="2"/>
  <c r="BK233" i="2"/>
  <c r="BM190" i="2"/>
  <c r="BL185" i="2"/>
  <c r="BM186" i="2"/>
  <c r="BK227" i="2"/>
  <c r="BK232" i="2"/>
  <c r="BK225" i="2"/>
  <c r="BM189" i="2"/>
  <c r="BJ227" i="2"/>
  <c r="BJ257" i="2" s="1"/>
  <c r="BJ233" i="2"/>
  <c r="BJ226" i="2"/>
  <c r="BJ225" i="2"/>
  <c r="BJ285" i="2" s="1"/>
  <c r="BJ235" i="2"/>
  <c r="BJ265" i="2" s="1"/>
  <c r="BL214" i="2"/>
  <c r="BH244" i="2"/>
  <c r="BG269" i="2"/>
  <c r="BG270" i="2" s="1"/>
  <c r="BF5" i="2"/>
  <c r="AU19" i="3" s="1"/>
  <c r="BM184" i="2"/>
  <c r="BL220" i="2"/>
  <c r="BL250" i="2" s="1"/>
  <c r="BJ280" i="2"/>
  <c r="BK280" i="2" s="1"/>
  <c r="BJ230" i="2"/>
  <c r="BJ260" i="2" s="1"/>
  <c r="BJ231" i="2"/>
  <c r="BJ261" i="2" s="1"/>
  <c r="BL224" i="2"/>
  <c r="BL254" i="2" s="1"/>
  <c r="BJ284" i="2"/>
  <c r="BK284" i="2" s="1"/>
  <c r="BO191" i="2"/>
  <c r="BH274" i="2"/>
  <c r="BG299" i="2"/>
  <c r="BF300" i="2"/>
  <c r="BF7" i="2"/>
  <c r="BI15" i="1" l="1"/>
  <c r="BM17" i="5" s="1"/>
  <c r="BL245" i="2"/>
  <c r="BO186" i="2"/>
  <c r="BM193" i="2"/>
  <c r="BO190" i="2"/>
  <c r="BK282" i="2"/>
  <c r="BN194" i="2"/>
  <c r="BN224" i="2"/>
  <c r="BM218" i="2"/>
  <c r="BN217" i="2"/>
  <c r="BK198" i="2"/>
  <c r="BJ278" i="2"/>
  <c r="BO192" i="2"/>
  <c r="BN192" i="2"/>
  <c r="BL119" i="2"/>
  <c r="BL228" i="2"/>
  <c r="BL229" i="2"/>
  <c r="BK119" i="2"/>
  <c r="BL193" i="2"/>
  <c r="BL223" i="2"/>
  <c r="BJ283" i="2"/>
  <c r="BK283" i="2" s="1"/>
  <c r="BM217" i="2"/>
  <c r="BM187" i="2"/>
  <c r="BO185" i="2"/>
  <c r="BK260" i="2"/>
  <c r="BO184" i="2"/>
  <c r="BO194" i="2"/>
  <c r="BL280" i="2"/>
  <c r="BM250" i="2"/>
  <c r="BJ287" i="2"/>
  <c r="BK287" i="2" s="1"/>
  <c r="BM249" i="2"/>
  <c r="BM251" i="2"/>
  <c r="BK285" i="2"/>
  <c r="BJ289" i="2"/>
  <c r="BJ291" i="2"/>
  <c r="BK291" i="2" s="1"/>
  <c r="BM246" i="2"/>
  <c r="BJ290" i="2"/>
  <c r="BK290" i="2" s="1"/>
  <c r="BM252" i="2"/>
  <c r="BM254" i="2"/>
  <c r="BL226" i="2"/>
  <c r="BL196" i="2"/>
  <c r="BL235" i="2"/>
  <c r="BL205" i="2"/>
  <c r="BO189" i="2"/>
  <c r="BN189" i="2"/>
  <c r="BJ255" i="2"/>
  <c r="BN219" i="2"/>
  <c r="BL279" i="2"/>
  <c r="BJ286" i="2"/>
  <c r="BK286" i="2" s="1"/>
  <c r="BJ256" i="2"/>
  <c r="BK201" i="2"/>
  <c r="BK261" i="2" s="1"/>
  <c r="BM215" i="2"/>
  <c r="BK275" i="2"/>
  <c r="BL275" i="2" s="1"/>
  <c r="BM223" i="2"/>
  <c r="BJ263" i="2"/>
  <c r="BJ293" i="2"/>
  <c r="BK293" i="2" s="1"/>
  <c r="BK203" i="2"/>
  <c r="BL232" i="2"/>
  <c r="BK202" i="2"/>
  <c r="BK204" i="2"/>
  <c r="BK264" i="2" s="1"/>
  <c r="BK196" i="2"/>
  <c r="BL197" i="2"/>
  <c r="BN216" i="2"/>
  <c r="BL276" i="2"/>
  <c r="BL248" i="2"/>
  <c r="BI244" i="2"/>
  <c r="BH269" i="2"/>
  <c r="BH270" i="2" s="1"/>
  <c r="BJ295" i="2"/>
  <c r="BK295" i="2" s="1"/>
  <c r="BL281" i="2"/>
  <c r="BK205" i="2"/>
  <c r="BK265" i="2" s="1"/>
  <c r="BJ294" i="2"/>
  <c r="BK294" i="2" s="1"/>
  <c r="BK197" i="2"/>
  <c r="BK257" i="2" s="1"/>
  <c r="BN191" i="2"/>
  <c r="BM188" i="2"/>
  <c r="BO219" i="2"/>
  <c r="BO221" i="2"/>
  <c r="BM202" i="2"/>
  <c r="BJ232" i="2"/>
  <c r="BM214" i="2"/>
  <c r="BG5" i="2"/>
  <c r="AV19" i="3" s="1"/>
  <c r="BN214" i="2"/>
  <c r="BG300" i="2"/>
  <c r="BG7" i="2"/>
  <c r="BH299" i="2"/>
  <c r="BI274" i="2"/>
  <c r="BJ15" i="1" l="1"/>
  <c r="BN17" i="5" s="1"/>
  <c r="BN190" i="2"/>
  <c r="BN250" i="2" s="1"/>
  <c r="BN185" i="2"/>
  <c r="BO220" i="2"/>
  <c r="BN186" i="2"/>
  <c r="BN246" i="2" s="1"/>
  <c r="BO216" i="2"/>
  <c r="BL282" i="2"/>
  <c r="BL284" i="2"/>
  <c r="BL233" i="2"/>
  <c r="BL293" i="2" s="1"/>
  <c r="BN187" i="2"/>
  <c r="BK228" i="2"/>
  <c r="BK278" i="2"/>
  <c r="BN222" i="2"/>
  <c r="BN252" i="2" s="1"/>
  <c r="BP222" i="2"/>
  <c r="BM204" i="2"/>
  <c r="BO193" i="2"/>
  <c r="BO222" i="2"/>
  <c r="BL199" i="2"/>
  <c r="BL253" i="2"/>
  <c r="BM253" i="2" s="1"/>
  <c r="BN223" i="2"/>
  <c r="BM199" i="2"/>
  <c r="BK229" i="2"/>
  <c r="BM119" i="2"/>
  <c r="BO215" i="2"/>
  <c r="BP220" i="2"/>
  <c r="BP215" i="2"/>
  <c r="BO214" i="2"/>
  <c r="BO224" i="2"/>
  <c r="BM195" i="2"/>
  <c r="BP224" i="2"/>
  <c r="BM196" i="2"/>
  <c r="BM200" i="2"/>
  <c r="BM197" i="2"/>
  <c r="BP184" i="2"/>
  <c r="BN251" i="2"/>
  <c r="BO251" i="2" s="1"/>
  <c r="BN249" i="2"/>
  <c r="BJ292" i="2"/>
  <c r="BK292" i="2" s="1"/>
  <c r="BL292" i="2" s="1"/>
  <c r="BN254" i="2"/>
  <c r="BK263" i="2"/>
  <c r="BL265" i="2"/>
  <c r="BL295" i="2"/>
  <c r="BM248" i="2"/>
  <c r="BP219" i="2"/>
  <c r="BP221" i="2"/>
  <c r="BK195" i="2"/>
  <c r="BP216" i="2"/>
  <c r="BL231" i="2"/>
  <c r="BL291" i="2" s="1"/>
  <c r="BM185" i="2"/>
  <c r="BM205" i="2"/>
  <c r="BM201" i="2"/>
  <c r="BH5" i="2"/>
  <c r="AW19" i="3" s="1"/>
  <c r="BL201" i="2"/>
  <c r="BJ244" i="2"/>
  <c r="BI269" i="2"/>
  <c r="BI5" i="2" s="1"/>
  <c r="AX19" i="3" s="1"/>
  <c r="BL286" i="2"/>
  <c r="BL203" i="2"/>
  <c r="BL227" i="2"/>
  <c r="BL257" i="2" s="1"/>
  <c r="BL200" i="2"/>
  <c r="BL202" i="2"/>
  <c r="BM281" i="2"/>
  <c r="BL230" i="2"/>
  <c r="BL290" i="2" s="1"/>
  <c r="BL225" i="2"/>
  <c r="BL285" i="2" s="1"/>
  <c r="BM279" i="2"/>
  <c r="BN184" i="2"/>
  <c r="BJ202" i="2"/>
  <c r="BK256" i="2"/>
  <c r="BL256" i="2" s="1"/>
  <c r="BM235" i="2"/>
  <c r="BM227" i="2"/>
  <c r="BM230" i="2"/>
  <c r="BM226" i="2"/>
  <c r="BM231" i="2"/>
  <c r="BJ274" i="2"/>
  <c r="BI299" i="2"/>
  <c r="BH300" i="2"/>
  <c r="BH7" i="2"/>
  <c r="BL15" i="1" l="1"/>
  <c r="I15" i="1" s="1"/>
  <c r="BK15" i="1"/>
  <c r="BO17" i="5" s="1"/>
  <c r="BO249" i="2"/>
  <c r="BO254" i="2"/>
  <c r="BM280" i="2"/>
  <c r="BN280" i="2" s="1"/>
  <c r="BM276" i="2"/>
  <c r="BN276" i="2" s="1"/>
  <c r="BQ220" i="2"/>
  <c r="BL283" i="2"/>
  <c r="BK239" i="2"/>
  <c r="BK240" i="2" s="1"/>
  <c r="BL278" i="2"/>
  <c r="BP223" i="2"/>
  <c r="BM282" i="2"/>
  <c r="BN282" i="2" s="1"/>
  <c r="BO252" i="2"/>
  <c r="BP192" i="2"/>
  <c r="BM234" i="2"/>
  <c r="BQ222" i="2"/>
  <c r="BO223" i="2"/>
  <c r="BK179" i="2"/>
  <c r="BP218" i="2"/>
  <c r="BL198" i="2"/>
  <c r="BL179" i="2"/>
  <c r="BM229" i="2"/>
  <c r="BN193" i="2"/>
  <c r="BN253" i="2" s="1"/>
  <c r="BO218" i="2"/>
  <c r="BM233" i="2"/>
  <c r="BM293" i="2" s="1"/>
  <c r="BM203" i="2"/>
  <c r="BM275" i="2"/>
  <c r="BN275" i="2" s="1"/>
  <c r="BK289" i="2"/>
  <c r="BL289" i="2" s="1"/>
  <c r="BP217" i="2"/>
  <c r="BO187" i="2"/>
  <c r="BO217" i="2"/>
  <c r="BP194" i="2"/>
  <c r="BM228" i="2"/>
  <c r="BM198" i="2"/>
  <c r="BO250" i="2"/>
  <c r="BO246" i="2"/>
  <c r="BM284" i="2"/>
  <c r="BN284" i="2" s="1"/>
  <c r="BN279" i="2"/>
  <c r="BP214" i="2"/>
  <c r="BL261" i="2"/>
  <c r="BM261" i="2" s="1"/>
  <c r="BI270" i="2"/>
  <c r="BL263" i="2"/>
  <c r="BM257" i="2"/>
  <c r="BM265" i="2"/>
  <c r="BM295" i="2"/>
  <c r="BK255" i="2"/>
  <c r="BL287" i="2"/>
  <c r="BM287" i="2" s="1"/>
  <c r="BO188" i="2"/>
  <c r="BM232" i="2"/>
  <c r="BM292" i="2" s="1"/>
  <c r="BI7" i="2"/>
  <c r="BI300" i="2"/>
  <c r="BN226" i="2"/>
  <c r="BQ221" i="2"/>
  <c r="BM290" i="2"/>
  <c r="BL195" i="2"/>
  <c r="BN230" i="2"/>
  <c r="BK244" i="2"/>
  <c r="BN232" i="2"/>
  <c r="BP191" i="2"/>
  <c r="BP251" i="2" s="1"/>
  <c r="BM245" i="2"/>
  <c r="BN245" i="2" s="1"/>
  <c r="BO245" i="2" s="1"/>
  <c r="BM225" i="2"/>
  <c r="BM285" i="2" s="1"/>
  <c r="BN235" i="2"/>
  <c r="BQ219" i="2"/>
  <c r="BL260" i="2"/>
  <c r="BM260" i="2" s="1"/>
  <c r="BM291" i="2"/>
  <c r="BN227" i="2"/>
  <c r="BM256" i="2"/>
  <c r="BP186" i="2"/>
  <c r="BN218" i="2"/>
  <c r="BJ262" i="2"/>
  <c r="BK262" i="2" s="1"/>
  <c r="BL262" i="2" s="1"/>
  <c r="BP189" i="2"/>
  <c r="BN281" i="2"/>
  <c r="BM286" i="2"/>
  <c r="BN231" i="2"/>
  <c r="BR189" i="2"/>
  <c r="BR186" i="2"/>
  <c r="BK274" i="2"/>
  <c r="BP17" i="5" l="1"/>
  <c r="I17" i="5" s="1"/>
  <c r="BP249" i="2"/>
  <c r="BQ224" i="2"/>
  <c r="BQ214" i="2"/>
  <c r="BQ184" i="2"/>
  <c r="BQ215" i="2"/>
  <c r="BR190" i="2"/>
  <c r="BR194" i="2"/>
  <c r="BQ192" i="2"/>
  <c r="BP193" i="2"/>
  <c r="BP188" i="2"/>
  <c r="BM283" i="2"/>
  <c r="BN283" i="2" s="1"/>
  <c r="BO253" i="2"/>
  <c r="BM289" i="2"/>
  <c r="BL234" i="2"/>
  <c r="BL294" i="2" s="1"/>
  <c r="BM294" i="2" s="1"/>
  <c r="BL204" i="2"/>
  <c r="BM209" i="2"/>
  <c r="BM278" i="2"/>
  <c r="BN278" i="2" s="1"/>
  <c r="BM263" i="2"/>
  <c r="BQ223" i="2"/>
  <c r="BP252" i="2"/>
  <c r="BP187" i="2"/>
  <c r="BN119" i="2"/>
  <c r="BK199" i="2"/>
  <c r="BK210" i="2"/>
  <c r="BK149" i="2"/>
  <c r="BP190" i="2"/>
  <c r="BP250" i="2" s="1"/>
  <c r="BM179" i="2"/>
  <c r="BP246" i="2"/>
  <c r="BO282" i="2"/>
  <c r="BP254" i="2"/>
  <c r="BM149" i="2"/>
  <c r="BR185" i="2"/>
  <c r="BO279" i="2"/>
  <c r="BQ216" i="2"/>
  <c r="BR184" i="2"/>
  <c r="BO281" i="2"/>
  <c r="BO280" i="2"/>
  <c r="BN287" i="2"/>
  <c r="BN290" i="2"/>
  <c r="BL255" i="2"/>
  <c r="BM255" i="2" s="1"/>
  <c r="BN292" i="2"/>
  <c r="BM262" i="2"/>
  <c r="BN286" i="2"/>
  <c r="BM239" i="2"/>
  <c r="BN233" i="2"/>
  <c r="BN293" i="2" s="1"/>
  <c r="BL244" i="2"/>
  <c r="BN195" i="2"/>
  <c r="BR191" i="2"/>
  <c r="BN225" i="2"/>
  <c r="BN203" i="2"/>
  <c r="BN205" i="2"/>
  <c r="BN265" i="2" s="1"/>
  <c r="BN188" i="2"/>
  <c r="BN197" i="2"/>
  <c r="BN257" i="2" s="1"/>
  <c r="BN202" i="2"/>
  <c r="BO226" i="2"/>
  <c r="BO196" i="2"/>
  <c r="BQ189" i="2"/>
  <c r="BO202" i="2"/>
  <c r="BO227" i="2"/>
  <c r="BO231" i="2"/>
  <c r="BN291" i="2"/>
  <c r="BN295" i="2"/>
  <c r="BN201" i="2"/>
  <c r="BN261" i="2" s="1"/>
  <c r="BP185" i="2"/>
  <c r="BP245" i="2" s="1"/>
  <c r="BN196" i="2"/>
  <c r="BN256" i="2" s="1"/>
  <c r="BO200" i="2"/>
  <c r="BO235" i="2"/>
  <c r="BN200" i="2"/>
  <c r="BN260" i="2" s="1"/>
  <c r="BQ191" i="2"/>
  <c r="BQ251" i="2" s="1"/>
  <c r="BO284" i="2"/>
  <c r="BP202" i="2"/>
  <c r="BR221" i="2"/>
  <c r="BR219" i="2"/>
  <c r="BL274" i="2"/>
  <c r="BQ249" i="2" l="1"/>
  <c r="BR249" i="2" s="1"/>
  <c r="BO275" i="2"/>
  <c r="BR220" i="2"/>
  <c r="BQ190" i="2"/>
  <c r="BQ250" i="2" s="1"/>
  <c r="BR224" i="2"/>
  <c r="BS222" i="2"/>
  <c r="BP253" i="2"/>
  <c r="BL264" i="2"/>
  <c r="BM264" i="2" s="1"/>
  <c r="BP199" i="2"/>
  <c r="BR192" i="2"/>
  <c r="BL149" i="2"/>
  <c r="BO203" i="2"/>
  <c r="BO233" i="2"/>
  <c r="BO283" i="2"/>
  <c r="BP119" i="2"/>
  <c r="BQ252" i="2"/>
  <c r="BO119" i="2"/>
  <c r="BQ218" i="2"/>
  <c r="BK259" i="2"/>
  <c r="BL259" i="2" s="1"/>
  <c r="BM259" i="2" s="1"/>
  <c r="BK209" i="2"/>
  <c r="BQ217" i="2"/>
  <c r="BR187" i="2"/>
  <c r="BP198" i="2"/>
  <c r="BQ187" i="2"/>
  <c r="BQ194" i="2"/>
  <c r="BQ254" i="2" s="1"/>
  <c r="BS220" i="2"/>
  <c r="BS184" i="2"/>
  <c r="BQ186" i="2"/>
  <c r="BQ246" i="2" s="1"/>
  <c r="BS216" i="2"/>
  <c r="BO276" i="2"/>
  <c r="BP276" i="2" s="1"/>
  <c r="BR214" i="2"/>
  <c r="BS215" i="2"/>
  <c r="BP195" i="2"/>
  <c r="BP280" i="2"/>
  <c r="BP203" i="2"/>
  <c r="BO287" i="2"/>
  <c r="BO286" i="2"/>
  <c r="BR251" i="2"/>
  <c r="BN262" i="2"/>
  <c r="BO256" i="2"/>
  <c r="BM240" i="2"/>
  <c r="BM210" i="2"/>
  <c r="BO230" i="2"/>
  <c r="BO260" i="2" s="1"/>
  <c r="BO197" i="2"/>
  <c r="BO257" i="2" s="1"/>
  <c r="BO205" i="2"/>
  <c r="BO265" i="2" s="1"/>
  <c r="BO225" i="2"/>
  <c r="BP205" i="2"/>
  <c r="BP201" i="2"/>
  <c r="BS221" i="2"/>
  <c r="BO232" i="2"/>
  <c r="BO201" i="2"/>
  <c r="BO261" i="2" s="1"/>
  <c r="BN263" i="2"/>
  <c r="BR216" i="2"/>
  <c r="BS219" i="2"/>
  <c r="BN285" i="2"/>
  <c r="BN255" i="2"/>
  <c r="BP197" i="2"/>
  <c r="BO295" i="2"/>
  <c r="BP279" i="2"/>
  <c r="BN248" i="2"/>
  <c r="BO248" i="2" s="1"/>
  <c r="BP248" i="2" s="1"/>
  <c r="BP281" i="2"/>
  <c r="BO291" i="2"/>
  <c r="BQ185" i="2"/>
  <c r="BM244" i="2"/>
  <c r="BP231" i="2"/>
  <c r="BP233" i="2"/>
  <c r="BP235" i="2"/>
  <c r="BP227" i="2"/>
  <c r="BP232" i="2"/>
  <c r="BP226" i="2"/>
  <c r="BM274" i="2"/>
  <c r="BP275" i="2" l="1"/>
  <c r="BQ275" i="2" s="1"/>
  <c r="BP284" i="2"/>
  <c r="BR254" i="2"/>
  <c r="BR250" i="2"/>
  <c r="BS224" i="2"/>
  <c r="BS192" i="2"/>
  <c r="BP229" i="2"/>
  <c r="BQ229" i="2"/>
  <c r="BR222" i="2"/>
  <c r="BO263" i="2"/>
  <c r="BP263" i="2" s="1"/>
  <c r="BO293" i="2"/>
  <c r="BP293" i="2" s="1"/>
  <c r="BS218" i="2"/>
  <c r="BN234" i="2"/>
  <c r="BN294" i="2" s="1"/>
  <c r="BQ193" i="2"/>
  <c r="BQ253" i="2" s="1"/>
  <c r="BQ188" i="2"/>
  <c r="BQ248" i="2" s="1"/>
  <c r="BR223" i="2"/>
  <c r="BN204" i="2"/>
  <c r="BQ233" i="2"/>
  <c r="BO234" i="2"/>
  <c r="BO278" i="2"/>
  <c r="BP228" i="2"/>
  <c r="BR218" i="2"/>
  <c r="BO229" i="2"/>
  <c r="BN199" i="2"/>
  <c r="BN229" i="2"/>
  <c r="BN289" i="2" s="1"/>
  <c r="BR217" i="2"/>
  <c r="BS217" i="2"/>
  <c r="BN228" i="2"/>
  <c r="BN179" i="2"/>
  <c r="BS190" i="2"/>
  <c r="BS214" i="2"/>
  <c r="BR215" i="2"/>
  <c r="BS186" i="2"/>
  <c r="BR246" i="2"/>
  <c r="BQ276" i="2"/>
  <c r="BQ281" i="2"/>
  <c r="BQ279" i="2"/>
  <c r="BP287" i="2"/>
  <c r="BO262" i="2"/>
  <c r="BP262" i="2" s="1"/>
  <c r="BP265" i="2"/>
  <c r="BO285" i="2"/>
  <c r="BO292" i="2"/>
  <c r="BP292" i="2" s="1"/>
  <c r="BP295" i="2"/>
  <c r="BN244" i="2"/>
  <c r="BQ245" i="2"/>
  <c r="BP261" i="2"/>
  <c r="BS194" i="2"/>
  <c r="BS191" i="2"/>
  <c r="BS251" i="2" s="1"/>
  <c r="BO195" i="2"/>
  <c r="BQ230" i="2"/>
  <c r="BQ200" i="2"/>
  <c r="BT219" i="2"/>
  <c r="BP291" i="2"/>
  <c r="BQ226" i="2"/>
  <c r="BO290" i="2"/>
  <c r="BQ280" i="2"/>
  <c r="BP286" i="2"/>
  <c r="BP257" i="2"/>
  <c r="BQ231" i="2"/>
  <c r="BP225" i="2"/>
  <c r="BT216" i="2"/>
  <c r="BS189" i="2"/>
  <c r="BS249" i="2" s="1"/>
  <c r="BU189" i="2"/>
  <c r="BU191" i="2"/>
  <c r="BN274" i="2"/>
  <c r="BQ284" i="2" l="1"/>
  <c r="BT220" i="2"/>
  <c r="BS254" i="2"/>
  <c r="BU186" i="2"/>
  <c r="BU184" i="2"/>
  <c r="BR252" i="2"/>
  <c r="BS252" i="2" s="1"/>
  <c r="BU194" i="2"/>
  <c r="BT224" i="2"/>
  <c r="BP282" i="2"/>
  <c r="BQ282" i="2" s="1"/>
  <c r="BQ199" i="2"/>
  <c r="BQ203" i="2"/>
  <c r="BQ263" i="2" s="1"/>
  <c r="BP283" i="2"/>
  <c r="BN264" i="2"/>
  <c r="BQ119" i="2"/>
  <c r="BS188" i="2"/>
  <c r="BO294" i="2"/>
  <c r="BP204" i="2"/>
  <c r="BP234" i="2"/>
  <c r="BO204" i="2"/>
  <c r="BR193" i="2"/>
  <c r="BR253" i="2" s="1"/>
  <c r="BT218" i="2"/>
  <c r="BS193" i="2"/>
  <c r="BN239" i="2"/>
  <c r="BN259" i="2"/>
  <c r="BR188" i="2"/>
  <c r="BR248" i="2" s="1"/>
  <c r="BO199" i="2"/>
  <c r="BO289" i="2"/>
  <c r="BP289" i="2" s="1"/>
  <c r="BQ289" i="2" s="1"/>
  <c r="BP278" i="2"/>
  <c r="BQ278" i="2" s="1"/>
  <c r="BS187" i="2"/>
  <c r="BN198" i="2"/>
  <c r="BN209" i="2" s="1"/>
  <c r="BN149" i="2"/>
  <c r="BO228" i="2"/>
  <c r="BO239" i="2" s="1"/>
  <c r="BO240" i="2" s="1"/>
  <c r="BO179" i="2"/>
  <c r="BS246" i="2"/>
  <c r="BR245" i="2"/>
  <c r="BS250" i="2"/>
  <c r="BR279" i="2"/>
  <c r="BT215" i="2"/>
  <c r="BU190" i="2"/>
  <c r="BU185" i="2"/>
  <c r="BQ293" i="2"/>
  <c r="BP285" i="2"/>
  <c r="BO255" i="2"/>
  <c r="BP255" i="2" s="1"/>
  <c r="BQ291" i="2"/>
  <c r="BR226" i="2"/>
  <c r="BR196" i="2"/>
  <c r="BT221" i="2"/>
  <c r="BR281" i="2"/>
  <c r="BP200" i="2"/>
  <c r="BQ202" i="2"/>
  <c r="BQ232" i="2"/>
  <c r="BQ292" i="2" s="1"/>
  <c r="BQ205" i="2"/>
  <c r="BQ197" i="2"/>
  <c r="BT191" i="2"/>
  <c r="BQ235" i="2"/>
  <c r="BQ295" i="2" s="1"/>
  <c r="BT190" i="2"/>
  <c r="BQ227" i="2"/>
  <c r="BP196" i="2"/>
  <c r="BP256" i="2" s="1"/>
  <c r="BP230" i="2"/>
  <c r="BQ196" i="2"/>
  <c r="BT189" i="2"/>
  <c r="BT249" i="2" s="1"/>
  <c r="BO244" i="2"/>
  <c r="BQ286" i="2"/>
  <c r="BR230" i="2"/>
  <c r="BR235" i="2"/>
  <c r="BR205" i="2"/>
  <c r="BR232" i="2"/>
  <c r="BR202" i="2"/>
  <c r="BR227" i="2"/>
  <c r="BR197" i="2"/>
  <c r="BS185" i="2"/>
  <c r="BR276" i="2"/>
  <c r="BT186" i="2"/>
  <c r="BQ225" i="2"/>
  <c r="BR231" i="2"/>
  <c r="BR201" i="2"/>
  <c r="BQ201" i="2"/>
  <c r="BQ261" i="2" s="1"/>
  <c r="BR233" i="2"/>
  <c r="BR203" i="2"/>
  <c r="BS205" i="2"/>
  <c r="BU221" i="2"/>
  <c r="BU219" i="2"/>
  <c r="BT214" i="2"/>
  <c r="BO274" i="2"/>
  <c r="BR280" i="2" l="1"/>
  <c r="BV216" i="2"/>
  <c r="BU216" i="2"/>
  <c r="BU214" i="2"/>
  <c r="BT194" i="2"/>
  <c r="BT254" i="2" s="1"/>
  <c r="BR284" i="2"/>
  <c r="BU224" i="2"/>
  <c r="BR278" i="2"/>
  <c r="BU222" i="2"/>
  <c r="BO264" i="2"/>
  <c r="BP264" i="2" s="1"/>
  <c r="BR119" i="2"/>
  <c r="BS248" i="2"/>
  <c r="BP239" i="2"/>
  <c r="BP240" i="2" s="1"/>
  <c r="BP294" i="2"/>
  <c r="BT223" i="2"/>
  <c r="BT187" i="2"/>
  <c r="BV222" i="2"/>
  <c r="BS223" i="2"/>
  <c r="BS253" i="2" s="1"/>
  <c r="BQ283" i="2"/>
  <c r="BU188" i="2"/>
  <c r="BP179" i="2"/>
  <c r="BO259" i="2"/>
  <c r="BP259" i="2" s="1"/>
  <c r="BQ259" i="2" s="1"/>
  <c r="BN240" i="2"/>
  <c r="BN210" i="2"/>
  <c r="BO198" i="2"/>
  <c r="BO209" i="2" s="1"/>
  <c r="BO149" i="2"/>
  <c r="BO210" i="2"/>
  <c r="BU187" i="2"/>
  <c r="BT246" i="2"/>
  <c r="BS245" i="2"/>
  <c r="BR275" i="2"/>
  <c r="BU215" i="2"/>
  <c r="BT231" i="2"/>
  <c r="BT250" i="2"/>
  <c r="BV224" i="2"/>
  <c r="BS279" i="2"/>
  <c r="BU220" i="2"/>
  <c r="BT185" i="2"/>
  <c r="BS201" i="2"/>
  <c r="BQ285" i="2"/>
  <c r="BP149" i="2"/>
  <c r="BS281" i="2"/>
  <c r="BR291" i="2"/>
  <c r="BQ262" i="2"/>
  <c r="BR262" i="2" s="1"/>
  <c r="BP290" i="2"/>
  <c r="BQ290" i="2" s="1"/>
  <c r="BR290" i="2" s="1"/>
  <c r="BQ265" i="2"/>
  <c r="BR265" i="2" s="1"/>
  <c r="BR292" i="2"/>
  <c r="BU249" i="2"/>
  <c r="BQ256" i="2"/>
  <c r="BR256" i="2" s="1"/>
  <c r="BT251" i="2"/>
  <c r="BU251" i="2" s="1"/>
  <c r="BR286" i="2"/>
  <c r="BR261" i="2"/>
  <c r="BR263" i="2"/>
  <c r="BS197" i="2"/>
  <c r="BS202" i="2"/>
  <c r="BV221" i="2"/>
  <c r="BS196" i="2"/>
  <c r="BU192" i="2"/>
  <c r="BR200" i="2"/>
  <c r="BQ287" i="2"/>
  <c r="BR287" i="2" s="1"/>
  <c r="BQ257" i="2"/>
  <c r="BR257" i="2" s="1"/>
  <c r="BT217" i="2"/>
  <c r="BT184" i="2"/>
  <c r="BS200" i="2"/>
  <c r="BP209" i="2"/>
  <c r="BP260" i="2"/>
  <c r="BQ260" i="2" s="1"/>
  <c r="BR295" i="2"/>
  <c r="BQ195" i="2"/>
  <c r="BR195" i="2"/>
  <c r="BR293" i="2"/>
  <c r="BR225" i="2"/>
  <c r="BP244" i="2"/>
  <c r="BS227" i="2"/>
  <c r="BS230" i="2"/>
  <c r="BS235" i="2"/>
  <c r="BS231" i="2"/>
  <c r="BS232" i="2"/>
  <c r="BP274" i="2"/>
  <c r="BS276" i="2" l="1"/>
  <c r="BT276" i="2" s="1"/>
  <c r="BV186" i="2"/>
  <c r="BU246" i="2"/>
  <c r="BS284" i="2"/>
  <c r="BT284" i="2" s="1"/>
  <c r="BU254" i="2"/>
  <c r="BS203" i="2"/>
  <c r="BS233" i="2"/>
  <c r="BS293" i="2" s="1"/>
  <c r="BT222" i="2"/>
  <c r="BR282" i="2"/>
  <c r="BS282" i="2" s="1"/>
  <c r="BT192" i="2"/>
  <c r="BP210" i="2"/>
  <c r="BV218" i="2"/>
  <c r="BT188" i="2"/>
  <c r="BT248" i="2" s="1"/>
  <c r="BS119" i="2"/>
  <c r="BV192" i="2"/>
  <c r="BR234" i="2"/>
  <c r="BT193" i="2"/>
  <c r="BT253" i="2" s="1"/>
  <c r="BR283" i="2"/>
  <c r="BU193" i="2"/>
  <c r="BU223" i="2"/>
  <c r="BQ204" i="2"/>
  <c r="BQ234" i="2"/>
  <c r="BQ294" i="2" s="1"/>
  <c r="BU218" i="2"/>
  <c r="BT201" i="2"/>
  <c r="BU217" i="2"/>
  <c r="BQ228" i="2"/>
  <c r="BQ179" i="2"/>
  <c r="BS275" i="2"/>
  <c r="BV194" i="2"/>
  <c r="BV220" i="2"/>
  <c r="BU250" i="2"/>
  <c r="BS280" i="2"/>
  <c r="BT281" i="2"/>
  <c r="BR285" i="2"/>
  <c r="BS265" i="2"/>
  <c r="BR260" i="2"/>
  <c r="BS260" i="2" s="1"/>
  <c r="BS292" i="2"/>
  <c r="BS290" i="2"/>
  <c r="BS262" i="2"/>
  <c r="BT226" i="2"/>
  <c r="BV189" i="2"/>
  <c r="BV219" i="2"/>
  <c r="BT279" i="2"/>
  <c r="BQ255" i="2"/>
  <c r="BR255" i="2" s="1"/>
  <c r="BS225" i="2"/>
  <c r="BS291" i="2"/>
  <c r="BT291" i="2" s="1"/>
  <c r="BS261" i="2"/>
  <c r="BT245" i="2"/>
  <c r="BU245" i="2" s="1"/>
  <c r="BV190" i="2"/>
  <c r="BS226" i="2"/>
  <c r="BS286" i="2" s="1"/>
  <c r="BT227" i="2"/>
  <c r="BT230" i="2"/>
  <c r="BS257" i="2"/>
  <c r="BW219" i="2"/>
  <c r="BS287" i="2"/>
  <c r="BT235" i="2"/>
  <c r="BV191" i="2"/>
  <c r="BT233" i="2"/>
  <c r="BQ244" i="2"/>
  <c r="BW221" i="2"/>
  <c r="BS295" i="2"/>
  <c r="BV214" i="2"/>
  <c r="BQ274" i="2"/>
  <c r="BV205" i="2" l="1"/>
  <c r="BX191" i="2"/>
  <c r="BV251" i="2"/>
  <c r="BW220" i="2"/>
  <c r="BW215" i="2"/>
  <c r="BW216" i="2"/>
  <c r="BV188" i="2"/>
  <c r="BU234" i="2"/>
  <c r="BS263" i="2"/>
  <c r="BV254" i="2"/>
  <c r="BT252" i="2"/>
  <c r="BU252" i="2" s="1"/>
  <c r="BT282" i="2"/>
  <c r="BS229" i="2"/>
  <c r="BW222" i="2"/>
  <c r="BU253" i="2"/>
  <c r="BS278" i="2"/>
  <c r="BT278" i="2" s="1"/>
  <c r="BQ264" i="2"/>
  <c r="BV223" i="2"/>
  <c r="BV193" i="2"/>
  <c r="BR294" i="2"/>
  <c r="BQ239" i="2"/>
  <c r="BQ240" i="2" s="1"/>
  <c r="BU248" i="2"/>
  <c r="BR204" i="2"/>
  <c r="BS234" i="2"/>
  <c r="BS283" i="2"/>
  <c r="BT119" i="2"/>
  <c r="BR229" i="2"/>
  <c r="BR289" i="2" s="1"/>
  <c r="BR199" i="2"/>
  <c r="BT261" i="2"/>
  <c r="BR228" i="2"/>
  <c r="BR179" i="2"/>
  <c r="BV187" i="2"/>
  <c r="BV217" i="2"/>
  <c r="BU119" i="2"/>
  <c r="BQ198" i="2"/>
  <c r="BQ209" i="2" s="1"/>
  <c r="BQ149" i="2"/>
  <c r="BT280" i="2"/>
  <c r="BU281" i="2"/>
  <c r="BW224" i="2"/>
  <c r="BS285" i="2"/>
  <c r="BU279" i="2"/>
  <c r="BV249" i="2"/>
  <c r="BT290" i="2"/>
  <c r="BT286" i="2"/>
  <c r="BT295" i="2"/>
  <c r="BT232" i="2"/>
  <c r="BT292" i="2" s="1"/>
  <c r="BT197" i="2"/>
  <c r="BT257" i="2" s="1"/>
  <c r="BT287" i="2"/>
  <c r="BU235" i="2"/>
  <c r="BS256" i="2"/>
  <c r="BV184" i="2"/>
  <c r="BU233" i="2"/>
  <c r="BU203" i="2"/>
  <c r="BT202" i="2"/>
  <c r="BV246" i="2"/>
  <c r="BT205" i="2"/>
  <c r="BT265" i="2" s="1"/>
  <c r="BW185" i="2"/>
  <c r="BW186" i="2"/>
  <c r="BV250" i="2"/>
  <c r="BU232" i="2"/>
  <c r="BS195" i="2"/>
  <c r="BT225" i="2"/>
  <c r="BT196" i="2"/>
  <c r="BW191" i="2"/>
  <c r="BU200" i="2"/>
  <c r="BT200" i="2"/>
  <c r="BT260" i="2" s="1"/>
  <c r="BU227" i="2"/>
  <c r="BU197" i="2"/>
  <c r="BU231" i="2"/>
  <c r="BU291" i="2" s="1"/>
  <c r="BT203" i="2"/>
  <c r="BT293" i="2"/>
  <c r="BU226" i="2"/>
  <c r="BU196" i="2"/>
  <c r="BR244" i="2"/>
  <c r="BW189" i="2"/>
  <c r="BW214" i="2"/>
  <c r="BV200" i="2"/>
  <c r="BR274" i="2"/>
  <c r="BW184" i="2" l="1"/>
  <c r="BW190" i="2"/>
  <c r="BW250" i="2" s="1"/>
  <c r="BU280" i="2"/>
  <c r="BV197" i="2"/>
  <c r="BV195" i="2"/>
  <c r="BU276" i="2"/>
  <c r="BU204" i="2"/>
  <c r="BT263" i="2"/>
  <c r="BU263" i="2" s="1"/>
  <c r="BW193" i="2"/>
  <c r="BV248" i="2"/>
  <c r="BW223" i="2"/>
  <c r="BV252" i="2"/>
  <c r="BX194" i="2"/>
  <c r="BW192" i="2"/>
  <c r="BU229" i="2"/>
  <c r="BS289" i="2"/>
  <c r="BS199" i="2"/>
  <c r="BS294" i="2"/>
  <c r="BW218" i="2"/>
  <c r="BU282" i="2"/>
  <c r="BR264" i="2"/>
  <c r="BV253" i="2"/>
  <c r="BX192" i="2"/>
  <c r="BT234" i="2"/>
  <c r="BS204" i="2"/>
  <c r="BT283" i="2"/>
  <c r="BQ210" i="2"/>
  <c r="BT229" i="2"/>
  <c r="BR239" i="2"/>
  <c r="BR240" i="2" s="1"/>
  <c r="BR259" i="2"/>
  <c r="BW217" i="2"/>
  <c r="BW187" i="2"/>
  <c r="BR198" i="2"/>
  <c r="BR209" i="2" s="1"/>
  <c r="BR149" i="2"/>
  <c r="BS228" i="2"/>
  <c r="BS239" i="2" s="1"/>
  <c r="BS240" i="2" s="1"/>
  <c r="BS179" i="2"/>
  <c r="BT228" i="2"/>
  <c r="BV196" i="2"/>
  <c r="BX221" i="2"/>
  <c r="BU284" i="2"/>
  <c r="BW194" i="2"/>
  <c r="BW254" i="2" s="1"/>
  <c r="BW251" i="2"/>
  <c r="BV279" i="2"/>
  <c r="BU292" i="2"/>
  <c r="BU287" i="2"/>
  <c r="BW249" i="2"/>
  <c r="BU293" i="2"/>
  <c r="BT256" i="2"/>
  <c r="BU256" i="2" s="1"/>
  <c r="BT285" i="2"/>
  <c r="BU205" i="2"/>
  <c r="BU265" i="2" s="1"/>
  <c r="BU230" i="2"/>
  <c r="BU290" i="2" s="1"/>
  <c r="BU295" i="2"/>
  <c r="BS255" i="2"/>
  <c r="BT262" i="2"/>
  <c r="BU202" i="2"/>
  <c r="BU199" i="2"/>
  <c r="BV201" i="2"/>
  <c r="BU257" i="2"/>
  <c r="BS244" i="2"/>
  <c r="BU225" i="2"/>
  <c r="BW246" i="2"/>
  <c r="BX189" i="2"/>
  <c r="BV215" i="2"/>
  <c r="BT275" i="2"/>
  <c r="BU275" i="2" s="1"/>
  <c r="BT195" i="2"/>
  <c r="BV202" i="2"/>
  <c r="BU201" i="2"/>
  <c r="BU261" i="2" s="1"/>
  <c r="BU286" i="2"/>
  <c r="BU195" i="2"/>
  <c r="BV235" i="2"/>
  <c r="BV230" i="2"/>
  <c r="BV231" i="2"/>
  <c r="BS274" i="2"/>
  <c r="BV225" i="2" l="1"/>
  <c r="BV227" i="2"/>
  <c r="BV257" i="2" s="1"/>
  <c r="BU283" i="2"/>
  <c r="BX188" i="2"/>
  <c r="BY224" i="2"/>
  <c r="BW252" i="2"/>
  <c r="BW253" i="2"/>
  <c r="BX224" i="2"/>
  <c r="BS259" i="2"/>
  <c r="BV204" i="2"/>
  <c r="BS264" i="2"/>
  <c r="BU278" i="2"/>
  <c r="BX222" i="2"/>
  <c r="BT294" i="2"/>
  <c r="BU294" i="2" s="1"/>
  <c r="BY222" i="2"/>
  <c r="BT239" i="2"/>
  <c r="BT240" i="2" s="1"/>
  <c r="BT204" i="2"/>
  <c r="BW188" i="2"/>
  <c r="BT199" i="2"/>
  <c r="BR210" i="2"/>
  <c r="BT289" i="2"/>
  <c r="BU289" i="2" s="1"/>
  <c r="BS210" i="2"/>
  <c r="BT179" i="2"/>
  <c r="BT198" i="2"/>
  <c r="BS198" i="2"/>
  <c r="BS209" i="2" s="1"/>
  <c r="BS149" i="2"/>
  <c r="BV226" i="2"/>
  <c r="BV256" i="2" s="1"/>
  <c r="BV281" i="2"/>
  <c r="BX251" i="2"/>
  <c r="BX219" i="2"/>
  <c r="BX249" i="2" s="1"/>
  <c r="BT255" i="2"/>
  <c r="BU255" i="2" s="1"/>
  <c r="BV290" i="2"/>
  <c r="BV265" i="2"/>
  <c r="BV232" i="2"/>
  <c r="BV292" i="2" s="1"/>
  <c r="BX215" i="2"/>
  <c r="BV261" i="2"/>
  <c r="BV291" i="2"/>
  <c r="BT244" i="2"/>
  <c r="BV185" i="2"/>
  <c r="BY219" i="2"/>
  <c r="BV295" i="2"/>
  <c r="BU260" i="2"/>
  <c r="BV260" i="2" s="1"/>
  <c r="BU285" i="2"/>
  <c r="BY221" i="2"/>
  <c r="BU262" i="2"/>
  <c r="BT274" i="2"/>
  <c r="BV285" i="2" l="1"/>
  <c r="BV255" i="2"/>
  <c r="BV287" i="2"/>
  <c r="BW234" i="2"/>
  <c r="BX218" i="2"/>
  <c r="BY194" i="2"/>
  <c r="BV234" i="2"/>
  <c r="BY193" i="2"/>
  <c r="BV284" i="2"/>
  <c r="BW284" i="2" s="1"/>
  <c r="BX254" i="2"/>
  <c r="BT264" i="2"/>
  <c r="BU264" i="2" s="1"/>
  <c r="BT259" i="2"/>
  <c r="BU259" i="2" s="1"/>
  <c r="BV282" i="2"/>
  <c r="BW282" i="2" s="1"/>
  <c r="BX252" i="2"/>
  <c r="BX223" i="2"/>
  <c r="BY192" i="2"/>
  <c r="BV199" i="2"/>
  <c r="BZ222" i="2"/>
  <c r="BV229" i="2"/>
  <c r="BW248" i="2"/>
  <c r="BT209" i="2"/>
  <c r="BT210" i="2"/>
  <c r="BT149" i="2"/>
  <c r="BU228" i="2"/>
  <c r="BU239" i="2" s="1"/>
  <c r="BU240" i="2" s="1"/>
  <c r="BU179" i="2"/>
  <c r="BV286" i="2"/>
  <c r="BW281" i="2"/>
  <c r="BV262" i="2"/>
  <c r="BY191" i="2"/>
  <c r="BY251" i="2" s="1"/>
  <c r="BU244" i="2"/>
  <c r="BX193" i="2"/>
  <c r="BZ221" i="2"/>
  <c r="BX185" i="2"/>
  <c r="BX220" i="2"/>
  <c r="BV280" i="2"/>
  <c r="BW231" i="2"/>
  <c r="BY216" i="2"/>
  <c r="BX190" i="2"/>
  <c r="BW226" i="2"/>
  <c r="BV275" i="2"/>
  <c r="BW279" i="2"/>
  <c r="BY215" i="2"/>
  <c r="BX214" i="2"/>
  <c r="BY220" i="2"/>
  <c r="BX216" i="2"/>
  <c r="BV276" i="2"/>
  <c r="BW235" i="2"/>
  <c r="BW232" i="2"/>
  <c r="BW227" i="2"/>
  <c r="BV245" i="2"/>
  <c r="BW245" i="2" s="1"/>
  <c r="BX186" i="2"/>
  <c r="BY189" i="2"/>
  <c r="BY249" i="2" s="1"/>
  <c r="BZ219" i="2"/>
  <c r="BU274" i="2"/>
  <c r="BW287" i="2" l="1"/>
  <c r="BZ216" i="2"/>
  <c r="BW204" i="2"/>
  <c r="BV278" i="2"/>
  <c r="BV294" i="2"/>
  <c r="BW294" i="2" s="1"/>
  <c r="BW119" i="2"/>
  <c r="BV264" i="2"/>
  <c r="BY223" i="2"/>
  <c r="BX248" i="2"/>
  <c r="BZ192" i="2"/>
  <c r="BV283" i="2"/>
  <c r="BZ223" i="2"/>
  <c r="BY252" i="2"/>
  <c r="BZ233" i="2"/>
  <c r="BV259" i="2"/>
  <c r="CA222" i="2"/>
  <c r="BV289" i="2"/>
  <c r="BV233" i="2"/>
  <c r="BV293" i="2" s="1"/>
  <c r="BV203" i="2"/>
  <c r="BW286" i="2"/>
  <c r="BY188" i="2"/>
  <c r="BZ217" i="2"/>
  <c r="BY217" i="2"/>
  <c r="BU198" i="2"/>
  <c r="BU209" i="2" s="1"/>
  <c r="BU149" i="2"/>
  <c r="BU210" i="2"/>
  <c r="BY254" i="2"/>
  <c r="BW276" i="2"/>
  <c r="BX282" i="2"/>
  <c r="BX250" i="2"/>
  <c r="BX253" i="2"/>
  <c r="BX245" i="2"/>
  <c r="BX233" i="2"/>
  <c r="BX203" i="2"/>
  <c r="BW280" i="2"/>
  <c r="BX231" i="2"/>
  <c r="BX201" i="2"/>
  <c r="BX232" i="2"/>
  <c r="BX202" i="2"/>
  <c r="BY187" i="2"/>
  <c r="BZ186" i="2"/>
  <c r="BW200" i="2"/>
  <c r="BY185" i="2"/>
  <c r="BX227" i="2"/>
  <c r="BX197" i="2"/>
  <c r="BZ215" i="2"/>
  <c r="BW205" i="2"/>
  <c r="BW265" i="2" s="1"/>
  <c r="BX226" i="2"/>
  <c r="BX196" i="2"/>
  <c r="BZ189" i="2"/>
  <c r="BZ249" i="2" s="1"/>
  <c r="BW225" i="2"/>
  <c r="BW285" i="2" s="1"/>
  <c r="BX281" i="2"/>
  <c r="BW202" i="2"/>
  <c r="BW262" i="2" s="1"/>
  <c r="BX246" i="2"/>
  <c r="BW292" i="2"/>
  <c r="BZ220" i="2"/>
  <c r="BY214" i="2"/>
  <c r="BX235" i="2"/>
  <c r="BX205" i="2"/>
  <c r="BV244" i="2"/>
  <c r="CA219" i="2"/>
  <c r="BX195" i="2"/>
  <c r="BX279" i="2"/>
  <c r="BW230" i="2"/>
  <c r="BW290" i="2" s="1"/>
  <c r="BW196" i="2"/>
  <c r="BW256" i="2" s="1"/>
  <c r="BW291" i="2"/>
  <c r="BX230" i="2"/>
  <c r="BX200" i="2"/>
  <c r="BY186" i="2"/>
  <c r="CA221" i="2"/>
  <c r="BW295" i="2"/>
  <c r="BX184" i="2"/>
  <c r="BW275" i="2"/>
  <c r="BZ191" i="2"/>
  <c r="BZ251" i="2" s="1"/>
  <c r="BW197" i="2"/>
  <c r="BW257" i="2" s="1"/>
  <c r="BY190" i="2"/>
  <c r="BW201" i="2"/>
  <c r="BW261" i="2" s="1"/>
  <c r="BW233" i="2"/>
  <c r="BV274" i="2"/>
  <c r="BX287" i="2" l="1"/>
  <c r="BX276" i="2"/>
  <c r="CA220" i="2"/>
  <c r="BW264" i="2"/>
  <c r="BW283" i="2"/>
  <c r="BX283" i="2" s="1"/>
  <c r="BY253" i="2"/>
  <c r="BZ203" i="2"/>
  <c r="BW203" i="2"/>
  <c r="BZ193" i="2"/>
  <c r="BZ188" i="2"/>
  <c r="BV263" i="2"/>
  <c r="CA192" i="2"/>
  <c r="BX286" i="2"/>
  <c r="BZ187" i="2"/>
  <c r="BW293" i="2"/>
  <c r="BX293" i="2" s="1"/>
  <c r="BY218" i="2"/>
  <c r="BY248" i="2" s="1"/>
  <c r="BW278" i="2"/>
  <c r="BX278" i="2" s="1"/>
  <c r="BW229" i="2"/>
  <c r="BW289" i="2" s="1"/>
  <c r="BX119" i="2"/>
  <c r="BX275" i="2"/>
  <c r="BZ252" i="2"/>
  <c r="BZ227" i="2"/>
  <c r="BZ230" i="2"/>
  <c r="BY279" i="2"/>
  <c r="BY281" i="2"/>
  <c r="BY250" i="2"/>
  <c r="BX291" i="2"/>
  <c r="BX261" i="2"/>
  <c r="BY245" i="2"/>
  <c r="BX290" i="2"/>
  <c r="BX262" i="2"/>
  <c r="BW260" i="2"/>
  <c r="BX260" i="2" s="1"/>
  <c r="BY235" i="2"/>
  <c r="BX292" i="2"/>
  <c r="BZ194" i="2"/>
  <c r="BX280" i="2"/>
  <c r="BZ185" i="2"/>
  <c r="BZ214" i="2"/>
  <c r="BX295" i="2"/>
  <c r="CA190" i="2"/>
  <c r="BW195" i="2"/>
  <c r="CB221" i="2"/>
  <c r="BY230" i="2"/>
  <c r="BY232" i="2"/>
  <c r="CA214" i="2"/>
  <c r="BY184" i="2"/>
  <c r="BZ224" i="2"/>
  <c r="BX284" i="2"/>
  <c r="BZ218" i="2"/>
  <c r="BY231" i="2"/>
  <c r="CA191" i="2"/>
  <c r="CA251" i="2" s="1"/>
  <c r="BX225" i="2"/>
  <c r="CA215" i="2"/>
  <c r="CA224" i="2"/>
  <c r="BX257" i="2"/>
  <c r="CA189" i="2"/>
  <c r="CA249" i="2" s="1"/>
  <c r="BY227" i="2"/>
  <c r="CB219" i="2"/>
  <c r="BY233" i="2"/>
  <c r="BY246" i="2"/>
  <c r="BZ246" i="2" s="1"/>
  <c r="BY226" i="2"/>
  <c r="BX256" i="2"/>
  <c r="BX265" i="2"/>
  <c r="BY282" i="2"/>
  <c r="BW244" i="2"/>
  <c r="BZ190" i="2"/>
  <c r="CD189" i="2"/>
  <c r="BW274" i="2"/>
  <c r="CB214" i="2" l="1"/>
  <c r="BY280" i="2"/>
  <c r="CB220" i="2"/>
  <c r="BW263" i="2"/>
  <c r="BX263" i="2" s="1"/>
  <c r="CB218" i="2"/>
  <c r="BZ253" i="2"/>
  <c r="CA223" i="2"/>
  <c r="BY119" i="2"/>
  <c r="CA218" i="2"/>
  <c r="CA188" i="2"/>
  <c r="BW199" i="2"/>
  <c r="BW259" i="2" s="1"/>
  <c r="CA217" i="2"/>
  <c r="CA187" i="2"/>
  <c r="BW228" i="2"/>
  <c r="BW239" i="2" s="1"/>
  <c r="BW240" i="2" s="1"/>
  <c r="BW179" i="2"/>
  <c r="CA252" i="2"/>
  <c r="BZ200" i="2"/>
  <c r="BZ279" i="2"/>
  <c r="BZ197" i="2"/>
  <c r="BZ281" i="2"/>
  <c r="BZ250" i="2"/>
  <c r="CA250" i="2" s="1"/>
  <c r="BY291" i="2"/>
  <c r="BZ245" i="2"/>
  <c r="BZ254" i="2"/>
  <c r="BY295" i="2"/>
  <c r="BZ248" i="2"/>
  <c r="BY196" i="2"/>
  <c r="BY256" i="2" s="1"/>
  <c r="CB224" i="2"/>
  <c r="BY205" i="2"/>
  <c r="BY265" i="2" s="1"/>
  <c r="BY286" i="2"/>
  <c r="CB190" i="2"/>
  <c r="CC224" i="2"/>
  <c r="CC221" i="2"/>
  <c r="BY293" i="2"/>
  <c r="BZ293" i="2" s="1"/>
  <c r="BY284" i="2"/>
  <c r="BY287" i="2"/>
  <c r="BZ287" i="2" s="1"/>
  <c r="CB222" i="2"/>
  <c r="BY203" i="2"/>
  <c r="CB216" i="2"/>
  <c r="BX285" i="2"/>
  <c r="CB215" i="2"/>
  <c r="BY202" i="2"/>
  <c r="BY262" i="2" s="1"/>
  <c r="CB191" i="2"/>
  <c r="CB251" i="2" s="1"/>
  <c r="BY275" i="2"/>
  <c r="CA186" i="2"/>
  <c r="BZ235" i="2"/>
  <c r="BZ205" i="2"/>
  <c r="CA216" i="2"/>
  <c r="BY276" i="2"/>
  <c r="BZ195" i="2"/>
  <c r="CA194" i="2"/>
  <c r="BZ231" i="2"/>
  <c r="BZ201" i="2"/>
  <c r="CA184" i="2"/>
  <c r="BZ184" i="2"/>
  <c r="BY201" i="2"/>
  <c r="BY261" i="2" s="1"/>
  <c r="BY292" i="2"/>
  <c r="BZ232" i="2"/>
  <c r="BZ202" i="2"/>
  <c r="CA185" i="2"/>
  <c r="BY200" i="2"/>
  <c r="BY260" i="2" s="1"/>
  <c r="CB189" i="2"/>
  <c r="CB249" i="2" s="1"/>
  <c r="BX244" i="2"/>
  <c r="CA193" i="2"/>
  <c r="BY225" i="2"/>
  <c r="BZ226" i="2"/>
  <c r="BZ196" i="2"/>
  <c r="BW255" i="2"/>
  <c r="BX255" i="2" s="1"/>
  <c r="BY197" i="2"/>
  <c r="BY257" i="2" s="1"/>
  <c r="CC219" i="2"/>
  <c r="BY290" i="2"/>
  <c r="BZ290" i="2" s="1"/>
  <c r="CD219" i="2"/>
  <c r="BX274" i="2"/>
  <c r="BZ280" i="2" l="1"/>
  <c r="CC216" i="2"/>
  <c r="CB196" i="2"/>
  <c r="CB188" i="2"/>
  <c r="BY263" i="2"/>
  <c r="BZ263" i="2" s="1"/>
  <c r="BY234" i="2"/>
  <c r="CC222" i="2"/>
  <c r="CC223" i="2"/>
  <c r="BY204" i="2"/>
  <c r="BZ234" i="2"/>
  <c r="CA233" i="2"/>
  <c r="CA293" i="2" s="1"/>
  <c r="BY283" i="2"/>
  <c r="CA228" i="2"/>
  <c r="BZ119" i="2"/>
  <c r="CD222" i="2"/>
  <c r="CA253" i="2"/>
  <c r="CB223" i="2"/>
  <c r="CB193" i="2"/>
  <c r="BX204" i="2"/>
  <c r="BX234" i="2"/>
  <c r="BX294" i="2" s="1"/>
  <c r="CA248" i="2"/>
  <c r="BY229" i="2"/>
  <c r="CB187" i="2"/>
  <c r="BY278" i="2"/>
  <c r="BZ278" i="2" s="1"/>
  <c r="BX199" i="2"/>
  <c r="BX229" i="2"/>
  <c r="BX289" i="2" s="1"/>
  <c r="BW210" i="2"/>
  <c r="BW198" i="2"/>
  <c r="BW209" i="2" s="1"/>
  <c r="BW149" i="2"/>
  <c r="BX228" i="2"/>
  <c r="BX179" i="2"/>
  <c r="BY228" i="2"/>
  <c r="BZ260" i="2"/>
  <c r="BZ284" i="2"/>
  <c r="CA284" i="2" s="1"/>
  <c r="CA225" i="2"/>
  <c r="CA195" i="2"/>
  <c r="BZ257" i="2"/>
  <c r="BZ291" i="2"/>
  <c r="CF219" i="2"/>
  <c r="BZ282" i="2"/>
  <c r="CA245" i="2"/>
  <c r="BZ295" i="2"/>
  <c r="CB250" i="2"/>
  <c r="BZ256" i="2"/>
  <c r="CA246" i="2"/>
  <c r="CA254" i="2"/>
  <c r="BY285" i="2"/>
  <c r="BZ292" i="2"/>
  <c r="BZ265" i="2"/>
  <c r="CD221" i="2"/>
  <c r="CC220" i="2"/>
  <c r="CC215" i="2"/>
  <c r="CB185" i="2"/>
  <c r="BY195" i="2"/>
  <c r="BZ225" i="2"/>
  <c r="BZ262" i="2"/>
  <c r="CA281" i="2"/>
  <c r="CC194" i="2"/>
  <c r="CA235" i="2"/>
  <c r="CA205" i="2"/>
  <c r="CB186" i="2"/>
  <c r="CE219" i="2"/>
  <c r="CA227" i="2"/>
  <c r="CA287" i="2" s="1"/>
  <c r="BZ261" i="2"/>
  <c r="BY244" i="2"/>
  <c r="CA231" i="2"/>
  <c r="CA201" i="2"/>
  <c r="CC186" i="2"/>
  <c r="CA279" i="2"/>
  <c r="CB279" i="2" s="1"/>
  <c r="CB194" i="2"/>
  <c r="CA196" i="2"/>
  <c r="CB192" i="2"/>
  <c r="CB252" i="2" s="1"/>
  <c r="CB217" i="2"/>
  <c r="CB184" i="2"/>
  <c r="CA232" i="2"/>
  <c r="CA202" i="2"/>
  <c r="CC189" i="2"/>
  <c r="CC249" i="2" s="1"/>
  <c r="CD249" i="2" s="1"/>
  <c r="CA230" i="2"/>
  <c r="BZ275" i="2"/>
  <c r="BZ276" i="2"/>
  <c r="BZ286" i="2"/>
  <c r="CC191" i="2"/>
  <c r="CC251" i="2" s="1"/>
  <c r="BY274" i="2"/>
  <c r="CA276" i="2" l="1"/>
  <c r="CD220" i="2"/>
  <c r="CB226" i="2"/>
  <c r="CC193" i="2"/>
  <c r="BY294" i="2"/>
  <c r="BZ294" i="2" s="1"/>
  <c r="CA282" i="2"/>
  <c r="CB282" i="2" s="1"/>
  <c r="CC192" i="2"/>
  <c r="CC252" i="2" s="1"/>
  <c r="CA119" i="2"/>
  <c r="BZ204" i="2"/>
  <c r="CB229" i="2"/>
  <c r="CB253" i="2"/>
  <c r="CA198" i="2"/>
  <c r="CA234" i="2"/>
  <c r="CD218" i="2"/>
  <c r="CD192" i="2"/>
  <c r="CE222" i="2"/>
  <c r="CD223" i="2"/>
  <c r="CB248" i="2"/>
  <c r="BZ283" i="2"/>
  <c r="CA283" i="2" s="1"/>
  <c r="CC218" i="2"/>
  <c r="BX264" i="2"/>
  <c r="BY264" i="2" s="1"/>
  <c r="BX259" i="2"/>
  <c r="BY289" i="2"/>
  <c r="BY239" i="2"/>
  <c r="BY240" i="2" s="1"/>
  <c r="BZ229" i="2"/>
  <c r="BY199" i="2"/>
  <c r="CC217" i="2"/>
  <c r="BX198" i="2"/>
  <c r="BX149" i="2"/>
  <c r="BY179" i="2"/>
  <c r="CC279" i="2"/>
  <c r="CD279" i="2" s="1"/>
  <c r="CB245" i="2"/>
  <c r="CA275" i="2"/>
  <c r="CA280" i="2"/>
  <c r="CB254" i="2"/>
  <c r="CC254" i="2" s="1"/>
  <c r="CA295" i="2"/>
  <c r="CB246" i="2"/>
  <c r="CC246" i="2" s="1"/>
  <c r="BZ285" i="2"/>
  <c r="CA285" i="2" s="1"/>
  <c r="CA292" i="2"/>
  <c r="CA261" i="2"/>
  <c r="CA265" i="2"/>
  <c r="BY255" i="2"/>
  <c r="BZ255" i="2" s="1"/>
  <c r="CA255" i="2" s="1"/>
  <c r="CB235" i="2"/>
  <c r="CB227" i="2"/>
  <c r="CB232" i="2"/>
  <c r="CA226" i="2"/>
  <c r="CA286" i="2" s="1"/>
  <c r="CC214" i="2"/>
  <c r="CD215" i="2"/>
  <c r="CD216" i="2"/>
  <c r="CA197" i="2"/>
  <c r="CA257" i="2" s="1"/>
  <c r="CC190" i="2"/>
  <c r="CC250" i="2" s="1"/>
  <c r="CE220" i="2"/>
  <c r="CB233" i="2"/>
  <c r="CB293" i="2" s="1"/>
  <c r="CB281" i="2"/>
  <c r="CA291" i="2"/>
  <c r="BZ244" i="2"/>
  <c r="CD190" i="2"/>
  <c r="CE189" i="2"/>
  <c r="CC185" i="2"/>
  <c r="CA200" i="2"/>
  <c r="CA260" i="2" s="1"/>
  <c r="CD191" i="2"/>
  <c r="CD251" i="2" s="1"/>
  <c r="CD214" i="2"/>
  <c r="CB230" i="2"/>
  <c r="CD224" i="2"/>
  <c r="CB231" i="2"/>
  <c r="CA290" i="2"/>
  <c r="CE221" i="2"/>
  <c r="CA262" i="2"/>
  <c r="BZ274" i="2"/>
  <c r="CB286" i="2" l="1"/>
  <c r="CB280" i="2"/>
  <c r="CC280" i="2" s="1"/>
  <c r="CE223" i="2"/>
  <c r="CF224" i="2"/>
  <c r="CC233" i="2"/>
  <c r="BZ264" i="2"/>
  <c r="CB199" i="2"/>
  <c r="CA294" i="2"/>
  <c r="CE218" i="2"/>
  <c r="CA203" i="2"/>
  <c r="CA263" i="2" s="1"/>
  <c r="CB283" i="2"/>
  <c r="CC253" i="2"/>
  <c r="CC234" i="2"/>
  <c r="BY259" i="2"/>
  <c r="CA278" i="2"/>
  <c r="CB278" i="2" s="1"/>
  <c r="CD193" i="2"/>
  <c r="CD188" i="2"/>
  <c r="CE192" i="2"/>
  <c r="CB119" i="2"/>
  <c r="CC188" i="2"/>
  <c r="CC248" i="2" s="1"/>
  <c r="CE217" i="2"/>
  <c r="BZ199" i="2"/>
  <c r="CA229" i="2"/>
  <c r="CA239" i="2" s="1"/>
  <c r="CA240" i="2" s="1"/>
  <c r="BZ289" i="2"/>
  <c r="CC187" i="2"/>
  <c r="CD187" i="2"/>
  <c r="CD217" i="2"/>
  <c r="BZ228" i="2"/>
  <c r="BZ239" i="2" s="1"/>
  <c r="BZ240" i="2" s="1"/>
  <c r="BZ179" i="2"/>
  <c r="BY198" i="2"/>
  <c r="BY209" i="2" s="1"/>
  <c r="BY149" i="2"/>
  <c r="BY210" i="2"/>
  <c r="CF189" i="2"/>
  <c r="CC245" i="2"/>
  <c r="CB284" i="2"/>
  <c r="CB276" i="2"/>
  <c r="CC282" i="2"/>
  <c r="CB295" i="2"/>
  <c r="CB292" i="2"/>
  <c r="CE249" i="2"/>
  <c r="CA256" i="2"/>
  <c r="CB256" i="2" s="1"/>
  <c r="CD252" i="2"/>
  <c r="CE224" i="2"/>
  <c r="CD250" i="2"/>
  <c r="CB275" i="2"/>
  <c r="CD184" i="2"/>
  <c r="CC231" i="2"/>
  <c r="CC201" i="2"/>
  <c r="CE216" i="2"/>
  <c r="CB202" i="2"/>
  <c r="CB262" i="2" s="1"/>
  <c r="CC184" i="2"/>
  <c r="CC226" i="2"/>
  <c r="CD185" i="2"/>
  <c r="CB290" i="2"/>
  <c r="CA244" i="2"/>
  <c r="CB203" i="2"/>
  <c r="CB200" i="2"/>
  <c r="CB260" i="2" s="1"/>
  <c r="CF221" i="2"/>
  <c r="CC227" i="2"/>
  <c r="CC197" i="2"/>
  <c r="CD186" i="2"/>
  <c r="CD246" i="2" s="1"/>
  <c r="CB201" i="2"/>
  <c r="CB261" i="2" s="1"/>
  <c r="CE190" i="2"/>
  <c r="CB291" i="2"/>
  <c r="CE191" i="2"/>
  <c r="CE251" i="2" s="1"/>
  <c r="CC195" i="2"/>
  <c r="CB205" i="2"/>
  <c r="CB265" i="2" s="1"/>
  <c r="CC281" i="2"/>
  <c r="CE215" i="2"/>
  <c r="CC235" i="2"/>
  <c r="CC205" i="2"/>
  <c r="CD194" i="2"/>
  <c r="CD254" i="2" s="1"/>
  <c r="CC232" i="2"/>
  <c r="CC202" i="2"/>
  <c r="CB197" i="2"/>
  <c r="CB257" i="2" s="1"/>
  <c r="CB225" i="2"/>
  <c r="CB285" i="2" s="1"/>
  <c r="CC230" i="2"/>
  <c r="CB287" i="2"/>
  <c r="CA274" i="2"/>
  <c r="CC286" i="2" l="1"/>
  <c r="CE193" i="2"/>
  <c r="CF194" i="2"/>
  <c r="CC203" i="2"/>
  <c r="BZ259" i="2"/>
  <c r="CG224" i="2"/>
  <c r="CE188" i="2"/>
  <c r="CC204" i="2"/>
  <c r="CD253" i="2"/>
  <c r="CB263" i="2"/>
  <c r="CA204" i="2"/>
  <c r="CA264" i="2" s="1"/>
  <c r="CC119" i="2"/>
  <c r="CF192" i="2"/>
  <c r="CA179" i="2"/>
  <c r="CF222" i="2"/>
  <c r="CA289" i="2"/>
  <c r="CB289" i="2" s="1"/>
  <c r="CB234" i="2"/>
  <c r="CB294" i="2" s="1"/>
  <c r="CC294" i="2" s="1"/>
  <c r="CE187" i="2"/>
  <c r="CD248" i="2"/>
  <c r="CD228" i="2"/>
  <c r="BZ210" i="2"/>
  <c r="BZ198" i="2"/>
  <c r="BZ209" i="2" s="1"/>
  <c r="BZ149" i="2"/>
  <c r="CB228" i="2"/>
  <c r="CD245" i="2"/>
  <c r="CD281" i="2"/>
  <c r="CC276" i="2"/>
  <c r="CC295" i="2"/>
  <c r="CC284" i="2"/>
  <c r="CD284" i="2" s="1"/>
  <c r="CC278" i="2"/>
  <c r="CF249" i="2"/>
  <c r="CC262" i="2"/>
  <c r="CC261" i="2"/>
  <c r="CC291" i="2"/>
  <c r="CC257" i="2"/>
  <c r="CC265" i="2"/>
  <c r="CE252" i="2"/>
  <c r="CC287" i="2"/>
  <c r="CB244" i="2"/>
  <c r="CD226" i="2"/>
  <c r="CD196" i="2"/>
  <c r="CC283" i="2"/>
  <c r="CG216" i="2"/>
  <c r="CC196" i="2"/>
  <c r="CC256" i="2" s="1"/>
  <c r="CC200" i="2"/>
  <c r="CC260" i="2" s="1"/>
  <c r="CF216" i="2"/>
  <c r="CD231" i="2"/>
  <c r="CC293" i="2"/>
  <c r="CF191" i="2"/>
  <c r="CF251" i="2" s="1"/>
  <c r="CG221" i="2"/>
  <c r="CD230" i="2"/>
  <c r="CE186" i="2"/>
  <c r="CE246" i="2" s="1"/>
  <c r="CC292" i="2"/>
  <c r="CE185" i="2"/>
  <c r="CB195" i="2"/>
  <c r="CE214" i="2"/>
  <c r="CE250" i="2"/>
  <c r="CD233" i="2"/>
  <c r="CE194" i="2"/>
  <c r="CE254" i="2" s="1"/>
  <c r="CD235" i="2"/>
  <c r="CD205" i="2"/>
  <c r="CF215" i="2"/>
  <c r="CD232" i="2"/>
  <c r="CC275" i="2"/>
  <c r="CC225" i="2"/>
  <c r="CD195" i="2"/>
  <c r="CC290" i="2"/>
  <c r="CG220" i="2"/>
  <c r="CF214" i="2"/>
  <c r="CD227" i="2"/>
  <c r="CB274" i="2"/>
  <c r="CF184" i="2" l="1"/>
  <c r="CD286" i="2"/>
  <c r="CG214" i="2"/>
  <c r="CH220" i="2"/>
  <c r="CH216" i="2"/>
  <c r="CC263" i="2"/>
  <c r="CG194" i="2"/>
  <c r="CE253" i="2"/>
  <c r="CG222" i="2"/>
  <c r="CD282" i="2"/>
  <c r="CH222" i="2"/>
  <c r="CD119" i="2"/>
  <c r="CB204" i="2"/>
  <c r="CB264" i="2" s="1"/>
  <c r="CC264" i="2" s="1"/>
  <c r="CF223" i="2"/>
  <c r="CB239" i="2"/>
  <c r="CB240" i="2" s="1"/>
  <c r="CA199" i="2"/>
  <c r="CA149" i="2"/>
  <c r="CD198" i="2"/>
  <c r="CF217" i="2"/>
  <c r="CF218" i="2"/>
  <c r="CE248" i="2"/>
  <c r="CA210" i="2"/>
  <c r="CG217" i="2"/>
  <c r="CB179" i="2"/>
  <c r="CE245" i="2"/>
  <c r="CE284" i="2"/>
  <c r="CD295" i="2"/>
  <c r="CF227" i="2"/>
  <c r="CF230" i="2"/>
  <c r="CF226" i="2"/>
  <c r="CD276" i="2"/>
  <c r="CE276" i="2" s="1"/>
  <c r="CF254" i="2"/>
  <c r="CD291" i="2"/>
  <c r="CF252" i="2"/>
  <c r="CD265" i="2"/>
  <c r="CD287" i="2"/>
  <c r="CD293" i="2"/>
  <c r="CD256" i="2"/>
  <c r="CD203" i="2"/>
  <c r="CE230" i="2"/>
  <c r="CE231" i="2"/>
  <c r="CG186" i="2"/>
  <c r="CG189" i="2"/>
  <c r="CD200" i="2"/>
  <c r="CD260" i="2" s="1"/>
  <c r="CE232" i="2"/>
  <c r="CG190" i="2"/>
  <c r="CC244" i="2"/>
  <c r="CG219" i="2"/>
  <c r="CE279" i="2"/>
  <c r="CB255" i="2"/>
  <c r="CC255" i="2" s="1"/>
  <c r="CD292" i="2"/>
  <c r="CG191" i="2"/>
  <c r="CG251" i="2" s="1"/>
  <c r="CE227" i="2"/>
  <c r="CF185" i="2"/>
  <c r="CE184" i="2"/>
  <c r="CH219" i="2"/>
  <c r="CD225" i="2"/>
  <c r="CD202" i="2"/>
  <c r="CD262" i="2" s="1"/>
  <c r="CD275" i="2"/>
  <c r="CF186" i="2"/>
  <c r="CF246" i="2" s="1"/>
  <c r="CE226" i="2"/>
  <c r="CH221" i="2"/>
  <c r="CF190" i="2"/>
  <c r="CD290" i="2"/>
  <c r="CC285" i="2"/>
  <c r="CD201" i="2"/>
  <c r="CD261" i="2" s="1"/>
  <c r="CE235" i="2"/>
  <c r="CG192" i="2"/>
  <c r="CE233" i="2"/>
  <c r="CF220" i="2"/>
  <c r="CD280" i="2"/>
  <c r="CE280" i="2" s="1"/>
  <c r="CG215" i="2"/>
  <c r="CE281" i="2"/>
  <c r="CC274" i="2"/>
  <c r="CH190" i="2" l="1"/>
  <c r="CF229" i="2"/>
  <c r="CH186" i="2"/>
  <c r="CG223" i="2"/>
  <c r="CF228" i="2"/>
  <c r="CH218" i="2"/>
  <c r="CD263" i="2"/>
  <c r="CE282" i="2"/>
  <c r="CF282" i="2" s="1"/>
  <c r="CH223" i="2"/>
  <c r="CH224" i="2"/>
  <c r="CF119" i="2"/>
  <c r="CG188" i="2"/>
  <c r="CF234" i="2"/>
  <c r="CE204" i="2"/>
  <c r="CH192" i="2"/>
  <c r="CD283" i="2"/>
  <c r="CD278" i="2"/>
  <c r="CE278" i="2" s="1"/>
  <c r="CG187" i="2"/>
  <c r="CF193" i="2"/>
  <c r="CF253" i="2" s="1"/>
  <c r="CE119" i="2"/>
  <c r="CF245" i="2"/>
  <c r="CC199" i="2"/>
  <c r="CF187" i="2"/>
  <c r="CA259" i="2"/>
  <c r="CB259" i="2" s="1"/>
  <c r="CA209" i="2"/>
  <c r="CF188" i="2"/>
  <c r="CF248" i="2" s="1"/>
  <c r="CC229" i="2"/>
  <c r="CC289" i="2" s="1"/>
  <c r="CD229" i="2"/>
  <c r="CB198" i="2"/>
  <c r="CB209" i="2" s="1"/>
  <c r="CB149" i="2"/>
  <c r="CB210" i="2"/>
  <c r="CC228" i="2"/>
  <c r="CC179" i="2"/>
  <c r="CF200" i="2"/>
  <c r="CE295" i="2"/>
  <c r="CG254" i="2"/>
  <c r="CF197" i="2"/>
  <c r="CF276" i="2"/>
  <c r="CF196" i="2"/>
  <c r="CF281" i="2"/>
  <c r="CF280" i="2"/>
  <c r="CG252" i="2"/>
  <c r="CE291" i="2"/>
  <c r="CG246" i="2"/>
  <c r="CF250" i="2"/>
  <c r="CG250" i="2" s="1"/>
  <c r="CE293" i="2"/>
  <c r="CE287" i="2"/>
  <c r="CF287" i="2" s="1"/>
  <c r="CE292" i="2"/>
  <c r="CG249" i="2"/>
  <c r="CE290" i="2"/>
  <c r="CF290" i="2" s="1"/>
  <c r="CH194" i="2"/>
  <c r="CE200" i="2"/>
  <c r="CE260" i="2" s="1"/>
  <c r="CF231" i="2"/>
  <c r="CF201" i="2"/>
  <c r="CF279" i="2"/>
  <c r="CD285" i="2"/>
  <c r="CI221" i="2"/>
  <c r="CD255" i="2"/>
  <c r="CH189" i="2"/>
  <c r="CG193" i="2"/>
  <c r="CD244" i="2"/>
  <c r="CE201" i="2"/>
  <c r="CE261" i="2" s="1"/>
  <c r="CF233" i="2"/>
  <c r="CF203" i="2"/>
  <c r="CE225" i="2"/>
  <c r="CE275" i="2"/>
  <c r="CE197" i="2"/>
  <c r="CH215" i="2"/>
  <c r="CE202" i="2"/>
  <c r="CE262" i="2" s="1"/>
  <c r="CF232" i="2"/>
  <c r="CF202" i="2"/>
  <c r="CG218" i="2"/>
  <c r="CH214" i="2"/>
  <c r="CD197" i="2"/>
  <c r="CE205" i="2"/>
  <c r="CE265" i="2" s="1"/>
  <c r="CH191" i="2"/>
  <c r="CH251" i="2" s="1"/>
  <c r="CF235" i="2"/>
  <c r="CF205" i="2"/>
  <c r="CG185" i="2"/>
  <c r="CI219" i="2"/>
  <c r="CE286" i="2"/>
  <c r="CF286" i="2" s="1"/>
  <c r="CE203" i="2"/>
  <c r="CE196" i="2"/>
  <c r="CE256" i="2" s="1"/>
  <c r="CF195" i="2"/>
  <c r="CG184" i="2"/>
  <c r="CD274" i="2"/>
  <c r="CF199" i="2" l="1"/>
  <c r="CI186" i="2"/>
  <c r="CI216" i="2"/>
  <c r="CF198" i="2"/>
  <c r="CE283" i="2"/>
  <c r="CF283" i="2" s="1"/>
  <c r="CH217" i="2"/>
  <c r="CH188" i="2"/>
  <c r="CH193" i="2"/>
  <c r="CI224" i="2"/>
  <c r="CE263" i="2"/>
  <c r="CF263" i="2" s="1"/>
  <c r="CF204" i="2"/>
  <c r="CF284" i="2"/>
  <c r="CI194" i="2"/>
  <c r="CE234" i="2"/>
  <c r="CC239" i="2"/>
  <c r="CC240" i="2" s="1"/>
  <c r="CI222" i="2"/>
  <c r="CI192" i="2"/>
  <c r="CI218" i="2"/>
  <c r="CG234" i="2"/>
  <c r="CJ222" i="2"/>
  <c r="CD234" i="2"/>
  <c r="CD294" i="2" s="1"/>
  <c r="CG253" i="2"/>
  <c r="CD204" i="2"/>
  <c r="CD289" i="2"/>
  <c r="CI217" i="2"/>
  <c r="CG245" i="2"/>
  <c r="CC259" i="2"/>
  <c r="CD179" i="2"/>
  <c r="CC198" i="2"/>
  <c r="CC209" i="2" s="1"/>
  <c r="CC149" i="2"/>
  <c r="CF260" i="2"/>
  <c r="CF256" i="2"/>
  <c r="CG230" i="2"/>
  <c r="CG225" i="2"/>
  <c r="CG226" i="2"/>
  <c r="CH254" i="2"/>
  <c r="CH252" i="2"/>
  <c r="CH246" i="2"/>
  <c r="CF293" i="2"/>
  <c r="CH249" i="2"/>
  <c r="CG248" i="2"/>
  <c r="CF262" i="2"/>
  <c r="CH250" i="2"/>
  <c r="CE285" i="2"/>
  <c r="CG231" i="2"/>
  <c r="CG201" i="2"/>
  <c r="CJ220" i="2"/>
  <c r="CJ221" i="2"/>
  <c r="CF278" i="2"/>
  <c r="CF225" i="2"/>
  <c r="CF239" i="2" s="1"/>
  <c r="CG281" i="2"/>
  <c r="CF291" i="2"/>
  <c r="CG279" i="2"/>
  <c r="CF292" i="2"/>
  <c r="CJ219" i="2"/>
  <c r="CH184" i="2"/>
  <c r="CE195" i="2"/>
  <c r="CI215" i="2"/>
  <c r="CF275" i="2"/>
  <c r="CF295" i="2"/>
  <c r="CG235" i="2"/>
  <c r="CG205" i="2"/>
  <c r="CF261" i="2"/>
  <c r="CH187" i="2"/>
  <c r="CH185" i="2"/>
  <c r="CI189" i="2"/>
  <c r="CG232" i="2"/>
  <c r="CG202" i="2"/>
  <c r="CI191" i="2"/>
  <c r="CI251" i="2" s="1"/>
  <c r="CF265" i="2"/>
  <c r="CD257" i="2"/>
  <c r="CE257" i="2" s="1"/>
  <c r="CF257" i="2" s="1"/>
  <c r="CJ215" i="2"/>
  <c r="CE244" i="2"/>
  <c r="CE274" i="2"/>
  <c r="CG276" i="2" l="1"/>
  <c r="CF209" i="2"/>
  <c r="CF179" i="2"/>
  <c r="CG284" i="2"/>
  <c r="CF210" i="2"/>
  <c r="CK220" i="2"/>
  <c r="CE294" i="2"/>
  <c r="CF294" i="2" s="1"/>
  <c r="CG294" i="2" s="1"/>
  <c r="CI223" i="2"/>
  <c r="CC210" i="2"/>
  <c r="CJ223" i="2"/>
  <c r="CG282" i="2"/>
  <c r="CH282" i="2" s="1"/>
  <c r="CJ218" i="2"/>
  <c r="CK222" i="2"/>
  <c r="CH234" i="2"/>
  <c r="CG233" i="2"/>
  <c r="CG293" i="2" s="1"/>
  <c r="CJ192" i="2"/>
  <c r="CI187" i="2"/>
  <c r="CD264" i="2"/>
  <c r="CE264" i="2" s="1"/>
  <c r="CF264" i="2" s="1"/>
  <c r="CD239" i="2"/>
  <c r="CD240" i="2" s="1"/>
  <c r="CH253" i="2"/>
  <c r="CH233" i="2"/>
  <c r="CH245" i="2"/>
  <c r="CD199" i="2"/>
  <c r="CD209" i="2" s="1"/>
  <c r="CD149" i="2"/>
  <c r="CG119" i="2"/>
  <c r="CE199" i="2"/>
  <c r="CE229" i="2"/>
  <c r="CE289" i="2" s="1"/>
  <c r="CF289" i="2" s="1"/>
  <c r="CE228" i="2"/>
  <c r="CE179" i="2"/>
  <c r="CG275" i="2"/>
  <c r="CH275" i="2" s="1"/>
  <c r="CG278" i="2"/>
  <c r="CG195" i="2"/>
  <c r="CG200" i="2"/>
  <c r="CG260" i="2" s="1"/>
  <c r="CI252" i="2"/>
  <c r="CG196" i="2"/>
  <c r="CG256" i="2" s="1"/>
  <c r="CG286" i="2"/>
  <c r="CG290" i="2"/>
  <c r="CI249" i="2"/>
  <c r="CI254" i="2"/>
  <c r="CF240" i="2"/>
  <c r="CH248" i="2"/>
  <c r="CG292" i="2"/>
  <c r="CG262" i="2"/>
  <c r="CF285" i="2"/>
  <c r="CG285" i="2" s="1"/>
  <c r="CG261" i="2"/>
  <c r="CG295" i="2"/>
  <c r="CI246" i="2"/>
  <c r="CK221" i="2"/>
  <c r="CJ189" i="2"/>
  <c r="CJ224" i="2"/>
  <c r="CE255" i="2"/>
  <c r="CF255" i="2" s="1"/>
  <c r="CF244" i="2"/>
  <c r="CG265" i="2"/>
  <c r="CI185" i="2"/>
  <c r="CI190" i="2"/>
  <c r="CK219" i="2"/>
  <c r="CI220" i="2"/>
  <c r="CG280" i="2"/>
  <c r="CH280" i="2" s="1"/>
  <c r="CH227" i="2"/>
  <c r="CI193" i="2"/>
  <c r="CH235" i="2"/>
  <c r="CH232" i="2"/>
  <c r="CF149" i="2"/>
  <c r="CJ190" i="2"/>
  <c r="CI214" i="2"/>
  <c r="CJ185" i="2"/>
  <c r="CG291" i="2"/>
  <c r="CH231" i="2"/>
  <c r="CH279" i="2"/>
  <c r="CH281" i="2"/>
  <c r="CG227" i="2"/>
  <c r="CJ191" i="2"/>
  <c r="CJ251" i="2" s="1"/>
  <c r="CH225" i="2"/>
  <c r="CF274" i="2"/>
  <c r="CL215" i="2" l="1"/>
  <c r="CK190" i="2"/>
  <c r="CG283" i="2"/>
  <c r="CH283" i="2" s="1"/>
  <c r="CH204" i="2"/>
  <c r="CI233" i="2"/>
  <c r="CK192" i="2"/>
  <c r="CJ193" i="2"/>
  <c r="CI188" i="2"/>
  <c r="CI248" i="2" s="1"/>
  <c r="CG204" i="2"/>
  <c r="CG264" i="2" s="1"/>
  <c r="CL224" i="2"/>
  <c r="CH278" i="2"/>
  <c r="CG203" i="2"/>
  <c r="CG263" i="2" s="1"/>
  <c r="CJ188" i="2"/>
  <c r="CI234" i="2"/>
  <c r="CE239" i="2"/>
  <c r="CE240" i="2" s="1"/>
  <c r="CH203" i="2"/>
  <c r="CD210" i="2"/>
  <c r="CH229" i="2"/>
  <c r="CI253" i="2"/>
  <c r="CI245" i="2"/>
  <c r="CJ245" i="2" s="1"/>
  <c r="CI228" i="2"/>
  <c r="CI119" i="2"/>
  <c r="CD259" i="2"/>
  <c r="CE259" i="2" s="1"/>
  <c r="CF259" i="2" s="1"/>
  <c r="CK217" i="2"/>
  <c r="CE198" i="2"/>
  <c r="CE209" i="2" s="1"/>
  <c r="CE149" i="2"/>
  <c r="CJ249" i="2"/>
  <c r="CI281" i="2"/>
  <c r="CG255" i="2"/>
  <c r="CJ252" i="2"/>
  <c r="CI279" i="2"/>
  <c r="CH295" i="2"/>
  <c r="CH292" i="2"/>
  <c r="CH293" i="2"/>
  <c r="CH294" i="2"/>
  <c r="CH291" i="2"/>
  <c r="CG197" i="2"/>
  <c r="CJ216" i="2"/>
  <c r="CH276" i="2"/>
  <c r="CJ194" i="2"/>
  <c r="CJ254" i="2" s="1"/>
  <c r="CK191" i="2"/>
  <c r="CK251" i="2" s="1"/>
  <c r="CI280" i="2"/>
  <c r="CI226" i="2"/>
  <c r="CI196" i="2"/>
  <c r="CG244" i="2"/>
  <c r="CJ214" i="2"/>
  <c r="CL221" i="2"/>
  <c r="CI227" i="2"/>
  <c r="CI197" i="2"/>
  <c r="CH285" i="2"/>
  <c r="CI250" i="2"/>
  <c r="CJ250" i="2" s="1"/>
  <c r="CH202" i="2"/>
  <c r="CH262" i="2" s="1"/>
  <c r="CH197" i="2"/>
  <c r="CI282" i="2"/>
  <c r="CG287" i="2"/>
  <c r="CH287" i="2" s="1"/>
  <c r="CI231" i="2"/>
  <c r="CI201" i="2"/>
  <c r="CK189" i="2"/>
  <c r="CL219" i="2"/>
  <c r="CI232" i="2"/>
  <c r="CI202" i="2"/>
  <c r="CH205" i="2"/>
  <c r="CH265" i="2" s="1"/>
  <c r="CH196" i="2"/>
  <c r="CI225" i="2"/>
  <c r="CI195" i="2"/>
  <c r="CI184" i="2"/>
  <c r="CH226" i="2"/>
  <c r="CH200" i="2"/>
  <c r="CH230" i="2"/>
  <c r="CH290" i="2" s="1"/>
  <c r="CK216" i="2"/>
  <c r="CI235" i="2"/>
  <c r="CI205" i="2"/>
  <c r="CH201" i="2"/>
  <c r="CH261" i="2" s="1"/>
  <c r="CI230" i="2"/>
  <c r="CI200" i="2"/>
  <c r="CJ186" i="2"/>
  <c r="CK224" i="2"/>
  <c r="CH284" i="2"/>
  <c r="CG274" i="2"/>
  <c r="CL185" i="2" l="1"/>
  <c r="CM220" i="2"/>
  <c r="CI203" i="2"/>
  <c r="CI294" i="2"/>
  <c r="CK223" i="2"/>
  <c r="CL222" i="2"/>
  <c r="CI204" i="2"/>
  <c r="CH263" i="2"/>
  <c r="CL223" i="2"/>
  <c r="CE210" i="2"/>
  <c r="CJ253" i="2"/>
  <c r="CH264" i="2"/>
  <c r="CI198" i="2"/>
  <c r="CK252" i="2"/>
  <c r="CJ248" i="2"/>
  <c r="CG229" i="2"/>
  <c r="CG289" i="2" s="1"/>
  <c r="CH289" i="2" s="1"/>
  <c r="CG199" i="2"/>
  <c r="CK188" i="2"/>
  <c r="CJ228" i="2"/>
  <c r="CG228" i="2"/>
  <c r="CG179" i="2"/>
  <c r="CK249" i="2"/>
  <c r="CJ281" i="2"/>
  <c r="CJ227" i="2"/>
  <c r="CI291" i="2"/>
  <c r="CI287" i="2"/>
  <c r="CJ246" i="2"/>
  <c r="CI265" i="2"/>
  <c r="CH286" i="2"/>
  <c r="CI286" i="2" s="1"/>
  <c r="CK250" i="2"/>
  <c r="CI290" i="2"/>
  <c r="CI261" i="2"/>
  <c r="CL220" i="2"/>
  <c r="CI293" i="2"/>
  <c r="CG257" i="2"/>
  <c r="CH257" i="2" s="1"/>
  <c r="CI257" i="2" s="1"/>
  <c r="CK214" i="2"/>
  <c r="CI284" i="2"/>
  <c r="CJ284" i="2" s="1"/>
  <c r="CK215" i="2"/>
  <c r="CI275" i="2"/>
  <c r="CJ275" i="2" s="1"/>
  <c r="CJ231" i="2"/>
  <c r="CI276" i="2"/>
  <c r="CL189" i="2"/>
  <c r="CJ235" i="2"/>
  <c r="CJ205" i="2"/>
  <c r="CM221" i="2"/>
  <c r="CM219" i="2"/>
  <c r="CJ226" i="2"/>
  <c r="CL191" i="2"/>
  <c r="CL251" i="2" s="1"/>
  <c r="CK218" i="2"/>
  <c r="CI278" i="2"/>
  <c r="CJ184" i="2"/>
  <c r="CH244" i="2"/>
  <c r="CI295" i="2"/>
  <c r="CJ232" i="2"/>
  <c r="CJ202" i="2"/>
  <c r="CH195" i="2"/>
  <c r="CJ230" i="2"/>
  <c r="CJ200" i="2"/>
  <c r="CI292" i="2"/>
  <c r="CH260" i="2"/>
  <c r="CI260" i="2" s="1"/>
  <c r="CK194" i="2"/>
  <c r="CK254" i="2" s="1"/>
  <c r="CK186" i="2"/>
  <c r="CH256" i="2"/>
  <c r="CI256" i="2" s="1"/>
  <c r="CI262" i="2"/>
  <c r="CL216" i="2"/>
  <c r="CK193" i="2"/>
  <c r="CK185" i="2"/>
  <c r="CI285" i="2"/>
  <c r="CJ233" i="2"/>
  <c r="CJ203" i="2"/>
  <c r="CJ279" i="2"/>
  <c r="CH274" i="2"/>
  <c r="CM190" i="2" l="1"/>
  <c r="CI263" i="2"/>
  <c r="CJ263" i="2" s="1"/>
  <c r="CL194" i="2"/>
  <c r="CL254" i="2" s="1"/>
  <c r="CI283" i="2"/>
  <c r="CJ283" i="2" s="1"/>
  <c r="CL192" i="2"/>
  <c r="CL252" i="2" s="1"/>
  <c r="CK229" i="2"/>
  <c r="CJ282" i="2"/>
  <c r="CI264" i="2"/>
  <c r="CK234" i="2"/>
  <c r="CL217" i="2"/>
  <c r="CH199" i="2"/>
  <c r="CK253" i="2"/>
  <c r="CJ119" i="2"/>
  <c r="CM222" i="2"/>
  <c r="CK187" i="2"/>
  <c r="CG259" i="2"/>
  <c r="CL218" i="2"/>
  <c r="CG239" i="2"/>
  <c r="CG240" i="2" s="1"/>
  <c r="CJ198" i="2"/>
  <c r="CM217" i="2"/>
  <c r="CG198" i="2"/>
  <c r="CG209" i="2" s="1"/>
  <c r="CG149" i="2"/>
  <c r="CK119" i="2"/>
  <c r="CL249" i="2"/>
  <c r="CJ287" i="2"/>
  <c r="CK281" i="2"/>
  <c r="CK279" i="2"/>
  <c r="CJ280" i="2"/>
  <c r="CK280" i="2" s="1"/>
  <c r="CJ291" i="2"/>
  <c r="CJ197" i="2"/>
  <c r="CJ257" i="2" s="1"/>
  <c r="CK245" i="2"/>
  <c r="CL245" i="2" s="1"/>
  <c r="CK248" i="2"/>
  <c r="CK246" i="2"/>
  <c r="CJ265" i="2"/>
  <c r="CK232" i="2"/>
  <c r="CH255" i="2"/>
  <c r="CI255" i="2" s="1"/>
  <c r="CI244" i="2"/>
  <c r="CJ201" i="2"/>
  <c r="CJ261" i="2" s="1"/>
  <c r="CK233" i="2"/>
  <c r="CL214" i="2"/>
  <c r="CN219" i="2"/>
  <c r="CJ286" i="2"/>
  <c r="CM191" i="2"/>
  <c r="CM251" i="2" s="1"/>
  <c r="CJ276" i="2"/>
  <c r="CJ293" i="2"/>
  <c r="CM216" i="2"/>
  <c r="CM224" i="2"/>
  <c r="CJ295" i="2"/>
  <c r="CK226" i="2"/>
  <c r="CJ196" i="2"/>
  <c r="CJ256" i="2" s="1"/>
  <c r="CL186" i="2"/>
  <c r="CJ260" i="2"/>
  <c r="CM215" i="2"/>
  <c r="CN221" i="2"/>
  <c r="CJ225" i="2"/>
  <c r="CM189" i="2"/>
  <c r="CK231" i="2"/>
  <c r="CK230" i="2"/>
  <c r="CK184" i="2"/>
  <c r="CM214" i="2"/>
  <c r="CJ262" i="2"/>
  <c r="CL187" i="2"/>
  <c r="CJ292" i="2"/>
  <c r="CJ290" i="2"/>
  <c r="CL190" i="2"/>
  <c r="CL250" i="2" s="1"/>
  <c r="CK235" i="2"/>
  <c r="CI274" i="2"/>
  <c r="CO216" i="2" l="1"/>
  <c r="CN218" i="2"/>
  <c r="CM218" i="2"/>
  <c r="CK199" i="2"/>
  <c r="CN222" i="2"/>
  <c r="CL233" i="2"/>
  <c r="CL193" i="2"/>
  <c r="CL253" i="2" s="1"/>
  <c r="CM223" i="2"/>
  <c r="CJ278" i="2"/>
  <c r="CH259" i="2"/>
  <c r="CJ234" i="2"/>
  <c r="CJ294" i="2" s="1"/>
  <c r="CK294" i="2" s="1"/>
  <c r="CL119" i="2"/>
  <c r="CL229" i="2"/>
  <c r="CM192" i="2"/>
  <c r="CM252" i="2" s="1"/>
  <c r="CK282" i="2"/>
  <c r="CL188" i="2"/>
  <c r="CL248" i="2" s="1"/>
  <c r="CG210" i="2"/>
  <c r="CI229" i="2"/>
  <c r="CI239" i="2" s="1"/>
  <c r="CI240" i="2" s="1"/>
  <c r="CI179" i="2"/>
  <c r="CL228" i="2"/>
  <c r="CM187" i="2"/>
  <c r="CM249" i="2"/>
  <c r="CK284" i="2"/>
  <c r="CL246" i="2"/>
  <c r="CK290" i="2"/>
  <c r="CK292" i="2"/>
  <c r="CK275" i="2"/>
  <c r="CN216" i="2"/>
  <c r="CK293" i="2"/>
  <c r="CN220" i="2"/>
  <c r="CN215" i="2"/>
  <c r="CM184" i="2"/>
  <c r="CL232" i="2"/>
  <c r="CL202" i="2"/>
  <c r="CN189" i="2"/>
  <c r="CL184" i="2"/>
  <c r="CL226" i="2"/>
  <c r="CL196" i="2"/>
  <c r="CM250" i="2"/>
  <c r="CO221" i="2"/>
  <c r="CK205" i="2"/>
  <c r="CK265" i="2" s="1"/>
  <c r="CK291" i="2"/>
  <c r="CK225" i="2"/>
  <c r="CM193" i="2"/>
  <c r="CL231" i="2"/>
  <c r="CL201" i="2"/>
  <c r="CL279" i="2"/>
  <c r="CJ244" i="2"/>
  <c r="CJ195" i="2"/>
  <c r="CK196" i="2"/>
  <c r="CK256" i="2" s="1"/>
  <c r="CK276" i="2"/>
  <c r="CK201" i="2"/>
  <c r="CK261" i="2" s="1"/>
  <c r="CL235" i="2"/>
  <c r="CL205" i="2"/>
  <c r="CL227" i="2"/>
  <c r="CL197" i="2"/>
  <c r="CN214" i="2"/>
  <c r="CN191" i="2"/>
  <c r="CN251" i="2" s="1"/>
  <c r="CO219" i="2"/>
  <c r="CN192" i="2"/>
  <c r="CM186" i="2"/>
  <c r="CM194" i="2"/>
  <c r="CM254" i="2" s="1"/>
  <c r="CK286" i="2"/>
  <c r="CK197" i="2"/>
  <c r="CK202" i="2"/>
  <c r="CK262" i="2" s="1"/>
  <c r="CN224" i="2"/>
  <c r="CM185" i="2"/>
  <c r="CM245" i="2" s="1"/>
  <c r="CK200" i="2"/>
  <c r="CK260" i="2" s="1"/>
  <c r="CL230" i="2"/>
  <c r="CL200" i="2"/>
  <c r="CM188" i="2"/>
  <c r="CL281" i="2"/>
  <c r="CL195" i="2"/>
  <c r="CK295" i="2"/>
  <c r="CJ285" i="2"/>
  <c r="CK203" i="2"/>
  <c r="CK263" i="2" s="1"/>
  <c r="CK227" i="2"/>
  <c r="CK287" i="2" s="1"/>
  <c r="CJ274" i="2"/>
  <c r="CO185" i="2" l="1"/>
  <c r="CO215" i="2"/>
  <c r="CK204" i="2"/>
  <c r="CL282" i="2"/>
  <c r="CN188" i="2"/>
  <c r="CK278" i="2"/>
  <c r="CL278" i="2" s="1"/>
  <c r="CP222" i="2"/>
  <c r="CL203" i="2"/>
  <c r="CL263" i="2" s="1"/>
  <c r="CO223" i="2"/>
  <c r="CO222" i="2"/>
  <c r="CK283" i="2"/>
  <c r="CM253" i="2"/>
  <c r="CN249" i="2"/>
  <c r="CO217" i="2"/>
  <c r="CL199" i="2"/>
  <c r="CN223" i="2"/>
  <c r="CN193" i="2"/>
  <c r="CJ204" i="2"/>
  <c r="CJ264" i="2" s="1"/>
  <c r="CN217" i="2"/>
  <c r="CM248" i="2"/>
  <c r="CI199" i="2"/>
  <c r="CI210" i="2"/>
  <c r="CI149" i="2"/>
  <c r="CJ229" i="2"/>
  <c r="CJ179" i="2"/>
  <c r="CI289" i="2"/>
  <c r="CL198" i="2"/>
  <c r="CN252" i="2"/>
  <c r="CL275" i="2"/>
  <c r="CM275" i="2" s="1"/>
  <c r="CL276" i="2"/>
  <c r="CM276" i="2" s="1"/>
  <c r="CM246" i="2"/>
  <c r="CM281" i="2"/>
  <c r="CL287" i="2"/>
  <c r="CL260" i="2"/>
  <c r="CL262" i="2"/>
  <c r="CL286" i="2"/>
  <c r="CL256" i="2"/>
  <c r="CL291" i="2"/>
  <c r="CL265" i="2"/>
  <c r="CO192" i="2"/>
  <c r="CL261" i="2"/>
  <c r="CN184" i="2"/>
  <c r="CK195" i="2"/>
  <c r="CL293" i="2"/>
  <c r="CL290" i="2"/>
  <c r="CK285" i="2"/>
  <c r="CM232" i="2"/>
  <c r="CM202" i="2"/>
  <c r="CP219" i="2"/>
  <c r="CN185" i="2"/>
  <c r="CN245" i="2" s="1"/>
  <c r="CM231" i="2"/>
  <c r="CM201" i="2"/>
  <c r="CN194" i="2"/>
  <c r="CN254" i="2" s="1"/>
  <c r="CM226" i="2"/>
  <c r="CN186" i="2"/>
  <c r="CO189" i="2"/>
  <c r="CM230" i="2"/>
  <c r="CL295" i="2"/>
  <c r="CK257" i="2"/>
  <c r="CL257" i="2" s="1"/>
  <c r="CL280" i="2"/>
  <c r="CM235" i="2"/>
  <c r="CM227" i="2"/>
  <c r="CO186" i="2"/>
  <c r="CO224" i="2"/>
  <c r="CK244" i="2"/>
  <c r="CM279" i="2"/>
  <c r="CN190" i="2"/>
  <c r="CN250" i="2" s="1"/>
  <c r="CO220" i="2"/>
  <c r="CL284" i="2"/>
  <c r="CO191" i="2"/>
  <c r="CO251" i="2" s="1"/>
  <c r="CM233" i="2"/>
  <c r="CL225" i="2"/>
  <c r="CL292" i="2"/>
  <c r="CJ255" i="2"/>
  <c r="CP221" i="2"/>
  <c r="CN187" i="2"/>
  <c r="CK274" i="2"/>
  <c r="CK264" i="2" l="1"/>
  <c r="CN229" i="2"/>
  <c r="CP223" i="2"/>
  <c r="CP218" i="2"/>
  <c r="CM204" i="2"/>
  <c r="CP224" i="2"/>
  <c r="CM282" i="2"/>
  <c r="CN282" i="2" s="1"/>
  <c r="CO218" i="2"/>
  <c r="CP192" i="2"/>
  <c r="CL283" i="2"/>
  <c r="CM283" i="2" s="1"/>
  <c r="CM119" i="2"/>
  <c r="CO249" i="2"/>
  <c r="CQ222" i="2"/>
  <c r="CN253" i="2"/>
  <c r="CN233" i="2"/>
  <c r="CN248" i="2"/>
  <c r="CL204" i="2"/>
  <c r="CJ289" i="2"/>
  <c r="CK289" i="2" s="1"/>
  <c r="CL289" i="2" s="1"/>
  <c r="CJ199" i="2"/>
  <c r="CJ149" i="2"/>
  <c r="CI209" i="2"/>
  <c r="CI259" i="2"/>
  <c r="CP217" i="2"/>
  <c r="CK228" i="2"/>
  <c r="CK239" i="2" s="1"/>
  <c r="CK240" i="2" s="1"/>
  <c r="CK179" i="2"/>
  <c r="CO252" i="2"/>
  <c r="CN246" i="2"/>
  <c r="CO246" i="2" s="1"/>
  <c r="CN281" i="2"/>
  <c r="CM284" i="2"/>
  <c r="CM262" i="2"/>
  <c r="CM287" i="2"/>
  <c r="CK255" i="2"/>
  <c r="CM290" i="2"/>
  <c r="CM292" i="2"/>
  <c r="CM205" i="2"/>
  <c r="CM265" i="2" s="1"/>
  <c r="CM200" i="2"/>
  <c r="CM260" i="2" s="1"/>
  <c r="CN279" i="2"/>
  <c r="CN235" i="2"/>
  <c r="CM203" i="2"/>
  <c r="CM263" i="2" s="1"/>
  <c r="CL244" i="2"/>
  <c r="CO194" i="2"/>
  <c r="CO254" i="2" s="1"/>
  <c r="CM293" i="2"/>
  <c r="CO190" i="2"/>
  <c r="CO250" i="2" s="1"/>
  <c r="CM295" i="2"/>
  <c r="CM196" i="2"/>
  <c r="CM256" i="2" s="1"/>
  <c r="CP194" i="2"/>
  <c r="CN227" i="2"/>
  <c r="CL285" i="2"/>
  <c r="CM291" i="2"/>
  <c r="CM225" i="2"/>
  <c r="CQ220" i="2"/>
  <c r="CN226" i="2"/>
  <c r="CP216" i="2"/>
  <c r="CO245" i="2"/>
  <c r="CN231" i="2"/>
  <c r="CM286" i="2"/>
  <c r="CQ221" i="2"/>
  <c r="CM261" i="2"/>
  <c r="CN230" i="2"/>
  <c r="CO214" i="2"/>
  <c r="CQ219" i="2"/>
  <c r="CM197" i="2"/>
  <c r="CM257" i="2" s="1"/>
  <c r="CM280" i="2"/>
  <c r="CP220" i="2"/>
  <c r="CP189" i="2"/>
  <c r="CN232" i="2"/>
  <c r="CP191" i="2"/>
  <c r="CP251" i="2" s="1"/>
  <c r="CL274" i="2"/>
  <c r="CO234" i="2" l="1"/>
  <c r="CN283" i="2"/>
  <c r="CM278" i="2"/>
  <c r="CN278" i="2" s="1"/>
  <c r="CN199" i="2"/>
  <c r="CP188" i="2"/>
  <c r="CP193" i="2"/>
  <c r="CN284" i="2"/>
  <c r="CN119" i="2"/>
  <c r="CM234" i="2"/>
  <c r="CO188" i="2"/>
  <c r="CO248" i="2" s="1"/>
  <c r="CO193" i="2"/>
  <c r="CO253" i="2" s="1"/>
  <c r="CQ224" i="2"/>
  <c r="CQ192" i="2"/>
  <c r="CO187" i="2"/>
  <c r="CP249" i="2"/>
  <c r="CP187" i="2"/>
  <c r="CO233" i="2"/>
  <c r="CL209" i="2"/>
  <c r="CL234" i="2"/>
  <c r="CL239" i="2" s="1"/>
  <c r="CL179" i="2"/>
  <c r="CR222" i="2"/>
  <c r="CL149" i="2"/>
  <c r="CM228" i="2"/>
  <c r="CJ259" i="2"/>
  <c r="CK259" i="2" s="1"/>
  <c r="CL259" i="2" s="1"/>
  <c r="CK210" i="2"/>
  <c r="CK198" i="2"/>
  <c r="CK209" i="2" s="1"/>
  <c r="CK149" i="2"/>
  <c r="CP252" i="2"/>
  <c r="CO282" i="2"/>
  <c r="CO281" i="2"/>
  <c r="CO226" i="2"/>
  <c r="CO196" i="2"/>
  <c r="CL255" i="2"/>
  <c r="CN287" i="2"/>
  <c r="CM285" i="2"/>
  <c r="CP254" i="2"/>
  <c r="CN286" i="2"/>
  <c r="CN293" i="2"/>
  <c r="CN292" i="2"/>
  <c r="CP186" i="2"/>
  <c r="CP246" i="2" s="1"/>
  <c r="CN295" i="2"/>
  <c r="CQ216" i="2"/>
  <c r="CP190" i="2"/>
  <c r="CP250" i="2" s="1"/>
  <c r="CO231" i="2"/>
  <c r="CO201" i="2"/>
  <c r="CO195" i="2"/>
  <c r="CR220" i="2"/>
  <c r="CO232" i="2"/>
  <c r="CO202" i="2"/>
  <c r="CQ190" i="2"/>
  <c r="CN205" i="2"/>
  <c r="CN265" i="2" s="1"/>
  <c r="CM195" i="2"/>
  <c r="CN280" i="2"/>
  <c r="CO280" i="2" s="1"/>
  <c r="CQ189" i="2"/>
  <c r="CN197" i="2"/>
  <c r="CN257" i="2" s="1"/>
  <c r="CN290" i="2"/>
  <c r="CR219" i="2"/>
  <c r="CP185" i="2"/>
  <c r="CM244" i="2"/>
  <c r="CO235" i="2"/>
  <c r="CO205" i="2"/>
  <c r="CQ215" i="2"/>
  <c r="CQ191" i="2"/>
  <c r="CQ251" i="2" s="1"/>
  <c r="CQ194" i="2"/>
  <c r="CP215" i="2"/>
  <c r="CN275" i="2"/>
  <c r="CO230" i="2"/>
  <c r="CO200" i="2"/>
  <c r="CN201" i="2"/>
  <c r="CN261" i="2" s="1"/>
  <c r="CN196" i="2"/>
  <c r="CN256" i="2" s="1"/>
  <c r="CO227" i="2"/>
  <c r="CO197" i="2"/>
  <c r="CO279" i="2"/>
  <c r="CN276" i="2"/>
  <c r="CN200" i="2"/>
  <c r="CN260" i="2" s="1"/>
  <c r="CN225" i="2"/>
  <c r="CN291" i="2"/>
  <c r="CN202" i="2"/>
  <c r="CN262" i="2" s="1"/>
  <c r="CP214" i="2"/>
  <c r="CR221" i="2"/>
  <c r="CO184" i="2"/>
  <c r="CM274" i="2"/>
  <c r="CS216" i="2" l="1"/>
  <c r="CO204" i="2"/>
  <c r="CS224" i="2"/>
  <c r="CO284" i="2"/>
  <c r="CN204" i="2"/>
  <c r="CN234" i="2"/>
  <c r="CP253" i="2"/>
  <c r="CN203" i="2"/>
  <c r="CN263" i="2" s="1"/>
  <c r="CO203" i="2"/>
  <c r="CR223" i="2"/>
  <c r="CQ249" i="2"/>
  <c r="CS222" i="2"/>
  <c r="CO293" i="2"/>
  <c r="CQ188" i="2"/>
  <c r="CP229" i="2"/>
  <c r="CP248" i="2"/>
  <c r="CL240" i="2"/>
  <c r="CL210" i="2"/>
  <c r="CL294" i="2"/>
  <c r="CM294" i="2" s="1"/>
  <c r="CL264" i="2"/>
  <c r="CM264" i="2" s="1"/>
  <c r="CM198" i="2"/>
  <c r="CM229" i="2"/>
  <c r="CM239" i="2" s="1"/>
  <c r="CM240" i="2" s="1"/>
  <c r="CM179" i="2"/>
  <c r="CO119" i="2"/>
  <c r="CP119" i="2"/>
  <c r="CQ252" i="2"/>
  <c r="CQ217" i="2"/>
  <c r="CQ187" i="2"/>
  <c r="CP282" i="2"/>
  <c r="CO256" i="2"/>
  <c r="CP281" i="2"/>
  <c r="CP279" i="2"/>
  <c r="CO275" i="2"/>
  <c r="CO286" i="2"/>
  <c r="CP280" i="2"/>
  <c r="CP227" i="2"/>
  <c r="CP197" i="2"/>
  <c r="CM255" i="2"/>
  <c r="CO292" i="2"/>
  <c r="CO295" i="2"/>
  <c r="CO265" i="2"/>
  <c r="CQ254" i="2"/>
  <c r="CO291" i="2"/>
  <c r="CO262" i="2"/>
  <c r="CP245" i="2"/>
  <c r="CO257" i="2"/>
  <c r="CO260" i="2"/>
  <c r="CO290" i="2"/>
  <c r="CO261" i="2"/>
  <c r="CR215" i="2"/>
  <c r="CQ250" i="2"/>
  <c r="CN195" i="2"/>
  <c r="CR189" i="2"/>
  <c r="CP230" i="2"/>
  <c r="CR224" i="2"/>
  <c r="CO287" i="2"/>
  <c r="CN244" i="2"/>
  <c r="CN285" i="2"/>
  <c r="CQ185" i="2"/>
  <c r="CP184" i="2"/>
  <c r="CP231" i="2"/>
  <c r="CO276" i="2"/>
  <c r="CP232" i="2"/>
  <c r="CR214" i="2"/>
  <c r="CS219" i="2"/>
  <c r="CR191" i="2"/>
  <c r="CR251" i="2" s="1"/>
  <c r="CS221" i="2"/>
  <c r="CQ223" i="2"/>
  <c r="CO283" i="2"/>
  <c r="CQ218" i="2"/>
  <c r="CO278" i="2"/>
  <c r="CR190" i="2"/>
  <c r="CO225" i="2"/>
  <c r="CQ214" i="2"/>
  <c r="CR216" i="2"/>
  <c r="CP235" i="2"/>
  <c r="CQ186" i="2"/>
  <c r="CQ246" i="2" s="1"/>
  <c r="CN274" i="2"/>
  <c r="CS186" i="2" l="1"/>
  <c r="CS214" i="2"/>
  <c r="CS194" i="2"/>
  <c r="CN264" i="2"/>
  <c r="CO264" i="2" s="1"/>
  <c r="CN294" i="2"/>
  <c r="CO294" i="2" s="1"/>
  <c r="CQ193" i="2"/>
  <c r="CQ253" i="2" s="1"/>
  <c r="CO263" i="2"/>
  <c r="CP234" i="2"/>
  <c r="CR249" i="2"/>
  <c r="CS192" i="2"/>
  <c r="CT222" i="2"/>
  <c r="CP199" i="2"/>
  <c r="CR192" i="2"/>
  <c r="CR252" i="2" s="1"/>
  <c r="CR218" i="2"/>
  <c r="CS217" i="2"/>
  <c r="CM289" i="2"/>
  <c r="CN289" i="2" s="1"/>
  <c r="CO229" i="2"/>
  <c r="CM199" i="2"/>
  <c r="CM210" i="2"/>
  <c r="CM149" i="2"/>
  <c r="CR187" i="2"/>
  <c r="CN228" i="2"/>
  <c r="CN239" i="2" s="1"/>
  <c r="CN240" i="2" s="1"/>
  <c r="CN179" i="2"/>
  <c r="CP284" i="2"/>
  <c r="CQ284" i="2" s="1"/>
  <c r="CP275" i="2"/>
  <c r="CP287" i="2"/>
  <c r="CR225" i="2"/>
  <c r="CQ282" i="2"/>
  <c r="CR230" i="2"/>
  <c r="CP283" i="2"/>
  <c r="CP257" i="2"/>
  <c r="CP292" i="2"/>
  <c r="CP291" i="2"/>
  <c r="CQ245" i="2"/>
  <c r="CQ248" i="2"/>
  <c r="CN255" i="2"/>
  <c r="CO255" i="2" s="1"/>
  <c r="CO285" i="2"/>
  <c r="CQ184" i="2"/>
  <c r="CR217" i="2"/>
  <c r="CP205" i="2"/>
  <c r="CP265" i="2" s="1"/>
  <c r="CQ231" i="2"/>
  <c r="CQ230" i="2"/>
  <c r="CS189" i="2"/>
  <c r="CT221" i="2"/>
  <c r="CQ233" i="2"/>
  <c r="CP200" i="2"/>
  <c r="CP260" i="2" s="1"/>
  <c r="CR184" i="2"/>
  <c r="CO244" i="2"/>
  <c r="CQ235" i="2"/>
  <c r="CP276" i="2"/>
  <c r="CQ276" i="2" s="1"/>
  <c r="CP203" i="2"/>
  <c r="CP233" i="2"/>
  <c r="CP293" i="2" s="1"/>
  <c r="CP201" i="2"/>
  <c r="CP261" i="2" s="1"/>
  <c r="CQ279" i="2"/>
  <c r="CP295" i="2"/>
  <c r="CR186" i="2"/>
  <c r="CR246" i="2" s="1"/>
  <c r="CP202" i="2"/>
  <c r="CP262" i="2" s="1"/>
  <c r="CS191" i="2"/>
  <c r="CS251" i="2" s="1"/>
  <c r="CP225" i="2"/>
  <c r="CQ227" i="2"/>
  <c r="CT219" i="2"/>
  <c r="CP290" i="2"/>
  <c r="CR185" i="2"/>
  <c r="CQ281" i="2"/>
  <c r="CR194" i="2"/>
  <c r="CR254" i="2" s="1"/>
  <c r="CS215" i="2"/>
  <c r="CQ226" i="2"/>
  <c r="CQ232" i="2"/>
  <c r="CP196" i="2"/>
  <c r="CP226" i="2"/>
  <c r="CP286" i="2" s="1"/>
  <c r="CR250" i="2"/>
  <c r="CO274" i="2"/>
  <c r="CP294" i="2" l="1"/>
  <c r="CS249" i="2"/>
  <c r="CP204" i="2"/>
  <c r="CP264" i="2" s="1"/>
  <c r="CR193" i="2"/>
  <c r="CR253" i="2" s="1"/>
  <c r="CT224" i="2"/>
  <c r="CT192" i="2"/>
  <c r="CR228" i="2"/>
  <c r="CT218" i="2"/>
  <c r="CS218" i="2"/>
  <c r="CR229" i="2"/>
  <c r="CP278" i="2"/>
  <c r="CR234" i="2"/>
  <c r="CR233" i="2"/>
  <c r="CT217" i="2"/>
  <c r="CQ119" i="2"/>
  <c r="CR119" i="2"/>
  <c r="CR188" i="2"/>
  <c r="CR248" i="2" s="1"/>
  <c r="CS193" i="2"/>
  <c r="CS223" i="2"/>
  <c r="CS187" i="2"/>
  <c r="CM259" i="2"/>
  <c r="CN259" i="2" s="1"/>
  <c r="CM209" i="2"/>
  <c r="CO199" i="2"/>
  <c r="CO289" i="2"/>
  <c r="CP289" i="2" s="1"/>
  <c r="CS252" i="2"/>
  <c r="CO228" i="2"/>
  <c r="CO239" i="2" s="1"/>
  <c r="CO179" i="2"/>
  <c r="CN198" i="2"/>
  <c r="CN209" i="2" s="1"/>
  <c r="CN149" i="2"/>
  <c r="CN210" i="2"/>
  <c r="CR195" i="2"/>
  <c r="CR200" i="2"/>
  <c r="CR281" i="2"/>
  <c r="CS205" i="2"/>
  <c r="CR245" i="2"/>
  <c r="CQ286" i="2"/>
  <c r="CQ293" i="2"/>
  <c r="CQ290" i="2"/>
  <c r="CR290" i="2" s="1"/>
  <c r="CS254" i="2"/>
  <c r="CS246" i="2"/>
  <c r="CQ201" i="2"/>
  <c r="CQ261" i="2" s="1"/>
  <c r="CQ292" i="2"/>
  <c r="CQ225" i="2"/>
  <c r="CR231" i="2"/>
  <c r="CR201" i="2"/>
  <c r="CT220" i="2"/>
  <c r="CS184" i="2"/>
  <c r="CR227" i="2"/>
  <c r="CR197" i="2"/>
  <c r="CR279" i="2"/>
  <c r="CP244" i="2"/>
  <c r="CT189" i="2"/>
  <c r="CP256" i="2"/>
  <c r="CT216" i="2"/>
  <c r="CS185" i="2"/>
  <c r="CQ275" i="2"/>
  <c r="CQ287" i="2"/>
  <c r="CR235" i="2"/>
  <c r="CR205" i="2"/>
  <c r="CT215" i="2"/>
  <c r="CQ197" i="2"/>
  <c r="CQ257" i="2" s="1"/>
  <c r="CQ295" i="2"/>
  <c r="CU219" i="2"/>
  <c r="CP285" i="2"/>
  <c r="CQ202" i="2"/>
  <c r="CQ262" i="2" s="1"/>
  <c r="CP195" i="2"/>
  <c r="CQ291" i="2"/>
  <c r="CQ200" i="2"/>
  <c r="CQ260" i="2" s="1"/>
  <c r="CR232" i="2"/>
  <c r="CR202" i="2"/>
  <c r="CQ196" i="2"/>
  <c r="CS188" i="2"/>
  <c r="CP263" i="2"/>
  <c r="CT191" i="2"/>
  <c r="CT251" i="2" s="1"/>
  <c r="CS190" i="2"/>
  <c r="CS220" i="2"/>
  <c r="CQ280" i="2"/>
  <c r="CQ203" i="2"/>
  <c r="CU221" i="2"/>
  <c r="CT194" i="2"/>
  <c r="CR282" i="2"/>
  <c r="CQ205" i="2"/>
  <c r="CQ265" i="2" s="1"/>
  <c r="CP274" i="2"/>
  <c r="CT249" i="2" l="1"/>
  <c r="CU224" i="2"/>
  <c r="CS234" i="2"/>
  <c r="CR284" i="2"/>
  <c r="CT187" i="2"/>
  <c r="CT188" i="2"/>
  <c r="CR198" i="2"/>
  <c r="CR203" i="2"/>
  <c r="CQ278" i="2"/>
  <c r="CR278" i="2" s="1"/>
  <c r="CS253" i="2"/>
  <c r="CR199" i="2"/>
  <c r="CR204" i="2"/>
  <c r="CU222" i="2"/>
  <c r="CU218" i="2"/>
  <c r="CQ283" i="2"/>
  <c r="CR283" i="2" s="1"/>
  <c r="CQ229" i="2"/>
  <c r="CQ289" i="2" s="1"/>
  <c r="CR289" i="2" s="1"/>
  <c r="CS119" i="2"/>
  <c r="CO259" i="2"/>
  <c r="CP259" i="2" s="1"/>
  <c r="CT252" i="2"/>
  <c r="CP228" i="2"/>
  <c r="CP239" i="2" s="1"/>
  <c r="CP240" i="2" s="1"/>
  <c r="CP179" i="2"/>
  <c r="CO198" i="2"/>
  <c r="CO209" i="2" s="1"/>
  <c r="CO149" i="2"/>
  <c r="CO210" i="2"/>
  <c r="CO240" i="2"/>
  <c r="CR260" i="2"/>
  <c r="CR280" i="2"/>
  <c r="CS245" i="2"/>
  <c r="CS235" i="2"/>
  <c r="CR276" i="2"/>
  <c r="CR265" i="2"/>
  <c r="CS250" i="2"/>
  <c r="CS248" i="2"/>
  <c r="CT254" i="2"/>
  <c r="CR261" i="2"/>
  <c r="CQ285" i="2"/>
  <c r="CR285" i="2" s="1"/>
  <c r="CR262" i="2"/>
  <c r="CU189" i="2"/>
  <c r="CU215" i="2"/>
  <c r="CU191" i="2"/>
  <c r="CU251" i="2" s="1"/>
  <c r="CV251" i="2" s="1"/>
  <c r="CT223" i="2"/>
  <c r="CR287" i="2"/>
  <c r="CR292" i="2"/>
  <c r="CS226" i="2"/>
  <c r="CS196" i="2"/>
  <c r="CS233" i="2"/>
  <c r="CR257" i="2"/>
  <c r="CP255" i="2"/>
  <c r="CQ263" i="2"/>
  <c r="CR275" i="2"/>
  <c r="CS279" i="2"/>
  <c r="CT279" i="2" s="1"/>
  <c r="CU279" i="2" s="1"/>
  <c r="CV279" i="2" s="1"/>
  <c r="CU216" i="2"/>
  <c r="CR196" i="2"/>
  <c r="CT185" i="2"/>
  <c r="CS231" i="2"/>
  <c r="CQ195" i="2"/>
  <c r="CR226" i="2"/>
  <c r="CR293" i="2"/>
  <c r="CQ244" i="2"/>
  <c r="CQ256" i="2"/>
  <c r="CS227" i="2"/>
  <c r="CS197" i="2"/>
  <c r="CS232" i="2"/>
  <c r="CS202" i="2"/>
  <c r="CT186" i="2"/>
  <c r="CT246" i="2" s="1"/>
  <c r="CR295" i="2"/>
  <c r="CU220" i="2"/>
  <c r="CT190" i="2"/>
  <c r="CS281" i="2"/>
  <c r="CT281" i="2" s="1"/>
  <c r="CU281" i="2" s="1"/>
  <c r="CV281" i="2" s="1"/>
  <c r="CR291" i="2"/>
  <c r="CU192" i="2"/>
  <c r="CR179" i="2"/>
  <c r="CT214" i="2"/>
  <c r="CQ274" i="2"/>
  <c r="CU249" i="2" l="1"/>
  <c r="CV249" i="2" s="1"/>
  <c r="CU223" i="2"/>
  <c r="CS204" i="2"/>
  <c r="CS284" i="2"/>
  <c r="CT284" i="2" s="1"/>
  <c r="CU284" i="2" s="1"/>
  <c r="CV284" i="2" s="1"/>
  <c r="CU194" i="2"/>
  <c r="CU254" i="2" s="1"/>
  <c r="CV254" i="2" s="1"/>
  <c r="CR263" i="2"/>
  <c r="CS282" i="2"/>
  <c r="CT282" i="2" s="1"/>
  <c r="CU282" i="2" s="1"/>
  <c r="CV282" i="2" s="1"/>
  <c r="CT193" i="2"/>
  <c r="CT253" i="2" s="1"/>
  <c r="CR209" i="2"/>
  <c r="CU187" i="2"/>
  <c r="CU217" i="2"/>
  <c r="CS198" i="2"/>
  <c r="CS228" i="2"/>
  <c r="CQ234" i="2"/>
  <c r="CQ294" i="2" s="1"/>
  <c r="CR294" i="2" s="1"/>
  <c r="CS294" i="2" s="1"/>
  <c r="CT294" i="2" s="1"/>
  <c r="CU294" i="2" s="1"/>
  <c r="CV294" i="2" s="1"/>
  <c r="CQ204" i="2"/>
  <c r="CQ199" i="2"/>
  <c r="CQ259" i="2" s="1"/>
  <c r="CR259" i="2" s="1"/>
  <c r="CU252" i="2"/>
  <c r="CV252" i="2" s="1"/>
  <c r="CP210" i="2"/>
  <c r="CQ228" i="2"/>
  <c r="CQ179" i="2"/>
  <c r="CP198" i="2"/>
  <c r="CP209" i="2" s="1"/>
  <c r="CP149" i="2"/>
  <c r="CT245" i="2"/>
  <c r="CS295" i="2"/>
  <c r="CT295" i="2" s="1"/>
  <c r="CU295" i="2" s="1"/>
  <c r="CV295" i="2" s="1"/>
  <c r="CS265" i="2"/>
  <c r="CT265" i="2" s="1"/>
  <c r="CU265" i="2" s="1"/>
  <c r="CV265" i="2" s="1"/>
  <c r="CT250" i="2"/>
  <c r="CT248" i="2"/>
  <c r="CS291" i="2"/>
  <c r="CT291" i="2" s="1"/>
  <c r="CU291" i="2" s="1"/>
  <c r="CV291" i="2" s="1"/>
  <c r="CT239" i="2"/>
  <c r="CT240" i="2" s="1"/>
  <c r="CS262" i="2"/>
  <c r="CT262" i="2" s="1"/>
  <c r="CU262" i="2" s="1"/>
  <c r="CV262" i="2" s="1"/>
  <c r="CS293" i="2"/>
  <c r="CT293" i="2" s="1"/>
  <c r="CU293" i="2" s="1"/>
  <c r="CV293" i="2" s="1"/>
  <c r="CR256" i="2"/>
  <c r="CS256" i="2" s="1"/>
  <c r="CT256" i="2" s="1"/>
  <c r="CU256" i="2" s="1"/>
  <c r="CV256" i="2" s="1"/>
  <c r="CS287" i="2"/>
  <c r="CT287" i="2" s="1"/>
  <c r="CU287" i="2" s="1"/>
  <c r="CV287" i="2" s="1"/>
  <c r="CS283" i="2"/>
  <c r="CT283" i="2" s="1"/>
  <c r="CU214" i="2"/>
  <c r="CR244" i="2"/>
  <c r="CS280" i="2"/>
  <c r="CT280" i="2" s="1"/>
  <c r="CU280" i="2" s="1"/>
  <c r="CV280" i="2" s="1"/>
  <c r="CU190" i="2"/>
  <c r="CS225" i="2"/>
  <c r="CS285" i="2" s="1"/>
  <c r="CT285" i="2" s="1"/>
  <c r="CU285" i="2" s="1"/>
  <c r="CV285" i="2" s="1"/>
  <c r="CQ255" i="2"/>
  <c r="CR255" i="2" s="1"/>
  <c r="CU193" i="2"/>
  <c r="CS278" i="2"/>
  <c r="CT278" i="2" s="1"/>
  <c r="CU278" i="2" s="1"/>
  <c r="CV278" i="2" s="1"/>
  <c r="CS292" i="2"/>
  <c r="CT292" i="2" s="1"/>
  <c r="CU292" i="2" s="1"/>
  <c r="CV292" i="2" s="1"/>
  <c r="CS275" i="2"/>
  <c r="CT275" i="2" s="1"/>
  <c r="CU275" i="2" s="1"/>
  <c r="CV275" i="2" s="1"/>
  <c r="CS200" i="2"/>
  <c r="CS257" i="2"/>
  <c r="CT257" i="2" s="1"/>
  <c r="CU257" i="2" s="1"/>
  <c r="CV257" i="2" s="1"/>
  <c r="CS230" i="2"/>
  <c r="CS290" i="2" s="1"/>
  <c r="CT290" i="2" s="1"/>
  <c r="CU290" i="2" s="1"/>
  <c r="CV290" i="2" s="1"/>
  <c r="CS203" i="2"/>
  <c r="CR239" i="2"/>
  <c r="CR286" i="2"/>
  <c r="CS286" i="2" s="1"/>
  <c r="CT286" i="2" s="1"/>
  <c r="CU286" i="2" s="1"/>
  <c r="CV286" i="2" s="1"/>
  <c r="CS201" i="2"/>
  <c r="CS261" i="2" s="1"/>
  <c r="CT261" i="2" s="1"/>
  <c r="CU261" i="2" s="1"/>
  <c r="CV261" i="2" s="1"/>
  <c r="CS276" i="2"/>
  <c r="CT276" i="2" s="1"/>
  <c r="CU276" i="2" s="1"/>
  <c r="CV276" i="2" s="1"/>
  <c r="CT184" i="2"/>
  <c r="CU186" i="2"/>
  <c r="CU246" i="2" s="1"/>
  <c r="CV246" i="2" s="1"/>
  <c r="CU185" i="2"/>
  <c r="CR274" i="2"/>
  <c r="CU283" i="2" l="1"/>
  <c r="CV283" i="2" s="1"/>
  <c r="CS263" i="2"/>
  <c r="CT263" i="2" s="1"/>
  <c r="CU263" i="2" s="1"/>
  <c r="CV263" i="2" s="1"/>
  <c r="CR149" i="2"/>
  <c r="CT209" i="2"/>
  <c r="CU239" i="2"/>
  <c r="CU240" i="2" s="1"/>
  <c r="CU188" i="2"/>
  <c r="CU248" i="2" s="1"/>
  <c r="CV248" i="2" s="1"/>
  <c r="CQ239" i="2"/>
  <c r="CQ240" i="2" s="1"/>
  <c r="CQ264" i="2"/>
  <c r="CR264" i="2" s="1"/>
  <c r="CS264" i="2" s="1"/>
  <c r="CT264" i="2" s="1"/>
  <c r="CU264" i="2" s="1"/>
  <c r="CV264" i="2" s="1"/>
  <c r="CQ198" i="2"/>
  <c r="CQ209" i="2" s="1"/>
  <c r="CQ149" i="2"/>
  <c r="CU250" i="2"/>
  <c r="CV250" i="2" s="1"/>
  <c r="CU245" i="2"/>
  <c r="CV245" i="2" s="1"/>
  <c r="CT210" i="2"/>
  <c r="CU253" i="2"/>
  <c r="CV253" i="2" s="1"/>
  <c r="CS244" i="2"/>
  <c r="CS260" i="2"/>
  <c r="CT260" i="2" s="1"/>
  <c r="CU260" i="2" s="1"/>
  <c r="CV260" i="2" s="1"/>
  <c r="CR240" i="2"/>
  <c r="CR210" i="2"/>
  <c r="CU184" i="2"/>
  <c r="CS195" i="2"/>
  <c r="CS274" i="2"/>
  <c r="CU210" i="2" l="1"/>
  <c r="CU209" i="2"/>
  <c r="CQ210" i="2"/>
  <c r="CS229" i="2"/>
  <c r="CS239" i="2" s="1"/>
  <c r="CS240" i="2" s="1"/>
  <c r="CS179" i="2"/>
  <c r="CT244" i="2"/>
  <c r="CS255" i="2"/>
  <c r="CT255" i="2" s="1"/>
  <c r="CU255" i="2" s="1"/>
  <c r="CV255" i="2" s="1"/>
  <c r="CT274" i="2"/>
  <c r="CS210" i="2" l="1"/>
  <c r="CS289" i="2"/>
  <c r="CT289" i="2" s="1"/>
  <c r="CU289" i="2" s="1"/>
  <c r="CV289" i="2" s="1"/>
  <c r="CS199" i="2"/>
  <c r="CS149" i="2"/>
  <c r="CU244" i="2"/>
  <c r="CU274" i="2"/>
  <c r="CS259" i="2" l="1"/>
  <c r="CT259" i="2" s="1"/>
  <c r="CU259" i="2" s="1"/>
  <c r="CV259" i="2" s="1"/>
  <c r="CS209" i="2"/>
  <c r="CV244" i="2"/>
  <c r="CV274" i="2"/>
  <c r="CH119" i="2" l="1"/>
  <c r="BJ247" i="2" l="1"/>
  <c r="BK247" i="2" s="1"/>
  <c r="BJ119" i="2"/>
  <c r="BV119" i="2"/>
  <c r="CJ217" i="2" l="1"/>
  <c r="CJ239" i="2" s="1"/>
  <c r="CJ240" i="2" s="1"/>
  <c r="CH179" i="2"/>
  <c r="CH228" i="2"/>
  <c r="CH239" i="2" s="1"/>
  <c r="CH240" i="2" s="1"/>
  <c r="BJ179" i="2" l="1"/>
  <c r="BJ277" i="2"/>
  <c r="BL217" i="2"/>
  <c r="BL239" i="2" s="1"/>
  <c r="BL240" i="2" s="1"/>
  <c r="BV228" i="2"/>
  <c r="BV239" i="2" s="1"/>
  <c r="BV240" i="2" s="1"/>
  <c r="BV179" i="2"/>
  <c r="BX217" i="2"/>
  <c r="BX239" i="2" s="1"/>
  <c r="BX240" i="2" s="1"/>
  <c r="CH198" i="2"/>
  <c r="CH209" i="2" s="1"/>
  <c r="CH210" i="2"/>
  <c r="CJ187" i="2"/>
  <c r="CJ209" i="2" s="1"/>
  <c r="CJ210" i="2"/>
  <c r="CH149" i="2"/>
  <c r="BL187" i="2" l="1"/>
  <c r="BL210" i="2"/>
  <c r="BJ228" i="2"/>
  <c r="BJ239" i="2" s="1"/>
  <c r="BK277" i="2"/>
  <c r="BX187" i="2"/>
  <c r="BX209" i="2" s="1"/>
  <c r="BV149" i="2"/>
  <c r="BX210" i="2"/>
  <c r="BV210" i="2"/>
  <c r="BV198" i="2"/>
  <c r="BV209" i="2" s="1"/>
  <c r="BJ210" i="2" l="1"/>
  <c r="BJ198" i="2"/>
  <c r="BL209" i="2"/>
  <c r="BL247" i="2"/>
  <c r="BM247" i="2" s="1"/>
  <c r="BN247" i="2" s="1"/>
  <c r="BJ149" i="2"/>
  <c r="BJ288" i="2"/>
  <c r="BJ240" i="2"/>
  <c r="BL277" i="2"/>
  <c r="BJ209" i="2" l="1"/>
  <c r="BJ258" i="2"/>
  <c r="BK288" i="2"/>
  <c r="BJ299" i="2"/>
  <c r="BM277" i="2"/>
  <c r="BO247" i="2"/>
  <c r="BN277" i="2" l="1"/>
  <c r="BJ7" i="2"/>
  <c r="BJ300" i="2"/>
  <c r="BL288" i="2"/>
  <c r="BK299" i="2"/>
  <c r="BK258" i="2"/>
  <c r="BJ269" i="2"/>
  <c r="BP247" i="2"/>
  <c r="BJ5" i="2" l="1"/>
  <c r="AY19" i="3" s="1"/>
  <c r="BK300" i="2"/>
  <c r="BK7" i="2"/>
  <c r="BL258" i="2"/>
  <c r="BK269" i="2"/>
  <c r="BK5" i="2" s="1"/>
  <c r="AZ19" i="3" s="1"/>
  <c r="BO277" i="2"/>
  <c r="BJ270" i="2"/>
  <c r="BM288" i="2"/>
  <c r="BL299" i="2"/>
  <c r="BQ247" i="2"/>
  <c r="BN15" i="1" l="1"/>
  <c r="BM15" i="1"/>
  <c r="BQ17" i="5" s="1"/>
  <c r="BL7" i="2"/>
  <c r="BN288" i="2"/>
  <c r="BM299" i="2"/>
  <c r="BP277" i="2"/>
  <c r="BL269" i="2"/>
  <c r="BM258" i="2"/>
  <c r="BL300" i="2"/>
  <c r="BK270" i="2"/>
  <c r="BR247" i="2"/>
  <c r="BR17" i="5" l="1"/>
  <c r="BL270" i="2"/>
  <c r="BL5" i="2"/>
  <c r="BA19" i="3" s="1"/>
  <c r="BQ277" i="2"/>
  <c r="BN258" i="2"/>
  <c r="BM269" i="2"/>
  <c r="BM7" i="2"/>
  <c r="BO288" i="2"/>
  <c r="BN299" i="2"/>
  <c r="BN300" i="2" s="1"/>
  <c r="BM300" i="2"/>
  <c r="BS247" i="2"/>
  <c r="BO15" i="1" l="1"/>
  <c r="BS17" i="5" s="1"/>
  <c r="BM270" i="2"/>
  <c r="BM5" i="2"/>
  <c r="BB19" i="3" s="1"/>
  <c r="BN7" i="2"/>
  <c r="BO258" i="2"/>
  <c r="BN269" i="2"/>
  <c r="BP288" i="2"/>
  <c r="BO299" i="2"/>
  <c r="BO300" i="2" s="1"/>
  <c r="BR277" i="2"/>
  <c r="BT247" i="2"/>
  <c r="BP15" i="1" l="1"/>
  <c r="BT17" i="5" s="1"/>
  <c r="BN5" i="2"/>
  <c r="BC19" i="3" s="1"/>
  <c r="BN270" i="2"/>
  <c r="BO7" i="2"/>
  <c r="BS277" i="2"/>
  <c r="BO269" i="2"/>
  <c r="BO5" i="2" s="1"/>
  <c r="BD19" i="3" s="1"/>
  <c r="BP258" i="2"/>
  <c r="BQ288" i="2"/>
  <c r="BP299" i="2"/>
  <c r="BP7" i="2" s="1"/>
  <c r="BU247" i="2"/>
  <c r="BR15" i="1" l="1"/>
  <c r="BQ15" i="1"/>
  <c r="BU17" i="5" s="1"/>
  <c r="BR288" i="2"/>
  <c r="BQ299" i="2"/>
  <c r="BT277" i="2"/>
  <c r="BP300" i="2"/>
  <c r="BQ258" i="2"/>
  <c r="BP269" i="2"/>
  <c r="BO270" i="2"/>
  <c r="BV247" i="2"/>
  <c r="BV17" i="5" l="1"/>
  <c r="BR258" i="2"/>
  <c r="BQ269" i="2"/>
  <c r="BQ270" i="2" s="1"/>
  <c r="BQ300" i="2"/>
  <c r="BQ7" i="2"/>
  <c r="BU277" i="2"/>
  <c r="BP270" i="2"/>
  <c r="BP5" i="2"/>
  <c r="BE19" i="3" s="1"/>
  <c r="BS288" i="2"/>
  <c r="BR299" i="2"/>
  <c r="BW247" i="2"/>
  <c r="BS15" i="1" l="1"/>
  <c r="BW17" i="5" s="1"/>
  <c r="BT288" i="2"/>
  <c r="BS299" i="2"/>
  <c r="BV277" i="2"/>
  <c r="BR300" i="2"/>
  <c r="BR7" i="2"/>
  <c r="BQ5" i="2"/>
  <c r="BF19" i="3" s="1"/>
  <c r="BS258" i="2"/>
  <c r="BR269" i="2"/>
  <c r="BR5" i="2" s="1"/>
  <c r="BG19" i="3" s="1"/>
  <c r="BX247" i="2"/>
  <c r="BU15" i="1" l="1"/>
  <c r="BT15" i="1"/>
  <c r="BX17" i="5" s="1"/>
  <c r="BR270" i="2"/>
  <c r="BW277" i="2"/>
  <c r="BS300" i="2"/>
  <c r="BS7" i="2"/>
  <c r="BT258" i="2"/>
  <c r="BS269" i="2"/>
  <c r="BU288" i="2"/>
  <c r="BT299" i="2"/>
  <c r="BT7" i="2" s="1"/>
  <c r="BY247" i="2"/>
  <c r="BY17" i="5" l="1"/>
  <c r="BT300" i="2"/>
  <c r="BV288" i="2"/>
  <c r="BU299" i="2"/>
  <c r="BS270" i="2"/>
  <c r="BS5" i="2"/>
  <c r="BH19" i="3" s="1"/>
  <c r="BT269" i="2"/>
  <c r="BU258" i="2"/>
  <c r="BX277" i="2"/>
  <c r="BZ247" i="2"/>
  <c r="BV15" i="1" l="1"/>
  <c r="BZ17" i="5" s="1"/>
  <c r="BU269" i="2"/>
  <c r="BU5" i="2" s="1"/>
  <c r="BJ19" i="3" s="1"/>
  <c r="BV258" i="2"/>
  <c r="BT270" i="2"/>
  <c r="BT5" i="2"/>
  <c r="BI19" i="3" s="1"/>
  <c r="BY277" i="2"/>
  <c r="BU300" i="2"/>
  <c r="BU7" i="2"/>
  <c r="BW288" i="2"/>
  <c r="BV299" i="2"/>
  <c r="CA247" i="2"/>
  <c r="BX15" i="1" l="1"/>
  <c r="J15" i="1" s="1"/>
  <c r="BW15" i="1"/>
  <c r="CA17" i="5" s="1"/>
  <c r="BU270" i="2"/>
  <c r="BX288" i="2"/>
  <c r="BW299" i="2"/>
  <c r="BV300" i="2"/>
  <c r="BV7" i="2"/>
  <c r="BZ277" i="2"/>
  <c r="BV269" i="2"/>
  <c r="BW258" i="2"/>
  <c r="CB247" i="2"/>
  <c r="CB17" i="5" l="1"/>
  <c r="J17" i="5" s="1"/>
  <c r="BW269" i="2"/>
  <c r="BW270" i="2" s="1"/>
  <c r="BX258" i="2"/>
  <c r="BV270" i="2"/>
  <c r="BV5" i="2"/>
  <c r="BK19" i="3" s="1"/>
  <c r="CA277" i="2"/>
  <c r="BW300" i="2"/>
  <c r="BW7" i="2"/>
  <c r="BY288" i="2"/>
  <c r="BX299" i="2"/>
  <c r="BX7" i="2" s="1"/>
  <c r="CC247" i="2"/>
  <c r="BY15" i="1" l="1"/>
  <c r="CC17" i="5" s="1"/>
  <c r="CB277" i="2"/>
  <c r="BX300" i="2"/>
  <c r="BY258" i="2"/>
  <c r="BX269" i="2"/>
  <c r="BX270" i="2" s="1"/>
  <c r="BZ288" i="2"/>
  <c r="BY299" i="2"/>
  <c r="BW5" i="2"/>
  <c r="BL19" i="3" s="1"/>
  <c r="CD247" i="2"/>
  <c r="BZ15" i="1" l="1"/>
  <c r="CD17" i="5" s="1"/>
  <c r="BY300" i="2"/>
  <c r="BY7" i="2"/>
  <c r="BX5" i="2"/>
  <c r="BM19" i="3" s="1"/>
  <c r="CA288" i="2"/>
  <c r="BZ299" i="2"/>
  <c r="BY269" i="2"/>
  <c r="BY5" i="2" s="1"/>
  <c r="BN19" i="3" s="1"/>
  <c r="BZ258" i="2"/>
  <c r="CC277" i="2"/>
  <c r="CE247" i="2"/>
  <c r="CB15" i="1" l="1"/>
  <c r="CA15" i="1"/>
  <c r="CE17" i="5" s="1"/>
  <c r="BZ269" i="2"/>
  <c r="CA258" i="2"/>
  <c r="BZ300" i="2"/>
  <c r="BZ7" i="2"/>
  <c r="CB288" i="2"/>
  <c r="CA299" i="2"/>
  <c r="CA7" i="2" s="1"/>
  <c r="BY270" i="2"/>
  <c r="CD277" i="2"/>
  <c r="CF247" i="2"/>
  <c r="CF17" i="5" l="1"/>
  <c r="CA300" i="2"/>
  <c r="BZ270" i="2"/>
  <c r="BZ5" i="2"/>
  <c r="BO19" i="3" s="1"/>
  <c r="CE277" i="2"/>
  <c r="CC288" i="2"/>
  <c r="CB299" i="2"/>
  <c r="CB258" i="2"/>
  <c r="CA269" i="2"/>
  <c r="CG247" i="2"/>
  <c r="CC15" i="1" l="1"/>
  <c r="CG17" i="5" s="1"/>
  <c r="CB269" i="2"/>
  <c r="CB5" i="2" s="1"/>
  <c r="BQ19" i="3" s="1"/>
  <c r="CC258" i="2"/>
  <c r="CA5" i="2"/>
  <c r="BP19" i="3" s="1"/>
  <c r="CB300" i="2"/>
  <c r="CB7" i="2"/>
  <c r="CD288" i="2"/>
  <c r="CC299" i="2"/>
  <c r="CF277" i="2"/>
  <c r="CA270" i="2"/>
  <c r="CH247" i="2"/>
  <c r="CD15" i="1" l="1"/>
  <c r="CH17" i="5" s="1"/>
  <c r="CE15" i="1"/>
  <c r="CB270" i="2"/>
  <c r="CG277" i="2"/>
  <c r="CC300" i="2"/>
  <c r="CC7" i="2"/>
  <c r="CE288" i="2"/>
  <c r="CD299" i="2"/>
  <c r="CD258" i="2"/>
  <c r="CC269" i="2"/>
  <c r="CI247" i="2"/>
  <c r="CI17" i="5" l="1"/>
  <c r="CC270" i="2"/>
  <c r="CC5" i="2"/>
  <c r="BR19" i="3" s="1"/>
  <c r="CD300" i="2"/>
  <c r="CD7" i="2"/>
  <c r="CD269" i="2"/>
  <c r="CE258" i="2"/>
  <c r="CF288" i="2"/>
  <c r="CE299" i="2"/>
  <c r="CH277" i="2"/>
  <c r="CJ247" i="2"/>
  <c r="CF15" i="1" l="1"/>
  <c r="CJ17" i="5" s="1"/>
  <c r="CD5" i="2"/>
  <c r="BS19" i="3" s="1"/>
  <c r="CE300" i="2"/>
  <c r="CE7" i="2"/>
  <c r="CD270" i="2"/>
  <c r="CI277" i="2"/>
  <c r="CF258" i="2"/>
  <c r="CE269" i="2"/>
  <c r="CG288" i="2"/>
  <c r="CF299" i="2"/>
  <c r="CK247" i="2"/>
  <c r="CG15" i="1" l="1"/>
  <c r="CK17" i="5" s="1"/>
  <c r="CJ277" i="2"/>
  <c r="CF300" i="2"/>
  <c r="CF7" i="2"/>
  <c r="CE5" i="2"/>
  <c r="BT19" i="3" s="1"/>
  <c r="CG258" i="2"/>
  <c r="CF269" i="2"/>
  <c r="CF270" i="2" s="1"/>
  <c r="CE270" i="2"/>
  <c r="CH288" i="2"/>
  <c r="CG299" i="2"/>
  <c r="CL247" i="2"/>
  <c r="CH15" i="1" l="1"/>
  <c r="CL17" i="5" s="1"/>
  <c r="CG300" i="2"/>
  <c r="CG7" i="2"/>
  <c r="CI288" i="2"/>
  <c r="CH299" i="2"/>
  <c r="CH300" i="2" s="1"/>
  <c r="CK277" i="2"/>
  <c r="CF5" i="2"/>
  <c r="BU19" i="3" s="1"/>
  <c r="CH258" i="2"/>
  <c r="CG269" i="2"/>
  <c r="CG5" i="2" s="1"/>
  <c r="BV19" i="3" s="1"/>
  <c r="CM247" i="2"/>
  <c r="CJ15" i="1" l="1"/>
  <c r="K15" i="1" s="1"/>
  <c r="CI15" i="1"/>
  <c r="CM17" i="5" s="1"/>
  <c r="CI258" i="2"/>
  <c r="CH269" i="2"/>
  <c r="CG270" i="2"/>
  <c r="CL277" i="2"/>
  <c r="CH7" i="2"/>
  <c r="CJ288" i="2"/>
  <c r="CI299" i="2"/>
  <c r="CI7" i="2" s="1"/>
  <c r="CN247" i="2"/>
  <c r="CN17" i="5" l="1"/>
  <c r="K17" i="5" s="1"/>
  <c r="CM277" i="2"/>
  <c r="CJ258" i="2"/>
  <c r="CI269" i="2"/>
  <c r="CK288" i="2"/>
  <c r="CJ299" i="2"/>
  <c r="CI300" i="2"/>
  <c r="CH270" i="2"/>
  <c r="CH5" i="2"/>
  <c r="BW19" i="3" s="1"/>
  <c r="CO247" i="2"/>
  <c r="CK15" i="1" l="1"/>
  <c r="CO17" i="5" s="1"/>
  <c r="CK258" i="2"/>
  <c r="CJ269" i="2"/>
  <c r="CJ300" i="2"/>
  <c r="CJ7" i="2"/>
  <c r="CI270" i="2"/>
  <c r="CI5" i="2"/>
  <c r="BX19" i="3" s="1"/>
  <c r="CL288" i="2"/>
  <c r="CK299" i="2"/>
  <c r="CN277" i="2"/>
  <c r="CP247" i="2"/>
  <c r="CL15" i="1" l="1"/>
  <c r="CP17" i="5" s="1"/>
  <c r="CJ270" i="2"/>
  <c r="CJ5" i="2"/>
  <c r="BY19" i="3" s="1"/>
  <c r="CO277" i="2"/>
  <c r="CK300" i="2"/>
  <c r="CK7" i="2"/>
  <c r="CM288" i="2"/>
  <c r="CL299" i="2"/>
  <c r="CL7" i="2" s="1"/>
  <c r="CL258" i="2"/>
  <c r="CK269" i="2"/>
  <c r="CQ247" i="2"/>
  <c r="CM15" i="1" l="1"/>
  <c r="CQ17" i="5" s="1"/>
  <c r="CK270" i="2"/>
  <c r="CK5" i="2"/>
  <c r="BZ19" i="3" s="1"/>
  <c r="CL269" i="2"/>
  <c r="CL5" i="2" s="1"/>
  <c r="CA19" i="3" s="1"/>
  <c r="CM258" i="2"/>
  <c r="CL300" i="2"/>
  <c r="CP277" i="2"/>
  <c r="CN288" i="2"/>
  <c r="CM299" i="2"/>
  <c r="CR247" i="2"/>
  <c r="CO15" i="1" l="1"/>
  <c r="CN15" i="1"/>
  <c r="CR17" i="5" s="1"/>
  <c r="CO288" i="2"/>
  <c r="CN299" i="2"/>
  <c r="CM300" i="2"/>
  <c r="CM7" i="2"/>
  <c r="CM269" i="2"/>
  <c r="CN258" i="2"/>
  <c r="CQ277" i="2"/>
  <c r="CL270" i="2"/>
  <c r="CS247" i="2"/>
  <c r="CS17" i="5" l="1"/>
  <c r="CR277" i="2"/>
  <c r="CM270" i="2"/>
  <c r="CM5" i="2"/>
  <c r="CB19" i="3" s="1"/>
  <c r="CN269" i="2"/>
  <c r="CN270" i="2" s="1"/>
  <c r="CO258" i="2"/>
  <c r="CN300" i="2"/>
  <c r="CN7" i="2"/>
  <c r="CP288" i="2"/>
  <c r="CO299" i="2"/>
  <c r="CT247" i="2"/>
  <c r="CP15" i="1" l="1"/>
  <c r="CT17" i="5" s="1"/>
  <c r="CQ288" i="2"/>
  <c r="CP299" i="2"/>
  <c r="CP7" i="2" s="1"/>
  <c r="CP258" i="2"/>
  <c r="CO269" i="2"/>
  <c r="CO270" i="2" s="1"/>
  <c r="CS277" i="2"/>
  <c r="CO300" i="2"/>
  <c r="CO7" i="2"/>
  <c r="CN5" i="2"/>
  <c r="CC19" i="3" s="1"/>
  <c r="CU247" i="2"/>
  <c r="CQ15" i="1" l="1"/>
  <c r="CU17" i="5" s="1"/>
  <c r="CP300" i="2"/>
  <c r="CO5" i="2"/>
  <c r="CD19" i="3" s="1"/>
  <c r="CP269" i="2"/>
  <c r="CQ258" i="2"/>
  <c r="CT277" i="2"/>
  <c r="CR288" i="2"/>
  <c r="CQ299" i="2"/>
  <c r="CV247" i="2"/>
  <c r="CR15" i="1" l="1"/>
  <c r="CV17" i="5" s="1"/>
  <c r="CU277" i="2"/>
  <c r="CP5" i="2"/>
  <c r="CE19" i="3" s="1"/>
  <c r="CQ300" i="2"/>
  <c r="CQ7" i="2"/>
  <c r="CS288" i="2"/>
  <c r="CR299" i="2"/>
  <c r="CR258" i="2"/>
  <c r="CQ269" i="2"/>
  <c r="CQ5" i="2" s="1"/>
  <c r="CF19" i="3" s="1"/>
  <c r="CP270" i="2"/>
  <c r="CT15" i="1" l="1"/>
  <c r="CS15" i="1"/>
  <c r="CW17" i="5" s="1"/>
  <c r="CT288" i="2"/>
  <c r="CS299" i="2"/>
  <c r="CS300" i="2" s="1"/>
  <c r="CQ270" i="2"/>
  <c r="CS258" i="2"/>
  <c r="CR269" i="2"/>
  <c r="CR300" i="2"/>
  <c r="CR7" i="2"/>
  <c r="CV277" i="2"/>
  <c r="CX17" i="5" l="1"/>
  <c r="CR270" i="2"/>
  <c r="CR5" i="2"/>
  <c r="CG19" i="3" s="1"/>
  <c r="CT258" i="2"/>
  <c r="CS269" i="2"/>
  <c r="CS5" i="2" s="1"/>
  <c r="CH19" i="3" s="1"/>
  <c r="CS7" i="2"/>
  <c r="CU288" i="2"/>
  <c r="CT299" i="2"/>
  <c r="CV15" i="1" l="1"/>
  <c r="L15" i="1" s="1"/>
  <c r="CU15" i="1"/>
  <c r="CY17" i="5" s="1"/>
  <c r="CV288" i="2"/>
  <c r="CV299" i="2" s="1"/>
  <c r="CU299" i="2"/>
  <c r="CT300" i="2"/>
  <c r="CT269" i="2"/>
  <c r="CU258" i="2"/>
  <c r="CS270" i="2"/>
  <c r="CZ17" i="5" l="1"/>
  <c r="L17" i="5" s="1"/>
  <c r="CV300" i="2"/>
  <c r="CU300" i="2"/>
  <c r="CT270" i="2"/>
  <c r="CU269" i="2"/>
  <c r="CV258" i="2"/>
  <c r="CV269" i="2" s="1"/>
  <c r="CV270" i="2" l="1"/>
  <c r="CU270" i="2"/>
  <c r="BC65" i="2" l="1"/>
  <c r="BC318" i="2" s="1"/>
  <c r="BE336" i="2" s="1"/>
  <c r="AO60" i="2"/>
  <c r="AO313" i="2" s="1"/>
  <c r="AQ331" i="2" s="1"/>
  <c r="AQ64" i="2"/>
  <c r="AQ317" i="2" s="1"/>
  <c r="AS335" i="2" s="1"/>
  <c r="AT62" i="2"/>
  <c r="AT315" i="2" s="1"/>
  <c r="AV333" i="2" s="1"/>
  <c r="AJ64" i="2"/>
  <c r="AJ317" i="2" s="1"/>
  <c r="AL335" i="2" s="1"/>
  <c r="AZ62" i="2"/>
  <c r="AZ315" i="2" s="1"/>
  <c r="BB333" i="2" s="1"/>
  <c r="AT60" i="2"/>
  <c r="AT313" i="2" s="1"/>
  <c r="AV331" i="2" s="1"/>
  <c r="Z63" i="2"/>
  <c r="Z316" i="2" s="1"/>
  <c r="BA64" i="2"/>
  <c r="BA317" i="2" s="1"/>
  <c r="BC335" i="2" s="1"/>
  <c r="AF57" i="2"/>
  <c r="AF310" i="2" s="1"/>
  <c r="AH328" i="2" s="1"/>
  <c r="AA65" i="2"/>
  <c r="AA318" i="2" s="1"/>
  <c r="AC336" i="2" s="1"/>
  <c r="AG65" i="2"/>
  <c r="AG318" i="2" s="1"/>
  <c r="AI336" i="2" s="1"/>
  <c r="AC57" i="2"/>
  <c r="AC310" i="2" s="1"/>
  <c r="AE328" i="2" s="1"/>
  <c r="AA64" i="2"/>
  <c r="AA317" i="2" s="1"/>
  <c r="AC335" i="2" s="1"/>
  <c r="AC61" i="2"/>
  <c r="AC314" i="2" s="1"/>
  <c r="AE332" i="2" s="1"/>
  <c r="Z57" i="2"/>
  <c r="Z310" i="2" s="1"/>
  <c r="AA56" i="2"/>
  <c r="AA309" i="2" s="1"/>
  <c r="AC327" i="2" s="1"/>
  <c r="AH61" i="2"/>
  <c r="AH314" i="2" s="1"/>
  <c r="AJ332" i="2" s="1"/>
  <c r="Z58" i="2"/>
  <c r="Z311" i="2" s="1"/>
  <c r="BE60" i="2"/>
  <c r="BE313" i="2" s="1"/>
  <c r="BG331" i="2" s="1"/>
  <c r="AX63" i="2"/>
  <c r="AX316" i="2" s="1"/>
  <c r="AZ334" i="2" s="1"/>
  <c r="AC56" i="2"/>
  <c r="AC309" i="2" s="1"/>
  <c r="AE327" i="2" s="1"/>
  <c r="AO63" i="2"/>
  <c r="AO316" i="2" s="1"/>
  <c r="AQ334" i="2" s="1"/>
  <c r="AM63" i="2"/>
  <c r="AM316" i="2" s="1"/>
  <c r="AO334" i="2" s="1"/>
  <c r="AV56" i="2"/>
  <c r="AV309" i="2" s="1"/>
  <c r="AX327" i="2" s="1"/>
  <c r="AW63" i="2"/>
  <c r="AW316" i="2" s="1"/>
  <c r="AY334" i="2" s="1"/>
  <c r="AU62" i="2"/>
  <c r="AU315" i="2" s="1"/>
  <c r="AW333" i="2" s="1"/>
  <c r="AF58" i="2"/>
  <c r="AF311" i="2" s="1"/>
  <c r="AH329" i="2" s="1"/>
  <c r="BE61" i="2"/>
  <c r="BE314" i="2" s="1"/>
  <c r="BG332" i="2" s="1"/>
  <c r="AM57" i="2"/>
  <c r="AM310" i="2" s="1"/>
  <c r="AO328" i="2" s="1"/>
  <c r="AY60" i="2"/>
  <c r="AY313" i="2" s="1"/>
  <c r="BA331" i="2" s="1"/>
  <c r="AS56" i="2"/>
  <c r="AS309" i="2" s="1"/>
  <c r="AU327" i="2" s="1"/>
  <c r="AB61" i="2"/>
  <c r="AB314" i="2" s="1"/>
  <c r="AD332" i="2" s="1"/>
  <c r="AR62" i="2"/>
  <c r="AR315" i="2" s="1"/>
  <c r="AT333" i="2" s="1"/>
  <c r="AS60" i="2"/>
  <c r="AS313" i="2" s="1"/>
  <c r="AU331" i="2" s="1"/>
  <c r="AJ62" i="2"/>
  <c r="AJ315" i="2" s="1"/>
  <c r="AL333" i="2" s="1"/>
  <c r="AP59" i="2"/>
  <c r="AP312" i="2" s="1"/>
  <c r="AR330" i="2" s="1"/>
  <c r="AC58" i="2"/>
  <c r="AC311" i="2" s="1"/>
  <c r="AE329" i="2" s="1"/>
  <c r="AY61" i="2"/>
  <c r="AY314" i="2" s="1"/>
  <c r="BA332" i="2" s="1"/>
  <c r="AD57" i="2"/>
  <c r="AD310" i="2" s="1"/>
  <c r="AF328" i="2" s="1"/>
  <c r="AP57" i="2"/>
  <c r="AP310" i="2" s="1"/>
  <c r="AR328" i="2" s="1"/>
  <c r="AT57" i="2"/>
  <c r="AT310" i="2" s="1"/>
  <c r="AV328" i="2" s="1"/>
  <c r="AW56" i="2"/>
  <c r="AW309" i="2" s="1"/>
  <c r="AY327" i="2" s="1"/>
  <c r="AW65" i="2"/>
  <c r="AW318" i="2" s="1"/>
  <c r="AY336" i="2" s="1"/>
  <c r="BD65" i="2"/>
  <c r="BD318" i="2" s="1"/>
  <c r="BF336" i="2" s="1"/>
  <c r="BB58" i="2"/>
  <c r="BB311" i="2" s="1"/>
  <c r="BD329" i="2" s="1"/>
  <c r="BC58" i="2"/>
  <c r="BC311" i="2" s="1"/>
  <c r="BE329" i="2" s="1"/>
  <c r="BB56" i="2"/>
  <c r="BB309" i="2" s="1"/>
  <c r="BD327" i="2" s="1"/>
  <c r="AG57" i="2"/>
  <c r="AG310" i="2" s="1"/>
  <c r="AI328" i="2" s="1"/>
  <c r="BF65" i="2"/>
  <c r="BF318" i="2" s="1"/>
  <c r="BH336" i="2" s="1"/>
  <c r="AZ57" i="2"/>
  <c r="AZ310" i="2" s="1"/>
  <c r="BB328" i="2" s="1"/>
  <c r="AR61" i="2"/>
  <c r="AR314" i="2" s="1"/>
  <c r="AT332" i="2" s="1"/>
  <c r="BA60" i="2"/>
  <c r="BA313" i="2" s="1"/>
  <c r="BC331" i="2" s="1"/>
  <c r="AI59" i="2"/>
  <c r="AI312" i="2" s="1"/>
  <c r="AK330" i="2" s="1"/>
  <c r="AD60" i="2"/>
  <c r="AD313" i="2" s="1"/>
  <c r="AF331" i="2" s="1"/>
  <c r="AU61" i="2"/>
  <c r="AU314" i="2" s="1"/>
  <c r="AW332" i="2" s="1"/>
  <c r="BF58" i="2"/>
  <c r="BF311" i="2" s="1"/>
  <c r="BH329" i="2" s="1"/>
  <c r="BB57" i="2"/>
  <c r="BB310" i="2" s="1"/>
  <c r="BD328" i="2" s="1"/>
  <c r="AK64" i="2"/>
  <c r="AK317" i="2" s="1"/>
  <c r="AM335" i="2" s="1"/>
  <c r="AD62" i="2"/>
  <c r="AD315" i="2" s="1"/>
  <c r="AF333" i="2" s="1"/>
  <c r="BA61" i="2"/>
  <c r="BA314" i="2" s="1"/>
  <c r="BC332" i="2" s="1"/>
  <c r="BB65" i="2"/>
  <c r="BB318" i="2" s="1"/>
  <c r="BD336" i="2" s="1"/>
  <c r="BF59" i="2"/>
  <c r="BF312" i="2" s="1"/>
  <c r="BH330" i="2" s="1"/>
  <c r="AL59" i="2"/>
  <c r="AL312" i="2" s="1"/>
  <c r="AN330" i="2" s="1"/>
  <c r="BE57" i="2"/>
  <c r="BE310" i="2" s="1"/>
  <c r="BG328" i="2" s="1"/>
  <c r="AN60" i="2"/>
  <c r="AN313" i="2" s="1"/>
  <c r="AP331" i="2" s="1"/>
  <c r="AS59" i="2"/>
  <c r="AS312" i="2" s="1"/>
  <c r="AU330" i="2" s="1"/>
  <c r="AY56" i="2"/>
  <c r="AY309" i="2" s="1"/>
  <c r="BA327" i="2" s="1"/>
  <c r="AJ61" i="2"/>
  <c r="AJ314" i="2" s="1"/>
  <c r="AL332" i="2" s="1"/>
  <c r="BC63" i="2"/>
  <c r="BC316" i="2" s="1"/>
  <c r="BE334" i="2" s="1"/>
  <c r="AB62" i="2"/>
  <c r="AB315" i="2" s="1"/>
  <c r="AD333" i="2" s="1"/>
  <c r="AF62" i="2"/>
  <c r="AF315" i="2" s="1"/>
  <c r="AH333" i="2" s="1"/>
  <c r="AW61" i="2"/>
  <c r="AW314" i="2" s="1"/>
  <c r="AY332" i="2" s="1"/>
  <c r="AR60" i="2"/>
  <c r="AR313" i="2" s="1"/>
  <c r="AT331" i="2" s="1"/>
  <c r="AX56" i="2"/>
  <c r="AX309" i="2" s="1"/>
  <c r="AZ327" i="2" s="1"/>
  <c r="AF60" i="2"/>
  <c r="AF313" i="2" s="1"/>
  <c r="AH331" i="2" s="1"/>
  <c r="AU60" i="2"/>
  <c r="AU313" i="2" s="1"/>
  <c r="AW331" i="2" s="1"/>
  <c r="Z60" i="2"/>
  <c r="Z313" i="2" s="1"/>
  <c r="AV64" i="2"/>
  <c r="AV317" i="2" s="1"/>
  <c r="AX335" i="2" s="1"/>
  <c r="AE61" i="2"/>
  <c r="AE314" i="2" s="1"/>
  <c r="AG332" i="2" s="1"/>
  <c r="AL58" i="2"/>
  <c r="AL311" i="2" s="1"/>
  <c r="AN329" i="2" s="1"/>
  <c r="AS58" i="2"/>
  <c r="AS311" i="2" s="1"/>
  <c r="AU329" i="2" s="1"/>
  <c r="AL56" i="2"/>
  <c r="AL309" i="2" s="1"/>
  <c r="AN327" i="2" s="1"/>
  <c r="BF56" i="2"/>
  <c r="BF309" i="2" s="1"/>
  <c r="BH327" i="2" s="1"/>
  <c r="AB57" i="2"/>
  <c r="AB310" i="2" s="1"/>
  <c r="AD328" i="2" s="1"/>
  <c r="AK57" i="2"/>
  <c r="AK310" i="2" s="1"/>
  <c r="AM328" i="2" s="1"/>
  <c r="AF64" i="2"/>
  <c r="AF317" i="2" s="1"/>
  <c r="AH335" i="2" s="1"/>
  <c r="AT59" i="2"/>
  <c r="AT312" i="2" s="1"/>
  <c r="AV330" i="2" s="1"/>
  <c r="AG64" i="2"/>
  <c r="AG317" i="2" s="1"/>
  <c r="AI335" i="2" s="1"/>
  <c r="AX58" i="2"/>
  <c r="AX311" i="2" s="1"/>
  <c r="AZ329" i="2" s="1"/>
  <c r="BF64" i="2"/>
  <c r="BF317" i="2" s="1"/>
  <c r="BH335" i="2" s="1"/>
  <c r="AK61" i="2"/>
  <c r="AK314" i="2" s="1"/>
  <c r="AM332" i="2" s="1"/>
  <c r="AZ58" i="2"/>
  <c r="AZ311" i="2" s="1"/>
  <c r="BB329" i="2" s="1"/>
  <c r="AO65" i="2"/>
  <c r="AO318" i="2" s="1"/>
  <c r="AQ336" i="2" s="1"/>
  <c r="AS65" i="2"/>
  <c r="AS318" i="2" s="1"/>
  <c r="AU336" i="2" s="1"/>
  <c r="AC65" i="2"/>
  <c r="AC318" i="2" s="1"/>
  <c r="AE336" i="2" s="1"/>
  <c r="AD56" i="2"/>
  <c r="AD309" i="2" s="1"/>
  <c r="AF327" i="2" s="1"/>
  <c r="BG58" i="2"/>
  <c r="BG311" i="2" s="1"/>
  <c r="BI329" i="2" s="1"/>
  <c r="BC57" i="2"/>
  <c r="BC310" i="2" s="1"/>
  <c r="BE328" i="2" s="1"/>
  <c r="BG56" i="2"/>
  <c r="BG309" i="2" s="1"/>
  <c r="BI327" i="2" s="1"/>
  <c r="BF60" i="2"/>
  <c r="BF313" i="2" s="1"/>
  <c r="BH331" i="2" s="1"/>
  <c r="AO61" i="2"/>
  <c r="AO314" i="2" s="1"/>
  <c r="AQ332" i="2" s="1"/>
  <c r="AQ65" i="2"/>
  <c r="AQ318" i="2" s="1"/>
  <c r="AS336" i="2" s="1"/>
  <c r="AT63" i="2"/>
  <c r="AT316" i="2" s="1"/>
  <c r="AV334" i="2" s="1"/>
  <c r="AW57" i="2"/>
  <c r="AW310" i="2" s="1"/>
  <c r="AY328" i="2" s="1"/>
  <c r="AZ63" i="2"/>
  <c r="AZ316" i="2" s="1"/>
  <c r="BB334" i="2" s="1"/>
  <c r="BA65" i="2"/>
  <c r="BA318" i="2" s="1"/>
  <c r="BC336" i="2" s="1"/>
  <c r="BD56" i="2"/>
  <c r="BD309" i="2" s="1"/>
  <c r="BF327" i="2" s="1"/>
  <c r="BG62" i="2"/>
  <c r="BG315" i="2" s="1"/>
  <c r="BI333" i="2" s="1"/>
  <c r="Z56" i="2"/>
  <c r="Z309" i="2" s="1"/>
  <c r="AM60" i="2"/>
  <c r="AM313" i="2" s="1"/>
  <c r="AO331" i="2" s="1"/>
  <c r="AA62" i="2"/>
  <c r="AA315" i="2" s="1"/>
  <c r="AC333" i="2" s="1"/>
  <c r="AF61" i="2"/>
  <c r="AF314" i="2" s="1"/>
  <c r="AH332" i="2" s="1"/>
  <c r="AP60" i="2"/>
  <c r="AP313" i="2" s="1"/>
  <c r="AR331" i="2" s="1"/>
  <c r="AI57" i="2"/>
  <c r="AI310" i="2" s="1"/>
  <c r="AK328" i="2" s="1"/>
  <c r="AU57" i="2"/>
  <c r="AU310" i="2" s="1"/>
  <c r="AW328" i="2" s="1"/>
  <c r="AC64" i="2"/>
  <c r="AC317" i="2" s="1"/>
  <c r="AE335" i="2" s="1"/>
  <c r="AJ57" i="2"/>
  <c r="AJ310" i="2" s="1"/>
  <c r="AL328" i="2" s="1"/>
  <c r="AK56" i="2"/>
  <c r="AK309" i="2" s="1"/>
  <c r="AM327" i="2" s="1"/>
  <c r="BG60" i="2"/>
  <c r="BG313" i="2" s="1"/>
  <c r="BI331" i="2" s="1"/>
  <c r="AT56" i="2"/>
  <c r="AT309" i="2" s="1"/>
  <c r="AV327" i="2" s="1"/>
  <c r="AX65" i="2"/>
  <c r="AX318" i="2" s="1"/>
  <c r="AZ336" i="2" s="1"/>
  <c r="AD65" i="2"/>
  <c r="AD318" i="2" s="1"/>
  <c r="AF336" i="2" s="1"/>
  <c r="AK59" i="2"/>
  <c r="AK312" i="2" s="1"/>
  <c r="AM330" i="2" s="1"/>
  <c r="AW58" i="2"/>
  <c r="AW311" i="2" s="1"/>
  <c r="AY329" i="2" s="1"/>
  <c r="AB60" i="2"/>
  <c r="AB313" i="2" s="1"/>
  <c r="AD331" i="2" s="1"/>
  <c r="AE58" i="2"/>
  <c r="AE311" i="2" s="1"/>
  <c r="AG329" i="2" s="1"/>
  <c r="BG65" i="2"/>
  <c r="BG318" i="2" s="1"/>
  <c r="BI336" i="2" s="1"/>
  <c r="BG64" i="2"/>
  <c r="BG317" i="2" s="1"/>
  <c r="BI335" i="2" s="1"/>
  <c r="BD61" i="2"/>
  <c r="BD314" i="2" s="1"/>
  <c r="BF332" i="2" s="1"/>
  <c r="AJ59" i="2"/>
  <c r="AJ312" i="2" s="1"/>
  <c r="AL330" i="2" s="1"/>
  <c r="AM58" i="2"/>
  <c r="AM311" i="2" s="1"/>
  <c r="AO329" i="2" s="1"/>
  <c r="AO64" i="2"/>
  <c r="AO317" i="2" s="1"/>
  <c r="AQ335" i="2" s="1"/>
  <c r="AQ57" i="2"/>
  <c r="AQ310" i="2" s="1"/>
  <c r="AS328" i="2" s="1"/>
  <c r="AW64" i="2"/>
  <c r="AW317" i="2" s="1"/>
  <c r="AY335" i="2" s="1"/>
  <c r="AH65" i="2"/>
  <c r="AH318" i="2" s="1"/>
  <c r="AJ336" i="2" s="1"/>
  <c r="AV65" i="2"/>
  <c r="AV318" i="2" s="1"/>
  <c r="AX336" i="2" s="1"/>
  <c r="AY58" i="2"/>
  <c r="AY311" i="2" s="1"/>
  <c r="BA329" i="2" s="1"/>
  <c r="BA56" i="2"/>
  <c r="BA309" i="2" s="1"/>
  <c r="BC327" i="2" s="1"/>
  <c r="AP61" i="2"/>
  <c r="AP314" i="2" s="1"/>
  <c r="AR332" i="2" s="1"/>
  <c r="BC56" i="2"/>
  <c r="BC309" i="2" s="1"/>
  <c r="BE327" i="2" s="1"/>
  <c r="AT64" i="2"/>
  <c r="AT317" i="2" s="1"/>
  <c r="AV335" i="2" s="1"/>
  <c r="AE65" i="2"/>
  <c r="AE318" i="2" s="1"/>
  <c r="AG336" i="2" s="1"/>
  <c r="BE62" i="2"/>
  <c r="BE315" i="2" s="1"/>
  <c r="BG333" i="2" s="1"/>
  <c r="BA57" i="2"/>
  <c r="BA310" i="2" s="1"/>
  <c r="BC328" i="2" s="1"/>
  <c r="BA59" i="2"/>
  <c r="BA312" i="2" s="1"/>
  <c r="BC330" i="2" s="1"/>
  <c r="AB56" i="2"/>
  <c r="AB309" i="2" s="1"/>
  <c r="AD327" i="2" s="1"/>
  <c r="AM56" i="2"/>
  <c r="AM309" i="2" s="1"/>
  <c r="AO327" i="2" s="1"/>
  <c r="AQ60" i="2"/>
  <c r="AQ313" i="2" s="1"/>
  <c r="AS331" i="2" s="1"/>
  <c r="AW60" i="2"/>
  <c r="AW313" i="2" s="1"/>
  <c r="AY331" i="2" s="1"/>
  <c r="AD63" i="2"/>
  <c r="AD316" i="2" s="1"/>
  <c r="AF334" i="2" s="1"/>
  <c r="AY63" i="2"/>
  <c r="AY316" i="2" s="1"/>
  <c r="BA334" i="2" s="1"/>
  <c r="BG61" i="2"/>
  <c r="BG314" i="2" s="1"/>
  <c r="BI332" i="2" s="1"/>
  <c r="BE58" i="2"/>
  <c r="BE311" i="2" s="1"/>
  <c r="BG329" i="2" s="1"/>
  <c r="AQ61" i="2"/>
  <c r="AQ314" i="2" s="1"/>
  <c r="AS332" i="2" s="1"/>
  <c r="AS64" i="2"/>
  <c r="AS317" i="2" s="1"/>
  <c r="AU335" i="2" s="1"/>
  <c r="AZ59" i="2"/>
  <c r="AZ312" i="2" s="1"/>
  <c r="BB330" i="2" s="1"/>
  <c r="AK62" i="2"/>
  <c r="AK315" i="2" s="1"/>
  <c r="AM333" i="2" s="1"/>
  <c r="AB63" i="2"/>
  <c r="AB316" i="2" s="1"/>
  <c r="AD334" i="2" s="1"/>
  <c r="AX64" i="2"/>
  <c r="AX317" i="2" s="1"/>
  <c r="AZ335" i="2" s="1"/>
  <c r="AA60" i="2"/>
  <c r="AA313" i="2" s="1"/>
  <c r="AC331" i="2" s="1"/>
  <c r="AS61" i="2"/>
  <c r="AS314" i="2" s="1"/>
  <c r="AU332" i="2" s="1"/>
  <c r="AI65" i="2"/>
  <c r="AI318" i="2" s="1"/>
  <c r="AK336" i="2" s="1"/>
  <c r="AY57" i="2"/>
  <c r="AY310" i="2" s="1"/>
  <c r="BA328" i="2" s="1"/>
  <c r="AX62" i="2"/>
  <c r="AX315" i="2" s="1"/>
  <c r="AZ333" i="2" s="1"/>
  <c r="AW62" i="2"/>
  <c r="AW315" i="2" s="1"/>
  <c r="AY333" i="2" s="1"/>
  <c r="AX57" i="2"/>
  <c r="AX310" i="2" s="1"/>
  <c r="AZ328" i="2" s="1"/>
  <c r="BB61" i="2"/>
  <c r="BB314" i="2" s="1"/>
  <c r="BD332" i="2" s="1"/>
  <c r="AG56" i="2"/>
  <c r="AG309" i="2" s="1"/>
  <c r="AI327" i="2" s="1"/>
  <c r="AI63" i="2"/>
  <c r="AI316" i="2" s="1"/>
  <c r="AK334" i="2" s="1"/>
  <c r="AG61" i="2"/>
  <c r="AG314" i="2" s="1"/>
  <c r="AI332" i="2" s="1"/>
  <c r="AC59" i="2"/>
  <c r="AC312" i="2" s="1"/>
  <c r="AE330" i="2" s="1"/>
  <c r="AB58" i="2"/>
  <c r="AB311" i="2" s="1"/>
  <c r="AD329" i="2" s="1"/>
  <c r="AT58" i="2"/>
  <c r="AT311" i="2" s="1"/>
  <c r="AV329" i="2" s="1"/>
  <c r="BF63" i="2"/>
  <c r="BF316" i="2" s="1"/>
  <c r="BH334" i="2" s="1"/>
  <c r="AO62" i="2"/>
  <c r="AO315" i="2" s="1"/>
  <c r="AQ333" i="2" s="1"/>
  <c r="AP56" i="2"/>
  <c r="AP309" i="2" s="1"/>
  <c r="AR327" i="2" s="1"/>
  <c r="AT65" i="2"/>
  <c r="AT318" i="2" s="1"/>
  <c r="AV336" i="2" s="1"/>
  <c r="AW59" i="2"/>
  <c r="AW312" i="2" s="1"/>
  <c r="AY330" i="2" s="1"/>
  <c r="AZ64" i="2"/>
  <c r="AZ317" i="2" s="1"/>
  <c r="BB335" i="2" s="1"/>
  <c r="AN64" i="2"/>
  <c r="AN317" i="2" s="1"/>
  <c r="AP335" i="2" s="1"/>
  <c r="BD57" i="2"/>
  <c r="BD310" i="2" s="1"/>
  <c r="BF328" i="2" s="1"/>
  <c r="BG63" i="2"/>
  <c r="BG316" i="2" s="1"/>
  <c r="BI334" i="2" s="1"/>
  <c r="AV63" i="2"/>
  <c r="AV316" i="2" s="1"/>
  <c r="AX334" i="2" s="1"/>
  <c r="AY59" i="2"/>
  <c r="AY312" i="2" s="1"/>
  <c r="BA330" i="2" s="1"/>
  <c r="BD59" i="2"/>
  <c r="BD312" i="2" s="1"/>
  <c r="BF330" i="2" s="1"/>
  <c r="AC62" i="2"/>
  <c r="AC315" i="2" s="1"/>
  <c r="AE333" i="2" s="1"/>
  <c r="AA58" i="2"/>
  <c r="AA311" i="2" s="1"/>
  <c r="AC329" i="2" s="1"/>
  <c r="AQ56" i="2"/>
  <c r="AQ309" i="2" s="1"/>
  <c r="AS327" i="2" s="1"/>
  <c r="AI64" i="2"/>
  <c r="AI317" i="2" s="1"/>
  <c r="AK335" i="2" s="1"/>
  <c r="AR57" i="2"/>
  <c r="AR310" i="2" s="1"/>
  <c r="AT328" i="2" s="1"/>
  <c r="AV60" i="2"/>
  <c r="AV313" i="2" s="1"/>
  <c r="AX331" i="2" s="1"/>
  <c r="AZ65" i="2"/>
  <c r="AZ318" i="2" s="1"/>
  <c r="BB336" i="2" s="1"/>
  <c r="AN65" i="2"/>
  <c r="AN318" i="2" s="1"/>
  <c r="AP336" i="2" s="1"/>
  <c r="BD62" i="2"/>
  <c r="BD315" i="2" s="1"/>
  <c r="BF333" i="2" s="1"/>
  <c r="BB60" i="2"/>
  <c r="BB313" i="2" s="1"/>
  <c r="BD331" i="2" s="1"/>
  <c r="AU58" i="2"/>
  <c r="AU311" i="2" s="1"/>
  <c r="AW329" i="2" s="1"/>
  <c r="BD64" i="2"/>
  <c r="BD317" i="2" s="1"/>
  <c r="BF335" i="2" s="1"/>
  <c r="AG60" i="2"/>
  <c r="AG313" i="2" s="1"/>
  <c r="AI331" i="2" s="1"/>
  <c r="BF61" i="2"/>
  <c r="BF314" i="2" s="1"/>
  <c r="BH332" i="2" s="1"/>
  <c r="BB62" i="2"/>
  <c r="BB315" i="2" s="1"/>
  <c r="BD333" i="2" s="1"/>
  <c r="AI60" i="2"/>
  <c r="AI313" i="2" s="1"/>
  <c r="AK331" i="2" s="1"/>
  <c r="AJ58" i="2"/>
  <c r="AJ311" i="2" s="1"/>
  <c r="AL329" i="2" s="1"/>
  <c r="AC63" i="2"/>
  <c r="AC316" i="2" s="1"/>
  <c r="AE334" i="2" s="1"/>
  <c r="BD63" i="2"/>
  <c r="BD316" i="2" s="1"/>
  <c r="BF334" i="2" s="1"/>
  <c r="AE57" i="2"/>
  <c r="AE310" i="2" s="1"/>
  <c r="AG328" i="2" s="1"/>
  <c r="AU64" i="2"/>
  <c r="AU317" i="2" s="1"/>
  <c r="AW335" i="2" s="1"/>
  <c r="Z65" i="2"/>
  <c r="Z318" i="2" s="1"/>
  <c r="AH64" i="2"/>
  <c r="AH317" i="2" s="1"/>
  <c r="AJ335" i="2" s="1"/>
  <c r="AO59" i="2"/>
  <c r="AO312" i="2" s="1"/>
  <c r="AQ330" i="2" s="1"/>
  <c r="AH62" i="2"/>
  <c r="AH315" i="2" s="1"/>
  <c r="AJ333" i="2" s="1"/>
  <c r="AN62" i="2"/>
  <c r="AN315" i="2" s="1"/>
  <c r="AP333" i="2" s="1"/>
  <c r="AD64" i="2"/>
  <c r="AD317" i="2" s="1"/>
  <c r="AF335" i="2" s="1"/>
  <c r="AQ59" i="2"/>
  <c r="AQ312" i="2" s="1"/>
  <c r="AS330" i="2" s="1"/>
  <c r="AS62" i="2"/>
  <c r="AS315" i="2" s="1"/>
  <c r="AU333" i="2" s="1"/>
  <c r="AZ56" i="2"/>
  <c r="AZ309" i="2" s="1"/>
  <c r="BB327" i="2" s="1"/>
  <c r="AC60" i="2"/>
  <c r="AC313" i="2" s="1"/>
  <c r="AE331" i="2" s="1"/>
  <c r="AE59" i="2"/>
  <c r="AE312" i="2" s="1"/>
  <c r="AG330" i="2" s="1"/>
  <c r="BA58" i="2"/>
  <c r="BA311" i="2" s="1"/>
  <c r="BC329" i="2" s="1"/>
  <c r="BC60" i="2"/>
  <c r="BC313" i="2" s="1"/>
  <c r="BE331" i="2" s="1"/>
  <c r="AM61" i="2"/>
  <c r="AM314" i="2" s="1"/>
  <c r="AO332" i="2" s="1"/>
  <c r="AS63" i="2"/>
  <c r="AS316" i="2" s="1"/>
  <c r="AU334" i="2" s="1"/>
  <c r="AK63" i="2"/>
  <c r="AK316" i="2" s="1"/>
  <c r="AM334" i="2" s="1"/>
  <c r="Z59" i="2"/>
  <c r="Z312" i="2" s="1"/>
  <c r="AH59" i="2"/>
  <c r="AH312" i="2" s="1"/>
  <c r="AJ330" i="2" s="1"/>
  <c r="AP63" i="2"/>
  <c r="AP316" i="2" s="1"/>
  <c r="AR334" i="2" s="1"/>
  <c r="AX61" i="2"/>
  <c r="AX314" i="2" s="1"/>
  <c r="AZ332" i="2" s="1"/>
  <c r="BC61" i="2"/>
  <c r="BC314" i="2" s="1"/>
  <c r="BE332" i="2" s="1"/>
  <c r="BB59" i="2"/>
  <c r="BB312" i="2" s="1"/>
  <c r="BD330" i="2" s="1"/>
  <c r="AL64" i="2"/>
  <c r="AL317" i="2" s="1"/>
  <c r="AN335" i="2" s="1"/>
  <c r="AV61" i="2"/>
  <c r="AV314" i="2" s="1"/>
  <c r="AX332" i="2" s="1"/>
  <c r="AH56" i="2"/>
  <c r="AH309" i="2" s="1"/>
  <c r="AJ327" i="2" s="1"/>
  <c r="AI62" i="2"/>
  <c r="AI315" i="2" s="1"/>
  <c r="AK333" i="2" s="1"/>
  <c r="BC64" i="2"/>
  <c r="BC317" i="2" s="1"/>
  <c r="BE335" i="2" s="1"/>
  <c r="AN57" i="2"/>
  <c r="AN310" i="2" s="1"/>
  <c r="AP328" i="2" s="1"/>
  <c r="AR63" i="2"/>
  <c r="AR316" i="2" s="1"/>
  <c r="AT334" i="2" s="1"/>
  <c r="AB59" i="2"/>
  <c r="AB312" i="2" s="1"/>
  <c r="AD330" i="2" s="1"/>
  <c r="AI56" i="2"/>
  <c r="AI309" i="2" s="1"/>
  <c r="AK327" i="2" s="1"/>
  <c r="AP64" i="2"/>
  <c r="AP317" i="2" s="1"/>
  <c r="AR335" i="2" s="1"/>
  <c r="AY64" i="2"/>
  <c r="AY317" i="2" s="1"/>
  <c r="BA335" i="2" s="1"/>
  <c r="AU63" i="2"/>
  <c r="AU316" i="2" s="1"/>
  <c r="AW334" i="2" s="1"/>
  <c r="AH60" i="2"/>
  <c r="AH313" i="2" s="1"/>
  <c r="AJ331" i="2" s="1"/>
  <c r="AV62" i="2"/>
  <c r="AV315" i="2" s="1"/>
  <c r="AX333" i="2" s="1"/>
  <c r="AY62" i="2"/>
  <c r="AY315" i="2" s="1"/>
  <c r="BA333" i="2" s="1"/>
  <c r="AI61" i="2"/>
  <c r="AI314" i="2" s="1"/>
  <c r="AK332" i="2" s="1"/>
  <c r="AU59" i="2"/>
  <c r="AU312" i="2" s="1"/>
  <c r="AW330" i="2" s="1"/>
  <c r="AL63" i="2"/>
  <c r="AL316" i="2" s="1"/>
  <c r="AN334" i="2" s="1"/>
  <c r="AU56" i="2"/>
  <c r="AU309" i="2" s="1"/>
  <c r="AW327" i="2" s="1"/>
  <c r="AX60" i="2"/>
  <c r="AX313" i="2" s="1"/>
  <c r="AZ331" i="2" s="1"/>
  <c r="BC59" i="2"/>
  <c r="BC312" i="2" s="1"/>
  <c r="BE330" i="2" s="1"/>
  <c r="AN63" i="2"/>
  <c r="AN316" i="2" s="1"/>
  <c r="AP334" i="2" s="1"/>
  <c r="AL57" i="2"/>
  <c r="AL310" i="2" s="1"/>
  <c r="AN328" i="2" s="1"/>
  <c r="AL65" i="2"/>
  <c r="AL318" i="2" s="1"/>
  <c r="AN336" i="2" s="1"/>
  <c r="AB64" i="2"/>
  <c r="AB317" i="2" s="1"/>
  <c r="AD335" i="2" s="1"/>
  <c r="BB64" i="2"/>
  <c r="BB317" i="2" s="1"/>
  <c r="BD335" i="2" s="1"/>
  <c r="BB63" i="2"/>
  <c r="BB316" i="2" s="1"/>
  <c r="BD334" i="2" s="1"/>
  <c r="AG59" i="2"/>
  <c r="AG312" i="2" s="1"/>
  <c r="AI330" i="2" s="1"/>
  <c r="AF59" i="2"/>
  <c r="AF312" i="2" s="1"/>
  <c r="AH330" i="2" s="1"/>
  <c r="AF56" i="2"/>
  <c r="AF309" i="2" s="1"/>
  <c r="AH327" i="2" s="1"/>
  <c r="BD58" i="2"/>
  <c r="BD311" i="2" s="1"/>
  <c r="BF329" i="2" s="1"/>
  <c r="AJ63" i="2"/>
  <c r="AJ316" i="2" s="1"/>
  <c r="AL334" i="2" s="1"/>
  <c r="AJ60" i="2"/>
  <c r="AJ313" i="2" s="1"/>
  <c r="AL331" i="2" s="1"/>
  <c r="AN61" i="2"/>
  <c r="AN314" i="2" s="1"/>
  <c r="AP332" i="2" s="1"/>
  <c r="AO57" i="2"/>
  <c r="AO310" i="2" s="1"/>
  <c r="AQ328" i="2" s="1"/>
  <c r="AS57" i="2"/>
  <c r="AS310" i="2" s="1"/>
  <c r="AU328" i="2" s="1"/>
  <c r="BE64" i="2"/>
  <c r="BE317" i="2" s="1"/>
  <c r="BG335" i="2" s="1"/>
  <c r="AE60" i="2"/>
  <c r="AE313" i="2" s="1"/>
  <c r="AG331" i="2" s="1"/>
  <c r="AA63" i="2"/>
  <c r="AA316" i="2" s="1"/>
  <c r="AC334" i="2" s="1"/>
  <c r="BC62" i="2"/>
  <c r="BC315" i="2" s="1"/>
  <c r="BE333" i="2" s="1"/>
  <c r="BA63" i="2"/>
  <c r="BA316" i="2" s="1"/>
  <c r="BC334" i="2" s="1"/>
  <c r="AR59" i="2"/>
  <c r="AR312" i="2" s="1"/>
  <c r="AT330" i="2" s="1"/>
  <c r="BG59" i="2"/>
  <c r="BG312" i="2" s="1"/>
  <c r="BI330" i="2" s="1"/>
  <c r="AN59" i="2"/>
  <c r="AN312" i="2" s="1"/>
  <c r="AP330" i="2" s="1"/>
  <c r="AT61" i="2"/>
  <c r="AT314" i="2" s="1"/>
  <c r="AV332" i="2" s="1"/>
  <c r="AF63" i="2"/>
  <c r="AF316" i="2" s="1"/>
  <c r="AH334" i="2" s="1"/>
  <c r="AK58" i="2"/>
  <c r="AK311" i="2" s="1"/>
  <c r="AM329" i="2" s="1"/>
  <c r="Z62" i="2"/>
  <c r="Z315" i="2" s="1"/>
  <c r="BG57" i="2"/>
  <c r="BG310" i="2" s="1"/>
  <c r="BI328" i="2" s="1"/>
  <c r="AG62" i="2"/>
  <c r="AG315" i="2" s="1"/>
  <c r="AI333" i="2" s="1"/>
  <c r="AB65" i="2"/>
  <c r="AB318" i="2" s="1"/>
  <c r="AD336" i="2" s="1"/>
  <c r="AN58" i="2"/>
  <c r="AN311" i="2" s="1"/>
  <c r="AP329" i="2" s="1"/>
  <c r="AO58" i="2"/>
  <c r="AO311" i="2" s="1"/>
  <c r="AQ329" i="2" s="1"/>
  <c r="AK65" i="2"/>
  <c r="AK318" i="2" s="1"/>
  <c r="AM336" i="2" s="1"/>
  <c r="AR58" i="2"/>
  <c r="AR311" i="2" s="1"/>
  <c r="AT329" i="2" s="1"/>
  <c r="AE56" i="2"/>
  <c r="AE309" i="2" s="1"/>
  <c r="AG327" i="2" s="1"/>
  <c r="AM59" i="2"/>
  <c r="AM312" i="2" s="1"/>
  <c r="AO330" i="2" s="1"/>
  <c r="BE63" i="2"/>
  <c r="BE316" i="2" s="1"/>
  <c r="BG334" i="2" s="1"/>
  <c r="AV58" i="2"/>
  <c r="AV311" i="2" s="1"/>
  <c r="AX329" i="2" s="1"/>
  <c r="AM64" i="2"/>
  <c r="AM317" i="2" s="1"/>
  <c r="AO335" i="2" s="1"/>
  <c r="AD58" i="2"/>
  <c r="AD311" i="2" s="1"/>
  <c r="AF329" i="2" s="1"/>
  <c r="AI58" i="2"/>
  <c r="AI311" i="2" s="1"/>
  <c r="AK329" i="2" s="1"/>
  <c r="Z64" i="2"/>
  <c r="Z317" i="2" s="1"/>
  <c r="AH63" i="2"/>
  <c r="AH316" i="2" s="1"/>
  <c r="AJ334" i="2" s="1"/>
  <c r="AA57" i="2"/>
  <c r="AA310" i="2" s="1"/>
  <c r="AC328" i="2" s="1"/>
  <c r="AL61" i="2"/>
  <c r="AL314" i="2" s="1"/>
  <c r="AN332" i="2" s="1"/>
  <c r="BE65" i="2"/>
  <c r="BE318" i="2" s="1"/>
  <c r="BG336" i="2" s="1"/>
  <c r="BA62" i="2"/>
  <c r="BA315" i="2" s="1"/>
  <c r="BC333" i="2" s="1"/>
  <c r="AN56" i="2"/>
  <c r="AN309" i="2" s="1"/>
  <c r="AP327" i="2" s="1"/>
  <c r="AP65" i="2"/>
  <c r="AP318" i="2" s="1"/>
  <c r="AR336" i="2" s="1"/>
  <c r="BF62" i="2"/>
  <c r="BF315" i="2" s="1"/>
  <c r="BH333" i="2" s="1"/>
  <c r="AR64" i="2"/>
  <c r="AR317" i="2" s="1"/>
  <c r="AT335" i="2" s="1"/>
  <c r="AV57" i="2"/>
  <c r="AV310" i="2" s="1"/>
  <c r="AX328" i="2" s="1"/>
  <c r="AV59" i="2"/>
  <c r="AV312" i="2" s="1"/>
  <c r="AX330" i="2" s="1"/>
  <c r="AG58" i="2"/>
  <c r="AG311" i="2" s="1"/>
  <c r="AI329" i="2" s="1"/>
  <c r="AR56" i="2"/>
  <c r="AR309" i="2" s="1"/>
  <c r="AT327" i="2" s="1"/>
  <c r="AE62" i="2"/>
  <c r="AE315" i="2" s="1"/>
  <c r="AG333" i="2" s="1"/>
  <c r="AH57" i="2"/>
  <c r="AH310" i="2" s="1"/>
  <c r="AJ328" i="2" s="1"/>
  <c r="AM65" i="2"/>
  <c r="AM318" i="2" s="1"/>
  <c r="AO336" i="2" s="1"/>
  <c r="AU65" i="2"/>
  <c r="AU318" i="2" s="1"/>
  <c r="AW336" i="2" s="1"/>
  <c r="AE63" i="2"/>
  <c r="AE316" i="2" s="1"/>
  <c r="AG334" i="2" s="1"/>
  <c r="BF57" i="2"/>
  <c r="BF310" i="2" s="1"/>
  <c r="BH328" i="2" s="1"/>
  <c r="AA59" i="2"/>
  <c r="AA312" i="2" s="1"/>
  <c r="AC330" i="2" s="1"/>
  <c r="AY65" i="2"/>
  <c r="AY318" i="2" s="1"/>
  <c r="BA336" i="2" s="1"/>
  <c r="AJ56" i="2"/>
  <c r="AJ309" i="2" s="1"/>
  <c r="AL327" i="2" s="1"/>
  <c r="AG63" i="2"/>
  <c r="AG316" i="2" s="1"/>
  <c r="AI334" i="2" s="1"/>
  <c r="AP62" i="2"/>
  <c r="AP315" i="2" s="1"/>
  <c r="AR333" i="2" s="1"/>
  <c r="AD59" i="2"/>
  <c r="AD312" i="2" s="1"/>
  <c r="AF330" i="2" s="1"/>
  <c r="BD60" i="2"/>
  <c r="BD313" i="2" s="1"/>
  <c r="BF331" i="2" s="1"/>
  <c r="AZ60" i="2"/>
  <c r="AZ313" i="2" s="1"/>
  <c r="BB331" i="2" s="1"/>
  <c r="AM62" i="2"/>
  <c r="AM315" i="2" s="1"/>
  <c r="AO333" i="2" s="1"/>
  <c r="AL60" i="2"/>
  <c r="AL313" i="2" s="1"/>
  <c r="AN331" i="2" s="1"/>
  <c r="AZ61" i="2"/>
  <c r="AZ314" i="2" s="1"/>
  <c r="BB332" i="2" s="1"/>
  <c r="AE64" i="2"/>
  <c r="AE317" i="2" s="1"/>
  <c r="AG335" i="2" s="1"/>
  <c r="AQ58" i="2"/>
  <c r="AQ311" i="2" s="1"/>
  <c r="AS329" i="2" s="1"/>
  <c r="AQ63" i="2"/>
  <c r="AQ316" i="2" s="1"/>
  <c r="AS334" i="2" s="1"/>
  <c r="BE59" i="2"/>
  <c r="BE312" i="2" s="1"/>
  <c r="BG330" i="2" s="1"/>
  <c r="AK60" i="2"/>
  <c r="AK313" i="2" s="1"/>
  <c r="AM331" i="2" s="1"/>
  <c r="Z61" i="2"/>
  <c r="Z314" i="2" s="1"/>
  <c r="BE56" i="2"/>
  <c r="BE309" i="2" s="1"/>
  <c r="BG327" i="2" s="1"/>
  <c r="AO56" i="2"/>
  <c r="AO309" i="2" s="1"/>
  <c r="AQ327" i="2" s="1"/>
  <c r="AX59" i="2"/>
  <c r="AX312" i="2" s="1"/>
  <c r="AZ330" i="2" s="1"/>
  <c r="AL62" i="2"/>
  <c r="AL315" i="2" s="1"/>
  <c r="AN333" i="2" s="1"/>
  <c r="AA61" i="2"/>
  <c r="AA314" i="2" s="1"/>
  <c r="AC332" i="2" s="1"/>
  <c r="AD61" i="2"/>
  <c r="AD314" i="2" s="1"/>
  <c r="AF332" i="2" s="1"/>
  <c r="AP58" i="2"/>
  <c r="AP311" i="2" s="1"/>
  <c r="AR329" i="2" s="1"/>
  <c r="AR65" i="2"/>
  <c r="AR318" i="2" s="1"/>
  <c r="AT336" i="2" s="1"/>
  <c r="AQ62" i="2"/>
  <c r="AQ315" i="2" s="1"/>
  <c r="AS333" i="2" s="1"/>
  <c r="AF65" i="2"/>
  <c r="AF318" i="2" s="1"/>
  <c r="AH336" i="2" s="1"/>
  <c r="AJ65" i="2"/>
  <c r="AJ318" i="2" s="1"/>
  <c r="AL336" i="2" s="1"/>
  <c r="AH58" i="2"/>
  <c r="AH311" i="2" s="1"/>
  <c r="AJ329" i="2" s="1"/>
  <c r="Z76" i="2" l="1"/>
  <c r="AA22" i="2" s="1"/>
  <c r="Z75" i="2"/>
  <c r="AA21" i="2" s="1"/>
  <c r="AA75" i="2" s="1"/>
  <c r="AB21" i="2" s="1"/>
  <c r="AB75" i="2" s="1"/>
  <c r="AC21" i="2" s="1"/>
  <c r="AC75" i="2" s="1"/>
  <c r="AD21" i="2" s="1"/>
  <c r="AD75" i="2" s="1"/>
  <c r="AE21" i="2" s="1"/>
  <c r="AE75" i="2" s="1"/>
  <c r="AF21" i="2" s="1"/>
  <c r="AF75" i="2" s="1"/>
  <c r="AG21" i="2" s="1"/>
  <c r="AG75" i="2" s="1"/>
  <c r="AH21" i="2" s="1"/>
  <c r="AH75" i="2" s="1"/>
  <c r="AI21" i="2" s="1"/>
  <c r="AI75" i="2" s="1"/>
  <c r="AJ21" i="2" s="1"/>
  <c r="AJ75" i="2" s="1"/>
  <c r="AK21" i="2" s="1"/>
  <c r="AK75" i="2" s="1"/>
  <c r="AL21" i="2" s="1"/>
  <c r="AL75" i="2" s="1"/>
  <c r="AM21" i="2" s="1"/>
  <c r="AM75" i="2" s="1"/>
  <c r="AN21" i="2" s="1"/>
  <c r="AN75" i="2" s="1"/>
  <c r="AO21" i="2" s="1"/>
  <c r="AO75" i="2" s="1"/>
  <c r="AP21" i="2" s="1"/>
  <c r="AP75" i="2" s="1"/>
  <c r="AQ21" i="2" s="1"/>
  <c r="AQ75" i="2" s="1"/>
  <c r="AR21" i="2" s="1"/>
  <c r="AR75" i="2" s="1"/>
  <c r="AS21" i="2" s="1"/>
  <c r="AS75" i="2" s="1"/>
  <c r="AT21" i="2" s="1"/>
  <c r="AT75" i="2" s="1"/>
  <c r="AU21" i="2" s="1"/>
  <c r="AU75" i="2" s="1"/>
  <c r="AV21" i="2" s="1"/>
  <c r="AV75" i="2" s="1"/>
  <c r="AW21" i="2" s="1"/>
  <c r="AW75" i="2" s="1"/>
  <c r="AX21" i="2" s="1"/>
  <c r="AX75" i="2" s="1"/>
  <c r="AY21" i="2" s="1"/>
  <c r="AY75" i="2" s="1"/>
  <c r="AZ21" i="2" s="1"/>
  <c r="AZ75" i="2" s="1"/>
  <c r="BA21" i="2" s="1"/>
  <c r="BA75" i="2" s="1"/>
  <c r="BB21" i="2" s="1"/>
  <c r="BB75" i="2" s="1"/>
  <c r="BC21" i="2" s="1"/>
  <c r="BC75" i="2" s="1"/>
  <c r="BD21" i="2" s="1"/>
  <c r="BD75" i="2" s="1"/>
  <c r="BE21" i="2" s="1"/>
  <c r="BE75" i="2" s="1"/>
  <c r="BF21" i="2" s="1"/>
  <c r="BF75" i="2" s="1"/>
  <c r="BG21" i="2" s="1"/>
  <c r="BG75" i="2" s="1"/>
  <c r="BH21" i="2" s="1"/>
  <c r="Z81" i="2"/>
  <c r="AA27" i="2" s="1"/>
  <c r="AA81" i="2" s="1"/>
  <c r="AB27" i="2" s="1"/>
  <c r="AB81" i="2" s="1"/>
  <c r="AC27" i="2" s="1"/>
  <c r="AC81" i="2" s="1"/>
  <c r="AD27" i="2" s="1"/>
  <c r="AD81" i="2" s="1"/>
  <c r="AE27" i="2" s="1"/>
  <c r="AE81" i="2" s="1"/>
  <c r="AF27" i="2" s="1"/>
  <c r="AF81" i="2" s="1"/>
  <c r="AG27" i="2" s="1"/>
  <c r="AG81" i="2" s="1"/>
  <c r="AH27" i="2" s="1"/>
  <c r="AH81" i="2" s="1"/>
  <c r="AI27" i="2" s="1"/>
  <c r="AI81" i="2" s="1"/>
  <c r="AJ27" i="2" s="1"/>
  <c r="AJ81" i="2" s="1"/>
  <c r="AK27" i="2" s="1"/>
  <c r="AK81" i="2" s="1"/>
  <c r="AL27" i="2" s="1"/>
  <c r="AL81" i="2" s="1"/>
  <c r="AM27" i="2" s="1"/>
  <c r="AM81" i="2" s="1"/>
  <c r="AN27" i="2" s="1"/>
  <c r="AN81" i="2" s="1"/>
  <c r="AO27" i="2" s="1"/>
  <c r="AO81" i="2" s="1"/>
  <c r="AP27" i="2" s="1"/>
  <c r="AP81" i="2" s="1"/>
  <c r="AQ27" i="2" s="1"/>
  <c r="AQ81" i="2" s="1"/>
  <c r="AR27" i="2" s="1"/>
  <c r="AR81" i="2" s="1"/>
  <c r="AS27" i="2" s="1"/>
  <c r="AS81" i="2" s="1"/>
  <c r="AT27" i="2" s="1"/>
  <c r="AT81" i="2" s="1"/>
  <c r="AU27" i="2" s="1"/>
  <c r="AU81" i="2" s="1"/>
  <c r="AV27" i="2" s="1"/>
  <c r="AV81" i="2" s="1"/>
  <c r="AW27" i="2" s="1"/>
  <c r="AW81" i="2" s="1"/>
  <c r="AX27" i="2" s="1"/>
  <c r="AX81" i="2" s="1"/>
  <c r="AY27" i="2" s="1"/>
  <c r="AY81" i="2" s="1"/>
  <c r="AZ27" i="2" s="1"/>
  <c r="AZ81" i="2" s="1"/>
  <c r="BA27" i="2" s="1"/>
  <c r="BA81" i="2" s="1"/>
  <c r="BB27" i="2" s="1"/>
  <c r="BB81" i="2" s="1"/>
  <c r="BC27" i="2" s="1"/>
  <c r="BC81" i="2" s="1"/>
  <c r="BD27" i="2" s="1"/>
  <c r="BD81" i="2" s="1"/>
  <c r="BE27" i="2" s="1"/>
  <c r="BE81" i="2" s="1"/>
  <c r="BF27" i="2" s="1"/>
  <c r="BF81" i="2" s="1"/>
  <c r="BG27" i="2" s="1"/>
  <c r="BG81" i="2" s="1"/>
  <c r="BH27" i="2" s="1"/>
  <c r="Z78" i="2"/>
  <c r="AA24" i="2" s="1"/>
  <c r="AA78" i="2" s="1"/>
  <c r="AB24" i="2" s="1"/>
  <c r="AB78" i="2" s="1"/>
  <c r="AC24" i="2" s="1"/>
  <c r="AC78" i="2" s="1"/>
  <c r="AD24" i="2" s="1"/>
  <c r="AD78" i="2" s="1"/>
  <c r="AE24" i="2" s="1"/>
  <c r="AE78" i="2" s="1"/>
  <c r="AF24" i="2" s="1"/>
  <c r="AF78" i="2" s="1"/>
  <c r="AG24" i="2" s="1"/>
  <c r="AG78" i="2" s="1"/>
  <c r="AH24" i="2" s="1"/>
  <c r="AH78" i="2" s="1"/>
  <c r="AI24" i="2" s="1"/>
  <c r="AI78" i="2" s="1"/>
  <c r="AJ24" i="2" s="1"/>
  <c r="AJ78" i="2" s="1"/>
  <c r="AK24" i="2" s="1"/>
  <c r="AK78" i="2" s="1"/>
  <c r="AL24" i="2" s="1"/>
  <c r="AL78" i="2" s="1"/>
  <c r="AM24" i="2" s="1"/>
  <c r="AM78" i="2" s="1"/>
  <c r="AN24" i="2" s="1"/>
  <c r="AN78" i="2" s="1"/>
  <c r="AO24" i="2" s="1"/>
  <c r="AO78" i="2" s="1"/>
  <c r="AP24" i="2" s="1"/>
  <c r="AP78" i="2" s="1"/>
  <c r="AQ24" i="2" s="1"/>
  <c r="AQ78" i="2" s="1"/>
  <c r="AR24" i="2" s="1"/>
  <c r="AR78" i="2" s="1"/>
  <c r="AS24" i="2" s="1"/>
  <c r="AS78" i="2" s="1"/>
  <c r="AT24" i="2" s="1"/>
  <c r="AT78" i="2" s="1"/>
  <c r="AU24" i="2" s="1"/>
  <c r="AU78" i="2" s="1"/>
  <c r="AV24" i="2" s="1"/>
  <c r="AV78" i="2" s="1"/>
  <c r="AW24" i="2" s="1"/>
  <c r="AW78" i="2" s="1"/>
  <c r="AX24" i="2" s="1"/>
  <c r="AX78" i="2" s="1"/>
  <c r="AY24" i="2" s="1"/>
  <c r="AY78" i="2" s="1"/>
  <c r="AZ24" i="2" s="1"/>
  <c r="AZ78" i="2" s="1"/>
  <c r="BA24" i="2" s="1"/>
  <c r="BA78" i="2" s="1"/>
  <c r="BB24" i="2" s="1"/>
  <c r="BB78" i="2" s="1"/>
  <c r="BC24" i="2" s="1"/>
  <c r="BC78" i="2" s="1"/>
  <c r="BD24" i="2" s="1"/>
  <c r="BD78" i="2" s="1"/>
  <c r="BE24" i="2" s="1"/>
  <c r="BE78" i="2" s="1"/>
  <c r="BF24" i="2" s="1"/>
  <c r="BF78" i="2" s="1"/>
  <c r="BG24" i="2" s="1"/>
  <c r="BG78" i="2" s="1"/>
  <c r="BH24" i="2" s="1"/>
  <c r="AJ50" i="2"/>
  <c r="AH55" i="2"/>
  <c r="AC50" i="2"/>
  <c r="AA55" i="2"/>
  <c r="AK50" i="2"/>
  <c r="AI55" i="2"/>
  <c r="AW50" i="2"/>
  <c r="AU55" i="2"/>
  <c r="Z352" i="2"/>
  <c r="AA352" i="2" s="1"/>
  <c r="AB334" i="2"/>
  <c r="BD55" i="2"/>
  <c r="BF50" i="2"/>
  <c r="AD50" i="2"/>
  <c r="AB55" i="2"/>
  <c r="BE55" i="2"/>
  <c r="BG50" i="2"/>
  <c r="AV55" i="2"/>
  <c r="AX50" i="2"/>
  <c r="Z79" i="2"/>
  <c r="AA25" i="2" s="1"/>
  <c r="AA79" i="2" s="1"/>
  <c r="AB25" i="2" s="1"/>
  <c r="AB79" i="2" s="1"/>
  <c r="AC25" i="2" s="1"/>
  <c r="AC79" i="2" s="1"/>
  <c r="AD25" i="2" s="1"/>
  <c r="AD79" i="2" s="1"/>
  <c r="AE25" i="2" s="1"/>
  <c r="AE79" i="2" s="1"/>
  <c r="AF25" i="2" s="1"/>
  <c r="AF79" i="2" s="1"/>
  <c r="AG25" i="2" s="1"/>
  <c r="AG79" i="2" s="1"/>
  <c r="AH25" i="2" s="1"/>
  <c r="AH79" i="2" s="1"/>
  <c r="AI25" i="2" s="1"/>
  <c r="AI79" i="2" s="1"/>
  <c r="AJ25" i="2" s="1"/>
  <c r="AJ79" i="2" s="1"/>
  <c r="AK25" i="2" s="1"/>
  <c r="AK79" i="2" s="1"/>
  <c r="AL25" i="2" s="1"/>
  <c r="AL79" i="2" s="1"/>
  <c r="AM25" i="2" s="1"/>
  <c r="AM79" i="2" s="1"/>
  <c r="AN25" i="2" s="1"/>
  <c r="AN79" i="2" s="1"/>
  <c r="AO25" i="2" s="1"/>
  <c r="AO79" i="2" s="1"/>
  <c r="AP25" i="2" s="1"/>
  <c r="AP79" i="2" s="1"/>
  <c r="AQ25" i="2" s="1"/>
  <c r="AQ79" i="2" s="1"/>
  <c r="AR25" i="2" s="1"/>
  <c r="AR79" i="2" s="1"/>
  <c r="AS25" i="2" s="1"/>
  <c r="AS79" i="2" s="1"/>
  <c r="AT25" i="2" s="1"/>
  <c r="AT79" i="2" s="1"/>
  <c r="AU25" i="2" s="1"/>
  <c r="AU79" i="2" s="1"/>
  <c r="AV25" i="2" s="1"/>
  <c r="AV79" i="2" s="1"/>
  <c r="AW25" i="2" s="1"/>
  <c r="AW79" i="2" s="1"/>
  <c r="AX25" i="2" s="1"/>
  <c r="AX79" i="2" s="1"/>
  <c r="AY25" i="2" s="1"/>
  <c r="AY79" i="2" s="1"/>
  <c r="AZ25" i="2" s="1"/>
  <c r="AZ79" i="2" s="1"/>
  <c r="BA25" i="2" s="1"/>
  <c r="BA79" i="2" s="1"/>
  <c r="BB25" i="2" s="1"/>
  <c r="BB79" i="2" s="1"/>
  <c r="BC25" i="2" s="1"/>
  <c r="BC79" i="2" s="1"/>
  <c r="BD25" i="2" s="1"/>
  <c r="BD79" i="2" s="1"/>
  <c r="BE25" i="2" s="1"/>
  <c r="BE79" i="2" s="1"/>
  <c r="BF25" i="2" s="1"/>
  <c r="BF79" i="2" s="1"/>
  <c r="BG25" i="2" s="1"/>
  <c r="BG79" i="2" s="1"/>
  <c r="BH25" i="2" s="1"/>
  <c r="Z353" i="2"/>
  <c r="AA353" i="2" s="1"/>
  <c r="AB335" i="2"/>
  <c r="Z50" i="2"/>
  <c r="AE50" i="2"/>
  <c r="AC55" i="2"/>
  <c r="AF50" i="2"/>
  <c r="AD55" i="2"/>
  <c r="AW55" i="2"/>
  <c r="AY50" i="2"/>
  <c r="Z350" i="2"/>
  <c r="AA350" i="2" s="1"/>
  <c r="AB332" i="2"/>
  <c r="AG50" i="2"/>
  <c r="AE55" i="2"/>
  <c r="Z74" i="2"/>
  <c r="AA20" i="2" s="1"/>
  <c r="AA74" i="2" s="1"/>
  <c r="AB20" i="2" s="1"/>
  <c r="AB74" i="2" s="1"/>
  <c r="AC20" i="2" s="1"/>
  <c r="AC74" i="2" s="1"/>
  <c r="AD20" i="2" s="1"/>
  <c r="AD74" i="2" s="1"/>
  <c r="AE20" i="2" s="1"/>
  <c r="AE74" i="2" s="1"/>
  <c r="AF20" i="2" s="1"/>
  <c r="AF74" i="2" s="1"/>
  <c r="AG20" i="2" s="1"/>
  <c r="AG74" i="2" s="1"/>
  <c r="AH20" i="2" s="1"/>
  <c r="AH74" i="2" s="1"/>
  <c r="AI20" i="2" s="1"/>
  <c r="AI74" i="2" s="1"/>
  <c r="AJ20" i="2" s="1"/>
  <c r="AJ74" i="2" s="1"/>
  <c r="AK20" i="2" s="1"/>
  <c r="AK74" i="2" s="1"/>
  <c r="AL20" i="2" s="1"/>
  <c r="AL74" i="2" s="1"/>
  <c r="AM20" i="2" s="1"/>
  <c r="AM74" i="2" s="1"/>
  <c r="AN20" i="2" s="1"/>
  <c r="AN74" i="2" s="1"/>
  <c r="AO20" i="2" s="1"/>
  <c r="AO74" i="2" s="1"/>
  <c r="AP20" i="2" s="1"/>
  <c r="AP74" i="2" s="1"/>
  <c r="AQ20" i="2" s="1"/>
  <c r="AQ74" i="2" s="1"/>
  <c r="AR20" i="2" s="1"/>
  <c r="AR74" i="2" s="1"/>
  <c r="AS20" i="2" s="1"/>
  <c r="AS74" i="2" s="1"/>
  <c r="AT20" i="2" s="1"/>
  <c r="AT74" i="2" s="1"/>
  <c r="AU20" i="2" s="1"/>
  <c r="AU74" i="2" s="1"/>
  <c r="AV20" i="2" s="1"/>
  <c r="AV74" i="2" s="1"/>
  <c r="AW20" i="2" s="1"/>
  <c r="AW74" i="2" s="1"/>
  <c r="AX20" i="2" s="1"/>
  <c r="AX74" i="2" s="1"/>
  <c r="AY20" i="2" s="1"/>
  <c r="AY74" i="2" s="1"/>
  <c r="AZ20" i="2" s="1"/>
  <c r="AZ74" i="2" s="1"/>
  <c r="BA20" i="2" s="1"/>
  <c r="BA74" i="2" s="1"/>
  <c r="BB20" i="2" s="1"/>
  <c r="BB74" i="2" s="1"/>
  <c r="BC20" i="2" s="1"/>
  <c r="BC74" i="2" s="1"/>
  <c r="BD20" i="2" s="1"/>
  <c r="BD74" i="2" s="1"/>
  <c r="BE20" i="2" s="1"/>
  <c r="BE74" i="2" s="1"/>
  <c r="BF20" i="2" s="1"/>
  <c r="BF74" i="2" s="1"/>
  <c r="BG20" i="2" s="1"/>
  <c r="BG74" i="2" s="1"/>
  <c r="BH20" i="2" s="1"/>
  <c r="AF55" i="2"/>
  <c r="AH50" i="2"/>
  <c r="Z83" i="2"/>
  <c r="AA29" i="2" s="1"/>
  <c r="AA83" i="2" s="1"/>
  <c r="AB29" i="2" s="1"/>
  <c r="AB83" i="2" s="1"/>
  <c r="AC29" i="2" s="1"/>
  <c r="AC83" i="2" s="1"/>
  <c r="AD29" i="2" s="1"/>
  <c r="AD83" i="2" s="1"/>
  <c r="AE29" i="2" s="1"/>
  <c r="AE83" i="2" s="1"/>
  <c r="AF29" i="2" s="1"/>
  <c r="AF83" i="2" s="1"/>
  <c r="AG29" i="2" s="1"/>
  <c r="AG83" i="2" s="1"/>
  <c r="AH29" i="2" s="1"/>
  <c r="AH83" i="2" s="1"/>
  <c r="AI29" i="2" s="1"/>
  <c r="AI83" i="2" s="1"/>
  <c r="AJ29" i="2" s="1"/>
  <c r="AJ83" i="2" s="1"/>
  <c r="AK29" i="2" s="1"/>
  <c r="AK83" i="2" s="1"/>
  <c r="AL29" i="2" s="1"/>
  <c r="AL83" i="2" s="1"/>
  <c r="AM29" i="2" s="1"/>
  <c r="AM83" i="2" s="1"/>
  <c r="AN29" i="2" s="1"/>
  <c r="AN83" i="2" s="1"/>
  <c r="AO29" i="2" s="1"/>
  <c r="AO83" i="2" s="1"/>
  <c r="AP29" i="2" s="1"/>
  <c r="AP83" i="2" s="1"/>
  <c r="AQ29" i="2" s="1"/>
  <c r="AQ83" i="2" s="1"/>
  <c r="AR29" i="2" s="1"/>
  <c r="AR83" i="2" s="1"/>
  <c r="AS29" i="2" s="1"/>
  <c r="AS83" i="2" s="1"/>
  <c r="AT29" i="2" s="1"/>
  <c r="AT83" i="2" s="1"/>
  <c r="AU29" i="2" s="1"/>
  <c r="AU83" i="2" s="1"/>
  <c r="AV29" i="2" s="1"/>
  <c r="AV83" i="2" s="1"/>
  <c r="AW29" i="2" s="1"/>
  <c r="AW83" i="2" s="1"/>
  <c r="AX29" i="2" s="1"/>
  <c r="AX83" i="2" s="1"/>
  <c r="AY29" i="2" s="1"/>
  <c r="AY83" i="2" s="1"/>
  <c r="AZ29" i="2" s="1"/>
  <c r="AZ83" i="2" s="1"/>
  <c r="BA29" i="2" s="1"/>
  <c r="BA83" i="2" s="1"/>
  <c r="BB29" i="2" s="1"/>
  <c r="BB83" i="2" s="1"/>
  <c r="BC29" i="2" s="1"/>
  <c r="BC83" i="2" s="1"/>
  <c r="BD29" i="2" s="1"/>
  <c r="BD83" i="2" s="1"/>
  <c r="BE29" i="2" s="1"/>
  <c r="BE83" i="2" s="1"/>
  <c r="BF29" i="2" s="1"/>
  <c r="BF83" i="2" s="1"/>
  <c r="BG29" i="2" s="1"/>
  <c r="BG83" i="2" s="1"/>
  <c r="BH29" i="2" s="1"/>
  <c r="Z80" i="2"/>
  <c r="AA26" i="2" s="1"/>
  <c r="AA80" i="2" s="1"/>
  <c r="AB26" i="2" s="1"/>
  <c r="AB80" i="2" s="1"/>
  <c r="AC26" i="2" s="1"/>
  <c r="AC80" i="2" s="1"/>
  <c r="AD26" i="2" s="1"/>
  <c r="AD80" i="2" s="1"/>
  <c r="AE26" i="2" s="1"/>
  <c r="AE80" i="2" s="1"/>
  <c r="AF26" i="2" s="1"/>
  <c r="AF80" i="2" s="1"/>
  <c r="AG26" i="2" s="1"/>
  <c r="AG80" i="2" s="1"/>
  <c r="AH26" i="2" s="1"/>
  <c r="AH80" i="2" s="1"/>
  <c r="AI26" i="2" s="1"/>
  <c r="AI80" i="2" s="1"/>
  <c r="AJ26" i="2" s="1"/>
  <c r="AJ80" i="2" s="1"/>
  <c r="AK26" i="2" s="1"/>
  <c r="AK80" i="2" s="1"/>
  <c r="AL26" i="2" s="1"/>
  <c r="AL80" i="2" s="1"/>
  <c r="AM26" i="2" s="1"/>
  <c r="AM80" i="2" s="1"/>
  <c r="AN26" i="2" s="1"/>
  <c r="AN80" i="2" s="1"/>
  <c r="AO26" i="2" s="1"/>
  <c r="AO80" i="2" s="1"/>
  <c r="AP26" i="2" s="1"/>
  <c r="AP80" i="2" s="1"/>
  <c r="AQ26" i="2" s="1"/>
  <c r="AQ80" i="2" s="1"/>
  <c r="AR26" i="2" s="1"/>
  <c r="AR80" i="2" s="1"/>
  <c r="AS26" i="2" s="1"/>
  <c r="AS80" i="2" s="1"/>
  <c r="AT26" i="2" s="1"/>
  <c r="AT80" i="2" s="1"/>
  <c r="AU26" i="2" s="1"/>
  <c r="AU80" i="2" s="1"/>
  <c r="AV26" i="2" s="1"/>
  <c r="AV80" i="2" s="1"/>
  <c r="AW26" i="2" s="1"/>
  <c r="AW80" i="2" s="1"/>
  <c r="AX26" i="2" s="1"/>
  <c r="AX80" i="2" s="1"/>
  <c r="AY26" i="2" s="1"/>
  <c r="AY80" i="2" s="1"/>
  <c r="AZ26" i="2" s="1"/>
  <c r="AZ80" i="2" s="1"/>
  <c r="BA26" i="2" s="1"/>
  <c r="BA80" i="2" s="1"/>
  <c r="BB26" i="2" s="1"/>
  <c r="BB80" i="2" s="1"/>
  <c r="BC26" i="2" s="1"/>
  <c r="BC80" i="2" s="1"/>
  <c r="BD26" i="2" s="1"/>
  <c r="BD80" i="2" s="1"/>
  <c r="BE26" i="2" s="1"/>
  <c r="BE80" i="2" s="1"/>
  <c r="BF26" i="2" s="1"/>
  <c r="BF80" i="2" s="1"/>
  <c r="BG26" i="2" s="1"/>
  <c r="BG80" i="2" s="1"/>
  <c r="BH26" i="2" s="1"/>
  <c r="AV50" i="2"/>
  <c r="AT55" i="2"/>
  <c r="AA76" i="2"/>
  <c r="AB22" i="2" s="1"/>
  <c r="AB76" i="2" s="1"/>
  <c r="AC22" i="2" s="1"/>
  <c r="AC76" i="2" s="1"/>
  <c r="AD22" i="2" s="1"/>
  <c r="AD76" i="2" s="1"/>
  <c r="AE22" i="2" s="1"/>
  <c r="AE76" i="2" s="1"/>
  <c r="AF22" i="2" s="1"/>
  <c r="AF76" i="2" s="1"/>
  <c r="AG22" i="2" s="1"/>
  <c r="AG76" i="2" s="1"/>
  <c r="AH22" i="2" s="1"/>
  <c r="AH76" i="2" s="1"/>
  <c r="AI22" i="2" s="1"/>
  <c r="AI76" i="2" s="1"/>
  <c r="AJ22" i="2" s="1"/>
  <c r="AJ76" i="2" s="1"/>
  <c r="AK22" i="2" s="1"/>
  <c r="AK76" i="2" s="1"/>
  <c r="AL22" i="2" s="1"/>
  <c r="AL76" i="2" s="1"/>
  <c r="AM22" i="2" s="1"/>
  <c r="AM76" i="2" s="1"/>
  <c r="AN22" i="2" s="1"/>
  <c r="AN76" i="2" s="1"/>
  <c r="AO22" i="2" s="1"/>
  <c r="AO76" i="2" s="1"/>
  <c r="AP22" i="2" s="1"/>
  <c r="AP76" i="2" s="1"/>
  <c r="AQ22" i="2" s="1"/>
  <c r="AQ76" i="2" s="1"/>
  <c r="AR22" i="2" s="1"/>
  <c r="AR76" i="2" s="1"/>
  <c r="AS22" i="2" s="1"/>
  <c r="AS76" i="2" s="1"/>
  <c r="AT22" i="2" s="1"/>
  <c r="AT76" i="2" s="1"/>
  <c r="AU22" i="2" s="1"/>
  <c r="AU76" i="2" s="1"/>
  <c r="AV22" i="2" s="1"/>
  <c r="AV76" i="2" s="1"/>
  <c r="AW22" i="2" s="1"/>
  <c r="AW76" i="2" s="1"/>
  <c r="AX22" i="2" s="1"/>
  <c r="AX76" i="2" s="1"/>
  <c r="AY22" i="2" s="1"/>
  <c r="AY76" i="2" s="1"/>
  <c r="AZ22" i="2" s="1"/>
  <c r="AZ76" i="2" s="1"/>
  <c r="BA22" i="2" s="1"/>
  <c r="BA76" i="2" s="1"/>
  <c r="BB22" i="2" s="1"/>
  <c r="BB76" i="2" s="1"/>
  <c r="BC22" i="2" s="1"/>
  <c r="BC76" i="2" s="1"/>
  <c r="BD22" i="2" s="1"/>
  <c r="BD76" i="2" s="1"/>
  <c r="BE22" i="2" s="1"/>
  <c r="BE76" i="2" s="1"/>
  <c r="BF22" i="2" s="1"/>
  <c r="BF76" i="2" s="1"/>
  <c r="BG22" i="2" s="1"/>
  <c r="BG76" i="2" s="1"/>
  <c r="BH22" i="2" s="1"/>
  <c r="AB331" i="2"/>
  <c r="Z349" i="2"/>
  <c r="AA349" i="2" s="1"/>
  <c r="AX55" i="2"/>
  <c r="AZ50" i="2"/>
  <c r="Z347" i="2"/>
  <c r="AA347" i="2" s="1"/>
  <c r="AB329" i="2"/>
  <c r="AP50" i="2"/>
  <c r="AN55" i="2"/>
  <c r="AY55" i="2"/>
  <c r="BA50" i="2"/>
  <c r="AM55" i="2"/>
  <c r="AO50" i="2"/>
  <c r="BB50" i="2"/>
  <c r="AZ55" i="2"/>
  <c r="Z354" i="2"/>
  <c r="AA354" i="2" s="1"/>
  <c r="AB336" i="2"/>
  <c r="AQ50" i="2"/>
  <c r="AO55" i="2"/>
  <c r="AP55" i="2"/>
  <c r="AR50" i="2"/>
  <c r="Z346" i="2"/>
  <c r="AA346" i="2" s="1"/>
  <c r="AB328" i="2"/>
  <c r="AS50" i="2"/>
  <c r="AQ55" i="2"/>
  <c r="AA50" i="2"/>
  <c r="Z345" i="2"/>
  <c r="AA345" i="2" s="1"/>
  <c r="AB327" i="2"/>
  <c r="BA55" i="2"/>
  <c r="BC50" i="2"/>
  <c r="BB55" i="2"/>
  <c r="BD50" i="2"/>
  <c r="Z348" i="2"/>
  <c r="AA348" i="2" s="1"/>
  <c r="AB330" i="2"/>
  <c r="Z82" i="2"/>
  <c r="AA28" i="2" s="1"/>
  <c r="AA82" i="2" s="1"/>
  <c r="AB28" i="2" s="1"/>
  <c r="AB82" i="2" s="1"/>
  <c r="AC28" i="2" s="1"/>
  <c r="AC82" i="2" s="1"/>
  <c r="AD28" i="2" s="1"/>
  <c r="AD82" i="2" s="1"/>
  <c r="AE28" i="2" s="1"/>
  <c r="AE82" i="2" s="1"/>
  <c r="AF28" i="2" s="1"/>
  <c r="AF82" i="2" s="1"/>
  <c r="AG28" i="2" s="1"/>
  <c r="AG82" i="2" s="1"/>
  <c r="AH28" i="2" s="1"/>
  <c r="AH82" i="2" s="1"/>
  <c r="AI28" i="2" s="1"/>
  <c r="AI82" i="2" s="1"/>
  <c r="AJ28" i="2" s="1"/>
  <c r="AJ82" i="2" s="1"/>
  <c r="AK28" i="2" s="1"/>
  <c r="AK82" i="2" s="1"/>
  <c r="AL28" i="2" s="1"/>
  <c r="AL82" i="2" s="1"/>
  <c r="AM28" i="2" s="1"/>
  <c r="AM82" i="2" s="1"/>
  <c r="AN28" i="2" s="1"/>
  <c r="AN82" i="2" s="1"/>
  <c r="AO28" i="2" s="1"/>
  <c r="AO82" i="2" s="1"/>
  <c r="AP28" i="2" s="1"/>
  <c r="AP82" i="2" s="1"/>
  <c r="AQ28" i="2" s="1"/>
  <c r="AQ82" i="2" s="1"/>
  <c r="AR28" i="2" s="1"/>
  <c r="AR82" i="2" s="1"/>
  <c r="AS28" i="2" s="1"/>
  <c r="AS82" i="2" s="1"/>
  <c r="AT28" i="2" s="1"/>
  <c r="AT82" i="2" s="1"/>
  <c r="AU28" i="2" s="1"/>
  <c r="AU82" i="2" s="1"/>
  <c r="AV28" i="2" s="1"/>
  <c r="AV82" i="2" s="1"/>
  <c r="AW28" i="2" s="1"/>
  <c r="AW82" i="2" s="1"/>
  <c r="AX28" i="2" s="1"/>
  <c r="AX82" i="2" s="1"/>
  <c r="AY28" i="2" s="1"/>
  <c r="AY82" i="2" s="1"/>
  <c r="AZ28" i="2" s="1"/>
  <c r="AZ82" i="2" s="1"/>
  <c r="BA28" i="2" s="1"/>
  <c r="BA82" i="2" s="1"/>
  <c r="BB28" i="2" s="1"/>
  <c r="BB82" i="2" s="1"/>
  <c r="BC28" i="2" s="1"/>
  <c r="BC82" i="2" s="1"/>
  <c r="BD28" i="2" s="1"/>
  <c r="BD82" i="2" s="1"/>
  <c r="BE28" i="2" s="1"/>
  <c r="BE82" i="2" s="1"/>
  <c r="BF28" i="2" s="1"/>
  <c r="BF82" i="2" s="1"/>
  <c r="BG28" i="2" s="1"/>
  <c r="BG82" i="2" s="1"/>
  <c r="BH28" i="2" s="1"/>
  <c r="BF55" i="2"/>
  <c r="BH50" i="2"/>
  <c r="AB50" i="2"/>
  <c r="Z55" i="2"/>
  <c r="AL50" i="2"/>
  <c r="AJ55" i="2"/>
  <c r="BE50" i="2"/>
  <c r="BC55" i="2"/>
  <c r="AN50" i="2"/>
  <c r="AL55" i="2"/>
  <c r="AM50" i="2"/>
  <c r="AK55" i="2"/>
  <c r="Z77" i="2"/>
  <c r="AA23" i="2" s="1"/>
  <c r="AA77" i="2" s="1"/>
  <c r="AB23" i="2" s="1"/>
  <c r="AB77" i="2" s="1"/>
  <c r="AC23" i="2" s="1"/>
  <c r="AC77" i="2" s="1"/>
  <c r="AD23" i="2" s="1"/>
  <c r="AD77" i="2" s="1"/>
  <c r="AE23" i="2" s="1"/>
  <c r="AE77" i="2" s="1"/>
  <c r="AF23" i="2" s="1"/>
  <c r="AF77" i="2" s="1"/>
  <c r="AG23" i="2" s="1"/>
  <c r="AG77" i="2" s="1"/>
  <c r="AH23" i="2" s="1"/>
  <c r="AH77" i="2" s="1"/>
  <c r="AI23" i="2" s="1"/>
  <c r="AI77" i="2" s="1"/>
  <c r="AJ23" i="2" s="1"/>
  <c r="AJ77" i="2" s="1"/>
  <c r="AK23" i="2" s="1"/>
  <c r="AK77" i="2" s="1"/>
  <c r="AL23" i="2" s="1"/>
  <c r="AL77" i="2" s="1"/>
  <c r="AM23" i="2" s="1"/>
  <c r="AM77" i="2" s="1"/>
  <c r="AN23" i="2" s="1"/>
  <c r="AN77" i="2" s="1"/>
  <c r="AO23" i="2" s="1"/>
  <c r="AO77" i="2" s="1"/>
  <c r="AP23" i="2" s="1"/>
  <c r="AP77" i="2" s="1"/>
  <c r="AQ23" i="2" s="1"/>
  <c r="AQ77" i="2" s="1"/>
  <c r="AR23" i="2" s="1"/>
  <c r="AR77" i="2" s="1"/>
  <c r="AS23" i="2" s="1"/>
  <c r="AS77" i="2" s="1"/>
  <c r="AT23" i="2" s="1"/>
  <c r="AT77" i="2" s="1"/>
  <c r="AU23" i="2" s="1"/>
  <c r="AU77" i="2" s="1"/>
  <c r="AV23" i="2" s="1"/>
  <c r="AV77" i="2" s="1"/>
  <c r="AW23" i="2" s="1"/>
  <c r="AW77" i="2" s="1"/>
  <c r="AX23" i="2" s="1"/>
  <c r="AX77" i="2" s="1"/>
  <c r="AY23" i="2" s="1"/>
  <c r="AY77" i="2" s="1"/>
  <c r="AZ23" i="2" s="1"/>
  <c r="AZ77" i="2" s="1"/>
  <c r="BA23" i="2" s="1"/>
  <c r="BA77" i="2" s="1"/>
  <c r="BB23" i="2" s="1"/>
  <c r="BB77" i="2" s="1"/>
  <c r="BC23" i="2" s="1"/>
  <c r="BC77" i="2" s="1"/>
  <c r="BD23" i="2" s="1"/>
  <c r="BD77" i="2" s="1"/>
  <c r="BE23" i="2" s="1"/>
  <c r="BE77" i="2" s="1"/>
  <c r="BF23" i="2" s="1"/>
  <c r="BF77" i="2" s="1"/>
  <c r="BG23" i="2" s="1"/>
  <c r="BG77" i="2" s="1"/>
  <c r="BH23" i="2" s="1"/>
  <c r="BG55" i="2"/>
  <c r="BI50" i="2"/>
  <c r="AR55" i="2"/>
  <c r="AT50" i="2"/>
  <c r="AB333" i="2"/>
  <c r="Z351" i="2"/>
  <c r="AA351" i="2" s="1"/>
  <c r="AI50" i="2"/>
  <c r="AG55" i="2"/>
  <c r="AS55" i="2"/>
  <c r="AU50" i="2"/>
  <c r="AB345" i="2" l="1"/>
  <c r="AC345" i="2" s="1"/>
  <c r="AD345" i="2" s="1"/>
  <c r="AE345" i="2" s="1"/>
  <c r="AF345" i="2" s="1"/>
  <c r="AG345" i="2" s="1"/>
  <c r="AH345" i="2" s="1"/>
  <c r="AI345" i="2" s="1"/>
  <c r="AJ345" i="2" s="1"/>
  <c r="AK345" i="2" s="1"/>
  <c r="AL345" i="2" s="1"/>
  <c r="AM345" i="2" s="1"/>
  <c r="AN345" i="2" s="1"/>
  <c r="AO345" i="2" s="1"/>
  <c r="AP345" i="2" s="1"/>
  <c r="AQ345" i="2" s="1"/>
  <c r="AR345" i="2" s="1"/>
  <c r="AS345" i="2" s="1"/>
  <c r="AT345" i="2" s="1"/>
  <c r="AU345" i="2" s="1"/>
  <c r="AV345" i="2" s="1"/>
  <c r="AW345" i="2" s="1"/>
  <c r="AX345" i="2" s="1"/>
  <c r="AY345" i="2" s="1"/>
  <c r="AZ345" i="2" s="1"/>
  <c r="BA345" i="2" s="1"/>
  <c r="BB345" i="2" s="1"/>
  <c r="BC345" i="2" s="1"/>
  <c r="BD345" i="2" s="1"/>
  <c r="BE345" i="2" s="1"/>
  <c r="BF345" i="2" s="1"/>
  <c r="BG345" i="2" s="1"/>
  <c r="AB348" i="2"/>
  <c r="AC348" i="2" s="1"/>
  <c r="AD348" i="2" s="1"/>
  <c r="AE348" i="2" s="1"/>
  <c r="AF348" i="2" s="1"/>
  <c r="AG348" i="2" s="1"/>
  <c r="AH348" i="2" s="1"/>
  <c r="AI348" i="2" s="1"/>
  <c r="AJ348" i="2" s="1"/>
  <c r="AK348" i="2" s="1"/>
  <c r="AL348" i="2" s="1"/>
  <c r="AM348" i="2" s="1"/>
  <c r="AN348" i="2" s="1"/>
  <c r="AO348" i="2" s="1"/>
  <c r="AP348" i="2" s="1"/>
  <c r="AQ348" i="2" s="1"/>
  <c r="AR348" i="2" s="1"/>
  <c r="AS348" i="2" s="1"/>
  <c r="AT348" i="2" s="1"/>
  <c r="AU348" i="2" s="1"/>
  <c r="AV348" i="2" s="1"/>
  <c r="AW348" i="2" s="1"/>
  <c r="AX348" i="2" s="1"/>
  <c r="AY348" i="2" s="1"/>
  <c r="AZ348" i="2" s="1"/>
  <c r="BA348" i="2" s="1"/>
  <c r="BB348" i="2" s="1"/>
  <c r="BC348" i="2" s="1"/>
  <c r="BD348" i="2" s="1"/>
  <c r="BE348" i="2" s="1"/>
  <c r="BF348" i="2" s="1"/>
  <c r="BG348" i="2" s="1"/>
  <c r="AS308" i="2"/>
  <c r="AS68" i="2"/>
  <c r="Z73" i="2"/>
  <c r="Z308" i="2"/>
  <c r="Z68" i="2"/>
  <c r="AP308" i="2"/>
  <c r="AP68" i="2"/>
  <c r="AT68" i="2"/>
  <c r="AT308" i="2"/>
  <c r="AG68" i="2"/>
  <c r="AG308" i="2"/>
  <c r="AO308" i="2"/>
  <c r="AO68" i="2"/>
  <c r="AV68" i="2"/>
  <c r="AV308" i="2"/>
  <c r="AB351" i="2"/>
  <c r="AC351" i="2" s="1"/>
  <c r="AD351" i="2" s="1"/>
  <c r="AE351" i="2" s="1"/>
  <c r="AF351" i="2" s="1"/>
  <c r="AG351" i="2" s="1"/>
  <c r="AH351" i="2" s="1"/>
  <c r="AI351" i="2" s="1"/>
  <c r="AJ351" i="2" s="1"/>
  <c r="AK351" i="2" s="1"/>
  <c r="AL351" i="2" s="1"/>
  <c r="AM351" i="2" s="1"/>
  <c r="AN351" i="2" s="1"/>
  <c r="AO351" i="2" s="1"/>
  <c r="AP351" i="2" s="1"/>
  <c r="AQ351" i="2" s="1"/>
  <c r="AR351" i="2" s="1"/>
  <c r="AS351" i="2" s="1"/>
  <c r="AT351" i="2" s="1"/>
  <c r="AU351" i="2" s="1"/>
  <c r="AV351" i="2" s="1"/>
  <c r="AW351" i="2" s="1"/>
  <c r="AX351" i="2" s="1"/>
  <c r="AY351" i="2" s="1"/>
  <c r="AZ351" i="2" s="1"/>
  <c r="BA351" i="2" s="1"/>
  <c r="BB351" i="2" s="1"/>
  <c r="BC351" i="2" s="1"/>
  <c r="BD351" i="2" s="1"/>
  <c r="BE351" i="2" s="1"/>
  <c r="BF351" i="2" s="1"/>
  <c r="BG351" i="2" s="1"/>
  <c r="BF68" i="2"/>
  <c r="BF308" i="2"/>
  <c r="AB354" i="2"/>
  <c r="AC354" i="2" s="1"/>
  <c r="AD354" i="2" s="1"/>
  <c r="AE354" i="2" s="1"/>
  <c r="AF354" i="2" s="1"/>
  <c r="AG354" i="2" s="1"/>
  <c r="AH354" i="2" s="1"/>
  <c r="AI354" i="2" s="1"/>
  <c r="AJ354" i="2" s="1"/>
  <c r="AK354" i="2" s="1"/>
  <c r="AL354" i="2" s="1"/>
  <c r="AM354" i="2" s="1"/>
  <c r="AN354" i="2" s="1"/>
  <c r="AO354" i="2" s="1"/>
  <c r="AP354" i="2" s="1"/>
  <c r="AQ354" i="2" s="1"/>
  <c r="AR354" i="2" s="1"/>
  <c r="AS354" i="2" s="1"/>
  <c r="AT354" i="2" s="1"/>
  <c r="AU354" i="2" s="1"/>
  <c r="AV354" i="2" s="1"/>
  <c r="AW354" i="2" s="1"/>
  <c r="AX354" i="2" s="1"/>
  <c r="AY354" i="2" s="1"/>
  <c r="AZ354" i="2" s="1"/>
  <c r="BA354" i="2" s="1"/>
  <c r="BB354" i="2" s="1"/>
  <c r="BC354" i="2" s="1"/>
  <c r="BD354" i="2" s="1"/>
  <c r="BE354" i="2" s="1"/>
  <c r="BF354" i="2" s="1"/>
  <c r="BG354" i="2" s="1"/>
  <c r="BE68" i="2"/>
  <c r="BE308" i="2"/>
  <c r="AZ308" i="2"/>
  <c r="AZ68" i="2"/>
  <c r="AF308" i="2"/>
  <c r="AF68" i="2"/>
  <c r="AB308" i="2"/>
  <c r="AB68" i="2"/>
  <c r="AR68" i="2"/>
  <c r="AR308" i="2"/>
  <c r="AE308" i="2"/>
  <c r="AE68" i="2"/>
  <c r="BB308" i="2"/>
  <c r="BB68" i="2"/>
  <c r="AM68" i="2"/>
  <c r="AM308" i="2"/>
  <c r="BD308" i="2"/>
  <c r="BD68" i="2"/>
  <c r="BG68" i="2"/>
  <c r="BG308" i="2"/>
  <c r="BA308" i="2"/>
  <c r="BA68" i="2"/>
  <c r="AY308" i="2"/>
  <c r="AY68" i="2"/>
  <c r="AB350" i="2"/>
  <c r="AC350" i="2" s="1"/>
  <c r="AD350" i="2" s="1"/>
  <c r="AE350" i="2" s="1"/>
  <c r="AF350" i="2" s="1"/>
  <c r="AG350" i="2" s="1"/>
  <c r="AH350" i="2" s="1"/>
  <c r="AI350" i="2" s="1"/>
  <c r="AJ350" i="2" s="1"/>
  <c r="AK350" i="2" s="1"/>
  <c r="AL350" i="2" s="1"/>
  <c r="AM350" i="2" s="1"/>
  <c r="AN350" i="2" s="1"/>
  <c r="AO350" i="2" s="1"/>
  <c r="AP350" i="2" s="1"/>
  <c r="AQ350" i="2" s="1"/>
  <c r="AR350" i="2" s="1"/>
  <c r="AS350" i="2" s="1"/>
  <c r="AT350" i="2" s="1"/>
  <c r="AU350" i="2" s="1"/>
  <c r="AV350" i="2" s="1"/>
  <c r="AW350" i="2" s="1"/>
  <c r="AX350" i="2" s="1"/>
  <c r="AY350" i="2" s="1"/>
  <c r="AZ350" i="2" s="1"/>
  <c r="BA350" i="2" s="1"/>
  <c r="BB350" i="2" s="1"/>
  <c r="BC350" i="2" s="1"/>
  <c r="BD350" i="2" s="1"/>
  <c r="BE350" i="2" s="1"/>
  <c r="BF350" i="2" s="1"/>
  <c r="BG350" i="2" s="1"/>
  <c r="AB352" i="2"/>
  <c r="AC352" i="2" s="1"/>
  <c r="AD352" i="2" s="1"/>
  <c r="AE352" i="2" s="1"/>
  <c r="AF352" i="2" s="1"/>
  <c r="AG352" i="2" s="1"/>
  <c r="AH352" i="2" s="1"/>
  <c r="AI352" i="2" s="1"/>
  <c r="AJ352" i="2" s="1"/>
  <c r="AK352" i="2" s="1"/>
  <c r="AL352" i="2" s="1"/>
  <c r="AM352" i="2" s="1"/>
  <c r="AN352" i="2" s="1"/>
  <c r="AO352" i="2" s="1"/>
  <c r="AP352" i="2" s="1"/>
  <c r="AQ352" i="2" s="1"/>
  <c r="AR352" i="2" s="1"/>
  <c r="AS352" i="2" s="1"/>
  <c r="AT352" i="2" s="1"/>
  <c r="AU352" i="2" s="1"/>
  <c r="AV352" i="2" s="1"/>
  <c r="AW352" i="2" s="1"/>
  <c r="AX352" i="2" s="1"/>
  <c r="AY352" i="2" s="1"/>
  <c r="AZ352" i="2" s="1"/>
  <c r="BA352" i="2" s="1"/>
  <c r="BB352" i="2" s="1"/>
  <c r="BC352" i="2" s="1"/>
  <c r="BD352" i="2" s="1"/>
  <c r="BE352" i="2" s="1"/>
  <c r="BF352" i="2" s="1"/>
  <c r="BG352" i="2" s="1"/>
  <c r="AK68" i="2"/>
  <c r="AK308" i="2"/>
  <c r="AN68" i="2"/>
  <c r="AN308" i="2"/>
  <c r="AU68" i="2"/>
  <c r="AU308" i="2"/>
  <c r="AW68" i="2"/>
  <c r="AW308" i="2"/>
  <c r="AL68" i="2"/>
  <c r="AL308" i="2"/>
  <c r="AD308" i="2"/>
  <c r="AD68" i="2"/>
  <c r="AI308" i="2"/>
  <c r="AI68" i="2"/>
  <c r="AB347" i="2"/>
  <c r="AC347" i="2" s="1"/>
  <c r="AD347" i="2" s="1"/>
  <c r="AE347" i="2" s="1"/>
  <c r="AF347" i="2" s="1"/>
  <c r="AG347" i="2" s="1"/>
  <c r="AH347" i="2" s="1"/>
  <c r="AI347" i="2" s="1"/>
  <c r="AJ347" i="2" s="1"/>
  <c r="AK347" i="2" s="1"/>
  <c r="AL347" i="2" s="1"/>
  <c r="AM347" i="2" s="1"/>
  <c r="AN347" i="2" s="1"/>
  <c r="AO347" i="2" s="1"/>
  <c r="AP347" i="2" s="1"/>
  <c r="AQ347" i="2" s="1"/>
  <c r="AR347" i="2" s="1"/>
  <c r="AS347" i="2" s="1"/>
  <c r="AT347" i="2" s="1"/>
  <c r="AU347" i="2" s="1"/>
  <c r="AV347" i="2" s="1"/>
  <c r="AW347" i="2" s="1"/>
  <c r="AX347" i="2" s="1"/>
  <c r="AY347" i="2" s="1"/>
  <c r="AZ347" i="2" s="1"/>
  <c r="BA347" i="2" s="1"/>
  <c r="BB347" i="2" s="1"/>
  <c r="BC347" i="2" s="1"/>
  <c r="BD347" i="2" s="1"/>
  <c r="BE347" i="2" s="1"/>
  <c r="BF347" i="2" s="1"/>
  <c r="BG347" i="2" s="1"/>
  <c r="AQ308" i="2"/>
  <c r="AQ68" i="2"/>
  <c r="AC68" i="2"/>
  <c r="AC308" i="2"/>
  <c r="BC68" i="2"/>
  <c r="BC308" i="2"/>
  <c r="AX308" i="2"/>
  <c r="AX68" i="2"/>
  <c r="AA68" i="2"/>
  <c r="AA308" i="2"/>
  <c r="AB349" i="2"/>
  <c r="AC349" i="2" s="1"/>
  <c r="AD349" i="2" s="1"/>
  <c r="AE349" i="2" s="1"/>
  <c r="AF349" i="2" s="1"/>
  <c r="AG349" i="2" s="1"/>
  <c r="AH349" i="2" s="1"/>
  <c r="AI349" i="2" s="1"/>
  <c r="AJ349" i="2" s="1"/>
  <c r="AK349" i="2" s="1"/>
  <c r="AL349" i="2" s="1"/>
  <c r="AM349" i="2" s="1"/>
  <c r="AN349" i="2" s="1"/>
  <c r="AO349" i="2" s="1"/>
  <c r="AP349" i="2" s="1"/>
  <c r="AQ349" i="2" s="1"/>
  <c r="AR349" i="2" s="1"/>
  <c r="AS349" i="2" s="1"/>
  <c r="AT349" i="2" s="1"/>
  <c r="AU349" i="2" s="1"/>
  <c r="AV349" i="2" s="1"/>
  <c r="AW349" i="2" s="1"/>
  <c r="AX349" i="2" s="1"/>
  <c r="AY349" i="2" s="1"/>
  <c r="AZ349" i="2" s="1"/>
  <c r="BA349" i="2" s="1"/>
  <c r="BB349" i="2" s="1"/>
  <c r="BC349" i="2" s="1"/>
  <c r="BD349" i="2" s="1"/>
  <c r="BE349" i="2" s="1"/>
  <c r="BF349" i="2" s="1"/>
  <c r="BG349" i="2" s="1"/>
  <c r="AJ68" i="2"/>
  <c r="AJ308" i="2"/>
  <c r="AB346" i="2"/>
  <c r="AC346" i="2" s="1"/>
  <c r="AD346" i="2" s="1"/>
  <c r="AE346" i="2" s="1"/>
  <c r="AF346" i="2" s="1"/>
  <c r="AG346" i="2" s="1"/>
  <c r="AH346" i="2" s="1"/>
  <c r="AI346" i="2" s="1"/>
  <c r="AJ346" i="2" s="1"/>
  <c r="AK346" i="2" s="1"/>
  <c r="AL346" i="2" s="1"/>
  <c r="AM346" i="2" s="1"/>
  <c r="AN346" i="2" s="1"/>
  <c r="AO346" i="2" s="1"/>
  <c r="AP346" i="2" s="1"/>
  <c r="AQ346" i="2" s="1"/>
  <c r="AR346" i="2" s="1"/>
  <c r="AS346" i="2" s="1"/>
  <c r="AT346" i="2" s="1"/>
  <c r="AU346" i="2" s="1"/>
  <c r="AV346" i="2" s="1"/>
  <c r="AW346" i="2" s="1"/>
  <c r="AX346" i="2" s="1"/>
  <c r="AY346" i="2" s="1"/>
  <c r="AZ346" i="2" s="1"/>
  <c r="BA346" i="2" s="1"/>
  <c r="BB346" i="2" s="1"/>
  <c r="BC346" i="2" s="1"/>
  <c r="BD346" i="2" s="1"/>
  <c r="BE346" i="2" s="1"/>
  <c r="BF346" i="2" s="1"/>
  <c r="BG346" i="2" s="1"/>
  <c r="AH308" i="2"/>
  <c r="AH68" i="2"/>
  <c r="AB353" i="2"/>
  <c r="AC353" i="2" s="1"/>
  <c r="AD353" i="2" s="1"/>
  <c r="AE353" i="2" s="1"/>
  <c r="AF353" i="2" s="1"/>
  <c r="AG353" i="2" s="1"/>
  <c r="AH353" i="2" s="1"/>
  <c r="AI353" i="2" s="1"/>
  <c r="AJ353" i="2" s="1"/>
  <c r="AK353" i="2" s="1"/>
  <c r="AL353" i="2" s="1"/>
  <c r="AM353" i="2" s="1"/>
  <c r="AN353" i="2" s="1"/>
  <c r="AO353" i="2" s="1"/>
  <c r="AP353" i="2" s="1"/>
  <c r="AQ353" i="2" s="1"/>
  <c r="AR353" i="2" s="1"/>
  <c r="AS353" i="2" s="1"/>
  <c r="AT353" i="2" s="1"/>
  <c r="AU353" i="2" s="1"/>
  <c r="AV353" i="2" s="1"/>
  <c r="AW353" i="2" s="1"/>
  <c r="AX353" i="2" s="1"/>
  <c r="AY353" i="2" s="1"/>
  <c r="AZ353" i="2" s="1"/>
  <c r="BA353" i="2" s="1"/>
  <c r="BB353" i="2" s="1"/>
  <c r="BC353" i="2" s="1"/>
  <c r="BD353" i="2" s="1"/>
  <c r="BE353" i="2" s="1"/>
  <c r="BF353" i="2" s="1"/>
  <c r="BG353" i="2" s="1"/>
  <c r="AU321" i="2" l="1"/>
  <c r="AW326" i="2"/>
  <c r="AW339" i="2" s="1"/>
  <c r="AX321" i="2"/>
  <c r="AZ326" i="2"/>
  <c r="AZ339" i="2" s="1"/>
  <c r="BB321" i="2"/>
  <c r="BD326" i="2"/>
  <c r="BD339" i="2" s="1"/>
  <c r="AX326" i="2"/>
  <c r="AX339" i="2" s="1"/>
  <c r="AV321" i="2"/>
  <c r="BC321" i="2"/>
  <c r="BE326" i="2"/>
  <c r="BE339" i="2" s="1"/>
  <c r="AP326" i="2"/>
  <c r="AP339" i="2" s="1"/>
  <c r="AN321" i="2"/>
  <c r="AE321" i="2"/>
  <c r="AG326" i="2"/>
  <c r="AG339" i="2" s="1"/>
  <c r="AR321" i="2"/>
  <c r="AT326" i="2"/>
  <c r="AT339" i="2" s="1"/>
  <c r="AC321" i="2"/>
  <c r="AE326" i="2"/>
  <c r="AE339" i="2" s="1"/>
  <c r="AM326" i="2"/>
  <c r="AM339" i="2" s="1"/>
  <c r="AK321" i="2"/>
  <c r="AQ326" i="2"/>
  <c r="AQ339" i="2" s="1"/>
  <c r="AO321" i="2"/>
  <c r="AI326" i="2"/>
  <c r="AI339" i="2" s="1"/>
  <c r="AG321" i="2"/>
  <c r="AS326" i="2"/>
  <c r="AS339" i="2" s="1"/>
  <c r="AQ321" i="2"/>
  <c r="AD326" i="2"/>
  <c r="AD339" i="2" s="1"/>
  <c r="AB321" i="2"/>
  <c r="AT321" i="2"/>
  <c r="AV326" i="2"/>
  <c r="AV339" i="2" s="1"/>
  <c r="AY321" i="2"/>
  <c r="BA326" i="2"/>
  <c r="BA339" i="2" s="1"/>
  <c r="AF321" i="2"/>
  <c r="AH326" i="2"/>
  <c r="AH339" i="2" s="1"/>
  <c r="AI321" i="2"/>
  <c r="AK326" i="2"/>
  <c r="AK339" i="2" s="1"/>
  <c r="BA321" i="2"/>
  <c r="BC326" i="2"/>
  <c r="BC339" i="2" s="1"/>
  <c r="BB326" i="2"/>
  <c r="BB339" i="2" s="1"/>
  <c r="AZ321" i="2"/>
  <c r="AR326" i="2"/>
  <c r="AR339" i="2" s="1"/>
  <c r="AP321" i="2"/>
  <c r="AJ326" i="2"/>
  <c r="AJ339" i="2" s="1"/>
  <c r="AH321" i="2"/>
  <c r="BG326" i="2"/>
  <c r="BG339" i="2" s="1"/>
  <c r="BE321" i="2"/>
  <c r="AF326" i="2"/>
  <c r="AF339" i="2" s="1"/>
  <c r="AD321" i="2"/>
  <c r="BG321" i="2"/>
  <c r="BI326" i="2"/>
  <c r="BI339" i="2" s="1"/>
  <c r="Z344" i="2"/>
  <c r="Z321" i="2"/>
  <c r="AB326" i="2"/>
  <c r="AB339" i="2" s="1"/>
  <c r="AL326" i="2"/>
  <c r="AL339" i="2" s="1"/>
  <c r="AJ321" i="2"/>
  <c r="AA19" i="2"/>
  <c r="Z86" i="2"/>
  <c r="Z4" i="2" s="1"/>
  <c r="O25" i="3" s="1"/>
  <c r="AL321" i="2"/>
  <c r="AN326" i="2"/>
  <c r="AN339" i="2" s="1"/>
  <c r="BD321" i="2"/>
  <c r="BF326" i="2"/>
  <c r="BF339" i="2" s="1"/>
  <c r="AS321" i="2"/>
  <c r="AU326" i="2"/>
  <c r="AU339" i="2" s="1"/>
  <c r="AC326" i="2"/>
  <c r="AC339" i="2" s="1"/>
  <c r="AA321" i="2"/>
  <c r="AY326" i="2"/>
  <c r="AY339" i="2" s="1"/>
  <c r="AW321" i="2"/>
  <c r="AM321" i="2"/>
  <c r="AO326" i="2"/>
  <c r="AO339" i="2" s="1"/>
  <c r="BF321" i="2"/>
  <c r="BH326" i="2"/>
  <c r="BH339" i="2" s="1"/>
  <c r="AC16" i="1" l="1"/>
  <c r="AC54" i="1" s="1"/>
  <c r="AA344" i="2"/>
  <c r="Z357" i="2"/>
  <c r="AA73" i="2"/>
  <c r="AA32" i="2"/>
  <c r="AG18" i="5" l="1"/>
  <c r="AA86" i="2"/>
  <c r="AA4" i="2" s="1"/>
  <c r="P25" i="3" s="1"/>
  <c r="AB19" i="2"/>
  <c r="Z6" i="2"/>
  <c r="O69" i="3" s="1"/>
  <c r="AA357" i="2"/>
  <c r="AB344" i="2"/>
  <c r="Z358" i="2"/>
  <c r="AC34" i="1" l="1"/>
  <c r="AG21" i="5" s="1"/>
  <c r="AD16" i="1"/>
  <c r="AD54" i="1" s="1"/>
  <c r="AB357" i="2"/>
  <c r="AB358" i="2" s="1"/>
  <c r="AC344" i="2"/>
  <c r="AA6" i="2"/>
  <c r="P69" i="3" s="1"/>
  <c r="AA358" i="2"/>
  <c r="AB73" i="2"/>
  <c r="AB32" i="2"/>
  <c r="AH18" i="5" l="1"/>
  <c r="AC39" i="1"/>
  <c r="AD34" i="1"/>
  <c r="AH21" i="5" s="1"/>
  <c r="AB86" i="2"/>
  <c r="AB4" i="2" s="1"/>
  <c r="Q25" i="3" s="1"/>
  <c r="AC19" i="2"/>
  <c r="AC357" i="2"/>
  <c r="AC358" i="2" s="1"/>
  <c r="AD344" i="2"/>
  <c r="AB6" i="2"/>
  <c r="Q69" i="3" s="1"/>
  <c r="AD39" i="1" l="1"/>
  <c r="AE16" i="1"/>
  <c r="AE34" i="1"/>
  <c r="AI21" i="5" s="1"/>
  <c r="P21" i="5" s="1"/>
  <c r="AE344" i="2"/>
  <c r="AD357" i="2"/>
  <c r="AD6" i="2" s="1"/>
  <c r="S69" i="3" s="1"/>
  <c r="AC6" i="2"/>
  <c r="R69" i="3" s="1"/>
  <c r="AC73" i="2"/>
  <c r="AC32" i="2"/>
  <c r="AI18" i="5" l="1"/>
  <c r="AE54" i="1"/>
  <c r="AD358" i="2"/>
  <c r="AG34" i="1"/>
  <c r="AG39" i="1" s="1"/>
  <c r="AE39" i="1"/>
  <c r="AF34" i="1"/>
  <c r="AJ21" i="5" s="1"/>
  <c r="P18" i="5"/>
  <c r="AD19" i="2"/>
  <c r="AC86" i="2"/>
  <c r="AC4" i="2" s="1"/>
  <c r="R25" i="3" s="1"/>
  <c r="AF344" i="2"/>
  <c r="AE357" i="2"/>
  <c r="AF39" i="1" l="1"/>
  <c r="AK21" i="5"/>
  <c r="AF16" i="1"/>
  <c r="AF54" i="1" s="1"/>
  <c r="AE358" i="2"/>
  <c r="AE6" i="2"/>
  <c r="T69" i="3" s="1"/>
  <c r="AG344" i="2"/>
  <c r="AF357" i="2"/>
  <c r="AD32" i="2"/>
  <c r="AD73" i="2"/>
  <c r="AJ18" i="5" l="1"/>
  <c r="AH34" i="1"/>
  <c r="AL21" i="5" s="1"/>
  <c r="AD86" i="2"/>
  <c r="AD4" i="2" s="1"/>
  <c r="S25" i="3" s="1"/>
  <c r="AE19" i="2"/>
  <c r="AF6" i="2"/>
  <c r="U69" i="3" s="1"/>
  <c r="AH344" i="2"/>
  <c r="AG357" i="2"/>
  <c r="AF358" i="2"/>
  <c r="AH39" i="1" l="1"/>
  <c r="AI34" i="1"/>
  <c r="AM21" i="5" s="1"/>
  <c r="AG16" i="1"/>
  <c r="Q21" i="5"/>
  <c r="AG6" i="2"/>
  <c r="V69" i="3" s="1"/>
  <c r="AI344" i="2"/>
  <c r="AH357" i="2"/>
  <c r="AG358" i="2"/>
  <c r="AE32" i="2"/>
  <c r="AE73" i="2"/>
  <c r="AK18" i="5" l="1"/>
  <c r="AG54" i="1"/>
  <c r="AI39" i="1"/>
  <c r="AJ34" i="1"/>
  <c r="AJ39" i="1" s="1"/>
  <c r="AF19" i="2"/>
  <c r="AE86" i="2"/>
  <c r="AE4" i="2" s="1"/>
  <c r="T25" i="3" s="1"/>
  <c r="AH6" i="2"/>
  <c r="W69" i="3" s="1"/>
  <c r="AJ344" i="2"/>
  <c r="AI357" i="2"/>
  <c r="AH358" i="2"/>
  <c r="AN21" i="5" l="1"/>
  <c r="AH16" i="1"/>
  <c r="AK34" i="1"/>
  <c r="AK39" i="1" s="1"/>
  <c r="AI6" i="2"/>
  <c r="X69" i="3" s="1"/>
  <c r="AK344" i="2"/>
  <c r="AJ357" i="2"/>
  <c r="AI358" i="2"/>
  <c r="AF73" i="2"/>
  <c r="AF32" i="2"/>
  <c r="AL18" i="5" l="1"/>
  <c r="Q18" i="5" s="1"/>
  <c r="AH54" i="1"/>
  <c r="AO21" i="5"/>
  <c r="R21" i="5" s="1"/>
  <c r="AL34" i="1"/>
  <c r="AP21" i="5" s="1"/>
  <c r="AJ6" i="2"/>
  <c r="Y69" i="3" s="1"/>
  <c r="AK357" i="2"/>
  <c r="AL344" i="2"/>
  <c r="AF86" i="2"/>
  <c r="AF4" i="2" s="1"/>
  <c r="U25" i="3" s="1"/>
  <c r="AG19" i="2"/>
  <c r="AJ358" i="2"/>
  <c r="AL39" i="1" l="1"/>
  <c r="AM34" i="1"/>
  <c r="AQ21" i="5" s="1"/>
  <c r="AI16" i="1"/>
  <c r="AG32" i="2"/>
  <c r="AG73" i="2"/>
  <c r="AK6" i="2"/>
  <c r="Z69" i="3" s="1"/>
  <c r="AM344" i="2"/>
  <c r="AL357" i="2"/>
  <c r="AK358" i="2"/>
  <c r="AM18" i="5" l="1"/>
  <c r="AI54" i="1"/>
  <c r="AM39" i="1"/>
  <c r="AN34" i="1"/>
  <c r="AR21" i="5" s="1"/>
  <c r="G21" i="5" s="1"/>
  <c r="AL6" i="2"/>
  <c r="AA69" i="3" s="1"/>
  <c r="AM357" i="2"/>
  <c r="AN344" i="2"/>
  <c r="AL358" i="2"/>
  <c r="AH19" i="2"/>
  <c r="AG86" i="2"/>
  <c r="AG4" i="2" s="1"/>
  <c r="V25" i="3" s="1"/>
  <c r="G34" i="1" l="1"/>
  <c r="G39" i="1" s="1"/>
  <c r="G23" i="6" s="1"/>
  <c r="AN39" i="1"/>
  <c r="AJ16" i="1"/>
  <c r="AJ54" i="1" s="1"/>
  <c r="AO34" i="1"/>
  <c r="AO39" i="1" s="1"/>
  <c r="AM6" i="2"/>
  <c r="AB69" i="3" s="1"/>
  <c r="AO344" i="2"/>
  <c r="AN357" i="2"/>
  <c r="AH73" i="2"/>
  <c r="AH32" i="2"/>
  <c r="AM358" i="2"/>
  <c r="S21" i="5"/>
  <c r="G22" i="6" l="1"/>
  <c r="AN18" i="5"/>
  <c r="AS21" i="5"/>
  <c r="AP34" i="1"/>
  <c r="AP39" i="1" s="1"/>
  <c r="AH86" i="2"/>
  <c r="AH4" i="2" s="1"/>
  <c r="W25" i="3" s="1"/>
  <c r="AI19" i="2"/>
  <c r="AN6" i="2"/>
  <c r="AC69" i="3" s="1"/>
  <c r="AO357" i="2"/>
  <c r="AP344" i="2"/>
  <c r="AN358" i="2"/>
  <c r="AT21" i="5" l="1"/>
  <c r="AK16" i="1"/>
  <c r="AQ34" i="1"/>
  <c r="AQ39" i="1" s="1"/>
  <c r="AQ344" i="2"/>
  <c r="AP357" i="2"/>
  <c r="AP358" i="2" s="1"/>
  <c r="AO6" i="2"/>
  <c r="AD69" i="3" s="1"/>
  <c r="AO358" i="2"/>
  <c r="AI73" i="2"/>
  <c r="AI32" i="2"/>
  <c r="AO18" i="5" l="1"/>
  <c r="R18" i="5" s="1"/>
  <c r="AK54" i="1"/>
  <c r="AU21" i="5"/>
  <c r="AR34" i="1"/>
  <c r="AR39" i="1" s="1"/>
  <c r="AJ19" i="2"/>
  <c r="AI86" i="2"/>
  <c r="AI4" i="2" s="1"/>
  <c r="X25" i="3" s="1"/>
  <c r="AP6" i="2"/>
  <c r="AE69" i="3" s="1"/>
  <c r="AQ357" i="2"/>
  <c r="AR344" i="2"/>
  <c r="AV21" i="5" l="1"/>
  <c r="AS34" i="1"/>
  <c r="AW21" i="5" s="1"/>
  <c r="AL16" i="1"/>
  <c r="AR357" i="2"/>
  <c r="AR358" i="2" s="1"/>
  <c r="AS344" i="2"/>
  <c r="AQ6" i="2"/>
  <c r="AF69" i="3" s="1"/>
  <c r="AQ358" i="2"/>
  <c r="AJ32" i="2"/>
  <c r="AJ73" i="2"/>
  <c r="AP18" i="5" l="1"/>
  <c r="AL54" i="1"/>
  <c r="AS39" i="1"/>
  <c r="AT34" i="1"/>
  <c r="AX21" i="5" s="1"/>
  <c r="AJ86" i="2"/>
  <c r="AJ4" i="2" s="1"/>
  <c r="Y25" i="3" s="1"/>
  <c r="AK19" i="2"/>
  <c r="AS357" i="2"/>
  <c r="AS358" i="2" s="1"/>
  <c r="AT344" i="2"/>
  <c r="AR6" i="2"/>
  <c r="AG69" i="3" s="1"/>
  <c r="AT39" i="1" l="1"/>
  <c r="AM16" i="1"/>
  <c r="AM54" i="1" s="1"/>
  <c r="AU34" i="1"/>
  <c r="AY21" i="5" s="1"/>
  <c r="AU344" i="2"/>
  <c r="AT357" i="2"/>
  <c r="AT358" i="2" s="1"/>
  <c r="AK73" i="2"/>
  <c r="AK32" i="2"/>
  <c r="AS6" i="2"/>
  <c r="AH69" i="3" s="1"/>
  <c r="AQ18" i="5" l="1"/>
  <c r="AU39" i="1"/>
  <c r="AV34" i="1"/>
  <c r="AZ21" i="5" s="1"/>
  <c r="AV344" i="2"/>
  <c r="AU357" i="2"/>
  <c r="AU6" i="2" s="1"/>
  <c r="AJ69" i="3" s="1"/>
  <c r="AK86" i="2"/>
  <c r="AK4" i="2" s="1"/>
  <c r="Z25" i="3" s="1"/>
  <c r="AL19" i="2"/>
  <c r="AT6" i="2"/>
  <c r="AI69" i="3" s="1"/>
  <c r="AU358" i="2" l="1"/>
  <c r="AV39" i="1"/>
  <c r="AW34" i="1"/>
  <c r="BA21" i="5" s="1"/>
  <c r="AN16" i="1"/>
  <c r="AN54" i="1" s="1"/>
  <c r="AX34" i="1"/>
  <c r="AX39" i="1" s="1"/>
  <c r="AL32" i="2"/>
  <c r="AL73" i="2"/>
  <c r="AV357" i="2"/>
  <c r="AW344" i="2"/>
  <c r="AW39" i="1" l="1"/>
  <c r="AR18" i="5"/>
  <c r="G18" i="5" s="1"/>
  <c r="G16" i="1"/>
  <c r="BB21" i="5"/>
  <c r="AX344" i="2"/>
  <c r="AW357" i="2"/>
  <c r="AM19" i="2"/>
  <c r="AL86" i="2"/>
  <c r="AL4" i="2" s="1"/>
  <c r="AA25" i="3" s="1"/>
  <c r="AV358" i="2"/>
  <c r="AV6" i="2"/>
  <c r="AK69" i="3" s="1"/>
  <c r="S18" i="5" l="1"/>
  <c r="AO16" i="1"/>
  <c r="AY34" i="1"/>
  <c r="AY39" i="1" s="1"/>
  <c r="AM32" i="2"/>
  <c r="AM73" i="2"/>
  <c r="AW358" i="2"/>
  <c r="AW6" i="2"/>
  <c r="AL69" i="3" s="1"/>
  <c r="AX357" i="2"/>
  <c r="AY344" i="2"/>
  <c r="AS18" i="5" l="1"/>
  <c r="AO54" i="1"/>
  <c r="BC21" i="5"/>
  <c r="AZ34" i="1"/>
  <c r="H34" i="1" s="1"/>
  <c r="AZ344" i="2"/>
  <c r="AY357" i="2"/>
  <c r="AN19" i="2"/>
  <c r="AM86" i="2"/>
  <c r="AM4" i="2" s="1"/>
  <c r="AB25" i="3" s="1"/>
  <c r="AX358" i="2"/>
  <c r="AX6" i="2"/>
  <c r="AM69" i="3" s="1"/>
  <c r="BD21" i="5" l="1"/>
  <c r="H21" i="5" s="1"/>
  <c r="AZ39" i="1"/>
  <c r="AP16" i="1"/>
  <c r="AP54" i="1" s="1"/>
  <c r="BA34" i="1"/>
  <c r="BE21" i="5" s="1"/>
  <c r="AN73" i="2"/>
  <c r="AN32" i="2"/>
  <c r="H39" i="1"/>
  <c r="H23" i="6" s="1"/>
  <c r="H22" i="6"/>
  <c r="AY358" i="2"/>
  <c r="AY6" i="2"/>
  <c r="AN69" i="3" s="1"/>
  <c r="BA344" i="2"/>
  <c r="AZ357" i="2"/>
  <c r="AT18" i="5" l="1"/>
  <c r="BA39" i="1"/>
  <c r="BB34" i="1"/>
  <c r="BF21" i="5" s="1"/>
  <c r="BA357" i="2"/>
  <c r="BB344" i="2"/>
  <c r="AN86" i="2"/>
  <c r="AN4" i="2" s="1"/>
  <c r="AC25" i="3" s="1"/>
  <c r="AO19" i="2"/>
  <c r="AZ358" i="2"/>
  <c r="AZ6" i="2"/>
  <c r="AO69" i="3" s="1"/>
  <c r="BB39" i="1" l="1"/>
  <c r="BC34" i="1"/>
  <c r="BG21" i="5" s="1"/>
  <c r="AQ16" i="1"/>
  <c r="AQ54" i="1" s="1"/>
  <c r="AO32" i="2"/>
  <c r="AO73" i="2"/>
  <c r="BB357" i="2"/>
  <c r="BC344" i="2"/>
  <c r="BA358" i="2"/>
  <c r="BA6" i="2"/>
  <c r="AP69" i="3" s="1"/>
  <c r="BC39" i="1" l="1"/>
  <c r="AU18" i="5"/>
  <c r="BD34" i="1"/>
  <c r="BD39" i="1" s="1"/>
  <c r="BB358" i="2"/>
  <c r="BB6" i="2"/>
  <c r="AQ69" i="3" s="1"/>
  <c r="BD344" i="2"/>
  <c r="BC357" i="2"/>
  <c r="AP19" i="2"/>
  <c r="AO86" i="2"/>
  <c r="AO4" i="2" s="1"/>
  <c r="AD25" i="3" s="1"/>
  <c r="BH21" i="5" l="1"/>
  <c r="AR16" i="1"/>
  <c r="AR54" i="1" s="1"/>
  <c r="BE34" i="1"/>
  <c r="BE39" i="1" s="1"/>
  <c r="AP32" i="2"/>
  <c r="AP73" i="2"/>
  <c r="BC6" i="2"/>
  <c r="AR69" i="3" s="1"/>
  <c r="BD357" i="2"/>
  <c r="BE344" i="2"/>
  <c r="BC358" i="2"/>
  <c r="BI21" i="5" l="1"/>
  <c r="BF34" i="1"/>
  <c r="BF39" i="1" s="1"/>
  <c r="AV18" i="5"/>
  <c r="BF344" i="2"/>
  <c r="BE357" i="2"/>
  <c r="BE358" i="2" s="1"/>
  <c r="BD6" i="2"/>
  <c r="AS69" i="3" s="1"/>
  <c r="BD358" i="2"/>
  <c r="AQ19" i="2"/>
  <c r="AP86" i="2"/>
  <c r="AP4" i="2" s="1"/>
  <c r="AE25" i="3" s="1"/>
  <c r="BJ21" i="5" l="1"/>
  <c r="AS16" i="1"/>
  <c r="AS54" i="1" s="1"/>
  <c r="BG34" i="1"/>
  <c r="BK21" i="5" s="1"/>
  <c r="AQ32" i="2"/>
  <c r="AQ73" i="2"/>
  <c r="BE6" i="2"/>
  <c r="AT69" i="3" s="1"/>
  <c r="BF357" i="2"/>
  <c r="BG344" i="2"/>
  <c r="BG357" i="2" s="1"/>
  <c r="BG6" i="2" s="1"/>
  <c r="AV69" i="3" s="1"/>
  <c r="BH61" i="2"/>
  <c r="BH62" i="2"/>
  <c r="BH65" i="2"/>
  <c r="BH56" i="2"/>
  <c r="BH60" i="2"/>
  <c r="BH64" i="2"/>
  <c r="BH59" i="2"/>
  <c r="BH63" i="2"/>
  <c r="BH57" i="2"/>
  <c r="AW18" i="5" l="1"/>
  <c r="BH34" i="1"/>
  <c r="BL21" i="5" s="1"/>
  <c r="BJ34" i="1"/>
  <c r="BJ39" i="1" s="1"/>
  <c r="BG39" i="1"/>
  <c r="BH316" i="2"/>
  <c r="BH81" i="2"/>
  <c r="BI27" i="2" s="1"/>
  <c r="BH312" i="2"/>
  <c r="BH77" i="2"/>
  <c r="BI23" i="2" s="1"/>
  <c r="BH317" i="2"/>
  <c r="BH82" i="2"/>
  <c r="BI28" i="2" s="1"/>
  <c r="BH55" i="2"/>
  <c r="BH315" i="2"/>
  <c r="BH80" i="2"/>
  <c r="BI26" i="2" s="1"/>
  <c r="BH310" i="2"/>
  <c r="BH75" i="2"/>
  <c r="BI21" i="2" s="1"/>
  <c r="BH309" i="2"/>
  <c r="BH74" i="2"/>
  <c r="BI20" i="2" s="1"/>
  <c r="BF6" i="2"/>
  <c r="AU69" i="3" s="1"/>
  <c r="BG358" i="2"/>
  <c r="BF358" i="2"/>
  <c r="BH318" i="2"/>
  <c r="BH83" i="2"/>
  <c r="BI29" i="2" s="1"/>
  <c r="AR19" i="2"/>
  <c r="AQ86" i="2"/>
  <c r="AQ4" i="2" s="1"/>
  <c r="AF25" i="3" s="1"/>
  <c r="BH313" i="2"/>
  <c r="BH78" i="2"/>
  <c r="BI24" i="2" s="1"/>
  <c r="BH314" i="2"/>
  <c r="BH79" i="2"/>
  <c r="BI25" i="2" s="1"/>
  <c r="BI59" i="2"/>
  <c r="BI312" i="2" s="1"/>
  <c r="BK330" i="2" s="1"/>
  <c r="BI65" i="2"/>
  <c r="BI318" i="2" s="1"/>
  <c r="BK336" i="2" s="1"/>
  <c r="BI62" i="2"/>
  <c r="BI315" i="2" s="1"/>
  <c r="BK333" i="2" s="1"/>
  <c r="BI64" i="2"/>
  <c r="BI317" i="2" s="1"/>
  <c r="BK335" i="2" s="1"/>
  <c r="BI61" i="2"/>
  <c r="BI314" i="2" s="1"/>
  <c r="BK332" i="2" s="1"/>
  <c r="BI57" i="2"/>
  <c r="BI60" i="2"/>
  <c r="BI313" i="2" s="1"/>
  <c r="BK331" i="2" s="1"/>
  <c r="BI58" i="2"/>
  <c r="BI311" i="2" s="1"/>
  <c r="BK329" i="2" s="1"/>
  <c r="BI63" i="2"/>
  <c r="BI316" i="2" s="1"/>
  <c r="BK334" i="2" s="1"/>
  <c r="BI56" i="2"/>
  <c r="BI309" i="2" s="1"/>
  <c r="BK327" i="2" s="1"/>
  <c r="BH39" i="1" l="1"/>
  <c r="BI34" i="1"/>
  <c r="BI39" i="1" s="1"/>
  <c r="AT16" i="1"/>
  <c r="AT54" i="1" s="1"/>
  <c r="BI80" i="2"/>
  <c r="BJ26" i="2" s="1"/>
  <c r="BI75" i="2"/>
  <c r="BJ21" i="2" s="1"/>
  <c r="BJ336" i="2"/>
  <c r="BH354" i="2"/>
  <c r="BI354" i="2" s="1"/>
  <c r="BI74" i="2"/>
  <c r="BJ20" i="2" s="1"/>
  <c r="BJ327" i="2"/>
  <c r="BH345" i="2"/>
  <c r="BI345" i="2" s="1"/>
  <c r="BJ328" i="2"/>
  <c r="BH346" i="2"/>
  <c r="BI79" i="2"/>
  <c r="BJ25" i="2" s="1"/>
  <c r="BJ333" i="2"/>
  <c r="BH351" i="2"/>
  <c r="BI351" i="2" s="1"/>
  <c r="BJ332" i="2"/>
  <c r="BH350" i="2"/>
  <c r="BI350" i="2" s="1"/>
  <c r="BI78" i="2"/>
  <c r="BJ24" i="2" s="1"/>
  <c r="BH308" i="2"/>
  <c r="BJ331" i="2"/>
  <c r="BH349" i="2"/>
  <c r="BI349" i="2" s="1"/>
  <c r="BI82" i="2"/>
  <c r="BJ28" i="2" s="1"/>
  <c r="BJ335" i="2"/>
  <c r="BH353" i="2"/>
  <c r="BI353" i="2" s="1"/>
  <c r="AR32" i="2"/>
  <c r="AR73" i="2"/>
  <c r="BI77" i="2"/>
  <c r="BJ23" i="2" s="1"/>
  <c r="BJ330" i="2"/>
  <c r="BH348" i="2"/>
  <c r="BI348" i="2" s="1"/>
  <c r="BI81" i="2"/>
  <c r="BJ27" i="2" s="1"/>
  <c r="BI310" i="2"/>
  <c r="BI83" i="2"/>
  <c r="BJ29" i="2" s="1"/>
  <c r="BJ334" i="2"/>
  <c r="BH352" i="2"/>
  <c r="BI352" i="2" s="1"/>
  <c r="BJ65" i="2"/>
  <c r="BJ318" i="2" s="1"/>
  <c r="BL336" i="2" s="1"/>
  <c r="BJ62" i="2"/>
  <c r="BJ315" i="2" s="1"/>
  <c r="BL333" i="2" s="1"/>
  <c r="BJ59" i="2"/>
  <c r="BJ312" i="2" s="1"/>
  <c r="BL330" i="2" s="1"/>
  <c r="BJ57" i="2"/>
  <c r="BJ310" i="2" s="1"/>
  <c r="BL328" i="2" s="1"/>
  <c r="BJ60" i="2"/>
  <c r="BJ313" i="2" s="1"/>
  <c r="BL331" i="2" s="1"/>
  <c r="BJ63" i="2"/>
  <c r="BJ316" i="2" s="1"/>
  <c r="BL334" i="2" s="1"/>
  <c r="BJ56" i="2"/>
  <c r="BJ309" i="2" s="1"/>
  <c r="BL327" i="2" s="1"/>
  <c r="BJ58" i="2"/>
  <c r="BJ311" i="2" s="1"/>
  <c r="BL329" i="2" s="1"/>
  <c r="BJ61" i="2"/>
  <c r="BJ314" i="2" s="1"/>
  <c r="BL332" i="2" s="1"/>
  <c r="BJ64" i="2"/>
  <c r="BJ317" i="2" s="1"/>
  <c r="BL335" i="2" s="1"/>
  <c r="BM21" i="5" l="1"/>
  <c r="AX18" i="5"/>
  <c r="BN21" i="5"/>
  <c r="BJ83" i="2"/>
  <c r="BK29" i="2" s="1"/>
  <c r="BK328" i="2"/>
  <c r="BJ351" i="2"/>
  <c r="BJ81" i="2"/>
  <c r="BK27" i="2" s="1"/>
  <c r="BJ348" i="2"/>
  <c r="BJ79" i="2"/>
  <c r="BK25" i="2" s="1"/>
  <c r="BJ77" i="2"/>
  <c r="BK23" i="2" s="1"/>
  <c r="BJ80" i="2"/>
  <c r="BK26" i="2" s="1"/>
  <c r="AR86" i="2"/>
  <c r="AR4" i="2" s="1"/>
  <c r="AG25" i="3" s="1"/>
  <c r="AS19" i="2"/>
  <c r="BI346" i="2"/>
  <c r="BJ346" i="2" s="1"/>
  <c r="BJ353" i="2"/>
  <c r="BJ75" i="2"/>
  <c r="BK21" i="2" s="1"/>
  <c r="BI55" i="2"/>
  <c r="BK50" i="2"/>
  <c r="BJ345" i="2"/>
  <c r="BJ82" i="2"/>
  <c r="BK28" i="2" s="1"/>
  <c r="BJ349" i="2"/>
  <c r="BJ74" i="2"/>
  <c r="BK20" i="2" s="1"/>
  <c r="BH344" i="2"/>
  <c r="BJ326" i="2"/>
  <c r="BJ352" i="2"/>
  <c r="BJ78" i="2"/>
  <c r="BK24" i="2" s="1"/>
  <c r="BJ354" i="2"/>
  <c r="BJ350" i="2"/>
  <c r="BK65" i="2"/>
  <c r="BK318" i="2" s="1"/>
  <c r="BM336" i="2" s="1"/>
  <c r="BK62" i="2"/>
  <c r="BK315" i="2" s="1"/>
  <c r="BM333" i="2" s="1"/>
  <c r="BK59" i="2"/>
  <c r="BK312" i="2" s="1"/>
  <c r="BM330" i="2" s="1"/>
  <c r="BK57" i="2"/>
  <c r="BK310" i="2" s="1"/>
  <c r="BM328" i="2" s="1"/>
  <c r="BK63" i="2"/>
  <c r="BK316" i="2" s="1"/>
  <c r="BM334" i="2" s="1"/>
  <c r="BK60" i="2"/>
  <c r="BK313" i="2" s="1"/>
  <c r="BM331" i="2" s="1"/>
  <c r="BK56" i="2"/>
  <c r="BK309" i="2" s="1"/>
  <c r="BM327" i="2" s="1"/>
  <c r="BK64" i="2"/>
  <c r="BK317" i="2" s="1"/>
  <c r="BM335" i="2" s="1"/>
  <c r="BK58" i="2"/>
  <c r="BK311" i="2" s="1"/>
  <c r="BM329" i="2" s="1"/>
  <c r="BK61" i="2"/>
  <c r="BK314" i="2" s="1"/>
  <c r="BM332" i="2" s="1"/>
  <c r="AU16" i="1" l="1"/>
  <c r="AU54" i="1" s="1"/>
  <c r="BK82" i="2"/>
  <c r="BL28" i="2" s="1"/>
  <c r="BK345" i="2"/>
  <c r="BI308" i="2"/>
  <c r="BI344" i="2" s="1"/>
  <c r="BI68" i="2"/>
  <c r="BK75" i="2"/>
  <c r="BL21" i="2" s="1"/>
  <c r="BK353" i="2"/>
  <c r="BK346" i="2"/>
  <c r="BK55" i="2"/>
  <c r="BM50" i="2"/>
  <c r="AS32" i="2"/>
  <c r="AS73" i="2"/>
  <c r="BK80" i="2"/>
  <c r="BL26" i="2" s="1"/>
  <c r="BK77" i="2"/>
  <c r="BL23" i="2" s="1"/>
  <c r="BK350" i="2"/>
  <c r="BK79" i="2"/>
  <c r="BL25" i="2" s="1"/>
  <c r="BK354" i="2"/>
  <c r="BK348" i="2"/>
  <c r="BK78" i="2"/>
  <c r="BL24" i="2" s="1"/>
  <c r="BK81" i="2"/>
  <c r="BL27" i="2" s="1"/>
  <c r="BK352" i="2"/>
  <c r="BK351" i="2"/>
  <c r="BJ55" i="2"/>
  <c r="BL50" i="2"/>
  <c r="BK74" i="2"/>
  <c r="BL20" i="2" s="1"/>
  <c r="BK349" i="2"/>
  <c r="BK83" i="2"/>
  <c r="BL29" i="2" s="1"/>
  <c r="BL62" i="2"/>
  <c r="BL315" i="2" s="1"/>
  <c r="BN333" i="2" s="1"/>
  <c r="BL59" i="2"/>
  <c r="BL312" i="2" s="1"/>
  <c r="BN330" i="2" s="1"/>
  <c r="BL58" i="2"/>
  <c r="BL311" i="2" s="1"/>
  <c r="BN329" i="2" s="1"/>
  <c r="BL63" i="2"/>
  <c r="BL316" i="2" s="1"/>
  <c r="BN334" i="2" s="1"/>
  <c r="BL56" i="2"/>
  <c r="BL309" i="2" s="1"/>
  <c r="BN327" i="2" s="1"/>
  <c r="BL61" i="2"/>
  <c r="BL314" i="2" s="1"/>
  <c r="BN332" i="2" s="1"/>
  <c r="BL64" i="2"/>
  <c r="BL317" i="2" s="1"/>
  <c r="BN335" i="2" s="1"/>
  <c r="BL60" i="2"/>
  <c r="BL313" i="2" s="1"/>
  <c r="BN331" i="2" s="1"/>
  <c r="BL65" i="2"/>
  <c r="BL318" i="2" s="1"/>
  <c r="BN336" i="2" s="1"/>
  <c r="BL57" i="2"/>
  <c r="BL310" i="2" s="1"/>
  <c r="BN328" i="2" s="1"/>
  <c r="AY18" i="5" l="1"/>
  <c r="BL78" i="2"/>
  <c r="BM24" i="2" s="1"/>
  <c r="BL348" i="2"/>
  <c r="BL354" i="2"/>
  <c r="BL79" i="2"/>
  <c r="BM25" i="2" s="1"/>
  <c r="BL350" i="2"/>
  <c r="BL77" i="2"/>
  <c r="BM23" i="2" s="1"/>
  <c r="BL80" i="2"/>
  <c r="BM26" i="2" s="1"/>
  <c r="BL83" i="2"/>
  <c r="BM29" i="2" s="1"/>
  <c r="AT19" i="2"/>
  <c r="AS86" i="2"/>
  <c r="AS4" i="2" s="1"/>
  <c r="AH25" i="3" s="1"/>
  <c r="BL349" i="2"/>
  <c r="BL74" i="2"/>
  <c r="BM20" i="2" s="1"/>
  <c r="BK308" i="2"/>
  <c r="BK68" i="2"/>
  <c r="BL55" i="2"/>
  <c r="BN50" i="2"/>
  <c r="BL346" i="2"/>
  <c r="BL353" i="2"/>
  <c r="BL75" i="2"/>
  <c r="BM21" i="2" s="1"/>
  <c r="BJ308" i="2"/>
  <c r="BJ344" i="2" s="1"/>
  <c r="BJ68" i="2"/>
  <c r="BL351" i="2"/>
  <c r="BK326" i="2"/>
  <c r="BK339" i="2" s="1"/>
  <c r="BI321" i="2"/>
  <c r="BL352" i="2"/>
  <c r="BL345" i="2"/>
  <c r="BL81" i="2"/>
  <c r="BM27" i="2" s="1"/>
  <c r="BL82" i="2"/>
  <c r="BM28" i="2" s="1"/>
  <c r="BM61" i="2"/>
  <c r="BM314" i="2" s="1"/>
  <c r="BO332" i="2" s="1"/>
  <c r="BM58" i="2"/>
  <c r="BM311" i="2" s="1"/>
  <c r="BO329" i="2" s="1"/>
  <c r="BM64" i="2"/>
  <c r="BM317" i="2" s="1"/>
  <c r="BO335" i="2" s="1"/>
  <c r="BM63" i="2"/>
  <c r="BM316" i="2" s="1"/>
  <c r="BO334" i="2" s="1"/>
  <c r="BM65" i="2"/>
  <c r="BM318" i="2" s="1"/>
  <c r="BO336" i="2" s="1"/>
  <c r="BM57" i="2"/>
  <c r="BM310" i="2" s="1"/>
  <c r="BO328" i="2" s="1"/>
  <c r="BM62" i="2"/>
  <c r="BM315" i="2" s="1"/>
  <c r="BO333" i="2" s="1"/>
  <c r="BM56" i="2"/>
  <c r="BM309" i="2" s="1"/>
  <c r="BO327" i="2" s="1"/>
  <c r="BM60" i="2"/>
  <c r="BM313" i="2" s="1"/>
  <c r="BO331" i="2" s="1"/>
  <c r="BM59" i="2"/>
  <c r="BM312" i="2" s="1"/>
  <c r="BO330" i="2" s="1"/>
  <c r="AV16" i="1" l="1"/>
  <c r="BM353" i="2"/>
  <c r="BK344" i="2"/>
  <c r="BM346" i="2"/>
  <c r="BL68" i="2"/>
  <c r="BL308" i="2"/>
  <c r="BM326" i="2"/>
  <c r="BM339" i="2" s="1"/>
  <c r="BK321" i="2"/>
  <c r="BM82" i="2"/>
  <c r="BN28" i="2" s="1"/>
  <c r="BM74" i="2"/>
  <c r="BN20" i="2" s="1"/>
  <c r="BM81" i="2"/>
  <c r="BN27" i="2" s="1"/>
  <c r="BM349" i="2"/>
  <c r="BM345" i="2"/>
  <c r="BM352" i="2"/>
  <c r="AT32" i="2"/>
  <c r="AT73" i="2"/>
  <c r="BM83" i="2"/>
  <c r="BN29" i="2" s="1"/>
  <c r="BM80" i="2"/>
  <c r="BN26" i="2" s="1"/>
  <c r="BM77" i="2"/>
  <c r="BN23" i="2" s="1"/>
  <c r="BM351" i="2"/>
  <c r="BM350" i="2"/>
  <c r="BM79" i="2"/>
  <c r="BN25" i="2" s="1"/>
  <c r="BM354" i="2"/>
  <c r="BJ321" i="2"/>
  <c r="BL326" i="2"/>
  <c r="BL339" i="2" s="1"/>
  <c r="BM348" i="2"/>
  <c r="BM75" i="2"/>
  <c r="BN21" i="2" s="1"/>
  <c r="BM78" i="2"/>
  <c r="BN24" i="2" s="1"/>
  <c r="BN58" i="2"/>
  <c r="BN311" i="2" s="1"/>
  <c r="BP329" i="2" s="1"/>
  <c r="BN61" i="2"/>
  <c r="BN314" i="2" s="1"/>
  <c r="BP332" i="2" s="1"/>
  <c r="BN59" i="2"/>
  <c r="BN312" i="2" s="1"/>
  <c r="BP330" i="2" s="1"/>
  <c r="BN63" i="2"/>
  <c r="BN316" i="2" s="1"/>
  <c r="BP334" i="2" s="1"/>
  <c r="BN65" i="2"/>
  <c r="BN318" i="2" s="1"/>
  <c r="BP336" i="2" s="1"/>
  <c r="BN64" i="2"/>
  <c r="BN317" i="2" s="1"/>
  <c r="BP335" i="2" s="1"/>
  <c r="BN57" i="2"/>
  <c r="BN310" i="2" s="1"/>
  <c r="BP328" i="2" s="1"/>
  <c r="BN62" i="2"/>
  <c r="BN315" i="2" s="1"/>
  <c r="BP333" i="2" s="1"/>
  <c r="BN56" i="2"/>
  <c r="BN309" i="2" s="1"/>
  <c r="BP327" i="2" s="1"/>
  <c r="BN60" i="2"/>
  <c r="BN313" i="2" s="1"/>
  <c r="BP331" i="2" s="1"/>
  <c r="AZ18" i="5" l="1"/>
  <c r="AV54" i="1"/>
  <c r="BN80" i="2"/>
  <c r="BO26" i="2" s="1"/>
  <c r="BN83" i="2"/>
  <c r="BO29" i="2" s="1"/>
  <c r="AT86" i="2"/>
  <c r="AT4" i="2" s="1"/>
  <c r="AI25" i="3" s="1"/>
  <c r="AU19" i="2"/>
  <c r="BN352" i="2"/>
  <c r="BN345" i="2"/>
  <c r="BN78" i="2"/>
  <c r="BO24" i="2" s="1"/>
  <c r="BN349" i="2"/>
  <c r="BN75" i="2"/>
  <c r="BO21" i="2" s="1"/>
  <c r="BN81" i="2"/>
  <c r="BO27" i="2" s="1"/>
  <c r="BN348" i="2"/>
  <c r="BN74" i="2"/>
  <c r="BO20" i="2" s="1"/>
  <c r="BN82" i="2"/>
  <c r="BO28" i="2" s="1"/>
  <c r="BM55" i="2"/>
  <c r="BO50" i="2"/>
  <c r="BN326" i="2"/>
  <c r="BN339" i="2" s="1"/>
  <c r="BL321" i="2"/>
  <c r="BN354" i="2"/>
  <c r="BN79" i="2"/>
  <c r="BO25" i="2" s="1"/>
  <c r="BN346" i="2"/>
  <c r="BN350" i="2"/>
  <c r="BN351" i="2"/>
  <c r="BL344" i="2"/>
  <c r="BN77" i="2"/>
  <c r="BO23" i="2" s="1"/>
  <c r="BN353" i="2"/>
  <c r="BO58" i="2"/>
  <c r="BO311" i="2" s="1"/>
  <c r="BQ329" i="2" s="1"/>
  <c r="BO61" i="2"/>
  <c r="BO314" i="2" s="1"/>
  <c r="BQ332" i="2" s="1"/>
  <c r="BO57" i="2"/>
  <c r="BO310" i="2" s="1"/>
  <c r="BQ328" i="2" s="1"/>
  <c r="BO56" i="2"/>
  <c r="BO309" i="2" s="1"/>
  <c r="BQ327" i="2" s="1"/>
  <c r="BO64" i="2"/>
  <c r="BO317" i="2" s="1"/>
  <c r="BQ335" i="2" s="1"/>
  <c r="BO60" i="2"/>
  <c r="BO313" i="2" s="1"/>
  <c r="BQ331" i="2" s="1"/>
  <c r="BO59" i="2"/>
  <c r="BO312" i="2" s="1"/>
  <c r="BQ330" i="2" s="1"/>
  <c r="BO63" i="2"/>
  <c r="BO316" i="2" s="1"/>
  <c r="BQ334" i="2" s="1"/>
  <c r="BO62" i="2"/>
  <c r="BO315" i="2" s="1"/>
  <c r="BQ333" i="2" s="1"/>
  <c r="BO65" i="2"/>
  <c r="BO318" i="2" s="1"/>
  <c r="BQ336" i="2" s="1"/>
  <c r="AW16" i="1" l="1"/>
  <c r="AW54" i="1" s="1"/>
  <c r="BO354" i="2"/>
  <c r="BN55" i="2"/>
  <c r="BP50" i="2"/>
  <c r="BM308" i="2"/>
  <c r="BM344" i="2" s="1"/>
  <c r="BM68" i="2"/>
  <c r="BO82" i="2"/>
  <c r="BP28" i="2" s="1"/>
  <c r="BO74" i="2"/>
  <c r="BP20" i="2" s="1"/>
  <c r="BO348" i="2"/>
  <c r="BO81" i="2"/>
  <c r="BP27" i="2" s="1"/>
  <c r="BO353" i="2"/>
  <c r="BO75" i="2"/>
  <c r="BP21" i="2" s="1"/>
  <c r="BO77" i="2"/>
  <c r="BP23" i="2" s="1"/>
  <c r="BO349" i="2"/>
  <c r="BO78" i="2"/>
  <c r="BP24" i="2" s="1"/>
  <c r="BO345" i="2"/>
  <c r="BO351" i="2"/>
  <c r="BO352" i="2"/>
  <c r="AU32" i="2"/>
  <c r="AU73" i="2"/>
  <c r="BO350" i="2"/>
  <c r="BO346" i="2"/>
  <c r="BO83" i="2"/>
  <c r="BP29" i="2" s="1"/>
  <c r="BO79" i="2"/>
  <c r="BP25" i="2" s="1"/>
  <c r="BO80" i="2"/>
  <c r="BP26" i="2" s="1"/>
  <c r="BP61" i="2"/>
  <c r="BP314" i="2" s="1"/>
  <c r="BR332" i="2" s="1"/>
  <c r="BP57" i="2"/>
  <c r="BP310" i="2" s="1"/>
  <c r="BR328" i="2" s="1"/>
  <c r="BP60" i="2"/>
  <c r="BP313" i="2" s="1"/>
  <c r="BR331" i="2" s="1"/>
  <c r="BP59" i="2"/>
  <c r="BP312" i="2" s="1"/>
  <c r="BR330" i="2" s="1"/>
  <c r="BP58" i="2"/>
  <c r="BP311" i="2" s="1"/>
  <c r="BR329" i="2" s="1"/>
  <c r="BP63" i="2"/>
  <c r="BP316" i="2" s="1"/>
  <c r="BR334" i="2" s="1"/>
  <c r="BP65" i="2"/>
  <c r="BP318" i="2" s="1"/>
  <c r="BR336" i="2" s="1"/>
  <c r="BP62" i="2"/>
  <c r="BP315" i="2" s="1"/>
  <c r="BR333" i="2" s="1"/>
  <c r="BP64" i="2"/>
  <c r="BP317" i="2" s="1"/>
  <c r="BR335" i="2" s="1"/>
  <c r="BP56" i="2"/>
  <c r="BA18" i="5" l="1"/>
  <c r="BP309" i="2"/>
  <c r="BP78" i="2"/>
  <c r="BQ24" i="2" s="1"/>
  <c r="BP349" i="2"/>
  <c r="BP77" i="2"/>
  <c r="BQ23" i="2" s="1"/>
  <c r="BP75" i="2"/>
  <c r="BQ21" i="2" s="1"/>
  <c r="BP353" i="2"/>
  <c r="BP80" i="2"/>
  <c r="BQ26" i="2" s="1"/>
  <c r="BP81" i="2"/>
  <c r="BQ27" i="2" s="1"/>
  <c r="BP79" i="2"/>
  <c r="BQ25" i="2" s="1"/>
  <c r="BP348" i="2"/>
  <c r="BP83" i="2"/>
  <c r="BQ29" i="2" s="1"/>
  <c r="BP74" i="2"/>
  <c r="BQ20" i="2" s="1"/>
  <c r="BP346" i="2"/>
  <c r="BP82" i="2"/>
  <c r="BQ28" i="2" s="1"/>
  <c r="BP350" i="2"/>
  <c r="BM321" i="2"/>
  <c r="BO326" i="2"/>
  <c r="BO339" i="2" s="1"/>
  <c r="AV19" i="2"/>
  <c r="AU86" i="2"/>
  <c r="AU4" i="2" s="1"/>
  <c r="AJ25" i="3" s="1"/>
  <c r="BO55" i="2"/>
  <c r="BQ50" i="2"/>
  <c r="BP352" i="2"/>
  <c r="BP351" i="2"/>
  <c r="BN308" i="2"/>
  <c r="BN68" i="2"/>
  <c r="BP345" i="2"/>
  <c r="BP354" i="2"/>
  <c r="BQ63" i="2"/>
  <c r="BQ316" i="2" s="1"/>
  <c r="BS334" i="2" s="1"/>
  <c r="BQ57" i="2"/>
  <c r="BQ310" i="2" s="1"/>
  <c r="BS328" i="2" s="1"/>
  <c r="BQ58" i="2"/>
  <c r="BQ311" i="2" s="1"/>
  <c r="BS329" i="2" s="1"/>
  <c r="BQ56" i="2"/>
  <c r="BQ309" i="2" s="1"/>
  <c r="BS327" i="2" s="1"/>
  <c r="BQ60" i="2"/>
  <c r="BQ313" i="2" s="1"/>
  <c r="BS331" i="2" s="1"/>
  <c r="BQ65" i="2"/>
  <c r="BQ318" i="2" s="1"/>
  <c r="BS336" i="2" s="1"/>
  <c r="BQ64" i="2"/>
  <c r="BQ317" i="2" s="1"/>
  <c r="BS335" i="2" s="1"/>
  <c r="BQ59" i="2"/>
  <c r="BQ312" i="2" s="1"/>
  <c r="BS330" i="2" s="1"/>
  <c r="BQ61" i="2"/>
  <c r="BQ314" i="2" s="1"/>
  <c r="BS332" i="2" s="1"/>
  <c r="BQ62" i="2"/>
  <c r="BQ315" i="2" s="1"/>
  <c r="BS333" i="2" s="1"/>
  <c r="AX16" i="1" l="1"/>
  <c r="AX54" i="1" s="1"/>
  <c r="BQ350" i="2"/>
  <c r="BQ82" i="2"/>
  <c r="BR28" i="2" s="1"/>
  <c r="BQ346" i="2"/>
  <c r="BQ74" i="2"/>
  <c r="BR20" i="2" s="1"/>
  <c r="BQ83" i="2"/>
  <c r="BR29" i="2" s="1"/>
  <c r="BQ348" i="2"/>
  <c r="BQ79" i="2"/>
  <c r="BR25" i="2" s="1"/>
  <c r="BQ81" i="2"/>
  <c r="BR27" i="2" s="1"/>
  <c r="BQ354" i="2"/>
  <c r="BQ80" i="2"/>
  <c r="BR26" i="2" s="1"/>
  <c r="BQ345" i="2"/>
  <c r="BQ353" i="2"/>
  <c r="BQ75" i="2"/>
  <c r="BR21" i="2" s="1"/>
  <c r="BN321" i="2"/>
  <c r="BP326" i="2"/>
  <c r="BP339" i="2" s="1"/>
  <c r="BQ77" i="2"/>
  <c r="BR23" i="2" s="1"/>
  <c r="BQ351" i="2"/>
  <c r="BQ349" i="2"/>
  <c r="BQ352" i="2"/>
  <c r="BQ78" i="2"/>
  <c r="BR24" i="2" s="1"/>
  <c r="BR327" i="2"/>
  <c r="BO308" i="2"/>
  <c r="BO68" i="2"/>
  <c r="AV73" i="2"/>
  <c r="AV32" i="2"/>
  <c r="BN344" i="2"/>
  <c r="BP55" i="2"/>
  <c r="BR50" i="2"/>
  <c r="BR57" i="2"/>
  <c r="BR310" i="2" s="1"/>
  <c r="BT328" i="2" s="1"/>
  <c r="BR63" i="2"/>
  <c r="BR316" i="2" s="1"/>
  <c r="BT334" i="2" s="1"/>
  <c r="BR64" i="2"/>
  <c r="BR317" i="2" s="1"/>
  <c r="BT335" i="2" s="1"/>
  <c r="BR65" i="2"/>
  <c r="BR318" i="2" s="1"/>
  <c r="BT336" i="2" s="1"/>
  <c r="BR61" i="2"/>
  <c r="BR314" i="2" s="1"/>
  <c r="BT332" i="2" s="1"/>
  <c r="BR60" i="2"/>
  <c r="BR313" i="2" s="1"/>
  <c r="BT331" i="2" s="1"/>
  <c r="BR59" i="2"/>
  <c r="BR312" i="2" s="1"/>
  <c r="BT330" i="2" s="1"/>
  <c r="BR62" i="2"/>
  <c r="BR315" i="2" s="1"/>
  <c r="BT333" i="2" s="1"/>
  <c r="BR56" i="2"/>
  <c r="BR309" i="2" s="1"/>
  <c r="BT327" i="2" s="1"/>
  <c r="BR58" i="2"/>
  <c r="BR311" i="2" s="1"/>
  <c r="BT329" i="2" s="1"/>
  <c r="BB18" i="5" l="1"/>
  <c r="BR349" i="2"/>
  <c r="BR351" i="2"/>
  <c r="BR77" i="2"/>
  <c r="BS23" i="2" s="1"/>
  <c r="BR75" i="2"/>
  <c r="BS21" i="2" s="1"/>
  <c r="BP308" i="2"/>
  <c r="BP68" i="2"/>
  <c r="BR353" i="2"/>
  <c r="BR345" i="2"/>
  <c r="BO344" i="2"/>
  <c r="BR80" i="2"/>
  <c r="BS26" i="2" s="1"/>
  <c r="BR354" i="2"/>
  <c r="AV86" i="2"/>
  <c r="AV4" i="2" s="1"/>
  <c r="AK25" i="3" s="1"/>
  <c r="AW19" i="2"/>
  <c r="BR81" i="2"/>
  <c r="BS27" i="2" s="1"/>
  <c r="BR79" i="2"/>
  <c r="BS25" i="2" s="1"/>
  <c r="BR348" i="2"/>
  <c r="BR83" i="2"/>
  <c r="BS29" i="2" s="1"/>
  <c r="BR74" i="2"/>
  <c r="BS20" i="2" s="1"/>
  <c r="BQ326" i="2"/>
  <c r="BQ339" i="2" s="1"/>
  <c r="BO321" i="2"/>
  <c r="BQ55" i="2"/>
  <c r="BS50" i="2"/>
  <c r="BR346" i="2"/>
  <c r="BR78" i="2"/>
  <c r="BS24" i="2" s="1"/>
  <c r="BR82" i="2"/>
  <c r="BS28" i="2" s="1"/>
  <c r="BR352" i="2"/>
  <c r="BR350" i="2"/>
  <c r="BS57" i="2"/>
  <c r="BS310" i="2" s="1"/>
  <c r="BU328" i="2" s="1"/>
  <c r="BS63" i="2"/>
  <c r="BS316" i="2" s="1"/>
  <c r="BU334" i="2" s="1"/>
  <c r="BS64" i="2"/>
  <c r="BS317" i="2" s="1"/>
  <c r="BU335" i="2" s="1"/>
  <c r="BS60" i="2"/>
  <c r="BS313" i="2" s="1"/>
  <c r="BU331" i="2" s="1"/>
  <c r="BS58" i="2"/>
  <c r="BS311" i="2" s="1"/>
  <c r="BU329" i="2" s="1"/>
  <c r="BS65" i="2"/>
  <c r="BS318" i="2" s="1"/>
  <c r="BU336" i="2" s="1"/>
  <c r="BS56" i="2"/>
  <c r="BS309" i="2" s="1"/>
  <c r="BU327" i="2" s="1"/>
  <c r="BS59" i="2"/>
  <c r="BS312" i="2" s="1"/>
  <c r="BU330" i="2" s="1"/>
  <c r="BS61" i="2"/>
  <c r="BS314" i="2" s="1"/>
  <c r="BU332" i="2" s="1"/>
  <c r="BS62" i="2"/>
  <c r="BS315" i="2" s="1"/>
  <c r="BU333" i="2" s="1"/>
  <c r="AY16" i="1" l="1"/>
  <c r="BS79" i="2"/>
  <c r="BT25" i="2" s="1"/>
  <c r="BS348" i="2"/>
  <c r="BS81" i="2"/>
  <c r="BT27" i="2" s="1"/>
  <c r="AW32" i="2"/>
  <c r="AW73" i="2"/>
  <c r="BR55" i="2"/>
  <c r="BT50" i="2"/>
  <c r="BS354" i="2"/>
  <c r="BS350" i="2"/>
  <c r="BS80" i="2"/>
  <c r="BT26" i="2" s="1"/>
  <c r="BS352" i="2"/>
  <c r="BS82" i="2"/>
  <c r="BT28" i="2" s="1"/>
  <c r="BP344" i="2"/>
  <c r="BS78" i="2"/>
  <c r="BT24" i="2" s="1"/>
  <c r="BS345" i="2"/>
  <c r="BS346" i="2"/>
  <c r="BS353" i="2"/>
  <c r="BR326" i="2"/>
  <c r="BR339" i="2" s="1"/>
  <c r="BP321" i="2"/>
  <c r="BQ308" i="2"/>
  <c r="BQ68" i="2"/>
  <c r="BS75" i="2"/>
  <c r="BT21" i="2" s="1"/>
  <c r="BS77" i="2"/>
  <c r="BT23" i="2" s="1"/>
  <c r="BS74" i="2"/>
  <c r="BT20" i="2" s="1"/>
  <c r="BS351" i="2"/>
  <c r="BS83" i="2"/>
  <c r="BT29" i="2" s="1"/>
  <c r="BS349" i="2"/>
  <c r="BT64" i="2"/>
  <c r="BT317" i="2" s="1"/>
  <c r="BV335" i="2" s="1"/>
  <c r="BT56" i="2"/>
  <c r="BT309" i="2" s="1"/>
  <c r="BV327" i="2" s="1"/>
  <c r="BT60" i="2"/>
  <c r="BT313" i="2" s="1"/>
  <c r="BV331" i="2" s="1"/>
  <c r="BT62" i="2"/>
  <c r="BT315" i="2" s="1"/>
  <c r="BV333" i="2" s="1"/>
  <c r="BT61" i="2"/>
  <c r="BT314" i="2" s="1"/>
  <c r="BV332" i="2" s="1"/>
  <c r="BT63" i="2"/>
  <c r="BT316" i="2" s="1"/>
  <c r="BV334" i="2" s="1"/>
  <c r="BT65" i="2"/>
  <c r="BT318" i="2" s="1"/>
  <c r="BV336" i="2" s="1"/>
  <c r="BT57" i="2"/>
  <c r="BT310" i="2" s="1"/>
  <c r="BV328" i="2" s="1"/>
  <c r="BT59" i="2"/>
  <c r="BT312" i="2" s="1"/>
  <c r="BV330" i="2" s="1"/>
  <c r="BC18" i="5" l="1"/>
  <c r="AY54" i="1"/>
  <c r="BT353" i="2"/>
  <c r="BT346" i="2"/>
  <c r="BT345" i="2"/>
  <c r="BT78" i="2"/>
  <c r="BU24" i="2" s="1"/>
  <c r="BQ344" i="2"/>
  <c r="BT82" i="2"/>
  <c r="BU28" i="2" s="1"/>
  <c r="BT352" i="2"/>
  <c r="BT349" i="2"/>
  <c r="BT80" i="2"/>
  <c r="BU26" i="2" s="1"/>
  <c r="BT83" i="2"/>
  <c r="BU29" i="2" s="1"/>
  <c r="BT350" i="2"/>
  <c r="BT351" i="2"/>
  <c r="BT354" i="2"/>
  <c r="BT74" i="2"/>
  <c r="BU20" i="2" s="1"/>
  <c r="BT77" i="2"/>
  <c r="BU23" i="2" s="1"/>
  <c r="BR308" i="2"/>
  <c r="BR68" i="2"/>
  <c r="BS55" i="2"/>
  <c r="BU50" i="2"/>
  <c r="BT75" i="2"/>
  <c r="BU21" i="2" s="1"/>
  <c r="AW86" i="2"/>
  <c r="AW4" i="2" s="1"/>
  <c r="AL25" i="3" s="1"/>
  <c r="AX19" i="2"/>
  <c r="BS326" i="2"/>
  <c r="BS339" i="2" s="1"/>
  <c r="BQ321" i="2"/>
  <c r="BT81" i="2"/>
  <c r="BU27" i="2" s="1"/>
  <c r="BT55" i="2"/>
  <c r="BT79" i="2"/>
  <c r="BU25" i="2" s="1"/>
  <c r="BT348" i="2"/>
  <c r="BU58" i="2"/>
  <c r="BU311" i="2" s="1"/>
  <c r="BW329" i="2" s="1"/>
  <c r="BU57" i="2"/>
  <c r="BU310" i="2" s="1"/>
  <c r="BW328" i="2" s="1"/>
  <c r="BU56" i="2"/>
  <c r="BU309" i="2" s="1"/>
  <c r="BW327" i="2" s="1"/>
  <c r="BU64" i="2"/>
  <c r="BU317" i="2" s="1"/>
  <c r="BW335" i="2" s="1"/>
  <c r="BU62" i="2"/>
  <c r="BU315" i="2" s="1"/>
  <c r="BW333" i="2" s="1"/>
  <c r="BU65" i="2"/>
  <c r="BU318" i="2" s="1"/>
  <c r="BW336" i="2" s="1"/>
  <c r="BU59" i="2"/>
  <c r="BU312" i="2" s="1"/>
  <c r="BW330" i="2" s="1"/>
  <c r="BU60" i="2"/>
  <c r="BU313" i="2" s="1"/>
  <c r="BW331" i="2" s="1"/>
  <c r="BU61" i="2"/>
  <c r="BU314" i="2" s="1"/>
  <c r="BW332" i="2" s="1"/>
  <c r="BU63" i="2"/>
  <c r="BU316" i="2" s="1"/>
  <c r="BW334" i="2" s="1"/>
  <c r="AZ16" i="1" l="1"/>
  <c r="AZ54" i="1" s="1"/>
  <c r="BU77" i="2"/>
  <c r="BV23" i="2" s="1"/>
  <c r="BU55" i="2"/>
  <c r="BW50" i="2"/>
  <c r="BS68" i="2"/>
  <c r="BS308" i="2"/>
  <c r="BR321" i="2"/>
  <c r="BT326" i="2"/>
  <c r="BT339" i="2" s="1"/>
  <c r="BU74" i="2"/>
  <c r="BV20" i="2" s="1"/>
  <c r="BU354" i="2"/>
  <c r="BU351" i="2"/>
  <c r="BU350" i="2"/>
  <c r="BU348" i="2"/>
  <c r="BU83" i="2"/>
  <c r="BV29" i="2" s="1"/>
  <c r="BU79" i="2"/>
  <c r="BV25" i="2" s="1"/>
  <c r="BU80" i="2"/>
  <c r="BV26" i="2" s="1"/>
  <c r="BU349" i="2"/>
  <c r="BT308" i="2"/>
  <c r="BU352" i="2"/>
  <c r="BU81" i="2"/>
  <c r="BV27" i="2" s="1"/>
  <c r="BU82" i="2"/>
  <c r="BV28" i="2" s="1"/>
  <c r="BR344" i="2"/>
  <c r="BU78" i="2"/>
  <c r="BV24" i="2" s="1"/>
  <c r="AX32" i="2"/>
  <c r="AX73" i="2"/>
  <c r="BU345" i="2"/>
  <c r="BU346" i="2"/>
  <c r="BU75" i="2"/>
  <c r="BV21" i="2" s="1"/>
  <c r="BU353" i="2"/>
  <c r="BV57" i="2"/>
  <c r="BV310" i="2" s="1"/>
  <c r="BX328" i="2" s="1"/>
  <c r="BV63" i="2"/>
  <c r="BV316" i="2" s="1"/>
  <c r="BX334" i="2" s="1"/>
  <c r="BV60" i="2"/>
  <c r="BV313" i="2" s="1"/>
  <c r="BX331" i="2" s="1"/>
  <c r="BV59" i="2"/>
  <c r="BV312" i="2" s="1"/>
  <c r="BX330" i="2" s="1"/>
  <c r="BV64" i="2"/>
  <c r="BV317" i="2" s="1"/>
  <c r="BX335" i="2" s="1"/>
  <c r="BV62" i="2"/>
  <c r="BV315" i="2" s="1"/>
  <c r="BX333" i="2" s="1"/>
  <c r="BV61" i="2"/>
  <c r="BV314" i="2" s="1"/>
  <c r="BX332" i="2" s="1"/>
  <c r="BV56" i="2"/>
  <c r="BV309" i="2" s="1"/>
  <c r="BX327" i="2" s="1"/>
  <c r="BV58" i="2"/>
  <c r="BV311" i="2" s="1"/>
  <c r="BX329" i="2" s="1"/>
  <c r="BV65" i="2"/>
  <c r="BV318" i="2" s="1"/>
  <c r="BX336" i="2" s="1"/>
  <c r="BD18" i="5" l="1"/>
  <c r="H18" i="5" s="1"/>
  <c r="H16" i="1"/>
  <c r="BV326" i="2"/>
  <c r="BV349" i="2"/>
  <c r="BV80" i="2"/>
  <c r="BW26" i="2" s="1"/>
  <c r="BV353" i="2"/>
  <c r="BV79" i="2"/>
  <c r="BW25" i="2" s="1"/>
  <c r="BV75" i="2"/>
  <c r="BW21" i="2" s="1"/>
  <c r="BV83" i="2"/>
  <c r="BW29" i="2" s="1"/>
  <c r="BV346" i="2"/>
  <c r="BV348" i="2"/>
  <c r="BV350" i="2"/>
  <c r="BV351" i="2"/>
  <c r="BV354" i="2"/>
  <c r="BV345" i="2"/>
  <c r="AX86" i="2"/>
  <c r="AX4" i="2" s="1"/>
  <c r="AM25" i="3" s="1"/>
  <c r="AY19" i="2"/>
  <c r="BV74" i="2"/>
  <c r="BW20" i="2" s="1"/>
  <c r="BV77" i="2"/>
  <c r="BW23" i="2" s="1"/>
  <c r="BV78" i="2"/>
  <c r="BW24" i="2" s="1"/>
  <c r="BV55" i="2"/>
  <c r="BX50" i="2"/>
  <c r="BS344" i="2"/>
  <c r="BS321" i="2"/>
  <c r="BU326" i="2"/>
  <c r="BU339" i="2" s="1"/>
  <c r="BV82" i="2"/>
  <c r="BW28" i="2" s="1"/>
  <c r="BV81" i="2"/>
  <c r="BW27" i="2" s="1"/>
  <c r="BV352" i="2"/>
  <c r="BU68" i="2"/>
  <c r="BU308" i="2"/>
  <c r="BW64" i="2"/>
  <c r="BW317" i="2" s="1"/>
  <c r="BY335" i="2" s="1"/>
  <c r="BW62" i="2"/>
  <c r="BW315" i="2" s="1"/>
  <c r="BY333" i="2" s="1"/>
  <c r="BW57" i="2"/>
  <c r="BW310" i="2" s="1"/>
  <c r="BY328" i="2" s="1"/>
  <c r="BW56" i="2"/>
  <c r="BW309" i="2" s="1"/>
  <c r="BY327" i="2" s="1"/>
  <c r="BW61" i="2"/>
  <c r="BW314" i="2" s="1"/>
  <c r="BY332" i="2" s="1"/>
  <c r="BW60" i="2"/>
  <c r="BW313" i="2" s="1"/>
  <c r="BY331" i="2" s="1"/>
  <c r="BW58" i="2"/>
  <c r="BW311" i="2" s="1"/>
  <c r="BY329" i="2" s="1"/>
  <c r="BW63" i="2"/>
  <c r="BW316" i="2" s="1"/>
  <c r="BY334" i="2" s="1"/>
  <c r="BW59" i="2"/>
  <c r="BW312" i="2" s="1"/>
  <c r="BY330" i="2" s="1"/>
  <c r="BW65" i="2"/>
  <c r="BW318" i="2" s="1"/>
  <c r="BY336" i="2" s="1"/>
  <c r="BA16" i="1" l="1"/>
  <c r="BA54" i="1" s="1"/>
  <c r="BW78" i="2"/>
  <c r="BX24" i="2" s="1"/>
  <c r="BW77" i="2"/>
  <c r="BX23" i="2" s="1"/>
  <c r="BW74" i="2"/>
  <c r="BX20" i="2" s="1"/>
  <c r="AY73" i="2"/>
  <c r="AY32" i="2"/>
  <c r="BW345" i="2"/>
  <c r="BW354" i="2"/>
  <c r="BW351" i="2"/>
  <c r="BW350" i="2"/>
  <c r="BW326" i="2"/>
  <c r="BW339" i="2" s="1"/>
  <c r="BU321" i="2"/>
  <c r="BW348" i="2"/>
  <c r="BW346" i="2"/>
  <c r="BY50" i="2"/>
  <c r="BW55" i="2"/>
  <c r="BW352" i="2"/>
  <c r="BW83" i="2"/>
  <c r="BX29" i="2" s="1"/>
  <c r="BW81" i="2"/>
  <c r="BX27" i="2" s="1"/>
  <c r="BW75" i="2"/>
  <c r="BX21" i="2" s="1"/>
  <c r="BW82" i="2"/>
  <c r="BX28" i="2" s="1"/>
  <c r="BW79" i="2"/>
  <c r="BX25" i="2" s="1"/>
  <c r="BW353" i="2"/>
  <c r="BW80" i="2"/>
  <c r="BX26" i="2" s="1"/>
  <c r="BW349" i="2"/>
  <c r="BV68" i="2"/>
  <c r="BV308" i="2"/>
  <c r="BT344" i="2"/>
  <c r="BU344" i="2" s="1"/>
  <c r="BX58" i="2"/>
  <c r="BX311" i="2" s="1"/>
  <c r="BZ329" i="2" s="1"/>
  <c r="BX60" i="2"/>
  <c r="BX313" i="2" s="1"/>
  <c r="BZ331" i="2" s="1"/>
  <c r="BX65" i="2"/>
  <c r="BX318" i="2" s="1"/>
  <c r="BZ336" i="2" s="1"/>
  <c r="BX61" i="2"/>
  <c r="BX314" i="2" s="1"/>
  <c r="BZ332" i="2" s="1"/>
  <c r="BX59" i="2"/>
  <c r="BX312" i="2" s="1"/>
  <c r="BZ330" i="2" s="1"/>
  <c r="BX64" i="2"/>
  <c r="BX317" i="2" s="1"/>
  <c r="BZ335" i="2" s="1"/>
  <c r="BX56" i="2"/>
  <c r="BX309" i="2" s="1"/>
  <c r="BZ327" i="2" s="1"/>
  <c r="BX57" i="2"/>
  <c r="BX310" i="2" s="1"/>
  <c r="BZ328" i="2" s="1"/>
  <c r="BX62" i="2"/>
  <c r="BX315" i="2" s="1"/>
  <c r="BZ333" i="2" s="1"/>
  <c r="BE18" i="5" l="1"/>
  <c r="BX83" i="2"/>
  <c r="BY29" i="2" s="1"/>
  <c r="BW68" i="2"/>
  <c r="BW308" i="2"/>
  <c r="BX346" i="2"/>
  <c r="BX348" i="2"/>
  <c r="BX55" i="2"/>
  <c r="BX350" i="2"/>
  <c r="BV344" i="2"/>
  <c r="BV321" i="2"/>
  <c r="BX326" i="2"/>
  <c r="BX339" i="2" s="1"/>
  <c r="BX351" i="2"/>
  <c r="BX354" i="2"/>
  <c r="BX345" i="2"/>
  <c r="BX349" i="2"/>
  <c r="BX80" i="2"/>
  <c r="BY26" i="2" s="1"/>
  <c r="BX353" i="2"/>
  <c r="BX79" i="2"/>
  <c r="BY25" i="2" s="1"/>
  <c r="AZ19" i="2"/>
  <c r="AY86" i="2"/>
  <c r="AY4" i="2" s="1"/>
  <c r="AN25" i="3" s="1"/>
  <c r="BX82" i="2"/>
  <c r="BY28" i="2" s="1"/>
  <c r="BX74" i="2"/>
  <c r="BY20" i="2" s="1"/>
  <c r="BX75" i="2"/>
  <c r="BY21" i="2" s="1"/>
  <c r="BX77" i="2"/>
  <c r="BY23" i="2" s="1"/>
  <c r="BX63" i="2"/>
  <c r="BX316" i="2" s="1"/>
  <c r="BZ334" i="2" s="1"/>
  <c r="BX78" i="2"/>
  <c r="BY24" i="2" s="1"/>
  <c r="BY61" i="2"/>
  <c r="BY314" i="2" s="1"/>
  <c r="CA332" i="2" s="1"/>
  <c r="BY56" i="2"/>
  <c r="BY309" i="2" s="1"/>
  <c r="CA327" i="2" s="1"/>
  <c r="BY58" i="2"/>
  <c r="BY311" i="2" s="1"/>
  <c r="CA329" i="2" s="1"/>
  <c r="BY64" i="2"/>
  <c r="BY317" i="2" s="1"/>
  <c r="CA335" i="2" s="1"/>
  <c r="BY63" i="2"/>
  <c r="BY316" i="2" s="1"/>
  <c r="CA334" i="2" s="1"/>
  <c r="BY62" i="2"/>
  <c r="BY315" i="2" s="1"/>
  <c r="CA333" i="2" s="1"/>
  <c r="BY60" i="2"/>
  <c r="BY313" i="2" s="1"/>
  <c r="CA331" i="2" s="1"/>
  <c r="BY65" i="2"/>
  <c r="BY318" i="2" s="1"/>
  <c r="CA336" i="2" s="1"/>
  <c r="BY57" i="2"/>
  <c r="BY310" i="2" s="1"/>
  <c r="CA328" i="2" s="1"/>
  <c r="BY59" i="2"/>
  <c r="BY312" i="2" s="1"/>
  <c r="CA330" i="2" s="1"/>
  <c r="BB16" i="1" l="1"/>
  <c r="BY80" i="2"/>
  <c r="BZ26" i="2" s="1"/>
  <c r="BY349" i="2"/>
  <c r="BY345" i="2"/>
  <c r="CA50" i="2"/>
  <c r="BY55" i="2"/>
  <c r="BY354" i="2"/>
  <c r="BY351" i="2"/>
  <c r="BY78" i="2"/>
  <c r="BZ24" i="2" s="1"/>
  <c r="BX81" i="2"/>
  <c r="BY27" i="2" s="1"/>
  <c r="BY81" i="2" s="1"/>
  <c r="BZ27" i="2" s="1"/>
  <c r="BY350" i="2"/>
  <c r="BY77" i="2"/>
  <c r="BZ23" i="2" s="1"/>
  <c r="BZ50" i="2"/>
  <c r="BY75" i="2"/>
  <c r="BZ21" i="2" s="1"/>
  <c r="BX68" i="2"/>
  <c r="BX308" i="2"/>
  <c r="BY74" i="2"/>
  <c r="BZ20" i="2" s="1"/>
  <c r="BY348" i="2"/>
  <c r="BY82" i="2"/>
  <c r="BZ28" i="2" s="1"/>
  <c r="BY346" i="2"/>
  <c r="BW344" i="2"/>
  <c r="BW321" i="2"/>
  <c r="BY326" i="2"/>
  <c r="BY339" i="2" s="1"/>
  <c r="AZ32" i="2"/>
  <c r="AZ73" i="2"/>
  <c r="BY79" i="2"/>
  <c r="BZ25" i="2" s="1"/>
  <c r="BX352" i="2"/>
  <c r="BY352" i="2" s="1"/>
  <c r="BY353" i="2"/>
  <c r="BY83" i="2"/>
  <c r="BZ29" i="2" s="1"/>
  <c r="BZ64" i="2"/>
  <c r="BZ317" i="2" s="1"/>
  <c r="CB335" i="2" s="1"/>
  <c r="BZ63" i="2"/>
  <c r="BZ316" i="2" s="1"/>
  <c r="CB334" i="2" s="1"/>
  <c r="BZ59" i="2"/>
  <c r="BZ312" i="2" s="1"/>
  <c r="CB330" i="2" s="1"/>
  <c r="BZ61" i="2"/>
  <c r="BZ314" i="2" s="1"/>
  <c r="CB332" i="2" s="1"/>
  <c r="BZ62" i="2"/>
  <c r="BZ315" i="2" s="1"/>
  <c r="CB333" i="2" s="1"/>
  <c r="BZ58" i="2"/>
  <c r="BZ311" i="2" s="1"/>
  <c r="CB329" i="2" s="1"/>
  <c r="BZ57" i="2"/>
  <c r="BZ310" i="2" s="1"/>
  <c r="CB328" i="2" s="1"/>
  <c r="BZ65" i="2"/>
  <c r="BZ318" i="2" s="1"/>
  <c r="CB336" i="2" s="1"/>
  <c r="BZ60" i="2"/>
  <c r="BZ313" i="2" s="1"/>
  <c r="CB331" i="2" s="1"/>
  <c r="BZ56" i="2"/>
  <c r="BZ309" i="2" s="1"/>
  <c r="CB327" i="2" s="1"/>
  <c r="BF18" i="5" l="1"/>
  <c r="BB54" i="1"/>
  <c r="BZ346" i="2"/>
  <c r="BZ82" i="2"/>
  <c r="CA28" i="2" s="1"/>
  <c r="BZ348" i="2"/>
  <c r="BZ74" i="2"/>
  <c r="CA20" i="2" s="1"/>
  <c r="BX344" i="2"/>
  <c r="BX321" i="2"/>
  <c r="BZ326" i="2"/>
  <c r="BZ339" i="2" s="1"/>
  <c r="BZ75" i="2"/>
  <c r="CA21" i="2" s="1"/>
  <c r="BZ83" i="2"/>
  <c r="CA29" i="2" s="1"/>
  <c r="BZ77" i="2"/>
  <c r="CA23" i="2" s="1"/>
  <c r="BZ353" i="2"/>
  <c r="BZ350" i="2"/>
  <c r="BZ352" i="2"/>
  <c r="BZ81" i="2"/>
  <c r="CA27" i="2" s="1"/>
  <c r="BZ79" i="2"/>
  <c r="CA25" i="2" s="1"/>
  <c r="BZ55" i="2"/>
  <c r="CB50" i="2"/>
  <c r="BZ78" i="2"/>
  <c r="CA24" i="2" s="1"/>
  <c r="BA19" i="2"/>
  <c r="AZ86" i="2"/>
  <c r="AZ4" i="2" s="1"/>
  <c r="AO25" i="3" s="1"/>
  <c r="BZ351" i="2"/>
  <c r="BZ354" i="2"/>
  <c r="BY308" i="2"/>
  <c r="BY68" i="2"/>
  <c r="BZ345" i="2"/>
  <c r="BZ349" i="2"/>
  <c r="BZ80" i="2"/>
  <c r="CA26" i="2" s="1"/>
  <c r="CA64" i="2"/>
  <c r="CA317" i="2" s="1"/>
  <c r="CC335" i="2" s="1"/>
  <c r="CA65" i="2"/>
  <c r="CA318" i="2" s="1"/>
  <c r="CC336" i="2" s="1"/>
  <c r="CA61" i="2"/>
  <c r="CA314" i="2" s="1"/>
  <c r="CC332" i="2" s="1"/>
  <c r="CA60" i="2"/>
  <c r="CA313" i="2" s="1"/>
  <c r="CC331" i="2" s="1"/>
  <c r="CA57" i="2"/>
  <c r="CA310" i="2" s="1"/>
  <c r="CC328" i="2" s="1"/>
  <c r="CA59" i="2"/>
  <c r="CA312" i="2" s="1"/>
  <c r="CC330" i="2" s="1"/>
  <c r="CA56" i="2"/>
  <c r="CA309" i="2" s="1"/>
  <c r="CC327" i="2" s="1"/>
  <c r="CA63" i="2"/>
  <c r="CA316" i="2" s="1"/>
  <c r="CC334" i="2" s="1"/>
  <c r="CA58" i="2"/>
  <c r="CA311" i="2" s="1"/>
  <c r="CC329" i="2" s="1"/>
  <c r="CA62" i="2"/>
  <c r="CA315" i="2" s="1"/>
  <c r="CC333" i="2" s="1"/>
  <c r="BC16" i="1" l="1"/>
  <c r="BC54" i="1" s="1"/>
  <c r="CA353" i="2"/>
  <c r="BA73" i="2"/>
  <c r="BA32" i="2"/>
  <c r="CA78" i="2"/>
  <c r="CB24" i="2" s="1"/>
  <c r="BZ308" i="2"/>
  <c r="BZ68" i="2"/>
  <c r="CA79" i="2"/>
  <c r="CB25" i="2" s="1"/>
  <c r="CC50" i="2"/>
  <c r="CA55" i="2"/>
  <c r="CA81" i="2"/>
  <c r="CB27" i="2" s="1"/>
  <c r="CA352" i="2"/>
  <c r="CA350" i="2"/>
  <c r="CA77" i="2"/>
  <c r="CB23" i="2" s="1"/>
  <c r="CA80" i="2"/>
  <c r="CB26" i="2" s="1"/>
  <c r="CA83" i="2"/>
  <c r="CB29" i="2" s="1"/>
  <c r="CA349" i="2"/>
  <c r="CA75" i="2"/>
  <c r="CB21" i="2" s="1"/>
  <c r="CA345" i="2"/>
  <c r="BY344" i="2"/>
  <c r="CA74" i="2"/>
  <c r="CB20" i="2" s="1"/>
  <c r="BY321" i="2"/>
  <c r="CA326" i="2"/>
  <c r="CA339" i="2" s="1"/>
  <c r="CA348" i="2"/>
  <c r="CA354" i="2"/>
  <c r="CA82" i="2"/>
  <c r="CB28" i="2" s="1"/>
  <c r="CA351" i="2"/>
  <c r="CA346" i="2"/>
  <c r="CB61" i="2"/>
  <c r="CB314" i="2" s="1"/>
  <c r="CD332" i="2" s="1"/>
  <c r="CB60" i="2"/>
  <c r="CB313" i="2" s="1"/>
  <c r="CD331" i="2" s="1"/>
  <c r="CB57" i="2"/>
  <c r="CB310" i="2" s="1"/>
  <c r="CD328" i="2" s="1"/>
  <c r="CB59" i="2"/>
  <c r="CB312" i="2" s="1"/>
  <c r="CD330" i="2" s="1"/>
  <c r="CB58" i="2"/>
  <c r="CB311" i="2" s="1"/>
  <c r="CD329" i="2" s="1"/>
  <c r="CB62" i="2"/>
  <c r="CB315" i="2" s="1"/>
  <c r="CD333" i="2" s="1"/>
  <c r="CB56" i="2"/>
  <c r="CB309" i="2" s="1"/>
  <c r="CD327" i="2" s="1"/>
  <c r="CB63" i="2"/>
  <c r="CB316" i="2" s="1"/>
  <c r="CD334" i="2" s="1"/>
  <c r="CB64" i="2"/>
  <c r="CB317" i="2" s="1"/>
  <c r="CD335" i="2" s="1"/>
  <c r="CB65" i="2"/>
  <c r="CB318" i="2" s="1"/>
  <c r="CD336" i="2" s="1"/>
  <c r="BG18" i="5" l="1"/>
  <c r="CB350" i="2"/>
  <c r="CB345" i="2"/>
  <c r="CB75" i="2"/>
  <c r="CC21" i="2" s="1"/>
  <c r="CB349" i="2"/>
  <c r="CB83" i="2"/>
  <c r="CC29" i="2" s="1"/>
  <c r="CB80" i="2"/>
  <c r="CC26" i="2" s="1"/>
  <c r="CB77" i="2"/>
  <c r="CC23" i="2" s="1"/>
  <c r="CB353" i="2"/>
  <c r="CB352" i="2"/>
  <c r="CB81" i="2"/>
  <c r="CC27" i="2" s="1"/>
  <c r="CB346" i="2"/>
  <c r="CA68" i="2"/>
  <c r="CA308" i="2"/>
  <c r="CB351" i="2"/>
  <c r="CB55" i="2"/>
  <c r="CD50" i="2"/>
  <c r="CB82" i="2"/>
  <c r="CC28" i="2" s="1"/>
  <c r="CB79" i="2"/>
  <c r="CC25" i="2" s="1"/>
  <c r="CB354" i="2"/>
  <c r="CB348" i="2"/>
  <c r="CB326" i="2"/>
  <c r="CB339" i="2" s="1"/>
  <c r="BZ321" i="2"/>
  <c r="CB78" i="2"/>
  <c r="CC24" i="2" s="1"/>
  <c r="CB74" i="2"/>
  <c r="CC20" i="2" s="1"/>
  <c r="BB19" i="2"/>
  <c r="BA86" i="2"/>
  <c r="BA4" i="2" s="1"/>
  <c r="AP25" i="3" s="1"/>
  <c r="BZ344" i="2"/>
  <c r="CC56" i="2"/>
  <c r="CC309" i="2" s="1"/>
  <c r="CE327" i="2" s="1"/>
  <c r="CC61" i="2"/>
  <c r="CC314" i="2" s="1"/>
  <c r="CE332" i="2" s="1"/>
  <c r="CC65" i="2"/>
  <c r="CC318" i="2" s="1"/>
  <c r="CE336" i="2" s="1"/>
  <c r="CC63" i="2"/>
  <c r="CC316" i="2" s="1"/>
  <c r="CE334" i="2" s="1"/>
  <c r="CC64" i="2"/>
  <c r="CC317" i="2" s="1"/>
  <c r="CE335" i="2" s="1"/>
  <c r="CC60" i="2"/>
  <c r="CC313" i="2" s="1"/>
  <c r="CE331" i="2" s="1"/>
  <c r="CC58" i="2"/>
  <c r="CC311" i="2" s="1"/>
  <c r="CE329" i="2" s="1"/>
  <c r="CC59" i="2"/>
  <c r="CC312" i="2" s="1"/>
  <c r="CE330" i="2" s="1"/>
  <c r="CC62" i="2"/>
  <c r="CC315" i="2" s="1"/>
  <c r="CE333" i="2" s="1"/>
  <c r="CC57" i="2"/>
  <c r="CC310" i="2" s="1"/>
  <c r="CE328" i="2" s="1"/>
  <c r="BD16" i="1" l="1"/>
  <c r="CC348" i="2"/>
  <c r="CC354" i="2"/>
  <c r="CC79" i="2"/>
  <c r="CD25" i="2" s="1"/>
  <c r="CC82" i="2"/>
  <c r="CD28" i="2" s="1"/>
  <c r="CB68" i="2"/>
  <c r="CB308" i="2"/>
  <c r="CC351" i="2"/>
  <c r="CA321" i="2"/>
  <c r="CC326" i="2"/>
  <c r="CC339" i="2" s="1"/>
  <c r="CC346" i="2"/>
  <c r="CC81" i="2"/>
  <c r="CD27" i="2" s="1"/>
  <c r="CC352" i="2"/>
  <c r="CC55" i="2"/>
  <c r="CE50" i="2"/>
  <c r="CA344" i="2"/>
  <c r="CC350" i="2"/>
  <c r="CC353" i="2"/>
  <c r="CC77" i="2"/>
  <c r="CD23" i="2" s="1"/>
  <c r="BB73" i="2"/>
  <c r="BB32" i="2"/>
  <c r="CC80" i="2"/>
  <c r="CD26" i="2" s="1"/>
  <c r="CC74" i="2"/>
  <c r="CD20" i="2" s="1"/>
  <c r="CC83" i="2"/>
  <c r="CD29" i="2" s="1"/>
  <c r="CC78" i="2"/>
  <c r="CD24" i="2" s="1"/>
  <c r="CC349" i="2"/>
  <c r="CC75" i="2"/>
  <c r="CD21" i="2" s="1"/>
  <c r="CC345" i="2"/>
  <c r="CD63" i="2"/>
  <c r="CD316" i="2" s="1"/>
  <c r="CF334" i="2" s="1"/>
  <c r="CD57" i="2"/>
  <c r="CD310" i="2" s="1"/>
  <c r="CF328" i="2" s="1"/>
  <c r="CD64" i="2"/>
  <c r="CD317" i="2" s="1"/>
  <c r="CF335" i="2" s="1"/>
  <c r="CD65" i="2"/>
  <c r="CD318" i="2" s="1"/>
  <c r="CF336" i="2" s="1"/>
  <c r="CD60" i="2"/>
  <c r="CD313" i="2" s="1"/>
  <c r="CF331" i="2" s="1"/>
  <c r="CD59" i="2"/>
  <c r="CD312" i="2" s="1"/>
  <c r="CF330" i="2" s="1"/>
  <c r="CD56" i="2"/>
  <c r="CD309" i="2" s="1"/>
  <c r="CF327" i="2" s="1"/>
  <c r="CD58" i="2"/>
  <c r="CD311" i="2" s="1"/>
  <c r="CF329" i="2" s="1"/>
  <c r="CD61" i="2"/>
  <c r="CD314" i="2" s="1"/>
  <c r="CF332" i="2" s="1"/>
  <c r="CD62" i="2"/>
  <c r="CD315" i="2" s="1"/>
  <c r="CF333" i="2" s="1"/>
  <c r="BH18" i="5" l="1"/>
  <c r="BD54" i="1"/>
  <c r="CD352" i="2"/>
  <c r="CD353" i="2"/>
  <c r="CD350" i="2"/>
  <c r="CD55" i="2"/>
  <c r="CF50" i="2"/>
  <c r="CB344" i="2"/>
  <c r="CC308" i="2"/>
  <c r="CC68" i="2"/>
  <c r="CD81" i="2"/>
  <c r="CE27" i="2" s="1"/>
  <c r="CD345" i="2"/>
  <c r="CD346" i="2"/>
  <c r="CD75" i="2"/>
  <c r="CE21" i="2" s="1"/>
  <c r="CD349" i="2"/>
  <c r="CD78" i="2"/>
  <c r="CE24" i="2" s="1"/>
  <c r="CD351" i="2"/>
  <c r="CD83" i="2"/>
  <c r="CE29" i="2" s="1"/>
  <c r="CB321" i="2"/>
  <c r="CD326" i="2"/>
  <c r="CD339" i="2" s="1"/>
  <c r="CD74" i="2"/>
  <c r="CE20" i="2" s="1"/>
  <c r="CD80" i="2"/>
  <c r="CE26" i="2" s="1"/>
  <c r="CD82" i="2"/>
  <c r="CE28" i="2" s="1"/>
  <c r="CD79" i="2"/>
  <c r="CE25" i="2" s="1"/>
  <c r="BC19" i="2"/>
  <c r="BB86" i="2"/>
  <c r="BB4" i="2" s="1"/>
  <c r="AQ25" i="3" s="1"/>
  <c r="CD354" i="2"/>
  <c r="CD77" i="2"/>
  <c r="CE23" i="2" s="1"/>
  <c r="CD348" i="2"/>
  <c r="CE62" i="2"/>
  <c r="CE315" i="2" s="1"/>
  <c r="CG333" i="2" s="1"/>
  <c r="CE63" i="2"/>
  <c r="CE316" i="2" s="1"/>
  <c r="CG334" i="2" s="1"/>
  <c r="CE65" i="2"/>
  <c r="CE318" i="2" s="1"/>
  <c r="CG336" i="2" s="1"/>
  <c r="CE64" i="2"/>
  <c r="CE317" i="2" s="1"/>
  <c r="CG335" i="2" s="1"/>
  <c r="CE59" i="2"/>
  <c r="CE312" i="2" s="1"/>
  <c r="CG330" i="2" s="1"/>
  <c r="CE58" i="2"/>
  <c r="CE311" i="2" s="1"/>
  <c r="CG329" i="2" s="1"/>
  <c r="CE57" i="2"/>
  <c r="CE310" i="2" s="1"/>
  <c r="CG328" i="2" s="1"/>
  <c r="CE61" i="2"/>
  <c r="CE314" i="2" s="1"/>
  <c r="CG332" i="2" s="1"/>
  <c r="CE56" i="2"/>
  <c r="CE309" i="2" s="1"/>
  <c r="CG327" i="2" s="1"/>
  <c r="CE60" i="2"/>
  <c r="CE313" i="2" s="1"/>
  <c r="CG331" i="2" s="1"/>
  <c r="BE16" i="1" l="1"/>
  <c r="CE74" i="2"/>
  <c r="CF20" i="2" s="1"/>
  <c r="CE83" i="2"/>
  <c r="CF29" i="2" s="1"/>
  <c r="CE351" i="2"/>
  <c r="CE78" i="2"/>
  <c r="CF24" i="2" s="1"/>
  <c r="CG50" i="2"/>
  <c r="CE55" i="2"/>
  <c r="CE349" i="2"/>
  <c r="CE75" i="2"/>
  <c r="CF21" i="2" s="1"/>
  <c r="CE346" i="2"/>
  <c r="CE345" i="2"/>
  <c r="CE81" i="2"/>
  <c r="CF27" i="2" s="1"/>
  <c r="CE352" i="2"/>
  <c r="CE348" i="2"/>
  <c r="CE77" i="2"/>
  <c r="CF23" i="2" s="1"/>
  <c r="CE326" i="2"/>
  <c r="CE339" i="2" s="1"/>
  <c r="CC321" i="2"/>
  <c r="CE354" i="2"/>
  <c r="CC344" i="2"/>
  <c r="BC32" i="2"/>
  <c r="BC73" i="2"/>
  <c r="CE79" i="2"/>
  <c r="CF25" i="2" s="1"/>
  <c r="CD308" i="2"/>
  <c r="CD68" i="2"/>
  <c r="CE82" i="2"/>
  <c r="CF28" i="2" s="1"/>
  <c r="CE350" i="2"/>
  <c r="CE80" i="2"/>
  <c r="CF26" i="2" s="1"/>
  <c r="CE353" i="2"/>
  <c r="CF61" i="2"/>
  <c r="CF314" i="2" s="1"/>
  <c r="CH332" i="2" s="1"/>
  <c r="CF57" i="2"/>
  <c r="CF310" i="2" s="1"/>
  <c r="CH328" i="2" s="1"/>
  <c r="CF62" i="2"/>
  <c r="CF315" i="2" s="1"/>
  <c r="CH333" i="2" s="1"/>
  <c r="CF63" i="2"/>
  <c r="CF316" i="2" s="1"/>
  <c r="CH334" i="2" s="1"/>
  <c r="CF60" i="2"/>
  <c r="CF313" i="2" s="1"/>
  <c r="CH331" i="2" s="1"/>
  <c r="CF65" i="2"/>
  <c r="CF318" i="2" s="1"/>
  <c r="CH336" i="2" s="1"/>
  <c r="CF56" i="2"/>
  <c r="CF309" i="2" s="1"/>
  <c r="CH327" i="2" s="1"/>
  <c r="CF64" i="2"/>
  <c r="CF317" i="2" s="1"/>
  <c r="CH335" i="2" s="1"/>
  <c r="CF59" i="2"/>
  <c r="CF312" i="2" s="1"/>
  <c r="CH330" i="2" s="1"/>
  <c r="BI18" i="5" l="1"/>
  <c r="BE54" i="1"/>
  <c r="CD344" i="2"/>
  <c r="CF354" i="2"/>
  <c r="CF77" i="2"/>
  <c r="CG23" i="2" s="1"/>
  <c r="CF348" i="2"/>
  <c r="CF352" i="2"/>
  <c r="CF81" i="2"/>
  <c r="CG27" i="2" s="1"/>
  <c r="CF353" i="2"/>
  <c r="CF345" i="2"/>
  <c r="CF80" i="2"/>
  <c r="CG26" i="2" s="1"/>
  <c r="CF346" i="2"/>
  <c r="CF350" i="2"/>
  <c r="CF75" i="2"/>
  <c r="CG21" i="2" s="1"/>
  <c r="CF82" i="2"/>
  <c r="CG28" i="2" s="1"/>
  <c r="CF349" i="2"/>
  <c r="CE68" i="2"/>
  <c r="CE308" i="2"/>
  <c r="CD321" i="2"/>
  <c r="CF326" i="2"/>
  <c r="CF339" i="2" s="1"/>
  <c r="CF79" i="2"/>
  <c r="CG25" i="2" s="1"/>
  <c r="CF78" i="2"/>
  <c r="CG24" i="2" s="1"/>
  <c r="BC86" i="2"/>
  <c r="BC4" i="2" s="1"/>
  <c r="AR25" i="3" s="1"/>
  <c r="BD19" i="2"/>
  <c r="CF351" i="2"/>
  <c r="CF83" i="2"/>
  <c r="CG29" i="2" s="1"/>
  <c r="CF55" i="2"/>
  <c r="CF74" i="2"/>
  <c r="CG20" i="2" s="1"/>
  <c r="CG61" i="2"/>
  <c r="CG314" i="2" s="1"/>
  <c r="CI332" i="2" s="1"/>
  <c r="CG57" i="2"/>
  <c r="CG310" i="2" s="1"/>
  <c r="CI328" i="2" s="1"/>
  <c r="CG59" i="2"/>
  <c r="CG312" i="2" s="1"/>
  <c r="CI330" i="2" s="1"/>
  <c r="CG60" i="2"/>
  <c r="CG313" i="2" s="1"/>
  <c r="CI331" i="2" s="1"/>
  <c r="CG65" i="2"/>
  <c r="CG318" i="2" s="1"/>
  <c r="CI336" i="2" s="1"/>
  <c r="CG58" i="2"/>
  <c r="CG311" i="2" s="1"/>
  <c r="CI329" i="2" s="1"/>
  <c r="CG63" i="2"/>
  <c r="CG316" i="2" s="1"/>
  <c r="CI334" i="2" s="1"/>
  <c r="CG62" i="2"/>
  <c r="CG315" i="2" s="1"/>
  <c r="CI333" i="2" s="1"/>
  <c r="CG64" i="2"/>
  <c r="CG317" i="2" s="1"/>
  <c r="CI335" i="2" s="1"/>
  <c r="CG56" i="2"/>
  <c r="CG309" i="2" s="1"/>
  <c r="CI327" i="2" s="1"/>
  <c r="BF16" i="1" l="1"/>
  <c r="CG79" i="2"/>
  <c r="CH25" i="2" s="1"/>
  <c r="CG326" i="2"/>
  <c r="CG339" i="2" s="1"/>
  <c r="CE321" i="2"/>
  <c r="CG349" i="2"/>
  <c r="CG82" i="2"/>
  <c r="CH28" i="2" s="1"/>
  <c r="CG75" i="2"/>
  <c r="CH21" i="2" s="1"/>
  <c r="CG350" i="2"/>
  <c r="CG346" i="2"/>
  <c r="CG80" i="2"/>
  <c r="CH26" i="2" s="1"/>
  <c r="CG345" i="2"/>
  <c r="CG55" i="2"/>
  <c r="CI50" i="2"/>
  <c r="CG74" i="2"/>
  <c r="CH20" i="2" s="1"/>
  <c r="CG353" i="2"/>
  <c r="CG81" i="2"/>
  <c r="CH27" i="2" s="1"/>
  <c r="CF308" i="2"/>
  <c r="CG352" i="2"/>
  <c r="CG83" i="2"/>
  <c r="CH29" i="2" s="1"/>
  <c r="CG348" i="2"/>
  <c r="CG351" i="2"/>
  <c r="CG77" i="2"/>
  <c r="CH23" i="2" s="1"/>
  <c r="BD32" i="2"/>
  <c r="BD73" i="2"/>
  <c r="CG354" i="2"/>
  <c r="CG78" i="2"/>
  <c r="CH24" i="2" s="1"/>
  <c r="CE344" i="2"/>
  <c r="CH56" i="2"/>
  <c r="CH309" i="2" s="1"/>
  <c r="CJ327" i="2" s="1"/>
  <c r="CH62" i="2"/>
  <c r="CH315" i="2" s="1"/>
  <c r="CJ333" i="2" s="1"/>
  <c r="CH58" i="2"/>
  <c r="CH311" i="2" s="1"/>
  <c r="CJ329" i="2" s="1"/>
  <c r="CH64" i="2"/>
  <c r="CH317" i="2" s="1"/>
  <c r="CJ335" i="2" s="1"/>
  <c r="CH59" i="2"/>
  <c r="CH312" i="2" s="1"/>
  <c r="CJ330" i="2" s="1"/>
  <c r="CH63" i="2"/>
  <c r="CH316" i="2" s="1"/>
  <c r="CJ334" i="2" s="1"/>
  <c r="CH60" i="2"/>
  <c r="CH313" i="2" s="1"/>
  <c r="CJ331" i="2" s="1"/>
  <c r="CH65" i="2"/>
  <c r="CH318" i="2" s="1"/>
  <c r="CJ336" i="2" s="1"/>
  <c r="CH57" i="2"/>
  <c r="CH310" i="2" s="1"/>
  <c r="CJ328" i="2" s="1"/>
  <c r="CH61" i="2"/>
  <c r="CH314" i="2" s="1"/>
  <c r="CJ332" i="2" s="1"/>
  <c r="BJ18" i="5" l="1"/>
  <c r="BF54" i="1"/>
  <c r="CH352" i="2"/>
  <c r="CH326" i="2"/>
  <c r="CH81" i="2"/>
  <c r="CI27" i="2" s="1"/>
  <c r="CH353" i="2"/>
  <c r="CH74" i="2"/>
  <c r="CI20" i="2" s="1"/>
  <c r="CG68" i="2"/>
  <c r="CG308" i="2"/>
  <c r="CF344" i="2"/>
  <c r="CH345" i="2"/>
  <c r="CH78" i="2"/>
  <c r="CI24" i="2" s="1"/>
  <c r="CH80" i="2"/>
  <c r="CI26" i="2" s="1"/>
  <c r="CH346" i="2"/>
  <c r="CH350" i="2"/>
  <c r="CH354" i="2"/>
  <c r="CH75" i="2"/>
  <c r="CI21" i="2" s="1"/>
  <c r="BD86" i="2"/>
  <c r="BD4" i="2" s="1"/>
  <c r="AS25" i="3" s="1"/>
  <c r="BE19" i="2"/>
  <c r="CH82" i="2"/>
  <c r="CI28" i="2" s="1"/>
  <c r="CH349" i="2"/>
  <c r="CH77" i="2"/>
  <c r="CI23" i="2" s="1"/>
  <c r="CH351" i="2"/>
  <c r="CJ50" i="2"/>
  <c r="CH55" i="2"/>
  <c r="CH348" i="2"/>
  <c r="CH83" i="2"/>
  <c r="CI29" i="2" s="1"/>
  <c r="CH79" i="2"/>
  <c r="CI25" i="2" s="1"/>
  <c r="CI61" i="2"/>
  <c r="CI314" i="2" s="1"/>
  <c r="CK332" i="2" s="1"/>
  <c r="CI57" i="2"/>
  <c r="CI310" i="2" s="1"/>
  <c r="CK328" i="2" s="1"/>
  <c r="CI59" i="2"/>
  <c r="CI312" i="2" s="1"/>
  <c r="CK330" i="2" s="1"/>
  <c r="CI65" i="2"/>
  <c r="CI318" i="2" s="1"/>
  <c r="CK336" i="2" s="1"/>
  <c r="CI63" i="2"/>
  <c r="CI316" i="2" s="1"/>
  <c r="CK334" i="2" s="1"/>
  <c r="CI62" i="2"/>
  <c r="CI315" i="2" s="1"/>
  <c r="CK333" i="2" s="1"/>
  <c r="CI58" i="2"/>
  <c r="CI311" i="2" s="1"/>
  <c r="CK329" i="2" s="1"/>
  <c r="CI56" i="2"/>
  <c r="CI309" i="2" s="1"/>
  <c r="CK327" i="2" s="1"/>
  <c r="CI60" i="2"/>
  <c r="CI313" i="2" s="1"/>
  <c r="CK331" i="2" s="1"/>
  <c r="CI64" i="2"/>
  <c r="CI317" i="2" s="1"/>
  <c r="CK335" i="2" s="1"/>
  <c r="BG16" i="1" l="1"/>
  <c r="BG54" i="1" s="1"/>
  <c r="CI75" i="2"/>
  <c r="CJ21" i="2" s="1"/>
  <c r="CI82" i="2"/>
  <c r="CJ28" i="2" s="1"/>
  <c r="BE32" i="2"/>
  <c r="BE73" i="2"/>
  <c r="CI354" i="2"/>
  <c r="CI350" i="2"/>
  <c r="CI55" i="2"/>
  <c r="CK50" i="2"/>
  <c r="CI346" i="2"/>
  <c r="CI80" i="2"/>
  <c r="CJ26" i="2" s="1"/>
  <c r="CI78" i="2"/>
  <c r="CJ24" i="2" s="1"/>
  <c r="CI345" i="2"/>
  <c r="CG344" i="2"/>
  <c r="CI79" i="2"/>
  <c r="CJ25" i="2" s="1"/>
  <c r="CI326" i="2"/>
  <c r="CI339" i="2" s="1"/>
  <c r="CG321" i="2"/>
  <c r="CI83" i="2"/>
  <c r="CJ29" i="2" s="1"/>
  <c r="CI348" i="2"/>
  <c r="CI74" i="2"/>
  <c r="CJ20" i="2" s="1"/>
  <c r="CH308" i="2"/>
  <c r="CH68" i="2"/>
  <c r="CI353" i="2"/>
  <c r="CI81" i="2"/>
  <c r="CJ27" i="2" s="1"/>
  <c r="CI351" i="2"/>
  <c r="CI77" i="2"/>
  <c r="CJ23" i="2" s="1"/>
  <c r="CI349" i="2"/>
  <c r="CI352" i="2"/>
  <c r="CJ65" i="2"/>
  <c r="CJ318" i="2" s="1"/>
  <c r="CL336" i="2" s="1"/>
  <c r="CJ63" i="2"/>
  <c r="CJ316" i="2" s="1"/>
  <c r="CL334" i="2" s="1"/>
  <c r="CJ61" i="2"/>
  <c r="CJ314" i="2" s="1"/>
  <c r="CL332" i="2" s="1"/>
  <c r="CJ57" i="2"/>
  <c r="CJ310" i="2" s="1"/>
  <c r="CL328" i="2" s="1"/>
  <c r="CJ62" i="2"/>
  <c r="CJ315" i="2" s="1"/>
  <c r="CL333" i="2" s="1"/>
  <c r="CJ64" i="2"/>
  <c r="CJ317" i="2" s="1"/>
  <c r="CL335" i="2" s="1"/>
  <c r="CJ60" i="2"/>
  <c r="CJ313" i="2" s="1"/>
  <c r="CL331" i="2" s="1"/>
  <c r="CJ56" i="2"/>
  <c r="CJ309" i="2" s="1"/>
  <c r="CL327" i="2" s="1"/>
  <c r="CJ59" i="2"/>
  <c r="CJ312" i="2" s="1"/>
  <c r="CL330" i="2" s="1"/>
  <c r="CJ58" i="2"/>
  <c r="CJ311" i="2" s="1"/>
  <c r="CL329" i="2" s="1"/>
  <c r="BK18" i="5" l="1"/>
  <c r="CJ83" i="2"/>
  <c r="CK29" i="2" s="1"/>
  <c r="CJ79" i="2"/>
  <c r="CK25" i="2" s="1"/>
  <c r="CH344" i="2"/>
  <c r="CJ345" i="2"/>
  <c r="CJ78" i="2"/>
  <c r="CK24" i="2" s="1"/>
  <c r="CJ80" i="2"/>
  <c r="CK26" i="2" s="1"/>
  <c r="CJ346" i="2"/>
  <c r="CJ352" i="2"/>
  <c r="CJ349" i="2"/>
  <c r="CI308" i="2"/>
  <c r="CI68" i="2"/>
  <c r="CJ77" i="2"/>
  <c r="CK23" i="2" s="1"/>
  <c r="CJ350" i="2"/>
  <c r="CJ351" i="2"/>
  <c r="CJ354" i="2"/>
  <c r="CJ81" i="2"/>
  <c r="CK27" i="2" s="1"/>
  <c r="CJ75" i="2"/>
  <c r="CK21" i="2" s="1"/>
  <c r="CJ353" i="2"/>
  <c r="CH321" i="2"/>
  <c r="CJ326" i="2"/>
  <c r="CJ339" i="2" s="1"/>
  <c r="BE86" i="2"/>
  <c r="BE4" i="2" s="1"/>
  <c r="AT25" i="3" s="1"/>
  <c r="BF19" i="2"/>
  <c r="CL50" i="2"/>
  <c r="CJ55" i="2"/>
  <c r="CJ74" i="2"/>
  <c r="CK20" i="2" s="1"/>
  <c r="CJ348" i="2"/>
  <c r="CJ82" i="2"/>
  <c r="CK28" i="2" s="1"/>
  <c r="CK59" i="2"/>
  <c r="CK312" i="2" s="1"/>
  <c r="CM330" i="2" s="1"/>
  <c r="CK62" i="2"/>
  <c r="CK315" i="2" s="1"/>
  <c r="CM333" i="2" s="1"/>
  <c r="CK56" i="2"/>
  <c r="CK309" i="2" s="1"/>
  <c r="CM327" i="2" s="1"/>
  <c r="CK64" i="2"/>
  <c r="CK317" i="2" s="1"/>
  <c r="CM335" i="2" s="1"/>
  <c r="CK63" i="2"/>
  <c r="CK316" i="2" s="1"/>
  <c r="CM334" i="2" s="1"/>
  <c r="CK65" i="2"/>
  <c r="CK318" i="2" s="1"/>
  <c r="CM336" i="2" s="1"/>
  <c r="CK58" i="2"/>
  <c r="CK311" i="2" s="1"/>
  <c r="CM329" i="2" s="1"/>
  <c r="CK61" i="2"/>
  <c r="CK314" i="2" s="1"/>
  <c r="CM332" i="2" s="1"/>
  <c r="CK60" i="2"/>
  <c r="CK313" i="2" s="1"/>
  <c r="CM331" i="2" s="1"/>
  <c r="CK57" i="2"/>
  <c r="CK310" i="2" s="1"/>
  <c r="CM328" i="2" s="1"/>
  <c r="BH16" i="1" l="1"/>
  <c r="BH54" i="1" s="1"/>
  <c r="CK353" i="2"/>
  <c r="CK75" i="2"/>
  <c r="CL21" i="2" s="1"/>
  <c r="CK81" i="2"/>
  <c r="CL27" i="2" s="1"/>
  <c r="CK354" i="2"/>
  <c r="CK351" i="2"/>
  <c r="CK350" i="2"/>
  <c r="CK77" i="2"/>
  <c r="CL23" i="2" s="1"/>
  <c r="CI321" i="2"/>
  <c r="CK326" i="2"/>
  <c r="CK339" i="2" s="1"/>
  <c r="CK349" i="2"/>
  <c r="CK352" i="2"/>
  <c r="CM50" i="2"/>
  <c r="CK55" i="2"/>
  <c r="CK82" i="2"/>
  <c r="CL28" i="2" s="1"/>
  <c r="CK346" i="2"/>
  <c r="CK348" i="2"/>
  <c r="CK80" i="2"/>
  <c r="CL26" i="2" s="1"/>
  <c r="CK74" i="2"/>
  <c r="CL20" i="2" s="1"/>
  <c r="CK78" i="2"/>
  <c r="CL24" i="2" s="1"/>
  <c r="CJ308" i="2"/>
  <c r="CJ68" i="2"/>
  <c r="CK345" i="2"/>
  <c r="BF73" i="2"/>
  <c r="BF32" i="2"/>
  <c r="CI344" i="2"/>
  <c r="CK79" i="2"/>
  <c r="CL25" i="2" s="1"/>
  <c r="CK83" i="2"/>
  <c r="CL29" i="2" s="1"/>
  <c r="BL18" i="5" l="1"/>
  <c r="CJ321" i="2"/>
  <c r="CL326" i="2"/>
  <c r="CL339" i="2" s="1"/>
  <c r="CL55" i="2"/>
  <c r="CN50" i="2"/>
  <c r="CL59" i="2"/>
  <c r="CL312" i="2" s="1"/>
  <c r="CN330" i="2" s="1"/>
  <c r="CL65" i="2"/>
  <c r="CL318" i="2" s="1"/>
  <c r="CN336" i="2" s="1"/>
  <c r="CL56" i="2"/>
  <c r="CL309" i="2" s="1"/>
  <c r="CN327" i="2" s="1"/>
  <c r="CL63" i="2"/>
  <c r="CL316" i="2" s="1"/>
  <c r="CN334" i="2" s="1"/>
  <c r="CL60" i="2"/>
  <c r="CL313" i="2" s="1"/>
  <c r="CN331" i="2" s="1"/>
  <c r="CK308" i="2"/>
  <c r="CK68" i="2"/>
  <c r="CL61" i="2"/>
  <c r="CL314" i="2" s="1"/>
  <c r="CN332" i="2" s="1"/>
  <c r="CL62" i="2"/>
  <c r="CL315" i="2" s="1"/>
  <c r="CN333" i="2" s="1"/>
  <c r="CJ344" i="2"/>
  <c r="CL57" i="2"/>
  <c r="CL310" i="2" s="1"/>
  <c r="CN328" i="2" s="1"/>
  <c r="CL64" i="2"/>
  <c r="CL317" i="2" s="1"/>
  <c r="CN335" i="2" s="1"/>
  <c r="BG19" i="2"/>
  <c r="BF86" i="2"/>
  <c r="BF4" i="2" s="1"/>
  <c r="AU25" i="3" s="1"/>
  <c r="CL58" i="2"/>
  <c r="CL311" i="2" s="1"/>
  <c r="CN329" i="2" s="1"/>
  <c r="CM56" i="2"/>
  <c r="CM309" i="2" s="1"/>
  <c r="CO327" i="2" s="1"/>
  <c r="CM63" i="2"/>
  <c r="CM316" i="2" s="1"/>
  <c r="CO334" i="2" s="1"/>
  <c r="CM64" i="2"/>
  <c r="CM317" i="2" s="1"/>
  <c r="CO335" i="2" s="1"/>
  <c r="CM62" i="2"/>
  <c r="CM315" i="2" s="1"/>
  <c r="CO333" i="2" s="1"/>
  <c r="CM60" i="2"/>
  <c r="CM313" i="2" s="1"/>
  <c r="CO331" i="2" s="1"/>
  <c r="CM61" i="2"/>
  <c r="CM314" i="2" s="1"/>
  <c r="CO332" i="2" s="1"/>
  <c r="CM59" i="2"/>
  <c r="CM312" i="2" s="1"/>
  <c r="CO330" i="2" s="1"/>
  <c r="CM57" i="2"/>
  <c r="CM310" i="2" s="1"/>
  <c r="CO328" i="2" s="1"/>
  <c r="CM58" i="2"/>
  <c r="CM311" i="2" s="1"/>
  <c r="CO329" i="2" s="1"/>
  <c r="CM65" i="2"/>
  <c r="CM318" i="2" s="1"/>
  <c r="CO336" i="2" s="1"/>
  <c r="BI16" i="1" l="1"/>
  <c r="BI54" i="1" s="1"/>
  <c r="CL349" i="2"/>
  <c r="CM349" i="2" s="1"/>
  <c r="CL346" i="2"/>
  <c r="CM346" i="2" s="1"/>
  <c r="CL348" i="2"/>
  <c r="CM348" i="2" s="1"/>
  <c r="CL352" i="2"/>
  <c r="CM352" i="2" s="1"/>
  <c r="CL345" i="2"/>
  <c r="CM345" i="2" s="1"/>
  <c r="CL80" i="2"/>
  <c r="CM26" i="2" s="1"/>
  <c r="CM80" i="2" s="1"/>
  <c r="CN26" i="2" s="1"/>
  <c r="CL74" i="2"/>
  <c r="CM20" i="2" s="1"/>
  <c r="CM74" i="2" s="1"/>
  <c r="CN20" i="2" s="1"/>
  <c r="CL351" i="2"/>
  <c r="CM351" i="2" s="1"/>
  <c r="CL354" i="2"/>
  <c r="CM354" i="2" s="1"/>
  <c r="CL83" i="2"/>
  <c r="CM29" i="2" s="1"/>
  <c r="CM83" i="2" s="1"/>
  <c r="CN29" i="2" s="1"/>
  <c r="CO50" i="2"/>
  <c r="CM55" i="2"/>
  <c r="CM326" i="2"/>
  <c r="CM339" i="2" s="1"/>
  <c r="CK321" i="2"/>
  <c r="CL353" i="2"/>
  <c r="CM353" i="2" s="1"/>
  <c r="CL75" i="2"/>
  <c r="CM21" i="2" s="1"/>
  <c r="CM75" i="2" s="1"/>
  <c r="CN21" i="2" s="1"/>
  <c r="CK344" i="2"/>
  <c r="CL350" i="2"/>
  <c r="CM350" i="2" s="1"/>
  <c r="CL77" i="2"/>
  <c r="CM23" i="2" s="1"/>
  <c r="CM77" i="2" s="1"/>
  <c r="CN23" i="2" s="1"/>
  <c r="CL79" i="2"/>
  <c r="CM25" i="2" s="1"/>
  <c r="CM79" i="2" s="1"/>
  <c r="CN25" i="2" s="1"/>
  <c r="CL82" i="2"/>
  <c r="CM28" i="2" s="1"/>
  <c r="CM82" i="2" s="1"/>
  <c r="CN28" i="2" s="1"/>
  <c r="CL81" i="2"/>
  <c r="CM27" i="2" s="1"/>
  <c r="CM81" i="2" s="1"/>
  <c r="CN27" i="2" s="1"/>
  <c r="CL308" i="2"/>
  <c r="CL68" i="2"/>
  <c r="CL78" i="2"/>
  <c r="CM24" i="2" s="1"/>
  <c r="CM78" i="2" s="1"/>
  <c r="CN24" i="2" s="1"/>
  <c r="BG73" i="2"/>
  <c r="BG32" i="2"/>
  <c r="CN59" i="2"/>
  <c r="CN312" i="2" s="1"/>
  <c r="CP330" i="2" s="1"/>
  <c r="CN56" i="2"/>
  <c r="CN309" i="2" s="1"/>
  <c r="CP327" i="2" s="1"/>
  <c r="CN61" i="2"/>
  <c r="CN314" i="2" s="1"/>
  <c r="CP332" i="2" s="1"/>
  <c r="CN57" i="2"/>
  <c r="CN310" i="2" s="1"/>
  <c r="CP328" i="2" s="1"/>
  <c r="CN60" i="2"/>
  <c r="CN313" i="2" s="1"/>
  <c r="CP331" i="2" s="1"/>
  <c r="CN63" i="2"/>
  <c r="CN316" i="2" s="1"/>
  <c r="CP334" i="2" s="1"/>
  <c r="CN62" i="2"/>
  <c r="CN315" i="2" s="1"/>
  <c r="CP333" i="2" s="1"/>
  <c r="CN65" i="2"/>
  <c r="CN318" i="2" s="1"/>
  <c r="CP336" i="2" s="1"/>
  <c r="CN58" i="2"/>
  <c r="CN311" i="2" s="1"/>
  <c r="CP329" i="2" s="1"/>
  <c r="BM18" i="5" l="1"/>
  <c r="CN79" i="2"/>
  <c r="CO25" i="2" s="1"/>
  <c r="CN80" i="2"/>
  <c r="CO26" i="2" s="1"/>
  <c r="BH19" i="2"/>
  <c r="BG86" i="2"/>
  <c r="BG4" i="2" s="1"/>
  <c r="AV25" i="3" s="1"/>
  <c r="CN78" i="2"/>
  <c r="CO24" i="2" s="1"/>
  <c r="CN77" i="2"/>
  <c r="CO23" i="2" s="1"/>
  <c r="CM308" i="2"/>
  <c r="CM68" i="2"/>
  <c r="CN350" i="2"/>
  <c r="CN345" i="2"/>
  <c r="CL321" i="2"/>
  <c r="CN326" i="2"/>
  <c r="CN339" i="2" s="1"/>
  <c r="CN352" i="2"/>
  <c r="CL344" i="2"/>
  <c r="CN81" i="2"/>
  <c r="CO27" i="2" s="1"/>
  <c r="CN75" i="2"/>
  <c r="CO21" i="2" s="1"/>
  <c r="CN83" i="2"/>
  <c r="CO29" i="2" s="1"/>
  <c r="CN64" i="2"/>
  <c r="CN317" i="2" s="1"/>
  <c r="CP335" i="2" s="1"/>
  <c r="CN354" i="2"/>
  <c r="CN349" i="2"/>
  <c r="CP50" i="2"/>
  <c r="CN55" i="2"/>
  <c r="CN348" i="2"/>
  <c r="CN351" i="2"/>
  <c r="CN346" i="2"/>
  <c r="CN74" i="2"/>
  <c r="CO20" i="2" s="1"/>
  <c r="CO65" i="2"/>
  <c r="CO318" i="2" s="1"/>
  <c r="CQ336" i="2" s="1"/>
  <c r="CO61" i="2"/>
  <c r="CO314" i="2" s="1"/>
  <c r="CQ332" i="2" s="1"/>
  <c r="CO64" i="2"/>
  <c r="CO317" i="2" s="1"/>
  <c r="CQ335" i="2" s="1"/>
  <c r="CO60" i="2"/>
  <c r="CO313" i="2" s="1"/>
  <c r="CQ331" i="2" s="1"/>
  <c r="CO58" i="2"/>
  <c r="CO311" i="2" s="1"/>
  <c r="CQ329" i="2" s="1"/>
  <c r="CO56" i="2"/>
  <c r="CO309" i="2" s="1"/>
  <c r="CQ327" i="2" s="1"/>
  <c r="CO59" i="2"/>
  <c r="CO312" i="2" s="1"/>
  <c r="CQ330" i="2" s="1"/>
  <c r="CO62" i="2"/>
  <c r="CO315" i="2" s="1"/>
  <c r="CQ333" i="2" s="1"/>
  <c r="CO57" i="2"/>
  <c r="CO310" i="2" s="1"/>
  <c r="CQ328" i="2" s="1"/>
  <c r="CO63" i="2"/>
  <c r="CO316" i="2" s="1"/>
  <c r="CQ334" i="2" s="1"/>
  <c r="BJ16" i="1" l="1"/>
  <c r="CO350" i="2"/>
  <c r="CQ50" i="2"/>
  <c r="CO55" i="2"/>
  <c r="CN82" i="2"/>
  <c r="CO28" i="2" s="1"/>
  <c r="CO82" i="2" s="1"/>
  <c r="CP28" i="2" s="1"/>
  <c r="CO346" i="2"/>
  <c r="CO351" i="2"/>
  <c r="CO326" i="2"/>
  <c r="CO339" i="2" s="1"/>
  <c r="CM321" i="2"/>
  <c r="CO83" i="2"/>
  <c r="CP29" i="2" s="1"/>
  <c r="CO75" i="2"/>
  <c r="CP21" i="2" s="1"/>
  <c r="CO81" i="2"/>
  <c r="CP27" i="2" s="1"/>
  <c r="CO77" i="2"/>
  <c r="CP23" i="2" s="1"/>
  <c r="CO78" i="2"/>
  <c r="CP24" i="2" s="1"/>
  <c r="CO348" i="2"/>
  <c r="CM344" i="2"/>
  <c r="BH73" i="2"/>
  <c r="BH32" i="2"/>
  <c r="CO80" i="2"/>
  <c r="CP26" i="2" s="1"/>
  <c r="CN68" i="2"/>
  <c r="CN308" i="2"/>
  <c r="CO352" i="2"/>
  <c r="CO349" i="2"/>
  <c r="CN353" i="2"/>
  <c r="CO353" i="2" s="1"/>
  <c r="CO79" i="2"/>
  <c r="CP25" i="2" s="1"/>
  <c r="CO345" i="2"/>
  <c r="CO74" i="2"/>
  <c r="CP20" i="2" s="1"/>
  <c r="CO354" i="2"/>
  <c r="CP64" i="2"/>
  <c r="CP317" i="2" s="1"/>
  <c r="CR335" i="2" s="1"/>
  <c r="CP58" i="2"/>
  <c r="CP311" i="2" s="1"/>
  <c r="CR329" i="2" s="1"/>
  <c r="CP57" i="2"/>
  <c r="CP310" i="2" s="1"/>
  <c r="CR328" i="2" s="1"/>
  <c r="CP60" i="2"/>
  <c r="CP313" i="2" s="1"/>
  <c r="CR331" i="2" s="1"/>
  <c r="CP59" i="2"/>
  <c r="CP312" i="2" s="1"/>
  <c r="CR330" i="2" s="1"/>
  <c r="CP62" i="2"/>
  <c r="CP315" i="2" s="1"/>
  <c r="CR333" i="2" s="1"/>
  <c r="CP65" i="2"/>
  <c r="CP318" i="2" s="1"/>
  <c r="CR336" i="2" s="1"/>
  <c r="CP56" i="2"/>
  <c r="CP309" i="2" s="1"/>
  <c r="CR327" i="2" s="1"/>
  <c r="CP63" i="2"/>
  <c r="CP316" i="2" s="1"/>
  <c r="CR334" i="2" s="1"/>
  <c r="BN18" i="5" l="1"/>
  <c r="BJ54" i="1"/>
  <c r="CP354" i="2"/>
  <c r="CN321" i="2"/>
  <c r="CP326" i="2"/>
  <c r="CP339" i="2" s="1"/>
  <c r="CP81" i="2"/>
  <c r="CQ27" i="2" s="1"/>
  <c r="CP74" i="2"/>
  <c r="CQ20" i="2" s="1"/>
  <c r="CP80" i="2"/>
  <c r="CQ26" i="2" s="1"/>
  <c r="CP345" i="2"/>
  <c r="CP75" i="2"/>
  <c r="CQ21" i="2" s="1"/>
  <c r="CP83" i="2"/>
  <c r="CQ29" i="2" s="1"/>
  <c r="BI19" i="2"/>
  <c r="CP351" i="2"/>
  <c r="CR50" i="2"/>
  <c r="CP55" i="2"/>
  <c r="CP61" i="2"/>
  <c r="CP314" i="2" s="1"/>
  <c r="CR332" i="2" s="1"/>
  <c r="CP346" i="2"/>
  <c r="CP353" i="2"/>
  <c r="CN344" i="2"/>
  <c r="CP348" i="2"/>
  <c r="CP82" i="2"/>
  <c r="CQ28" i="2" s="1"/>
  <c r="CP349" i="2"/>
  <c r="CO68" i="2"/>
  <c r="CO308" i="2"/>
  <c r="CP78" i="2"/>
  <c r="CQ24" i="2" s="1"/>
  <c r="CP352" i="2"/>
  <c r="CP77" i="2"/>
  <c r="CQ23" i="2" s="1"/>
  <c r="CQ63" i="2"/>
  <c r="CQ316" i="2" s="1"/>
  <c r="CS334" i="2" s="1"/>
  <c r="CQ62" i="2"/>
  <c r="CQ315" i="2" s="1"/>
  <c r="CS333" i="2" s="1"/>
  <c r="CQ59" i="2"/>
  <c r="CQ312" i="2" s="1"/>
  <c r="CS330" i="2" s="1"/>
  <c r="CQ60" i="2"/>
  <c r="CQ313" i="2" s="1"/>
  <c r="CS331" i="2" s="1"/>
  <c r="CQ58" i="2"/>
  <c r="CQ311" i="2" s="1"/>
  <c r="CS329" i="2" s="1"/>
  <c r="CQ56" i="2"/>
  <c r="CQ309" i="2" s="1"/>
  <c r="CS327" i="2" s="1"/>
  <c r="CQ61" i="2"/>
  <c r="CQ314" i="2" s="1"/>
  <c r="CS332" i="2" s="1"/>
  <c r="CQ57" i="2"/>
  <c r="CQ310" i="2" s="1"/>
  <c r="CS328" i="2" s="1"/>
  <c r="CU37" i="2"/>
  <c r="CQ65" i="2"/>
  <c r="CQ318" i="2" s="1"/>
  <c r="CS336" i="2" s="1"/>
  <c r="CQ64" i="2"/>
  <c r="CQ317" i="2" s="1"/>
  <c r="CS335" i="2" s="1"/>
  <c r="CP79" i="2" l="1"/>
  <c r="CQ25" i="2" s="1"/>
  <c r="CQ79" i="2" s="1"/>
  <c r="CR25" i="2" s="1"/>
  <c r="CS55" i="2"/>
  <c r="CQ77" i="2"/>
  <c r="CR23" i="2" s="1"/>
  <c r="CV40" i="2"/>
  <c r="CT58" i="2" s="1"/>
  <c r="CT311" i="2" s="1"/>
  <c r="CV329" i="2" s="1"/>
  <c r="BI73" i="2"/>
  <c r="CT38" i="2"/>
  <c r="CR56" i="2" s="1"/>
  <c r="CR309" i="2" s="1"/>
  <c r="CT327" i="2" s="1"/>
  <c r="CV45" i="2"/>
  <c r="CT63" i="2" s="1"/>
  <c r="CT316" i="2" s="1"/>
  <c r="CV334" i="2" s="1"/>
  <c r="CV39" i="2"/>
  <c r="CT57" i="2" s="1"/>
  <c r="CT310" i="2" s="1"/>
  <c r="CV328" i="2" s="1"/>
  <c r="CQ83" i="2"/>
  <c r="CR29" i="2" s="1"/>
  <c r="CT41" i="2"/>
  <c r="CR59" i="2" s="1"/>
  <c r="CR312" i="2" s="1"/>
  <c r="CT330" i="2" s="1"/>
  <c r="CO344" i="2"/>
  <c r="CT40" i="2"/>
  <c r="CR58" i="2" s="1"/>
  <c r="CR311" i="2" s="1"/>
  <c r="CT329" i="2" s="1"/>
  <c r="CU42" i="2"/>
  <c r="CS60" i="2" s="1"/>
  <c r="CS313" i="2" s="1"/>
  <c r="CU331" i="2" s="1"/>
  <c r="CQ353" i="2"/>
  <c r="CU44" i="2"/>
  <c r="CS62" i="2" s="1"/>
  <c r="CS315" i="2" s="1"/>
  <c r="CU333" i="2" s="1"/>
  <c r="CQ346" i="2"/>
  <c r="CV44" i="2"/>
  <c r="CT62" i="2" s="1"/>
  <c r="CT315" i="2" s="1"/>
  <c r="CV333" i="2" s="1"/>
  <c r="CP350" i="2"/>
  <c r="CQ350" i="2" s="1"/>
  <c r="CU43" i="2"/>
  <c r="CS61" i="2" s="1"/>
  <c r="CS314" i="2" s="1"/>
  <c r="CU332" i="2" s="1"/>
  <c r="CQ75" i="2"/>
  <c r="CR21" i="2" s="1"/>
  <c r="CT47" i="2"/>
  <c r="CR65" i="2" s="1"/>
  <c r="CR318" i="2" s="1"/>
  <c r="CT336" i="2" s="1"/>
  <c r="CT43" i="2"/>
  <c r="CR61" i="2" s="1"/>
  <c r="CR314" i="2" s="1"/>
  <c r="CT332" i="2" s="1"/>
  <c r="CT39" i="2"/>
  <c r="CR57" i="2" s="1"/>
  <c r="CR310" i="2" s="1"/>
  <c r="CT328" i="2" s="1"/>
  <c r="CQ352" i="2"/>
  <c r="CQ345" i="2"/>
  <c r="CQ78" i="2"/>
  <c r="CR24" i="2" s="1"/>
  <c r="CT46" i="2"/>
  <c r="CR64" i="2" s="1"/>
  <c r="CR317" i="2" s="1"/>
  <c r="CT335" i="2" s="1"/>
  <c r="CV38" i="2"/>
  <c r="CT56" i="2" s="1"/>
  <c r="CT309" i="2" s="1"/>
  <c r="CV327" i="2" s="1"/>
  <c r="CU39" i="2"/>
  <c r="CS57" i="2" s="1"/>
  <c r="CS310" i="2" s="1"/>
  <c r="CU328" i="2" s="1"/>
  <c r="CV47" i="2"/>
  <c r="CT65" i="2" s="1"/>
  <c r="CT318" i="2" s="1"/>
  <c r="CV336" i="2" s="1"/>
  <c r="CQ80" i="2"/>
  <c r="CR26" i="2" s="1"/>
  <c r="CO321" i="2"/>
  <c r="CQ326" i="2"/>
  <c r="CQ339" i="2" s="1"/>
  <c r="CP308" i="2"/>
  <c r="CP68" i="2"/>
  <c r="CU38" i="2"/>
  <c r="CS56" i="2" s="1"/>
  <c r="CS309" i="2" s="1"/>
  <c r="CU327" i="2" s="1"/>
  <c r="CS50" i="2"/>
  <c r="CQ55" i="2"/>
  <c r="CV37" i="2"/>
  <c r="CV46" i="2"/>
  <c r="CT64" i="2" s="1"/>
  <c r="CT317" i="2" s="1"/>
  <c r="CV335" i="2" s="1"/>
  <c r="CU40" i="2"/>
  <c r="CS58" i="2" s="1"/>
  <c r="CS311" i="2" s="1"/>
  <c r="CU329" i="2" s="1"/>
  <c r="CQ351" i="2"/>
  <c r="CQ74" i="2"/>
  <c r="CR20" i="2" s="1"/>
  <c r="CQ349" i="2"/>
  <c r="CV42" i="2"/>
  <c r="CT60" i="2" s="1"/>
  <c r="CT313" i="2" s="1"/>
  <c r="CV331" i="2" s="1"/>
  <c r="CQ81" i="2"/>
  <c r="CR27" i="2" s="1"/>
  <c r="CU46" i="2"/>
  <c r="CS64" i="2" s="1"/>
  <c r="CS317" i="2" s="1"/>
  <c r="CU335" i="2" s="1"/>
  <c r="CU41" i="2"/>
  <c r="CS59" i="2" s="1"/>
  <c r="CS312" i="2" s="1"/>
  <c r="CU330" i="2" s="1"/>
  <c r="CT45" i="2"/>
  <c r="CR63" i="2" s="1"/>
  <c r="CR316" i="2" s="1"/>
  <c r="CT334" i="2" s="1"/>
  <c r="CT42" i="2"/>
  <c r="CR60" i="2" s="1"/>
  <c r="CR313" i="2" s="1"/>
  <c r="CT331" i="2" s="1"/>
  <c r="CV41" i="2"/>
  <c r="CT59" i="2" s="1"/>
  <c r="CT312" i="2" s="1"/>
  <c r="CV330" i="2" s="1"/>
  <c r="CT44" i="2"/>
  <c r="CR62" i="2" s="1"/>
  <c r="CR315" i="2" s="1"/>
  <c r="CT333" i="2" s="1"/>
  <c r="CQ354" i="2"/>
  <c r="CQ82" i="2"/>
  <c r="CR28" i="2" s="1"/>
  <c r="CU47" i="2"/>
  <c r="CS65" i="2" s="1"/>
  <c r="CS318" i="2" s="1"/>
  <c r="CU336" i="2" s="1"/>
  <c r="CV43" i="2"/>
  <c r="CT61" i="2" s="1"/>
  <c r="CT314" i="2" s="1"/>
  <c r="CV332" i="2" s="1"/>
  <c r="CU45" i="2"/>
  <c r="CS63" i="2" s="1"/>
  <c r="CS316" i="2" s="1"/>
  <c r="CU334" i="2" s="1"/>
  <c r="CQ348" i="2"/>
  <c r="CT37" i="2"/>
  <c r="CR79" i="2" l="1"/>
  <c r="CS25" i="2" s="1"/>
  <c r="CS79" i="2" s="1"/>
  <c r="CT25" i="2" s="1"/>
  <c r="CT79" i="2" s="1"/>
  <c r="CU25" i="2" s="1"/>
  <c r="CU79" i="2" s="1"/>
  <c r="CV25" i="2" s="1"/>
  <c r="CV79" i="2" s="1"/>
  <c r="CR83" i="2"/>
  <c r="CS29" i="2" s="1"/>
  <c r="CS83" i="2" s="1"/>
  <c r="CT29" i="2" s="1"/>
  <c r="CT83" i="2" s="1"/>
  <c r="CU29" i="2" s="1"/>
  <c r="CU83" i="2" s="1"/>
  <c r="CV29" i="2" s="1"/>
  <c r="CV83" i="2" s="1"/>
  <c r="CR346" i="2"/>
  <c r="CR354" i="2"/>
  <c r="CS354" i="2" s="1"/>
  <c r="CT354" i="2" s="1"/>
  <c r="CU354" i="2" s="1"/>
  <c r="CV354" i="2" s="1"/>
  <c r="CR345" i="2"/>
  <c r="CS345" i="2" s="1"/>
  <c r="CT345" i="2" s="1"/>
  <c r="CU345" i="2" s="1"/>
  <c r="CV345" i="2" s="1"/>
  <c r="CS346" i="2"/>
  <c r="CT346" i="2" s="1"/>
  <c r="CU346" i="2" s="1"/>
  <c r="CV346" i="2" s="1"/>
  <c r="CR74" i="2"/>
  <c r="CS20" i="2" s="1"/>
  <c r="CS74" i="2" s="1"/>
  <c r="CT20" i="2" s="1"/>
  <c r="CT74" i="2" s="1"/>
  <c r="CU20" i="2" s="1"/>
  <c r="CU74" i="2" s="1"/>
  <c r="CV20" i="2" s="1"/>
  <c r="CV74" i="2" s="1"/>
  <c r="CR82" i="2"/>
  <c r="CS28" i="2" s="1"/>
  <c r="CS82" i="2" s="1"/>
  <c r="CT28" i="2" s="1"/>
  <c r="CT82" i="2" s="1"/>
  <c r="CU28" i="2" s="1"/>
  <c r="CU82" i="2" s="1"/>
  <c r="CV28" i="2" s="1"/>
  <c r="CV82" i="2" s="1"/>
  <c r="CP321" i="2"/>
  <c r="CR326" i="2"/>
  <c r="CR339" i="2" s="1"/>
  <c r="CR353" i="2"/>
  <c r="CS353" i="2" s="1"/>
  <c r="CT353" i="2" s="1"/>
  <c r="CU353" i="2" s="1"/>
  <c r="CV353" i="2" s="1"/>
  <c r="CR80" i="2"/>
  <c r="CS26" i="2" s="1"/>
  <c r="CS80" i="2" s="1"/>
  <c r="CT26" i="2" s="1"/>
  <c r="CT80" i="2" s="1"/>
  <c r="CU26" i="2" s="1"/>
  <c r="CU80" i="2" s="1"/>
  <c r="CV26" i="2" s="1"/>
  <c r="CV80" i="2" s="1"/>
  <c r="CP344" i="2"/>
  <c r="CR81" i="2"/>
  <c r="CS27" i="2" s="1"/>
  <c r="CS81" i="2" s="1"/>
  <c r="CT27" i="2" s="1"/>
  <c r="CT81" i="2" s="1"/>
  <c r="CU27" i="2" s="1"/>
  <c r="CU81" i="2" s="1"/>
  <c r="CV27" i="2" s="1"/>
  <c r="CV81" i="2" s="1"/>
  <c r="CR78" i="2"/>
  <c r="CS24" i="2" s="1"/>
  <c r="CS78" i="2" s="1"/>
  <c r="CT24" i="2" s="1"/>
  <c r="CT78" i="2" s="1"/>
  <c r="CU24" i="2" s="1"/>
  <c r="CU78" i="2" s="1"/>
  <c r="CV24" i="2" s="1"/>
  <c r="CV78" i="2" s="1"/>
  <c r="CR349" i="2"/>
  <c r="CS349" i="2" s="1"/>
  <c r="CT349" i="2" s="1"/>
  <c r="CU349" i="2" s="1"/>
  <c r="CV349" i="2" s="1"/>
  <c r="CR352" i="2"/>
  <c r="CS352" i="2" s="1"/>
  <c r="CT352" i="2" s="1"/>
  <c r="CU352" i="2" s="1"/>
  <c r="CV352" i="2" s="1"/>
  <c r="CR351" i="2"/>
  <c r="CS351" i="2" s="1"/>
  <c r="CT351" i="2" s="1"/>
  <c r="CU351" i="2" s="1"/>
  <c r="CV351" i="2" s="1"/>
  <c r="BJ19" i="2"/>
  <c r="CR75" i="2"/>
  <c r="CS21" i="2" s="1"/>
  <c r="CS75" i="2" s="1"/>
  <c r="CT21" i="2" s="1"/>
  <c r="CT75" i="2" s="1"/>
  <c r="CU21" i="2" s="1"/>
  <c r="CU75" i="2" s="1"/>
  <c r="CV21" i="2" s="1"/>
  <c r="CV75" i="2" s="1"/>
  <c r="CR77" i="2"/>
  <c r="CS23" i="2" s="1"/>
  <c r="CS77" i="2" s="1"/>
  <c r="CT23" i="2" s="1"/>
  <c r="CT77" i="2" s="1"/>
  <c r="CU23" i="2" s="1"/>
  <c r="CU77" i="2" s="1"/>
  <c r="CV23" i="2" s="1"/>
  <c r="CV77" i="2" s="1"/>
  <c r="CT50" i="2"/>
  <c r="CR55" i="2"/>
  <c r="CT55" i="2"/>
  <c r="CV50" i="2"/>
  <c r="CS68" i="2"/>
  <c r="CS308" i="2"/>
  <c r="CR348" i="2"/>
  <c r="CS348" i="2" s="1"/>
  <c r="CT348" i="2" s="1"/>
  <c r="CU348" i="2" s="1"/>
  <c r="CV348" i="2" s="1"/>
  <c r="CQ308" i="2"/>
  <c r="CQ68" i="2"/>
  <c r="CR350" i="2"/>
  <c r="CS350" i="2" s="1"/>
  <c r="CT350" i="2" s="1"/>
  <c r="CU350" i="2" s="1"/>
  <c r="CV350" i="2" s="1"/>
  <c r="CU50" i="2"/>
  <c r="BJ73" i="2" l="1"/>
  <c r="CS326" i="2"/>
  <c r="CS339" i="2" s="1"/>
  <c r="CQ321" i="2"/>
  <c r="CS321" i="2"/>
  <c r="CU326" i="2"/>
  <c r="CU339" i="2" s="1"/>
  <c r="CQ344" i="2"/>
  <c r="CT68" i="2"/>
  <c r="CT308" i="2"/>
  <c r="CR308" i="2"/>
  <c r="CR68" i="2"/>
  <c r="CR321" i="2" l="1"/>
  <c r="CT326" i="2"/>
  <c r="CT339" i="2" s="1"/>
  <c r="CT321" i="2"/>
  <c r="CV326" i="2"/>
  <c r="CV339" i="2" s="1"/>
  <c r="CR344" i="2"/>
  <c r="BK19" i="2"/>
  <c r="BK73" i="2" l="1"/>
  <c r="CS344" i="2"/>
  <c r="CT344" i="2" l="1"/>
  <c r="BL19" i="2"/>
  <c r="BL73" i="2" l="1"/>
  <c r="CU344" i="2"/>
  <c r="CV344" i="2" l="1"/>
  <c r="BM19" i="2"/>
  <c r="BM73" i="2" l="1"/>
  <c r="BN19" i="2" l="1"/>
  <c r="BN73" i="2" l="1"/>
  <c r="BO19" i="2" l="1"/>
  <c r="BO73" i="2" l="1"/>
  <c r="BP19" i="2" l="1"/>
  <c r="BP73" i="2" l="1"/>
  <c r="BQ19" i="2" l="1"/>
  <c r="BQ73" i="2" l="1"/>
  <c r="BR19" i="2" l="1"/>
  <c r="BR73" i="2" l="1"/>
  <c r="BS19" i="2" l="1"/>
  <c r="BS73" i="2" l="1"/>
  <c r="BT19" i="2" l="1"/>
  <c r="BT73" i="2" l="1"/>
  <c r="BU19" i="2" l="1"/>
  <c r="BU73" i="2" l="1"/>
  <c r="BV19" i="2" l="1"/>
  <c r="BV73" i="2" l="1"/>
  <c r="BW19" i="2" l="1"/>
  <c r="BW73" i="2" l="1"/>
  <c r="BX19" i="2" l="1"/>
  <c r="BX73" i="2" l="1"/>
  <c r="BY19" i="2" l="1"/>
  <c r="BY73" i="2" l="1"/>
  <c r="BZ19" i="2" l="1"/>
  <c r="BZ73" i="2" l="1"/>
  <c r="CA19" i="2" l="1"/>
  <c r="CA73" i="2" l="1"/>
  <c r="CB19" i="2" l="1"/>
  <c r="CB73" i="2" l="1"/>
  <c r="CC19" i="2" l="1"/>
  <c r="CC73" i="2" l="1"/>
  <c r="CD19" i="2" l="1"/>
  <c r="CD73" i="2" l="1"/>
  <c r="CE19" i="2" l="1"/>
  <c r="CE73" i="2" l="1"/>
  <c r="CF19" i="2" l="1"/>
  <c r="CF73" i="2" l="1"/>
  <c r="CG19" i="2" l="1"/>
  <c r="CG73" i="2" l="1"/>
  <c r="CH19" i="2" l="1"/>
  <c r="CH73" i="2" l="1"/>
  <c r="CI19" i="2" l="1"/>
  <c r="CI73" i="2" l="1"/>
  <c r="CJ19" i="2" l="1"/>
  <c r="CJ73" i="2" l="1"/>
  <c r="CK19" i="2" l="1"/>
  <c r="CK73" i="2" l="1"/>
  <c r="CL19" i="2" l="1"/>
  <c r="CL73" i="2" l="1"/>
  <c r="CM19" i="2" l="1"/>
  <c r="CM73" i="2" l="1"/>
  <c r="CN19" i="2" l="1"/>
  <c r="CN73" i="2" l="1"/>
  <c r="CO19" i="2" l="1"/>
  <c r="CO73" i="2" l="1"/>
  <c r="CP19" i="2" l="1"/>
  <c r="CP73" i="2" l="1"/>
  <c r="CQ19" i="2" l="1"/>
  <c r="CQ73" i="2" l="1"/>
  <c r="CR19" i="2" l="1"/>
  <c r="CR73" i="2" l="1"/>
  <c r="CS19" i="2" l="1"/>
  <c r="CS73" i="2" l="1"/>
  <c r="CT19" i="2" l="1"/>
  <c r="CT73" i="2" l="1"/>
  <c r="CU19" i="2" l="1"/>
  <c r="CU73" i="2" l="1"/>
  <c r="CV19" i="2" l="1"/>
  <c r="CV73" i="2" l="1"/>
  <c r="BH58" i="2" l="1"/>
  <c r="BJ50" i="2"/>
  <c r="CF58" i="2" l="1"/>
  <c r="CH50" i="2"/>
  <c r="BT58" i="2"/>
  <c r="BV50" i="2"/>
  <c r="BH311" i="2"/>
  <c r="BH76" i="2"/>
  <c r="BH68" i="2"/>
  <c r="BI22" i="2" l="1"/>
  <c r="BH86" i="2"/>
  <c r="BH4" i="2" s="1"/>
  <c r="AW25" i="3" s="1"/>
  <c r="BJ329" i="2"/>
  <c r="BJ339" i="2" s="1"/>
  <c r="BH347" i="2"/>
  <c r="BH321" i="2"/>
  <c r="BT311" i="2"/>
  <c r="BT68" i="2"/>
  <c r="CF311" i="2"/>
  <c r="CF68" i="2"/>
  <c r="BK16" i="1" l="1"/>
  <c r="BK54" i="1" s="1"/>
  <c r="CH329" i="2"/>
  <c r="CH339" i="2" s="1"/>
  <c r="CF321" i="2"/>
  <c r="BV329" i="2"/>
  <c r="BV339" i="2" s="1"/>
  <c r="BT321" i="2"/>
  <c r="BI347" i="2"/>
  <c r="BH357" i="2"/>
  <c r="BI76" i="2"/>
  <c r="BI32" i="2"/>
  <c r="BO18" i="5" l="1"/>
  <c r="BJ22" i="2"/>
  <c r="BI86" i="2"/>
  <c r="BI4" i="2" s="1"/>
  <c r="AX25" i="3" s="1"/>
  <c r="BH358" i="2"/>
  <c r="BH6" i="2"/>
  <c r="AW69" i="3" s="1"/>
  <c r="BJ347" i="2"/>
  <c r="BI357" i="2"/>
  <c r="BL16" i="1" l="1"/>
  <c r="BK34" i="1"/>
  <c r="BK39" i="1" s="1"/>
  <c r="BI358" i="2"/>
  <c r="BI6" i="2"/>
  <c r="AX69" i="3" s="1"/>
  <c r="BK347" i="2"/>
  <c r="BJ357" i="2"/>
  <c r="BJ76" i="2"/>
  <c r="BJ32" i="2"/>
  <c r="I16" i="1" l="1"/>
  <c r="BL54" i="1"/>
  <c r="BP18" i="5"/>
  <c r="I18" i="5" s="1"/>
  <c r="BO21" i="5"/>
  <c r="BL34" i="1"/>
  <c r="BP21" i="5" s="1"/>
  <c r="I21" i="5" s="1"/>
  <c r="BK22" i="2"/>
  <c r="BJ86" i="2"/>
  <c r="BJ4" i="2" s="1"/>
  <c r="AY25" i="3" s="1"/>
  <c r="BJ6" i="2"/>
  <c r="AY69" i="3" s="1"/>
  <c r="BL347" i="2"/>
  <c r="BK357" i="2"/>
  <c r="BK6" i="2" s="1"/>
  <c r="AZ69" i="3" s="1"/>
  <c r="BJ358" i="2"/>
  <c r="I34" i="1" l="1"/>
  <c r="BL39" i="1"/>
  <c r="BN34" i="1"/>
  <c r="BN39" i="1" s="1"/>
  <c r="BM34" i="1"/>
  <c r="BM16" i="1"/>
  <c r="I22" i="6"/>
  <c r="I39" i="1"/>
  <c r="BM347" i="2"/>
  <c r="BL357" i="2"/>
  <c r="BK358" i="2"/>
  <c r="BK76" i="2"/>
  <c r="BK32" i="2"/>
  <c r="BQ18" i="5" l="1"/>
  <c r="BM54" i="1"/>
  <c r="BR21" i="5"/>
  <c r="BM39" i="1"/>
  <c r="BQ21" i="5"/>
  <c r="BL22" i="2"/>
  <c r="BK86" i="2"/>
  <c r="BK4" i="2" s="1"/>
  <c r="AZ25" i="3" s="1"/>
  <c r="BL358" i="2"/>
  <c r="BL6" i="2"/>
  <c r="BA69" i="3" s="1"/>
  <c r="BN347" i="2"/>
  <c r="BM357" i="2"/>
  <c r="BM6" i="2" s="1"/>
  <c r="BB69" i="3" s="1"/>
  <c r="I23" i="6"/>
  <c r="BP34" i="1" l="1"/>
  <c r="BP39" i="1" s="1"/>
  <c r="BN16" i="1"/>
  <c r="BO34" i="1"/>
  <c r="BO39" i="1" s="1"/>
  <c r="BO347" i="2"/>
  <c r="BN357" i="2"/>
  <c r="BM358" i="2"/>
  <c r="BL76" i="2"/>
  <c r="BL32" i="2"/>
  <c r="BR18" i="5" l="1"/>
  <c r="BN54" i="1"/>
  <c r="BS21" i="5"/>
  <c r="BT21" i="5"/>
  <c r="BM22" i="2"/>
  <c r="BL86" i="2"/>
  <c r="BL4" i="2" s="1"/>
  <c r="BA25" i="3" s="1"/>
  <c r="BN358" i="2"/>
  <c r="BN6" i="2"/>
  <c r="BC69" i="3" s="1"/>
  <c r="BP347" i="2"/>
  <c r="BO357" i="2"/>
  <c r="BO358" i="2" s="1"/>
  <c r="BQ34" i="1" l="1"/>
  <c r="BQ39" i="1" s="1"/>
  <c r="BO16" i="1"/>
  <c r="BO54" i="1" s="1"/>
  <c r="BO6" i="2"/>
  <c r="BD69" i="3" s="1"/>
  <c r="BQ347" i="2"/>
  <c r="BP357" i="2"/>
  <c r="BP6" i="2" s="1"/>
  <c r="BE69" i="3" s="1"/>
  <c r="BM76" i="2"/>
  <c r="BM32" i="2"/>
  <c r="BU21" i="5" l="1"/>
  <c r="BS18" i="5"/>
  <c r="BS34" i="1"/>
  <c r="BS39" i="1" s="1"/>
  <c r="BR34" i="1"/>
  <c r="BV21" i="5" s="1"/>
  <c r="BN22" i="2"/>
  <c r="BM86" i="2"/>
  <c r="BM4" i="2" s="1"/>
  <c r="BB25" i="3" s="1"/>
  <c r="BR347" i="2"/>
  <c r="BQ357" i="2"/>
  <c r="BP358" i="2"/>
  <c r="BR39" i="1" l="1"/>
  <c r="BW21" i="5"/>
  <c r="BP16" i="1"/>
  <c r="BP54" i="1" s="1"/>
  <c r="BQ358" i="2"/>
  <c r="BQ6" i="2"/>
  <c r="BF69" i="3" s="1"/>
  <c r="BS347" i="2"/>
  <c r="BR357" i="2"/>
  <c r="BN76" i="2"/>
  <c r="BN32" i="2"/>
  <c r="BT18" i="5" l="1"/>
  <c r="BT34" i="1"/>
  <c r="BX21" i="5" s="1"/>
  <c r="BO22" i="2"/>
  <c r="BN86" i="2"/>
  <c r="BN4" i="2" s="1"/>
  <c r="BC25" i="3" s="1"/>
  <c r="BR358" i="2"/>
  <c r="BR6" i="2"/>
  <c r="BG69" i="3" s="1"/>
  <c r="BT347" i="2"/>
  <c r="BS357" i="2"/>
  <c r="BS6" i="2" s="1"/>
  <c r="BH69" i="3" s="1"/>
  <c r="BT39" i="1" l="1"/>
  <c r="BV34" i="1"/>
  <c r="BV39" i="1" s="1"/>
  <c r="BQ16" i="1"/>
  <c r="BQ54" i="1" s="1"/>
  <c r="BU34" i="1"/>
  <c r="BU39" i="1" s="1"/>
  <c r="BU347" i="2"/>
  <c r="BT357" i="2"/>
  <c r="BS358" i="2"/>
  <c r="BO76" i="2"/>
  <c r="BO32" i="2"/>
  <c r="BU18" i="5" l="1"/>
  <c r="BY21" i="5"/>
  <c r="BZ21" i="5"/>
  <c r="BP22" i="2"/>
  <c r="BO86" i="2"/>
  <c r="BO4" i="2" s="1"/>
  <c r="BD25" i="3" s="1"/>
  <c r="BT358" i="2"/>
  <c r="BT6" i="2"/>
  <c r="BI69" i="3" s="1"/>
  <c r="BV347" i="2"/>
  <c r="BU357" i="2"/>
  <c r="BU6" i="2" s="1"/>
  <c r="BJ69" i="3" s="1"/>
  <c r="BX34" i="1" l="1"/>
  <c r="J34" i="1" s="1"/>
  <c r="BW34" i="1"/>
  <c r="BW39" i="1" s="1"/>
  <c r="BR16" i="1"/>
  <c r="BR54" i="1" s="1"/>
  <c r="BW347" i="2"/>
  <c r="BV357" i="2"/>
  <c r="BU358" i="2"/>
  <c r="BP76" i="2"/>
  <c r="BP32" i="2"/>
  <c r="CA21" i="5" l="1"/>
  <c r="BX39" i="1"/>
  <c r="CB21" i="5"/>
  <c r="BV18" i="5"/>
  <c r="BX347" i="2"/>
  <c r="BW357" i="2"/>
  <c r="BQ22" i="2"/>
  <c r="BP86" i="2"/>
  <c r="BP4" i="2" s="1"/>
  <c r="BE25" i="3" s="1"/>
  <c r="J39" i="1"/>
  <c r="J22" i="6"/>
  <c r="BV358" i="2"/>
  <c r="BV6" i="2"/>
  <c r="BK69" i="3" s="1"/>
  <c r="J21" i="5" l="1"/>
  <c r="BS16" i="1"/>
  <c r="BS54" i="1" s="1"/>
  <c r="BY34" i="1"/>
  <c r="BY39" i="1" s="1"/>
  <c r="J23" i="6"/>
  <c r="BQ76" i="2"/>
  <c r="BQ32" i="2"/>
  <c r="BW358" i="2"/>
  <c r="BW6" i="2"/>
  <c r="BL69" i="3" s="1"/>
  <c r="BY347" i="2"/>
  <c r="BX357" i="2"/>
  <c r="BX358" i="2" s="1"/>
  <c r="BW18" i="5" l="1"/>
  <c r="CC21" i="5"/>
  <c r="BZ34" i="1"/>
  <c r="CD21" i="5" s="1"/>
  <c r="BR22" i="2"/>
  <c r="BQ86" i="2"/>
  <c r="BQ4" i="2" s="1"/>
  <c r="BF25" i="3" s="1"/>
  <c r="BX6" i="2"/>
  <c r="BM69" i="3" s="1"/>
  <c r="BZ347" i="2"/>
  <c r="BY357" i="2"/>
  <c r="BZ39" i="1" l="1"/>
  <c r="CA34" i="1"/>
  <c r="CA39" i="1" s="1"/>
  <c r="BT16" i="1"/>
  <c r="BT54" i="1" s="1"/>
  <c r="BY6" i="2"/>
  <c r="BN69" i="3" s="1"/>
  <c r="CA347" i="2"/>
  <c r="BZ357" i="2"/>
  <c r="BY358" i="2"/>
  <c r="BR76" i="2"/>
  <c r="BR32" i="2"/>
  <c r="CE21" i="5" l="1"/>
  <c r="BX18" i="5"/>
  <c r="CB34" i="1"/>
  <c r="CF21" i="5" s="1"/>
  <c r="BS22" i="2"/>
  <c r="BR86" i="2"/>
  <c r="BR4" i="2" s="1"/>
  <c r="BG25" i="3" s="1"/>
  <c r="BZ6" i="2"/>
  <c r="BO69" i="3" s="1"/>
  <c r="CB347" i="2"/>
  <c r="CA357" i="2"/>
  <c r="CA6" i="2" s="1"/>
  <c r="BP69" i="3" s="1"/>
  <c r="BZ358" i="2"/>
  <c r="CB39" i="1" l="1"/>
  <c r="CD34" i="1"/>
  <c r="CD39" i="1" s="1"/>
  <c r="CC34" i="1"/>
  <c r="BU16" i="1"/>
  <c r="BU54" i="1" s="1"/>
  <c r="CC347" i="2"/>
  <c r="CB357" i="2"/>
  <c r="CA358" i="2"/>
  <c r="BS76" i="2"/>
  <c r="BS32" i="2"/>
  <c r="CH21" i="5" l="1"/>
  <c r="CC39" i="1"/>
  <c r="CG21" i="5"/>
  <c r="BY18" i="5"/>
  <c r="CB358" i="2"/>
  <c r="CB6" i="2"/>
  <c r="BQ69" i="3" s="1"/>
  <c r="BT22" i="2"/>
  <c r="BS86" i="2"/>
  <c r="BS4" i="2" s="1"/>
  <c r="BH25" i="3" s="1"/>
  <c r="CD347" i="2"/>
  <c r="CC357" i="2"/>
  <c r="BV16" i="1" l="1"/>
  <c r="BV54" i="1" s="1"/>
  <c r="CE34" i="1"/>
  <c r="CE39" i="1" s="1"/>
  <c r="CC358" i="2"/>
  <c r="CC6" i="2"/>
  <c r="BR69" i="3" s="1"/>
  <c r="CE347" i="2"/>
  <c r="CD357" i="2"/>
  <c r="CD6" i="2" s="1"/>
  <c r="BS69" i="3" s="1"/>
  <c r="BT76" i="2"/>
  <c r="BT32" i="2"/>
  <c r="BZ18" i="5" l="1"/>
  <c r="CG34" i="1"/>
  <c r="CG39" i="1" s="1"/>
  <c r="CF34" i="1"/>
  <c r="CJ21" i="5" s="1"/>
  <c r="CI21" i="5"/>
  <c r="CD358" i="2"/>
  <c r="CF347" i="2"/>
  <c r="CE357" i="2"/>
  <c r="BU22" i="2"/>
  <c r="BT86" i="2"/>
  <c r="BT4" i="2" s="1"/>
  <c r="BI25" i="3" s="1"/>
  <c r="CK21" i="5" l="1"/>
  <c r="CF39" i="1"/>
  <c r="BW16" i="1"/>
  <c r="BU76" i="2"/>
  <c r="BU32" i="2"/>
  <c r="CE358" i="2"/>
  <c r="CE6" i="2"/>
  <c r="BT69" i="3" s="1"/>
  <c r="CG347" i="2"/>
  <c r="CF357" i="2"/>
  <c r="CA18" i="5" l="1"/>
  <c r="BW54" i="1"/>
  <c r="CH34" i="1"/>
  <c r="CL21" i="5" s="1"/>
  <c r="CF358" i="2"/>
  <c r="CF6" i="2"/>
  <c r="BU69" i="3" s="1"/>
  <c r="CH347" i="2"/>
  <c r="CG357" i="2"/>
  <c r="BV22" i="2"/>
  <c r="BU86" i="2"/>
  <c r="BU4" i="2" s="1"/>
  <c r="BJ25" i="3" s="1"/>
  <c r="CH39" i="1" l="1"/>
  <c r="BX16" i="1"/>
  <c r="BX54" i="1" s="1"/>
  <c r="CI34" i="1"/>
  <c r="CI39" i="1" s="1"/>
  <c r="BV76" i="2"/>
  <c r="BV32" i="2"/>
  <c r="CG6" i="2"/>
  <c r="BV69" i="3" s="1"/>
  <c r="CI347" i="2"/>
  <c r="CH357" i="2"/>
  <c r="CG358" i="2"/>
  <c r="CM21" i="5" l="1"/>
  <c r="CB18" i="5"/>
  <c r="J18" i="5" s="1"/>
  <c r="J16" i="1"/>
  <c r="CJ34" i="1"/>
  <c r="CJ39" i="1" s="1"/>
  <c r="CJ347" i="2"/>
  <c r="CI357" i="2"/>
  <c r="CI6" i="2" s="1"/>
  <c r="BX69" i="3" s="1"/>
  <c r="CH6" i="2"/>
  <c r="BW69" i="3" s="1"/>
  <c r="CH358" i="2"/>
  <c r="BW22" i="2"/>
  <c r="BV86" i="2"/>
  <c r="BV4" i="2" s="1"/>
  <c r="BK25" i="3" s="1"/>
  <c r="CI358" i="2" l="1"/>
  <c r="K34" i="1"/>
  <c r="K22" i="6" s="1"/>
  <c r="CN21" i="5"/>
  <c r="K21" i="5" s="1"/>
  <c r="CL34" i="1"/>
  <c r="CL39" i="1" s="1"/>
  <c r="BY16" i="1"/>
  <c r="BY54" i="1" s="1"/>
  <c r="CK34" i="1"/>
  <c r="CO21" i="5" s="1"/>
  <c r="BW76" i="2"/>
  <c r="BW32" i="2"/>
  <c r="CK347" i="2"/>
  <c r="CJ357" i="2"/>
  <c r="K39" i="1" l="1"/>
  <c r="K23" i="6" s="1"/>
  <c r="CC18" i="5"/>
  <c r="CP21" i="5"/>
  <c r="CK39" i="1"/>
  <c r="BX22" i="2"/>
  <c r="BW86" i="2"/>
  <c r="BW4" i="2" s="1"/>
  <c r="BL25" i="3" s="1"/>
  <c r="CL347" i="2"/>
  <c r="CK357" i="2"/>
  <c r="CK358" i="2" s="1"/>
  <c r="CJ358" i="2"/>
  <c r="CJ6" i="2"/>
  <c r="BY69" i="3" s="1"/>
  <c r="BZ16" i="1" l="1"/>
  <c r="BZ54" i="1" s="1"/>
  <c r="CM34" i="1"/>
  <c r="CQ21" i="5" s="1"/>
  <c r="CK6" i="2"/>
  <c r="BZ69" i="3" s="1"/>
  <c r="CM347" i="2"/>
  <c r="CL357" i="2"/>
  <c r="CL6" i="2" s="1"/>
  <c r="CA69" i="3" s="1"/>
  <c r="BX76" i="2"/>
  <c r="BX32" i="2"/>
  <c r="CD18" i="5" l="1"/>
  <c r="CM39" i="1"/>
  <c r="CO34" i="1"/>
  <c r="CO39" i="1" s="1"/>
  <c r="CN34" i="1"/>
  <c r="CN39" i="1" s="1"/>
  <c r="BY22" i="2"/>
  <c r="BX86" i="2"/>
  <c r="BX4" i="2" s="1"/>
  <c r="BM25" i="3" s="1"/>
  <c r="CN347" i="2"/>
  <c r="CM357" i="2"/>
  <c r="CL358" i="2"/>
  <c r="CS21" i="5" l="1"/>
  <c r="CR21" i="5"/>
  <c r="CA16" i="1"/>
  <c r="CA54" i="1" s="1"/>
  <c r="CO347" i="2"/>
  <c r="CN357" i="2"/>
  <c r="CN358" i="2" s="1"/>
  <c r="CM358" i="2"/>
  <c r="CM6" i="2"/>
  <c r="CB69" i="3" s="1"/>
  <c r="BY76" i="2"/>
  <c r="BY32" i="2"/>
  <c r="CE18" i="5" l="1"/>
  <c r="CP34" i="1"/>
  <c r="CT21" i="5" s="1"/>
  <c r="BZ22" i="2"/>
  <c r="BY86" i="2"/>
  <c r="BY4" i="2" s="1"/>
  <c r="BN25" i="3" s="1"/>
  <c r="CN6" i="2"/>
  <c r="CC69" i="3" s="1"/>
  <c r="CP347" i="2"/>
  <c r="CO357" i="2"/>
  <c r="CP39" i="1" l="1"/>
  <c r="CQ34" i="1"/>
  <c r="CU21" i="5" s="1"/>
  <c r="CB16" i="1"/>
  <c r="CB54" i="1" s="1"/>
  <c r="CO6" i="2"/>
  <c r="CD69" i="3" s="1"/>
  <c r="CQ347" i="2"/>
  <c r="CP357" i="2"/>
  <c r="CP6" i="2" s="1"/>
  <c r="CE69" i="3" s="1"/>
  <c r="CO358" i="2"/>
  <c r="BZ76" i="2"/>
  <c r="BZ32" i="2"/>
  <c r="CQ39" i="1" l="1"/>
  <c r="CF18" i="5"/>
  <c r="CR34" i="1"/>
  <c r="CR39" i="1" s="1"/>
  <c r="CS34" i="1"/>
  <c r="CS39" i="1" s="1"/>
  <c r="CA22" i="2"/>
  <c r="BZ86" i="2"/>
  <c r="BZ4" i="2" s="1"/>
  <c r="BO25" i="3" s="1"/>
  <c r="CP358" i="2"/>
  <c r="CR347" i="2"/>
  <c r="CQ357" i="2"/>
  <c r="CV21" i="5" l="1"/>
  <c r="CW21" i="5"/>
  <c r="CC16" i="1"/>
  <c r="CC54" i="1" s="1"/>
  <c r="CS347" i="2"/>
  <c r="CR357" i="2"/>
  <c r="CQ358" i="2"/>
  <c r="CQ6" i="2"/>
  <c r="CF69" i="3" s="1"/>
  <c r="CA76" i="2"/>
  <c r="CA32" i="2"/>
  <c r="CG18" i="5" l="1"/>
  <c r="CT34" i="1"/>
  <c r="CX21" i="5" s="1"/>
  <c r="CB22" i="2"/>
  <c r="CA86" i="2"/>
  <c r="CA4" i="2" s="1"/>
  <c r="BP25" i="3" s="1"/>
  <c r="CR358" i="2"/>
  <c r="CR6" i="2"/>
  <c r="CG69" i="3" s="1"/>
  <c r="CT347" i="2"/>
  <c r="CS357" i="2"/>
  <c r="CS6" i="2" s="1"/>
  <c r="CH69" i="3" s="1"/>
  <c r="CT39" i="1" l="1"/>
  <c r="CV34" i="1"/>
  <c r="L34" i="1" s="1"/>
  <c r="CD16" i="1"/>
  <c r="CU34" i="1"/>
  <c r="CU39" i="1" s="1"/>
  <c r="CU347" i="2"/>
  <c r="CT357" i="2"/>
  <c r="CS358" i="2"/>
  <c r="CB76" i="2"/>
  <c r="CB32" i="2"/>
  <c r="CH18" i="5" l="1"/>
  <c r="CD54" i="1"/>
  <c r="CV39" i="1"/>
  <c r="CY21" i="5"/>
  <c r="CZ21" i="5"/>
  <c r="CT358" i="2"/>
  <c r="CC22" i="2"/>
  <c r="CB86" i="2"/>
  <c r="CB4" i="2" s="1"/>
  <c r="BQ25" i="3" s="1"/>
  <c r="L39" i="1"/>
  <c r="L22" i="6"/>
  <c r="CV347" i="2"/>
  <c r="CV357" i="2" s="1"/>
  <c r="CU357" i="2"/>
  <c r="L21" i="5" l="1"/>
  <c r="CE16" i="1"/>
  <c r="CE54" i="1" s="1"/>
  <c r="CV358" i="2"/>
  <c r="L23" i="6"/>
  <c r="CU358" i="2"/>
  <c r="CC76" i="2"/>
  <c r="CC32" i="2"/>
  <c r="CI18" i="5" l="1"/>
  <c r="CD22" i="2"/>
  <c r="CC86" i="2"/>
  <c r="CC4" i="2" s="1"/>
  <c r="BR25" i="3" s="1"/>
  <c r="CF16" i="1" l="1"/>
  <c r="CD76" i="2"/>
  <c r="CD32" i="2"/>
  <c r="CJ18" i="5" l="1"/>
  <c r="CF54" i="1"/>
  <c r="CE22" i="2"/>
  <c r="CD86" i="2"/>
  <c r="CD4" i="2" s="1"/>
  <c r="BS25" i="3" s="1"/>
  <c r="CG16" i="1" l="1"/>
  <c r="CG54" i="1" s="1"/>
  <c r="CE76" i="2"/>
  <c r="CE32" i="2"/>
  <c r="CK18" i="5" l="1"/>
  <c r="CF22" i="2"/>
  <c r="CE86" i="2"/>
  <c r="CE4" i="2" s="1"/>
  <c r="BT25" i="3" s="1"/>
  <c r="CH16" i="1" l="1"/>
  <c r="CH54" i="1" s="1"/>
  <c r="CF76" i="2"/>
  <c r="CF32" i="2"/>
  <c r="CL18" i="5" l="1"/>
  <c r="CG22" i="2"/>
  <c r="CF86" i="2"/>
  <c r="CF4" i="2" s="1"/>
  <c r="BU25" i="3" s="1"/>
  <c r="CI16" i="1" l="1"/>
  <c r="CI54" i="1" s="1"/>
  <c r="CG76" i="2"/>
  <c r="CG32" i="2"/>
  <c r="CM18" i="5" l="1"/>
  <c r="CH22" i="2"/>
  <c r="CG86" i="2"/>
  <c r="CG4" i="2" s="1"/>
  <c r="BV25" i="3" s="1"/>
  <c r="CJ16" i="1" l="1"/>
  <c r="CJ54" i="1" s="1"/>
  <c r="CH76" i="2"/>
  <c r="CH32" i="2"/>
  <c r="K16" i="1" l="1"/>
  <c r="CN18" i="5"/>
  <c r="K18" i="5" s="1"/>
  <c r="CI22" i="2"/>
  <c r="CH86" i="2"/>
  <c r="CH4" i="2" s="1"/>
  <c r="BW25" i="3" s="1"/>
  <c r="CK16" i="1" l="1"/>
  <c r="CK54" i="1" s="1"/>
  <c r="CI76" i="2"/>
  <c r="CI32" i="2"/>
  <c r="CO18" i="5" l="1"/>
  <c r="CJ22" i="2"/>
  <c r="CI86" i="2"/>
  <c r="CI4" i="2" s="1"/>
  <c r="BX25" i="3" s="1"/>
  <c r="CL16" i="1" l="1"/>
  <c r="CL54" i="1" s="1"/>
  <c r="CJ76" i="2"/>
  <c r="CJ32" i="2"/>
  <c r="CP18" i="5" l="1"/>
  <c r="CK22" i="2"/>
  <c r="CJ86" i="2"/>
  <c r="CJ4" i="2" s="1"/>
  <c r="BY25" i="3" s="1"/>
  <c r="CM16" i="1" l="1"/>
  <c r="CM54" i="1" s="1"/>
  <c r="CK76" i="2"/>
  <c r="CK32" i="2"/>
  <c r="CQ18" i="5" l="1"/>
  <c r="CL22" i="2"/>
  <c r="CK86" i="2"/>
  <c r="CK4" i="2" s="1"/>
  <c r="BZ25" i="3" s="1"/>
  <c r="CN16" i="1" l="1"/>
  <c r="CN54" i="1" s="1"/>
  <c r="CL76" i="2"/>
  <c r="CL32" i="2"/>
  <c r="CR18" i="5" l="1"/>
  <c r="CM22" i="2"/>
  <c r="CL86" i="2"/>
  <c r="CL4" i="2" s="1"/>
  <c r="CA25" i="3" s="1"/>
  <c r="CO16" i="1" l="1"/>
  <c r="CO54" i="1" s="1"/>
  <c r="CM76" i="2"/>
  <c r="CM32" i="2"/>
  <c r="CS18" i="5" l="1"/>
  <c r="CN22" i="2"/>
  <c r="CM86" i="2"/>
  <c r="CM4" i="2" s="1"/>
  <c r="CB25" i="3" s="1"/>
  <c r="CP16" i="1" l="1"/>
  <c r="CP54" i="1" s="1"/>
  <c r="CN76" i="2"/>
  <c r="CN32" i="2"/>
  <c r="CT18" i="5" l="1"/>
  <c r="CO22" i="2"/>
  <c r="CN86" i="2"/>
  <c r="CN4" i="2" s="1"/>
  <c r="CC25" i="3" s="1"/>
  <c r="CQ16" i="1" l="1"/>
  <c r="CQ54" i="1" s="1"/>
  <c r="CO76" i="2"/>
  <c r="CO32" i="2"/>
  <c r="CU18" i="5" l="1"/>
  <c r="CP22" i="2"/>
  <c r="CO86" i="2"/>
  <c r="CO4" i="2" s="1"/>
  <c r="CD25" i="3" s="1"/>
  <c r="CR16" i="1" l="1"/>
  <c r="CR54" i="1" s="1"/>
  <c r="CP76" i="2"/>
  <c r="CP32" i="2"/>
  <c r="CV18" i="5" l="1"/>
  <c r="CQ22" i="2"/>
  <c r="CP86" i="2"/>
  <c r="CP4" i="2" s="1"/>
  <c r="CE25" i="3" s="1"/>
  <c r="CS16" i="1" l="1"/>
  <c r="CS54" i="1" s="1"/>
  <c r="CQ76" i="2"/>
  <c r="CQ32" i="2"/>
  <c r="CW18" i="5" l="1"/>
  <c r="CR22" i="2"/>
  <c r="CQ86" i="2"/>
  <c r="CQ4" i="2" s="1"/>
  <c r="CF25" i="3" s="1"/>
  <c r="CT16" i="1" l="1"/>
  <c r="CT54" i="1" s="1"/>
  <c r="CR76" i="2"/>
  <c r="CR32" i="2"/>
  <c r="CX18" i="5" l="1"/>
  <c r="CS22" i="2"/>
  <c r="CR86" i="2"/>
  <c r="CR4" i="2" s="1"/>
  <c r="CG25" i="3" s="1"/>
  <c r="CU16" i="1" l="1"/>
  <c r="CU54" i="1" s="1"/>
  <c r="CS76" i="2"/>
  <c r="CS32" i="2"/>
  <c r="CY18" i="5" l="1"/>
  <c r="CT22" i="2"/>
  <c r="CS86" i="2"/>
  <c r="CS4" i="2" s="1"/>
  <c r="CH25" i="3" s="1"/>
  <c r="CV16" i="1" l="1"/>
  <c r="CT76" i="2"/>
  <c r="CT32" i="2"/>
  <c r="CZ18" i="5" l="1"/>
  <c r="CV54" i="1"/>
  <c r="L16" i="1"/>
  <c r="CU22" i="2"/>
  <c r="CT86" i="2"/>
  <c r="L18" i="5"/>
  <c r="CU76" i="2" l="1"/>
  <c r="CU32" i="2"/>
  <c r="CV22" i="2" l="1"/>
  <c r="CU86" i="2"/>
  <c r="CV76" i="2" l="1"/>
  <c r="CV86" i="2" s="1"/>
  <c r="CV32" i="2"/>
  <c r="BZ27" i="5" l="1"/>
  <c r="BZ29" i="5" s="1"/>
  <c r="CP27" i="5"/>
  <c r="CP29" i="5" s="1"/>
  <c r="BR27" i="5"/>
  <c r="BR29" i="5" s="1"/>
  <c r="CJ27" i="5"/>
  <c r="CJ29" i="5" s="1"/>
  <c r="BW27" i="5"/>
  <c r="BW29" i="5" s="1"/>
  <c r="BY27" i="5"/>
  <c r="BY29" i="5" s="1"/>
  <c r="CK27" i="5"/>
  <c r="CK29" i="5" s="1"/>
  <c r="CZ27" i="5"/>
  <c r="CZ29" i="5" s="1"/>
  <c r="BT27" i="5"/>
  <c r="BT29" i="5" s="1"/>
  <c r="CR27" i="5"/>
  <c r="CR29" i="5" s="1"/>
  <c r="CF27" i="5"/>
  <c r="CF29" i="5" s="1"/>
  <c r="CY27" i="5"/>
  <c r="CY29" i="5" s="1"/>
  <c r="CE27" i="5"/>
  <c r="CE29" i="5" s="1"/>
  <c r="BX27" i="5"/>
  <c r="BX29" i="5" s="1"/>
  <c r="BU27" i="5"/>
  <c r="BU29" i="5" s="1"/>
  <c r="CB27" i="5"/>
  <c r="CB29" i="5" s="1"/>
  <c r="CL27" i="5"/>
  <c r="CL29" i="5" s="1"/>
  <c r="CG27" i="5"/>
  <c r="CG29" i="5" s="1"/>
  <c r="BV27" i="5"/>
  <c r="BV29" i="5" s="1"/>
  <c r="CV27" i="5"/>
  <c r="CV29" i="5" s="1"/>
  <c r="CN27" i="5"/>
  <c r="CN29" i="5" s="1"/>
  <c r="CM27" i="5"/>
  <c r="CM29" i="5" s="1"/>
  <c r="CU27" i="5"/>
  <c r="CU29" i="5" s="1"/>
  <c r="CD27" i="5"/>
  <c r="CD29" i="5" s="1"/>
  <c r="CT27" i="5"/>
  <c r="CT29" i="5" s="1"/>
  <c r="BS27" i="5"/>
  <c r="BS29" i="5" s="1"/>
  <c r="CW27" i="5"/>
  <c r="CW29" i="5" s="1"/>
  <c r="CA27" i="5"/>
  <c r="CA29" i="5" s="1"/>
  <c r="CH27" i="5"/>
  <c r="CH29" i="5" s="1"/>
  <c r="CO27" i="5" l="1"/>
  <c r="CC27" i="5"/>
  <c r="J14" i="5"/>
  <c r="BQ27" i="5"/>
  <c r="CX27" i="5"/>
  <c r="CX29" i="5" s="1"/>
  <c r="CQ27" i="5"/>
  <c r="CQ29" i="5" s="1"/>
  <c r="CI27" i="5"/>
  <c r="CI29" i="5" s="1"/>
  <c r="CS27" i="5"/>
  <c r="CS29" i="5" s="1"/>
  <c r="J27" i="5" l="1"/>
  <c r="J29" i="5" s="1"/>
  <c r="J16" i="7" s="1"/>
  <c r="BQ29" i="5"/>
  <c r="K14" i="5"/>
  <c r="CC29" i="5"/>
  <c r="K27" i="5"/>
  <c r="K29" i="5" s="1"/>
  <c r="K16" i="7" s="1"/>
  <c r="L14" i="5"/>
  <c r="CO29" i="5"/>
  <c r="L27" i="5"/>
  <c r="L29" i="5" s="1"/>
  <c r="L16" i="7" s="1"/>
  <c r="BR45" i="5" l="1"/>
  <c r="BR24" i="5"/>
  <c r="BR37" i="5" s="1"/>
  <c r="BS45" i="5" l="1"/>
  <c r="BS24" i="5"/>
  <c r="BS37" i="5" s="1"/>
  <c r="BT45" i="5"/>
  <c r="BT24" i="5"/>
  <c r="BT37" i="5" s="1"/>
  <c r="BU45" i="5" l="1"/>
  <c r="BU24" i="5"/>
  <c r="BU37" i="5" s="1"/>
  <c r="CB45" i="5" l="1"/>
  <c r="CB24" i="5"/>
  <c r="CB37" i="5" s="1"/>
  <c r="AI27" i="5"/>
  <c r="AI29" i="5" s="1"/>
  <c r="AG27" i="5" l="1"/>
  <c r="AH27" i="5"/>
  <c r="AH29" i="5" s="1"/>
  <c r="P14" i="5" l="1"/>
  <c r="AG29" i="5"/>
  <c r="P27" i="5"/>
  <c r="P29" i="5" s="1"/>
  <c r="Q16" i="7" s="1"/>
  <c r="AJ27" i="5" l="1"/>
  <c r="AJ29" i="5" l="1"/>
  <c r="AI45" i="5" l="1"/>
  <c r="AI24" i="5"/>
  <c r="AI37" i="5" s="1"/>
  <c r="AK27" i="5" l="1"/>
  <c r="AH24" i="5"/>
  <c r="AH37" i="5" s="1"/>
  <c r="AH45" i="5"/>
  <c r="AJ24" i="5" l="1"/>
  <c r="AJ37" i="5" s="1"/>
  <c r="AJ45" i="5"/>
  <c r="AK29" i="5"/>
  <c r="AL27" i="5" l="1"/>
  <c r="Q14" i="5"/>
  <c r="AK24" i="5" l="1"/>
  <c r="AK37" i="5" s="1"/>
  <c r="AK45" i="5"/>
  <c r="AM27" i="5"/>
  <c r="AL29" i="5"/>
  <c r="Q27" i="5"/>
  <c r="Q29" i="5" s="1"/>
  <c r="R16" i="7" s="1"/>
  <c r="AM29" i="5" l="1"/>
  <c r="AL24" i="5" l="1"/>
  <c r="AL37" i="5" s="1"/>
  <c r="Q37" i="5" s="1"/>
  <c r="AL45" i="5"/>
  <c r="Q13" i="5"/>
  <c r="AN27" i="5"/>
  <c r="AN29" i="5" l="1"/>
  <c r="R20" i="7"/>
  <c r="R13" i="7"/>
  <c r="Q24" i="5"/>
  <c r="R14" i="7" s="1"/>
  <c r="AO27" i="5" l="1"/>
  <c r="R14" i="5"/>
  <c r="AM45" i="5"/>
  <c r="AM24" i="5"/>
  <c r="AM37" i="5" s="1"/>
  <c r="AN45" i="5" l="1"/>
  <c r="AN24" i="5"/>
  <c r="AN37" i="5" s="1"/>
  <c r="AO29" i="5"/>
  <c r="R27" i="5"/>
  <c r="R29" i="5" s="1"/>
  <c r="S16" i="7" s="1"/>
  <c r="AP27" i="5" l="1"/>
  <c r="AO45" i="5" l="1"/>
  <c r="AO24" i="5"/>
  <c r="AO37" i="5" s="1"/>
  <c r="R37" i="5" s="1"/>
  <c r="R13" i="5"/>
  <c r="AP29" i="5"/>
  <c r="AQ27" i="5" l="1"/>
  <c r="S14" i="5"/>
  <c r="AR27" i="5"/>
  <c r="G14" i="5"/>
  <c r="R24" i="5"/>
  <c r="S14" i="7" s="1"/>
  <c r="S13" i="7"/>
  <c r="S20" i="7"/>
  <c r="AP24" i="5" l="1"/>
  <c r="AP37" i="5" s="1"/>
  <c r="AP45" i="5"/>
  <c r="AS27" i="5"/>
  <c r="AR29" i="5"/>
  <c r="G27" i="5"/>
  <c r="G29" i="5" s="1"/>
  <c r="G16" i="7" s="1"/>
  <c r="AQ29" i="5"/>
  <c r="S27" i="5"/>
  <c r="S29" i="5" s="1"/>
  <c r="T16" i="7" s="1"/>
  <c r="AS29" i="5" l="1"/>
  <c r="AU27" i="5" l="1"/>
  <c r="AU29" i="5" s="1"/>
  <c r="AT27" i="5" l="1"/>
  <c r="AR45" i="5"/>
  <c r="AR24" i="5"/>
  <c r="AR37" i="5" s="1"/>
  <c r="AQ45" i="5"/>
  <c r="AQ24" i="5"/>
  <c r="AQ37" i="5" s="1"/>
  <c r="S13" i="5"/>
  <c r="S24" i="5" l="1"/>
  <c r="T14" i="7" s="1"/>
  <c r="T13" i="7"/>
  <c r="S37" i="5"/>
  <c r="AS45" i="5"/>
  <c r="AS24" i="5"/>
  <c r="AS37" i="5" s="1"/>
  <c r="AT29" i="5"/>
  <c r="T20" i="7" l="1"/>
  <c r="CN45" i="5" l="1"/>
  <c r="CN24" i="5"/>
  <c r="CN37" i="5" s="1"/>
  <c r="CM45" i="5"/>
  <c r="CM24" i="5"/>
  <c r="CM37" i="5" s="1"/>
  <c r="CJ45" i="5"/>
  <c r="CJ24" i="5"/>
  <c r="CJ37" i="5" s="1"/>
  <c r="AT24" i="5"/>
  <c r="AT37" i="5" s="1"/>
  <c r="AT45" i="5"/>
  <c r="CH45" i="5"/>
  <c r="CH24" i="5"/>
  <c r="CH37" i="5" s="1"/>
  <c r="CF45" i="5"/>
  <c r="CF24" i="5"/>
  <c r="CF37" i="5" s="1"/>
  <c r="CI45" i="5"/>
  <c r="CI24" i="5"/>
  <c r="CI37" i="5" s="1"/>
  <c r="CE45" i="5"/>
  <c r="CE24" i="5"/>
  <c r="CE37" i="5" s="1"/>
  <c r="CD45" i="5"/>
  <c r="CD24" i="5"/>
  <c r="CD37" i="5" s="1"/>
  <c r="CL24" i="5"/>
  <c r="CL37" i="5" s="1"/>
  <c r="CL45" i="5"/>
  <c r="AV27" i="5"/>
  <c r="AU24" i="5" l="1"/>
  <c r="AU37" i="5" s="1"/>
  <c r="AU45" i="5"/>
  <c r="CT45" i="5"/>
  <c r="CT24" i="5"/>
  <c r="CT37" i="5" s="1"/>
  <c r="AV29" i="5"/>
  <c r="CG45" i="5" l="1"/>
  <c r="CG24" i="5"/>
  <c r="CG37" i="5" s="1"/>
  <c r="AW27" i="5"/>
  <c r="BV45" i="5"/>
  <c r="BV24" i="5"/>
  <c r="BV37" i="5" s="1"/>
  <c r="CV45" i="5"/>
  <c r="CV24" i="5"/>
  <c r="CV37" i="5" s="1"/>
  <c r="BX45" i="5"/>
  <c r="BX24" i="5"/>
  <c r="BX37" i="5" s="1"/>
  <c r="CK45" i="5"/>
  <c r="CK24" i="5"/>
  <c r="CK37" i="5" s="1"/>
  <c r="AX27" i="5"/>
  <c r="AX29" i="5" s="1"/>
  <c r="BW45" i="5" l="1"/>
  <c r="BW24" i="5"/>
  <c r="BW37" i="5" s="1"/>
  <c r="AV24" i="5"/>
  <c r="AV37" i="5" s="1"/>
  <c r="AV45" i="5"/>
  <c r="AW29" i="5"/>
  <c r="CS45" i="5"/>
  <c r="CS24" i="5"/>
  <c r="CS37" i="5" s="1"/>
  <c r="CU45" i="5"/>
  <c r="CU24" i="5"/>
  <c r="CU37" i="5" s="1"/>
  <c r="AY27" i="5"/>
  <c r="AY29" i="5" s="1"/>
  <c r="BZ45" i="5" l="1"/>
  <c r="BZ24" i="5"/>
  <c r="BZ37" i="5" s="1"/>
  <c r="CP45" i="5" l="1"/>
  <c r="CP24" i="5"/>
  <c r="CP37" i="5" s="1"/>
  <c r="AZ27" i="5"/>
  <c r="AZ29" i="5" l="1"/>
  <c r="AW24" i="5"/>
  <c r="AW37" i="5" s="1"/>
  <c r="AW45" i="5"/>
  <c r="AX45" i="5" l="1"/>
  <c r="AX24" i="5"/>
  <c r="AX37" i="5" s="1"/>
  <c r="AY24" i="5" l="1"/>
  <c r="AY37" i="5" s="1"/>
  <c r="AY45" i="5"/>
  <c r="BA27" i="5"/>
  <c r="BA29" i="5" s="1"/>
  <c r="AZ45" i="5" l="1"/>
  <c r="AZ24" i="5"/>
  <c r="AZ37" i="5" s="1"/>
  <c r="BB27" i="5"/>
  <c r="BB29" i="5" s="1"/>
  <c r="BC27" i="5" l="1"/>
  <c r="BC29" i="5" s="1"/>
  <c r="BA24" i="5" l="1"/>
  <c r="BA37" i="5" s="1"/>
  <c r="BA45" i="5"/>
  <c r="BB24" i="5" l="1"/>
  <c r="BB37" i="5" s="1"/>
  <c r="BB45" i="5"/>
  <c r="BD27" i="5"/>
  <c r="H14" i="5"/>
  <c r="BE27" i="5" l="1"/>
  <c r="BD29" i="5"/>
  <c r="H27" i="5"/>
  <c r="H29" i="5" s="1"/>
  <c r="H16" i="7" s="1"/>
  <c r="BF27" i="5"/>
  <c r="BF29" i="5" s="1"/>
  <c r="BC45" i="5" l="1"/>
  <c r="BC24" i="5"/>
  <c r="BC37" i="5" s="1"/>
  <c r="BE29" i="5"/>
  <c r="BD45" i="5" l="1"/>
  <c r="H45" i="5" s="1"/>
  <c r="BD24" i="5"/>
  <c r="BD37" i="5" s="1"/>
  <c r="H13" i="5"/>
  <c r="BG27" i="5" l="1"/>
  <c r="BE24" i="5"/>
  <c r="BE37" i="5" s="1"/>
  <c r="BE45" i="5"/>
  <c r="H13" i="7"/>
  <c r="H24" i="5"/>
  <c r="BH27" i="5"/>
  <c r="BH29" i="5" s="1"/>
  <c r="BG29" i="5" l="1"/>
  <c r="H14" i="7"/>
  <c r="H37" i="5"/>
  <c r="BF45" i="5"/>
  <c r="BF24" i="5"/>
  <c r="BF37" i="5" s="1"/>
  <c r="BI27" i="5"/>
  <c r="BI29" i="5" s="1"/>
  <c r="H20" i="7" l="1"/>
  <c r="BG24" i="5" l="1"/>
  <c r="BG37" i="5" s="1"/>
  <c r="BG45" i="5"/>
  <c r="BJ27" i="5"/>
  <c r="BH45" i="5" l="1"/>
  <c r="BH24" i="5"/>
  <c r="BH37" i="5" s="1"/>
  <c r="BJ29" i="5"/>
  <c r="BI24" i="5" l="1"/>
  <c r="BI37" i="5" s="1"/>
  <c r="BI45" i="5"/>
  <c r="BK27" i="5"/>
  <c r="BL27" i="5"/>
  <c r="BL29" i="5" s="1"/>
  <c r="BK29" i="5" l="1"/>
  <c r="BJ24" i="5" l="1"/>
  <c r="BJ37" i="5" s="1"/>
  <c r="BJ45" i="5"/>
  <c r="BM27" i="5"/>
  <c r="BM29" i="5" s="1"/>
  <c r="BK45" i="5" l="1"/>
  <c r="BK24" i="5"/>
  <c r="BK37" i="5" s="1"/>
  <c r="BL24" i="5" l="1"/>
  <c r="BL37" i="5" s="1"/>
  <c r="BL45" i="5"/>
  <c r="BN27" i="5"/>
  <c r="BN29" i="5" s="1"/>
  <c r="BO27" i="5" l="1"/>
  <c r="BO29" i="5" s="1"/>
  <c r="BM45" i="5" l="1"/>
  <c r="BM24" i="5"/>
  <c r="BM37" i="5" s="1"/>
  <c r="BN24" i="5" l="1"/>
  <c r="BN37" i="5" s="1"/>
  <c r="BN45" i="5"/>
  <c r="BP27" i="5"/>
  <c r="I14" i="5"/>
  <c r="BP29" i="5" l="1"/>
  <c r="I27" i="5"/>
  <c r="I29" i="5" s="1"/>
  <c r="I16" i="7" s="1"/>
  <c r="BO45" i="5" l="1"/>
  <c r="BO24" i="5"/>
  <c r="BO37" i="5" s="1"/>
  <c r="BP45" i="5" l="1"/>
  <c r="I45" i="5" s="1"/>
  <c r="BP24" i="5"/>
  <c r="BP37" i="5" s="1"/>
  <c r="I13" i="5"/>
  <c r="I24" i="5" l="1"/>
  <c r="I13" i="7"/>
  <c r="I37" i="5" l="1"/>
  <c r="I14" i="7"/>
  <c r="O115" i="3" l="1"/>
  <c r="P115" i="3" s="1"/>
  <c r="Q115" i="3" s="1"/>
  <c r="R115" i="3" s="1"/>
  <c r="S115" i="3" s="1"/>
  <c r="T115" i="3" s="1"/>
  <c r="U115" i="3" s="1"/>
  <c r="V115" i="3" s="1"/>
  <c r="W115" i="3" s="1"/>
  <c r="X115" i="3" s="1"/>
  <c r="Y115" i="3" s="1"/>
  <c r="Z115" i="3" s="1"/>
  <c r="AA115" i="3" s="1"/>
  <c r="AB115" i="3" s="1"/>
  <c r="AC115" i="3" s="1"/>
  <c r="AD115" i="3" s="1"/>
  <c r="AE115" i="3" s="1"/>
  <c r="AF115" i="3" s="1"/>
  <c r="AG115" i="3" s="1"/>
  <c r="AH115" i="3" s="1"/>
  <c r="AI115" i="3" s="1"/>
  <c r="AJ115" i="3" s="1"/>
  <c r="AK115" i="3" s="1"/>
  <c r="AL115" i="3" s="1"/>
  <c r="AM115" i="3" s="1"/>
  <c r="AN115" i="3" s="1"/>
  <c r="AO115" i="3" s="1"/>
  <c r="AP115" i="3" s="1"/>
  <c r="AQ115" i="3" s="1"/>
  <c r="AR115" i="3" s="1"/>
  <c r="AS115" i="3" s="1"/>
  <c r="AT115" i="3" s="1"/>
  <c r="AU115" i="3" s="1"/>
  <c r="AV115" i="3" s="1"/>
  <c r="AW115" i="3" s="1"/>
  <c r="AX115" i="3" s="1"/>
  <c r="AY115" i="3" s="1"/>
  <c r="AZ115" i="3" s="1"/>
  <c r="BA115" i="3" s="1"/>
  <c r="BB115" i="3" s="1"/>
  <c r="BC115" i="3" s="1"/>
  <c r="BD115" i="3" s="1"/>
  <c r="BE115" i="3" s="1"/>
  <c r="BF115" i="3" s="1"/>
  <c r="BG115" i="3" s="1"/>
  <c r="BH115" i="3" s="1"/>
  <c r="BI115" i="3" s="1"/>
  <c r="BJ115" i="3" s="1"/>
  <c r="BK115" i="3" s="1"/>
  <c r="BL115" i="3" s="1"/>
  <c r="BM115" i="3" s="1"/>
  <c r="BN115" i="3" s="1"/>
  <c r="BO115" i="3" s="1"/>
  <c r="BP115" i="3" s="1"/>
  <c r="BQ115" i="3" s="1"/>
  <c r="BR115" i="3" s="1"/>
  <c r="BS115" i="3" s="1"/>
  <c r="BT115" i="3" s="1"/>
  <c r="BU115" i="3" s="1"/>
  <c r="BV115" i="3" s="1"/>
  <c r="BW115" i="3" s="1"/>
  <c r="BX115" i="3" s="1"/>
  <c r="BY115" i="3" s="1"/>
  <c r="BZ115" i="3" s="1"/>
  <c r="CA115" i="3" s="1"/>
  <c r="CB115" i="3" s="1"/>
  <c r="CC115" i="3" s="1"/>
  <c r="CD115" i="3" s="1"/>
  <c r="CE115" i="3" s="1"/>
  <c r="CF115" i="3" s="1"/>
  <c r="CG115" i="3" s="1"/>
  <c r="CH115" i="3" s="1"/>
  <c r="AB42" i="1"/>
  <c r="N117" i="3"/>
  <c r="N118" i="3" s="1"/>
  <c r="N119" i="3" s="1"/>
  <c r="I20" i="7"/>
  <c r="F42" i="1" l="1"/>
  <c r="F44" i="1" s="1"/>
  <c r="AB44" i="1"/>
  <c r="AB46" i="1" s="1"/>
  <c r="AB48" i="1" s="1"/>
  <c r="F46" i="1" l="1"/>
  <c r="F25" i="6"/>
  <c r="F27" i="6" l="1"/>
  <c r="F29" i="6" s="1"/>
  <c r="F48" i="1"/>
  <c r="CR45" i="5" l="1"/>
  <c r="CR24" i="5"/>
  <c r="CR37" i="5" s="1"/>
  <c r="CY45" i="5" l="1"/>
  <c r="CY24" i="5"/>
  <c r="CY37" i="5" s="1"/>
  <c r="CQ24" i="5"/>
  <c r="CQ37" i="5" s="1"/>
  <c r="CQ45" i="5"/>
  <c r="CX45" i="5"/>
  <c r="CX24" i="5"/>
  <c r="CX37" i="5" s="1"/>
  <c r="BY45" i="5"/>
  <c r="BY24" i="5"/>
  <c r="BY37" i="5" s="1"/>
  <c r="CA45" i="5"/>
  <c r="CA24" i="5"/>
  <c r="CA37" i="5" s="1"/>
  <c r="CW45" i="5"/>
  <c r="CW24" i="5"/>
  <c r="CW37" i="5" s="1"/>
  <c r="CZ45" i="5"/>
  <c r="CZ24" i="5"/>
  <c r="CZ37" i="5" s="1"/>
  <c r="BD42" i="1" l="1"/>
  <c r="AD42" i="1"/>
  <c r="AV42" i="1"/>
  <c r="BB42" i="1"/>
  <c r="AW42" i="1"/>
  <c r="AL42" i="1"/>
  <c r="AF42" i="1"/>
  <c r="BE42" i="1"/>
  <c r="AG42" i="1"/>
  <c r="AK42" i="1"/>
  <c r="AN42" i="1"/>
  <c r="BK42" i="1"/>
  <c r="AX42" i="1"/>
  <c r="BI42" i="1"/>
  <c r="AP42" i="1"/>
  <c r="AS42" i="1"/>
  <c r="AY42" i="1"/>
  <c r="AM42" i="1"/>
  <c r="AQ42" i="1"/>
  <c r="AO42" i="1"/>
  <c r="AE42" i="1"/>
  <c r="AI42" i="1"/>
  <c r="AC42" i="1"/>
  <c r="BH42" i="1"/>
  <c r="BL42" i="1"/>
  <c r="AH42" i="1"/>
  <c r="AZ42" i="1"/>
  <c r="BC42" i="1"/>
  <c r="AJ42" i="1"/>
  <c r="AR42" i="1"/>
  <c r="BF42" i="1"/>
  <c r="AT42" i="1"/>
  <c r="BA42" i="1"/>
  <c r="AU42" i="1"/>
  <c r="BJ42" i="1"/>
  <c r="BG42" i="1"/>
  <c r="AQ46" i="5" l="1"/>
  <c r="AQ47" i="5" s="1"/>
  <c r="AM44" i="1"/>
  <c r="AM46" i="1" s="1"/>
  <c r="AP44" i="1"/>
  <c r="AP46" i="1" s="1"/>
  <c r="AT46" i="5"/>
  <c r="AT47" i="5" s="1"/>
  <c r="AJ44" i="1"/>
  <c r="AJ46" i="1" s="1"/>
  <c r="AN46" i="5"/>
  <c r="AN47" i="5" s="1"/>
  <c r="AK46" i="5"/>
  <c r="AK47" i="5" s="1"/>
  <c r="AG44" i="1"/>
  <c r="AG46" i="1" s="1"/>
  <c r="BK46" i="5"/>
  <c r="BK47" i="5" s="1"/>
  <c r="BG44" i="1"/>
  <c r="BG46" i="1" s="1"/>
  <c r="G42" i="1"/>
  <c r="AR46" i="5"/>
  <c r="AR47" i="5" s="1"/>
  <c r="AN44" i="1"/>
  <c r="AN46" i="1" s="1"/>
  <c r="BC44" i="1"/>
  <c r="BC46" i="1" s="1"/>
  <c r="BG46" i="5"/>
  <c r="BG47" i="5" s="1"/>
  <c r="BI46" i="5"/>
  <c r="BI47" i="5" s="1"/>
  <c r="BE44" i="1"/>
  <c r="BE46" i="1" s="1"/>
  <c r="AY44" i="1"/>
  <c r="AY46" i="1" s="1"/>
  <c r="BC46" i="5"/>
  <c r="BC47" i="5" s="1"/>
  <c r="AU44" i="1"/>
  <c r="AU46" i="1" s="1"/>
  <c r="AY46" i="5"/>
  <c r="AY47" i="5" s="1"/>
  <c r="AZ44" i="1"/>
  <c r="AZ46" i="1" s="1"/>
  <c r="H42" i="1"/>
  <c r="BD46" i="5"/>
  <c r="BD47" i="5" s="1"/>
  <c r="AF44" i="1"/>
  <c r="AF46" i="1" s="1"/>
  <c r="AJ46" i="5"/>
  <c r="AJ47" i="5" s="1"/>
  <c r="AH44" i="1"/>
  <c r="AH46" i="1" s="1"/>
  <c r="AL46" i="5"/>
  <c r="AL47" i="5" s="1"/>
  <c r="AL44" i="1"/>
  <c r="AL46" i="1" s="1"/>
  <c r="AP46" i="5"/>
  <c r="AP47" i="5" s="1"/>
  <c r="BE46" i="5"/>
  <c r="BE47" i="5" s="1"/>
  <c r="BA44" i="1"/>
  <c r="BA46" i="1" s="1"/>
  <c r="BL44" i="1"/>
  <c r="BL46" i="1" s="1"/>
  <c r="I42" i="1"/>
  <c r="BP46" i="5"/>
  <c r="BP47" i="5" s="1"/>
  <c r="AW44" i="1"/>
  <c r="AW46" i="1" s="1"/>
  <c r="BA46" i="5"/>
  <c r="BA47" i="5" s="1"/>
  <c r="BN46" i="5"/>
  <c r="BN47" i="5" s="1"/>
  <c r="BJ44" i="1"/>
  <c r="BJ46" i="1" s="1"/>
  <c r="AT44" i="1"/>
  <c r="AT46" i="1" s="1"/>
  <c r="AX46" i="5"/>
  <c r="AX47" i="5" s="1"/>
  <c r="BH44" i="1"/>
  <c r="BH46" i="1" s="1"/>
  <c r="BL46" i="5"/>
  <c r="BL47" i="5" s="1"/>
  <c r="P13" i="5"/>
  <c r="G13" i="5"/>
  <c r="AG24" i="5"/>
  <c r="AG37" i="5" s="1"/>
  <c r="AG45" i="5"/>
  <c r="AS44" i="1"/>
  <c r="AS46" i="1" s="1"/>
  <c r="AW46" i="5"/>
  <c r="AW47" i="5" s="1"/>
  <c r="AV46" i="5"/>
  <c r="AV47" i="5" s="1"/>
  <c r="AR44" i="1"/>
  <c r="AR46" i="1" s="1"/>
  <c r="AC44" i="1"/>
  <c r="AC46" i="1" s="1"/>
  <c r="AG46" i="5"/>
  <c r="BB44" i="1"/>
  <c r="BB46" i="1" s="1"/>
  <c r="BF46" i="5"/>
  <c r="BF47" i="5" s="1"/>
  <c r="BM46" i="5"/>
  <c r="BM47" i="5" s="1"/>
  <c r="BI44" i="1"/>
  <c r="BI46" i="1" s="1"/>
  <c r="BK44" i="1"/>
  <c r="BK46" i="1" s="1"/>
  <c r="BO46" i="5"/>
  <c r="BO47" i="5" s="1"/>
  <c r="AZ46" i="5"/>
  <c r="AZ47" i="5" s="1"/>
  <c r="AV44" i="1"/>
  <c r="AV46" i="1" s="1"/>
  <c r="AU46" i="5"/>
  <c r="AU47" i="5" s="1"/>
  <c r="AQ44" i="1"/>
  <c r="AQ46" i="1" s="1"/>
  <c r="AX44" i="1"/>
  <c r="AX46" i="1" s="1"/>
  <c r="BB46" i="5"/>
  <c r="BB47" i="5" s="1"/>
  <c r="AO46" i="5"/>
  <c r="AO47" i="5" s="1"/>
  <c r="AK44" i="1"/>
  <c r="AK46" i="1" s="1"/>
  <c r="AI44" i="1"/>
  <c r="AI46" i="1" s="1"/>
  <c r="AM46" i="5"/>
  <c r="AM47" i="5" s="1"/>
  <c r="AI46" i="5"/>
  <c r="AI47" i="5" s="1"/>
  <c r="AE44" i="1"/>
  <c r="AE46" i="1" s="1"/>
  <c r="AD44" i="1"/>
  <c r="AD46" i="1" s="1"/>
  <c r="AH46" i="5"/>
  <c r="AH47" i="5" s="1"/>
  <c r="BJ46" i="5"/>
  <c r="BJ47" i="5" s="1"/>
  <c r="BF44" i="1"/>
  <c r="BF46" i="1" s="1"/>
  <c r="AO44" i="1"/>
  <c r="AO46" i="1" s="1"/>
  <c r="AS46" i="5"/>
  <c r="AS47" i="5" s="1"/>
  <c r="BH46" i="5"/>
  <c r="BH47" i="5" s="1"/>
  <c r="BD44" i="1"/>
  <c r="BD46" i="1" s="1"/>
  <c r="G46" i="5" l="1"/>
  <c r="G44" i="1"/>
  <c r="AG47" i="5"/>
  <c r="G45" i="5"/>
  <c r="G47" i="5" s="1"/>
  <c r="AG39" i="5"/>
  <c r="P37" i="5"/>
  <c r="I46" i="5"/>
  <c r="I47" i="5" s="1"/>
  <c r="I44" i="1"/>
  <c r="Q13" i="7"/>
  <c r="P24" i="5"/>
  <c r="Q14" i="7" s="1"/>
  <c r="G13" i="7"/>
  <c r="G24" i="5"/>
  <c r="H44" i="1"/>
  <c r="H46" i="5"/>
  <c r="H47" i="5" s="1"/>
  <c r="Q20" i="7" l="1"/>
  <c r="P39" i="5"/>
  <c r="H25" i="6"/>
  <c r="H46" i="1"/>
  <c r="H27" i="6" s="1"/>
  <c r="X12" i="7"/>
  <c r="AC14" i="1"/>
  <c r="AH38" i="5"/>
  <c r="AH39" i="5" s="1"/>
  <c r="G14" i="7"/>
  <c r="G37" i="5"/>
  <c r="I46" i="1"/>
  <c r="I27" i="6" s="1"/>
  <c r="I25" i="6"/>
  <c r="G25" i="6"/>
  <c r="G46" i="1"/>
  <c r="G27" i="6" s="1"/>
  <c r="G20" i="7" l="1"/>
  <c r="G39" i="5"/>
  <c r="AI38" i="5"/>
  <c r="AI39" i="5" s="1"/>
  <c r="AD14" i="1"/>
  <c r="Y12" i="7"/>
  <c r="AG40" i="5"/>
  <c r="AC21" i="1"/>
  <c r="AC30" i="1" s="1"/>
  <c r="AC48" i="1" s="1"/>
  <c r="Q22" i="7"/>
  <c r="Q39" i="5"/>
  <c r="R22" i="7" l="1"/>
  <c r="R39" i="5"/>
  <c r="AD21" i="1"/>
  <c r="AD30" i="1" s="1"/>
  <c r="AD48" i="1" s="1"/>
  <c r="AH40" i="5"/>
  <c r="P40" i="5"/>
  <c r="Q23" i="7" s="1"/>
  <c r="AE14" i="1"/>
  <c r="Z12" i="7"/>
  <c r="AJ38" i="5"/>
  <c r="AJ39" i="5" s="1"/>
  <c r="H38" i="5"/>
  <c r="G22" i="7"/>
  <c r="H21" i="7" l="1"/>
  <c r="H39" i="5"/>
  <c r="AI40" i="5"/>
  <c r="AE21" i="1"/>
  <c r="AE30" i="1" s="1"/>
  <c r="AE48" i="1" s="1"/>
  <c r="AF14" i="1"/>
  <c r="AA12" i="7"/>
  <c r="AK38" i="5"/>
  <c r="AK39" i="5" s="1"/>
  <c r="S22" i="7"/>
  <c r="S39" i="5"/>
  <c r="T22" i="7" s="1"/>
  <c r="AB12" i="7" l="1"/>
  <c r="AG14" i="1"/>
  <c r="AL38" i="5"/>
  <c r="AL39" i="5" s="1"/>
  <c r="AJ40" i="5"/>
  <c r="AF21" i="1"/>
  <c r="AF30" i="1" s="1"/>
  <c r="AF48" i="1" s="1"/>
  <c r="H22" i="7"/>
  <c r="I38" i="5"/>
  <c r="I21" i="7" l="1"/>
  <c r="I39" i="5"/>
  <c r="AH14" i="1"/>
  <c r="AC12" i="7"/>
  <c r="Q40" i="5"/>
  <c r="R23" i="7" s="1"/>
  <c r="AM38" i="5"/>
  <c r="AM39" i="5" s="1"/>
  <c r="AG21" i="1"/>
  <c r="AG30" i="1" s="1"/>
  <c r="AG48" i="1" s="1"/>
  <c r="AK40" i="5"/>
  <c r="AI14" i="1" l="1"/>
  <c r="AD12" i="7"/>
  <c r="AN38" i="5"/>
  <c r="AN39" i="5" s="1"/>
  <c r="AL40" i="5"/>
  <c r="AH21" i="1"/>
  <c r="AH30" i="1" s="1"/>
  <c r="AH48" i="1" s="1"/>
  <c r="I22" i="7"/>
  <c r="J38" i="5"/>
  <c r="J21" i="7" s="1"/>
  <c r="AO38" i="5" l="1"/>
  <c r="AO39" i="5" s="1"/>
  <c r="AE12" i="7"/>
  <c r="AJ14" i="1"/>
  <c r="AM40" i="5"/>
  <c r="AI21" i="1"/>
  <c r="AI30" i="1" s="1"/>
  <c r="AI48" i="1" s="1"/>
  <c r="AN40" i="5" l="1"/>
  <c r="AJ21" i="1"/>
  <c r="AJ30" i="1" s="1"/>
  <c r="AJ48" i="1" s="1"/>
  <c r="R40" i="5"/>
  <c r="S23" i="7" s="1"/>
  <c r="AK14" i="1"/>
  <c r="AP38" i="5"/>
  <c r="AP39" i="5" s="1"/>
  <c r="AF12" i="7"/>
  <c r="AL14" i="1" l="1"/>
  <c r="AG12" i="7"/>
  <c r="AQ38" i="5"/>
  <c r="AQ39" i="5" s="1"/>
  <c r="AO40" i="5"/>
  <c r="AK21" i="1"/>
  <c r="AK30" i="1" s="1"/>
  <c r="AK48" i="1" s="1"/>
  <c r="AM14" i="1" l="1"/>
  <c r="AR38" i="5"/>
  <c r="AR39" i="5" s="1"/>
  <c r="AH12" i="7"/>
  <c r="AL21" i="1"/>
  <c r="AL30" i="1" s="1"/>
  <c r="AL48" i="1" s="1"/>
  <c r="AP40" i="5"/>
  <c r="AN14" i="1" l="1"/>
  <c r="G40" i="5"/>
  <c r="G23" i="7" s="1"/>
  <c r="AS38" i="5"/>
  <c r="AS39" i="5" s="1"/>
  <c r="AI12" i="7"/>
  <c r="S40" i="5"/>
  <c r="T23" i="7" s="1"/>
  <c r="AQ40" i="5"/>
  <c r="AM21" i="1"/>
  <c r="AM30" i="1" s="1"/>
  <c r="AM48" i="1" s="1"/>
  <c r="X13" i="7" l="1"/>
  <c r="AO14" i="1"/>
  <c r="AT38" i="5"/>
  <c r="AT39" i="5" s="1"/>
  <c r="AR40" i="5"/>
  <c r="G14" i="1"/>
  <c r="AN21" i="1"/>
  <c r="AN30" i="1" s="1"/>
  <c r="AN48" i="1" s="1"/>
  <c r="G21" i="1" l="1"/>
  <c r="G14" i="6"/>
  <c r="AP14" i="1"/>
  <c r="AU38" i="5"/>
  <c r="AU39" i="5" s="1"/>
  <c r="Y13" i="7"/>
  <c r="AO21" i="1"/>
  <c r="AO30" i="1" s="1"/>
  <c r="AO48" i="1" s="1"/>
  <c r="AS40" i="5"/>
  <c r="Z13" i="7" l="1"/>
  <c r="AV38" i="5"/>
  <c r="AV39" i="5" s="1"/>
  <c r="AQ14" i="1"/>
  <c r="AT40" i="5"/>
  <c r="AP21" i="1"/>
  <c r="AP30" i="1" s="1"/>
  <c r="AP48" i="1" s="1"/>
  <c r="G15" i="6"/>
  <c r="G30" i="1"/>
  <c r="G48" i="1" l="1"/>
  <c r="G18" i="6"/>
  <c r="G29" i="6" s="1"/>
  <c r="AU40" i="5"/>
  <c r="AQ21" i="1"/>
  <c r="AQ30" i="1" s="1"/>
  <c r="AQ48" i="1" s="1"/>
  <c r="AW38" i="5"/>
  <c r="AW39" i="5" s="1"/>
  <c r="AA13" i="7"/>
  <c r="AR14" i="1"/>
  <c r="AR21" i="1" l="1"/>
  <c r="AR30" i="1" s="1"/>
  <c r="AR48" i="1" s="1"/>
  <c r="AV40" i="5"/>
  <c r="AB13" i="7"/>
  <c r="AX38" i="5"/>
  <c r="AX39" i="5" s="1"/>
  <c r="AS14" i="1"/>
  <c r="AW40" i="5" l="1"/>
  <c r="AS21" i="1"/>
  <c r="AS30" i="1" s="1"/>
  <c r="AS48" i="1" s="1"/>
  <c r="AC13" i="7"/>
  <c r="AY38" i="5"/>
  <c r="AY39" i="5" s="1"/>
  <c r="AT14" i="1"/>
  <c r="AT21" i="1" l="1"/>
  <c r="AT30" i="1" s="1"/>
  <c r="AT48" i="1" s="1"/>
  <c r="AX40" i="5"/>
  <c r="AZ38" i="5"/>
  <c r="AZ39" i="5" s="1"/>
  <c r="AU14" i="1"/>
  <c r="AD13" i="7"/>
  <c r="AU21" i="1" l="1"/>
  <c r="AU30" i="1" s="1"/>
  <c r="AU48" i="1" s="1"/>
  <c r="AY40" i="5"/>
  <c r="BA38" i="5"/>
  <c r="BA39" i="5" s="1"/>
  <c r="AV14" i="1"/>
  <c r="AE13" i="7"/>
  <c r="AZ40" i="5" l="1"/>
  <c r="AV21" i="1"/>
  <c r="AV30" i="1" s="1"/>
  <c r="AV48" i="1" s="1"/>
  <c r="BB38" i="5"/>
  <c r="BB39" i="5" s="1"/>
  <c r="AF13" i="7"/>
  <c r="AW14" i="1"/>
  <c r="BC38" i="5" l="1"/>
  <c r="BC39" i="5" s="1"/>
  <c r="AG13" i="7"/>
  <c r="AX14" i="1"/>
  <c r="AW21" i="1"/>
  <c r="AW30" i="1" s="1"/>
  <c r="AW48" i="1" s="1"/>
  <c r="BA40" i="5"/>
  <c r="K13" i="5" l="1"/>
  <c r="CC24" i="5"/>
  <c r="CC37" i="5" s="1"/>
  <c r="CC45" i="5"/>
  <c r="K45" i="5" s="1"/>
  <c r="BU42" i="1"/>
  <c r="CD42" i="1"/>
  <c r="BR42" i="1"/>
  <c r="CF42" i="1"/>
  <c r="BP42" i="1"/>
  <c r="CC42" i="1"/>
  <c r="CI42" i="1"/>
  <c r="BO42" i="1"/>
  <c r="CA42" i="1"/>
  <c r="CO42" i="1"/>
  <c r="BX42" i="1"/>
  <c r="CR42" i="1"/>
  <c r="BM42" i="1"/>
  <c r="BT42" i="1"/>
  <c r="CG42" i="1"/>
  <c r="CB42" i="1"/>
  <c r="CE42" i="1"/>
  <c r="BY42" i="1"/>
  <c r="CQ42" i="1"/>
  <c r="BS42" i="1"/>
  <c r="BV42" i="1"/>
  <c r="CH42" i="1"/>
  <c r="CK42" i="1"/>
  <c r="CN42" i="1"/>
  <c r="BN42" i="1"/>
  <c r="BQ42" i="1"/>
  <c r="CT42" i="1"/>
  <c r="CJ42" i="1"/>
  <c r="BZ42" i="1"/>
  <c r="BW42" i="1"/>
  <c r="CM42" i="1"/>
  <c r="CU42" i="1"/>
  <c r="BB40" i="5"/>
  <c r="AX21" i="1"/>
  <c r="AX30" i="1" s="1"/>
  <c r="AX48" i="1" s="1"/>
  <c r="AY14" i="1"/>
  <c r="BD38" i="5"/>
  <c r="BD39" i="5" s="1"/>
  <c r="AH13" i="7"/>
  <c r="CC44" i="1" l="1"/>
  <c r="CC46" i="1" s="1"/>
  <c r="CG46" i="5"/>
  <c r="CG47" i="5" s="1"/>
  <c r="BT44" i="1"/>
  <c r="BT46" i="1" s="1"/>
  <c r="BX46" i="5"/>
  <c r="BX47" i="5" s="1"/>
  <c r="CO44" i="1"/>
  <c r="CO46" i="1" s="1"/>
  <c r="CS46" i="5"/>
  <c r="CS47" i="5" s="1"/>
  <c r="CR46" i="5"/>
  <c r="CR47" i="5" s="1"/>
  <c r="CN44" i="1"/>
  <c r="CN46" i="1" s="1"/>
  <c r="CF44" i="1"/>
  <c r="CF46" i="1" s="1"/>
  <c r="CJ46" i="5"/>
  <c r="CJ47" i="5" s="1"/>
  <c r="BW44" i="1"/>
  <c r="BW46" i="1" s="1"/>
  <c r="CA46" i="5"/>
  <c r="CA47" i="5" s="1"/>
  <c r="BO44" i="1"/>
  <c r="BO46" i="1" s="1"/>
  <c r="BS46" i="5"/>
  <c r="BS47" i="5" s="1"/>
  <c r="CO24" i="5"/>
  <c r="CO37" i="5" s="1"/>
  <c r="CO45" i="5"/>
  <c r="L45" i="5" s="1"/>
  <c r="L13" i="5"/>
  <c r="BV44" i="1"/>
  <c r="BV46" i="1" s="1"/>
  <c r="BZ46" i="5"/>
  <c r="BZ47" i="5" s="1"/>
  <c r="CL42" i="1"/>
  <c r="CQ46" i="5" s="1"/>
  <c r="CQ47" i="5" s="1"/>
  <c r="J42" i="1"/>
  <c r="CB46" i="5"/>
  <c r="CB47" i="5" s="1"/>
  <c r="BX44" i="1"/>
  <c r="BX46" i="1" s="1"/>
  <c r="BQ44" i="1"/>
  <c r="BQ46" i="1" s="1"/>
  <c r="BU46" i="5"/>
  <c r="BU47" i="5" s="1"/>
  <c r="CL46" i="5"/>
  <c r="CL47" i="5" s="1"/>
  <c r="CH44" i="1"/>
  <c r="CH46" i="1" s="1"/>
  <c r="BW46" i="5"/>
  <c r="BW47" i="5" s="1"/>
  <c r="BS44" i="1"/>
  <c r="BS46" i="1" s="1"/>
  <c r="CS42" i="1"/>
  <c r="CX46" i="5" s="1"/>
  <c r="CX47" i="5" s="1"/>
  <c r="CM44" i="1"/>
  <c r="CM46" i="1" s="1"/>
  <c r="CT44" i="1"/>
  <c r="CT46" i="1" s="1"/>
  <c r="CQ44" i="1"/>
  <c r="CQ46" i="1" s="1"/>
  <c r="CU46" i="5"/>
  <c r="CU47" i="5" s="1"/>
  <c r="BV46" i="5"/>
  <c r="BV47" i="5" s="1"/>
  <c r="BR44" i="1"/>
  <c r="BR46" i="1" s="1"/>
  <c r="K42" i="1"/>
  <c r="CN46" i="5"/>
  <c r="CN47" i="5" s="1"/>
  <c r="CJ44" i="1"/>
  <c r="CJ46" i="1" s="1"/>
  <c r="BT46" i="5"/>
  <c r="BT47" i="5" s="1"/>
  <c r="BP44" i="1"/>
  <c r="BP46" i="1" s="1"/>
  <c r="CC46" i="5"/>
  <c r="CC47" i="5" s="1"/>
  <c r="BY44" i="1"/>
  <c r="BY46" i="1" s="1"/>
  <c r="CD44" i="1"/>
  <c r="CD46" i="1" s="1"/>
  <c r="CH46" i="5"/>
  <c r="CH47" i="5" s="1"/>
  <c r="CU44" i="1"/>
  <c r="CU46" i="1" s="1"/>
  <c r="CY46" i="5"/>
  <c r="CY47" i="5" s="1"/>
  <c r="BN44" i="1"/>
  <c r="BN46" i="1" s="1"/>
  <c r="BR46" i="5"/>
  <c r="BR47" i="5" s="1"/>
  <c r="CE44" i="1"/>
  <c r="CE46" i="1" s="1"/>
  <c r="CI46" i="5"/>
  <c r="CI47" i="5" s="1"/>
  <c r="BY46" i="5"/>
  <c r="BY47" i="5" s="1"/>
  <c r="BU44" i="1"/>
  <c r="BU46" i="1" s="1"/>
  <c r="CR44" i="1"/>
  <c r="CR46" i="1" s="1"/>
  <c r="CV46" i="5"/>
  <c r="CV47" i="5" s="1"/>
  <c r="BE38" i="5"/>
  <c r="BE39" i="5" s="1"/>
  <c r="AZ14" i="1"/>
  <c r="AI13" i="7"/>
  <c r="H40" i="5"/>
  <c r="H23" i="7" s="1"/>
  <c r="CP42" i="1"/>
  <c r="J13" i="5"/>
  <c r="BQ45" i="5"/>
  <c r="BQ24" i="5"/>
  <c r="BQ37" i="5" s="1"/>
  <c r="BM44" i="1"/>
  <c r="BM46" i="1" s="1"/>
  <c r="BQ46" i="5"/>
  <c r="CE46" i="5"/>
  <c r="CE47" i="5" s="1"/>
  <c r="CA44" i="1"/>
  <c r="CA46" i="1" s="1"/>
  <c r="CO46" i="5"/>
  <c r="CK44" i="1"/>
  <c r="CK46" i="1" s="1"/>
  <c r="BC40" i="5"/>
  <c r="AY21" i="1"/>
  <c r="AY30" i="1" s="1"/>
  <c r="AY48" i="1" s="1"/>
  <c r="CV42" i="1"/>
  <c r="CF46" i="5"/>
  <c r="CF47" i="5" s="1"/>
  <c r="CB44" i="1"/>
  <c r="CB46" i="1" s="1"/>
  <c r="CD46" i="5"/>
  <c r="CD47" i="5" s="1"/>
  <c r="BZ44" i="1"/>
  <c r="BZ46" i="1" s="1"/>
  <c r="CM46" i="5"/>
  <c r="CM47" i="5" s="1"/>
  <c r="CI44" i="1"/>
  <c r="CI46" i="1" s="1"/>
  <c r="CK46" i="5"/>
  <c r="CK47" i="5" s="1"/>
  <c r="CG44" i="1"/>
  <c r="CG46" i="1" s="1"/>
  <c r="K24" i="5"/>
  <c r="K13" i="7"/>
  <c r="CP46" i="5" l="1"/>
  <c r="CP47" i="5" s="1"/>
  <c r="CL44" i="1"/>
  <c r="CL46" i="1" s="1"/>
  <c r="BD40" i="5"/>
  <c r="AZ21" i="1"/>
  <c r="AZ30" i="1" s="1"/>
  <c r="AZ48" i="1" s="1"/>
  <c r="H14" i="1"/>
  <c r="CO47" i="5"/>
  <c r="K46" i="5"/>
  <c r="K47" i="5" s="1"/>
  <c r="K44" i="1"/>
  <c r="BA14" i="1"/>
  <c r="BF38" i="5"/>
  <c r="BF39" i="5" s="1"/>
  <c r="X14" i="7"/>
  <c r="CZ46" i="5"/>
  <c r="CZ47" i="5" s="1"/>
  <c r="CV44" i="1"/>
  <c r="CV46" i="1" s="1"/>
  <c r="L42" i="1"/>
  <c r="BQ47" i="5"/>
  <c r="J45" i="5"/>
  <c r="J47" i="5" s="1"/>
  <c r="K37" i="5"/>
  <c r="K14" i="7"/>
  <c r="J24" i="5"/>
  <c r="J13" i="7"/>
  <c r="CT46" i="5"/>
  <c r="CT47" i="5" s="1"/>
  <c r="CP44" i="1"/>
  <c r="CP46" i="1" s="1"/>
  <c r="L24" i="5"/>
  <c r="L13" i="7"/>
  <c r="CS44" i="1"/>
  <c r="CS46" i="1" s="1"/>
  <c r="CW46" i="5"/>
  <c r="CW47" i="5" s="1"/>
  <c r="J46" i="5"/>
  <c r="J44" i="1"/>
  <c r="L44" i="1" l="1"/>
  <c r="L46" i="5"/>
  <c r="L47" i="5" s="1"/>
  <c r="BA21" i="1"/>
  <c r="BA30" i="1" s="1"/>
  <c r="BA48" i="1" s="1"/>
  <c r="BE40" i="5"/>
  <c r="K25" i="6"/>
  <c r="K46" i="1"/>
  <c r="K27" i="6" s="1"/>
  <c r="BG38" i="5"/>
  <c r="BG39" i="5" s="1"/>
  <c r="Y14" i="7"/>
  <c r="BB14" i="1"/>
  <c r="H14" i="6"/>
  <c r="H21" i="1"/>
  <c r="J37" i="5"/>
  <c r="J14" i="7"/>
  <c r="J46" i="1"/>
  <c r="J27" i="6" s="1"/>
  <c r="J25" i="6"/>
  <c r="L14" i="7"/>
  <c r="L37" i="5"/>
  <c r="K20" i="7"/>
  <c r="L20" i="7" l="1"/>
  <c r="H30" i="1"/>
  <c r="H15" i="6"/>
  <c r="J20" i="7"/>
  <c r="J39" i="5"/>
  <c r="BB21" i="1"/>
  <c r="BB30" i="1" s="1"/>
  <c r="BB48" i="1" s="1"/>
  <c r="BF40" i="5"/>
  <c r="Z14" i="7"/>
  <c r="BC14" i="1"/>
  <c r="BH38" i="5"/>
  <c r="BH39" i="5" s="1"/>
  <c r="L25" i="6"/>
  <c r="L46" i="1"/>
  <c r="L27" i="6" s="1"/>
  <c r="BG40" i="5" l="1"/>
  <c r="BC21" i="1"/>
  <c r="BC30" i="1" s="1"/>
  <c r="BC48" i="1" s="1"/>
  <c r="K38" i="5"/>
  <c r="J22" i="7"/>
  <c r="H48" i="1"/>
  <c r="H18" i="6"/>
  <c r="H29" i="6" s="1"/>
  <c r="AA14" i="7"/>
  <c r="BD14" i="1"/>
  <c r="BI38" i="5"/>
  <c r="BI39" i="5" s="1"/>
  <c r="BJ38" i="5" l="1"/>
  <c r="BJ39" i="5" s="1"/>
  <c r="BE14" i="1"/>
  <c r="AB14" i="7"/>
  <c r="BH40" i="5"/>
  <c r="BD21" i="1"/>
  <c r="BD30" i="1" s="1"/>
  <c r="BD48" i="1" s="1"/>
  <c r="K21" i="7"/>
  <c r="K39" i="5"/>
  <c r="BI40" i="5" l="1"/>
  <c r="BE21" i="1"/>
  <c r="BE30" i="1" s="1"/>
  <c r="BE48" i="1" s="1"/>
  <c r="L38" i="5"/>
  <c r="K22" i="7"/>
  <c r="BF14" i="1"/>
  <c r="AC14" i="7"/>
  <c r="BK38" i="5"/>
  <c r="BK39" i="5" s="1"/>
  <c r="BF21" i="1" l="1"/>
  <c r="BF30" i="1" s="1"/>
  <c r="BF48" i="1" s="1"/>
  <c r="BJ40" i="5"/>
  <c r="BL38" i="5"/>
  <c r="BL39" i="5" s="1"/>
  <c r="AD14" i="7"/>
  <c r="BG14" i="1"/>
  <c r="L21" i="7"/>
  <c r="L39" i="5"/>
  <c r="L22" i="7" s="1"/>
  <c r="BG21" i="1" l="1"/>
  <c r="BG30" i="1" s="1"/>
  <c r="BG48" i="1" s="1"/>
  <c r="BK40" i="5"/>
  <c r="AE14" i="7"/>
  <c r="BM38" i="5"/>
  <c r="BM39" i="5" s="1"/>
  <c r="BH14" i="1"/>
  <c r="BL40" i="5" l="1"/>
  <c r="BH21" i="1"/>
  <c r="BH30" i="1" s="1"/>
  <c r="BH48" i="1" s="1"/>
  <c r="BI14" i="1"/>
  <c r="BN38" i="5"/>
  <c r="BN39" i="5" s="1"/>
  <c r="AF14" i="7"/>
  <c r="AG14" i="7" l="1"/>
  <c r="BJ14" i="1"/>
  <c r="BO38" i="5"/>
  <c r="BO39" i="5" s="1"/>
  <c r="BI21" i="1"/>
  <c r="BI30" i="1" s="1"/>
  <c r="BI48" i="1" s="1"/>
  <c r="BM40" i="5"/>
  <c r="BP38" i="5" l="1"/>
  <c r="BP39" i="5" s="1"/>
  <c r="AH14" i="7"/>
  <c r="BK14" i="1"/>
  <c r="BJ21" i="1"/>
  <c r="BJ30" i="1" s="1"/>
  <c r="BJ48" i="1" s="1"/>
  <c r="BN40" i="5"/>
  <c r="BO40" i="5" l="1"/>
  <c r="BK21" i="1"/>
  <c r="BK30" i="1" s="1"/>
  <c r="BK48" i="1" s="1"/>
  <c r="BL14" i="1"/>
  <c r="BQ38" i="5"/>
  <c r="BQ39" i="5" s="1"/>
  <c r="AI14" i="7"/>
  <c r="I40" i="5"/>
  <c r="I23" i="7" s="1"/>
  <c r="BM14" i="1" l="1"/>
  <c r="BR38" i="5"/>
  <c r="BR39" i="5" s="1"/>
  <c r="BL21" i="1"/>
  <c r="BL30" i="1" s="1"/>
  <c r="BL48" i="1" s="1"/>
  <c r="BP40" i="5"/>
  <c r="I14" i="1"/>
  <c r="BN14" i="1" l="1"/>
  <c r="BS38" i="5"/>
  <c r="BS39" i="5" s="1"/>
  <c r="I14" i="6"/>
  <c r="I21" i="1"/>
  <c r="BQ40" i="5"/>
  <c r="BM21" i="1"/>
  <c r="BM30" i="1" s="1"/>
  <c r="BM48" i="1" s="1"/>
  <c r="I15" i="6" l="1"/>
  <c r="I30" i="1"/>
  <c r="BO14" i="1"/>
  <c r="BT38" i="5"/>
  <c r="BT39" i="5" s="1"/>
  <c r="BR40" i="5"/>
  <c r="BN21" i="1"/>
  <c r="BN30" i="1" s="1"/>
  <c r="BN48" i="1" s="1"/>
  <c r="BP14" i="1" l="1"/>
  <c r="BU38" i="5"/>
  <c r="BU39" i="5" s="1"/>
  <c r="I18" i="6"/>
  <c r="I29" i="6" s="1"/>
  <c r="I48" i="1"/>
  <c r="BS40" i="5"/>
  <c r="BO21" i="1"/>
  <c r="BO30" i="1" s="1"/>
  <c r="BO48" i="1" s="1"/>
  <c r="BV38" i="5" l="1"/>
  <c r="BV39" i="5" s="1"/>
  <c r="BQ14" i="1"/>
  <c r="BP21" i="1"/>
  <c r="BP30" i="1" s="1"/>
  <c r="BP48" i="1" s="1"/>
  <c r="BT40" i="5"/>
  <c r="BQ21" i="1" l="1"/>
  <c r="BQ30" i="1" s="1"/>
  <c r="BQ48" i="1" s="1"/>
  <c r="BU40" i="5"/>
  <c r="BW38" i="5"/>
  <c r="BW39" i="5" s="1"/>
  <c r="BR14" i="1"/>
  <c r="BV40" i="5" l="1"/>
  <c r="BR21" i="1"/>
  <c r="BR30" i="1" s="1"/>
  <c r="BR48" i="1" s="1"/>
  <c r="BS14" i="1"/>
  <c r="BX38" i="5"/>
  <c r="BX39" i="5" s="1"/>
  <c r="BT14" i="1" l="1"/>
  <c r="BY38" i="5"/>
  <c r="BY39" i="5" s="1"/>
  <c r="BS21" i="1"/>
  <c r="BS30" i="1" s="1"/>
  <c r="BS48" i="1" s="1"/>
  <c r="BW40" i="5"/>
  <c r="BZ38" i="5" l="1"/>
  <c r="BZ39" i="5" s="1"/>
  <c r="BU14" i="1"/>
  <c r="BX40" i="5"/>
  <c r="BT21" i="1"/>
  <c r="BT30" i="1" s="1"/>
  <c r="BT48" i="1" s="1"/>
  <c r="BU21" i="1" l="1"/>
  <c r="BU30" i="1" s="1"/>
  <c r="BU48" i="1" s="1"/>
  <c r="BY40" i="5"/>
  <c r="BV14" i="1"/>
  <c r="CA38" i="5"/>
  <c r="CA39" i="5" s="1"/>
  <c r="CB38" i="5" l="1"/>
  <c r="CB39" i="5" s="1"/>
  <c r="BW14" i="1"/>
  <c r="BV21" i="1"/>
  <c r="BV30" i="1" s="1"/>
  <c r="BV48" i="1" s="1"/>
  <c r="BZ40" i="5"/>
  <c r="BW21" i="1" l="1"/>
  <c r="BW30" i="1" s="1"/>
  <c r="BW48" i="1" s="1"/>
  <c r="CA40" i="5"/>
  <c r="CC38" i="5"/>
  <c r="CC39" i="5" s="1"/>
  <c r="BX14" i="1"/>
  <c r="J40" i="5"/>
  <c r="J23" i="7" s="1"/>
  <c r="J14" i="1" l="1"/>
  <c r="BX21" i="1"/>
  <c r="BX30" i="1" s="1"/>
  <c r="BX48" i="1" s="1"/>
  <c r="CB40" i="5"/>
  <c r="BY14" i="1"/>
  <c r="CD38" i="5"/>
  <c r="CD39" i="5" s="1"/>
  <c r="CE38" i="5" l="1"/>
  <c r="CE39" i="5" s="1"/>
  <c r="BZ14" i="1"/>
  <c r="BY21" i="1"/>
  <c r="BY30" i="1" s="1"/>
  <c r="BY48" i="1" s="1"/>
  <c r="CC40" i="5"/>
  <c r="J14" i="6"/>
  <c r="J21" i="1"/>
  <c r="J15" i="6" l="1"/>
  <c r="J30" i="1"/>
  <c r="CD40" i="5"/>
  <c r="BZ21" i="1"/>
  <c r="BZ30" i="1" s="1"/>
  <c r="BZ48" i="1" s="1"/>
  <c r="CF38" i="5"/>
  <c r="CF39" i="5" s="1"/>
  <c r="CA14" i="1"/>
  <c r="CE40" i="5" l="1"/>
  <c r="CA21" i="1"/>
  <c r="CA30" i="1" s="1"/>
  <c r="CA48" i="1" s="1"/>
  <c r="CB14" i="1"/>
  <c r="CG38" i="5"/>
  <c r="CG39" i="5" s="1"/>
  <c r="J48" i="1"/>
  <c r="J18" i="6"/>
  <c r="J29" i="6" s="1"/>
  <c r="CC14" i="1" l="1"/>
  <c r="CH38" i="5"/>
  <c r="CH39" i="5" s="1"/>
  <c r="CB21" i="1"/>
  <c r="CB30" i="1" s="1"/>
  <c r="CB48" i="1" s="1"/>
  <c r="CF40" i="5"/>
  <c r="CI38" i="5" l="1"/>
  <c r="CI39" i="5" s="1"/>
  <c r="CD14" i="1"/>
  <c r="CG40" i="5"/>
  <c r="CC21" i="1"/>
  <c r="CC30" i="1" s="1"/>
  <c r="CC48" i="1" s="1"/>
  <c r="CD21" i="1" l="1"/>
  <c r="CD30" i="1" s="1"/>
  <c r="CD48" i="1" s="1"/>
  <c r="CH40" i="5"/>
  <c r="CJ38" i="5"/>
  <c r="CJ39" i="5" s="1"/>
  <c r="CE14" i="1"/>
  <c r="CE21" i="1" l="1"/>
  <c r="CE30" i="1" s="1"/>
  <c r="CE48" i="1" s="1"/>
  <c r="CI40" i="5"/>
  <c r="CF14" i="1"/>
  <c r="CK38" i="5"/>
  <c r="CK39" i="5" s="1"/>
  <c r="CL38" i="5" l="1"/>
  <c r="CL39" i="5" s="1"/>
  <c r="CG14" i="1"/>
  <c r="CF21" i="1"/>
  <c r="CF30" i="1" s="1"/>
  <c r="CF48" i="1" s="1"/>
  <c r="CJ40" i="5"/>
  <c r="CK40" i="5" l="1"/>
  <c r="CG21" i="1"/>
  <c r="CG30" i="1" s="1"/>
  <c r="CG48" i="1" s="1"/>
  <c r="CH14" i="1"/>
  <c r="CM38" i="5"/>
  <c r="CM39" i="5" s="1"/>
  <c r="CN38" i="5" l="1"/>
  <c r="CN39" i="5" s="1"/>
  <c r="CI14" i="1"/>
  <c r="CH21" i="1"/>
  <c r="CH30" i="1" s="1"/>
  <c r="CH48" i="1" s="1"/>
  <c r="CL40" i="5"/>
  <c r="CI21" i="1" l="1"/>
  <c r="CI30" i="1" s="1"/>
  <c r="CI48" i="1" s="1"/>
  <c r="CM40" i="5"/>
  <c r="K40" i="5"/>
  <c r="K23" i="7" s="1"/>
  <c r="CO38" i="5"/>
  <c r="CO39" i="5" s="1"/>
  <c r="CJ14" i="1"/>
  <c r="K14" i="1" l="1"/>
  <c r="CJ21" i="1"/>
  <c r="CJ30" i="1" s="1"/>
  <c r="CJ48" i="1" s="1"/>
  <c r="CN40" i="5"/>
  <c r="CP38" i="5"/>
  <c r="CP39" i="5" s="1"/>
  <c r="CK14" i="1"/>
  <c r="CL14" i="1" l="1"/>
  <c r="CQ38" i="5"/>
  <c r="CQ39" i="5" s="1"/>
  <c r="CK21" i="1"/>
  <c r="CK30" i="1" s="1"/>
  <c r="CK48" i="1" s="1"/>
  <c r="CO40" i="5"/>
  <c r="K14" i="6"/>
  <c r="K21" i="1"/>
  <c r="K30" i="1" l="1"/>
  <c r="K15" i="6"/>
  <c r="CR38" i="5"/>
  <c r="CR39" i="5" s="1"/>
  <c r="CM14" i="1"/>
  <c r="CL21" i="1"/>
  <c r="CL30" i="1" s="1"/>
  <c r="CL48" i="1" s="1"/>
  <c r="CP40" i="5"/>
  <c r="CM21" i="1" l="1"/>
  <c r="CM30" i="1" s="1"/>
  <c r="CM48" i="1" s="1"/>
  <c r="CQ40" i="5"/>
  <c r="CN14" i="1"/>
  <c r="CS38" i="5"/>
  <c r="CS39" i="5" s="1"/>
  <c r="K48" i="1"/>
  <c r="K18" i="6"/>
  <c r="K29" i="6" s="1"/>
  <c r="CO14" i="1" l="1"/>
  <c r="CT38" i="5"/>
  <c r="CT39" i="5" s="1"/>
  <c r="CR40" i="5"/>
  <c r="CN21" i="1"/>
  <c r="CN30" i="1" s="1"/>
  <c r="CN48" i="1" s="1"/>
  <c r="CP14" i="1" l="1"/>
  <c r="CU38" i="5"/>
  <c r="CU39" i="5" s="1"/>
  <c r="CO21" i="1"/>
  <c r="CO30" i="1" s="1"/>
  <c r="CO48" i="1" s="1"/>
  <c r="CS40" i="5"/>
  <c r="CV38" i="5" l="1"/>
  <c r="CV39" i="5" s="1"/>
  <c r="CQ14" i="1"/>
  <c r="CP21" i="1"/>
  <c r="CP30" i="1" s="1"/>
  <c r="CP48" i="1" s="1"/>
  <c r="CT40" i="5"/>
  <c r="CU40" i="5" l="1"/>
  <c r="CQ21" i="1"/>
  <c r="CQ30" i="1" s="1"/>
  <c r="CQ48" i="1" s="1"/>
  <c r="CW38" i="5"/>
  <c r="CW39" i="5" s="1"/>
  <c r="CR14" i="1"/>
  <c r="CS14" i="1" l="1"/>
  <c r="CX38" i="5"/>
  <c r="CX39" i="5" s="1"/>
  <c r="CR21" i="1"/>
  <c r="CR30" i="1" s="1"/>
  <c r="CR48" i="1" s="1"/>
  <c r="CV40" i="5"/>
  <c r="CT14" i="1" l="1"/>
  <c r="CY38" i="5"/>
  <c r="CY39" i="5" s="1"/>
  <c r="CW40" i="5"/>
  <c r="CS21" i="1"/>
  <c r="CS30" i="1" s="1"/>
  <c r="CS48" i="1" s="1"/>
  <c r="CU14" i="1" l="1"/>
  <c r="CZ38" i="5"/>
  <c r="CZ39" i="5" s="1"/>
  <c r="CX40" i="5"/>
  <c r="CT21" i="1"/>
  <c r="CT30" i="1" s="1"/>
  <c r="CT48" i="1" s="1"/>
  <c r="CV14" i="1" l="1"/>
  <c r="L40" i="5"/>
  <c r="L23" i="7" s="1"/>
  <c r="CU21" i="1"/>
  <c r="CU30" i="1" s="1"/>
  <c r="CU48" i="1" s="1"/>
  <c r="CY40" i="5"/>
  <c r="CZ40" i="5" l="1"/>
  <c r="CV21" i="1"/>
  <c r="CV30" i="1" s="1"/>
  <c r="CV48" i="1" s="1"/>
  <c r="L14" i="1"/>
  <c r="L14" i="6" l="1"/>
  <c r="L21" i="1"/>
  <c r="L30" i="1" l="1"/>
  <c r="L15" i="6"/>
  <c r="L18" i="6" l="1"/>
  <c r="L29" i="6" s="1"/>
  <c r="L48" i="1"/>
</calcChain>
</file>

<file path=xl/sharedStrings.xml><?xml version="1.0" encoding="utf-8"?>
<sst xmlns="http://schemas.openxmlformats.org/spreadsheetml/2006/main" count="394" uniqueCount="238">
  <si>
    <t>Assets</t>
  </si>
  <si>
    <t>Inventory</t>
  </si>
  <si>
    <t>Prepaid Expenses</t>
  </si>
  <si>
    <t>Intercompany Receivable</t>
  </si>
  <si>
    <t>Other Current Assets</t>
  </si>
  <si>
    <t>Total Current Assets</t>
  </si>
  <si>
    <t>Intangibles</t>
  </si>
  <si>
    <t>Investments</t>
  </si>
  <si>
    <t>Other Assets</t>
  </si>
  <si>
    <t>Total Other Assets</t>
  </si>
  <si>
    <t>Total Assets</t>
  </si>
  <si>
    <t>Liabilities and Equity</t>
  </si>
  <si>
    <t>Accounts Payable</t>
  </si>
  <si>
    <t>Accrued Liabilities</t>
  </si>
  <si>
    <t>Other Liabilities</t>
  </si>
  <si>
    <t>Total Liabilities</t>
  </si>
  <si>
    <t>Retained Earnings</t>
  </si>
  <si>
    <t>Total Equity</t>
  </si>
  <si>
    <t>Total Liabilities &amp; Equity</t>
  </si>
  <si>
    <t>Variance Assets - Liab/Equity</t>
  </si>
  <si>
    <t>Cash</t>
  </si>
  <si>
    <t>Accounts Receivable</t>
  </si>
  <si>
    <t>Units</t>
  </si>
  <si>
    <t>Notes Payable</t>
  </si>
  <si>
    <t>Notes Receivable</t>
  </si>
  <si>
    <t>TOTAL LIABILITIES AND EQUITY</t>
  </si>
  <si>
    <t xml:space="preserve">   Total Equity</t>
  </si>
  <si>
    <t xml:space="preserve">      Net Income</t>
  </si>
  <si>
    <t xml:space="preserve">      Retained Earnings</t>
  </si>
  <si>
    <t xml:space="preserve">      Opening Balance Equity</t>
  </si>
  <si>
    <t xml:space="preserve">      Total 3000 Equity</t>
  </si>
  <si>
    <t xml:space="preserve">         Total 3200 Member Distributions</t>
  </si>
  <si>
    <t xml:space="preserve">            3250 Member Distributions - LW Global Management</t>
  </si>
  <si>
    <t xml:space="preserve">            3215 Member Distribution - C5 Footwear LLC</t>
  </si>
  <si>
    <t xml:space="preserve">         3200 Member Distributions</t>
  </si>
  <si>
    <t xml:space="preserve">         Total 3100 Member Contributions</t>
  </si>
  <si>
    <t xml:space="preserve">            3165 Member Contribution - Alliance Porto LLC</t>
  </si>
  <si>
    <t xml:space="preserve">            3160 Member Contribution - Two Bandits LLC</t>
  </si>
  <si>
    <t xml:space="preserve">            3155 Member Contribution - TTLN Consulting GmbH</t>
  </si>
  <si>
    <t xml:space="preserve">            3150 Member Contribution - The Nardin Wood Family Trust</t>
  </si>
  <si>
    <t xml:space="preserve">            3145 Member Contribution - Not Today, LLC</t>
  </si>
  <si>
    <t xml:space="preserve">            3140 Member Contribution - MSA Acceleration Partners AIV SC LLC</t>
  </si>
  <si>
    <t xml:space="preserve">            3135 Member Contribution - MCO Global Limited</t>
  </si>
  <si>
    <t xml:space="preserve">            3130 Member Contribution - Electric Feel Ventures Fund I LP</t>
  </si>
  <si>
    <t xml:space="preserve">            3125 Member Contribution - Carl Austin Rosen</t>
  </si>
  <si>
    <t xml:space="preserve">            3120 Member Contribution - Cannon Creatively LLC</t>
  </si>
  <si>
    <t xml:space="preserve">            3115 Member Contribution - C5 Footwear LLC</t>
  </si>
  <si>
    <t xml:space="preserve">            3110 Member Contribution - AsiaStar Growth Capital Limited</t>
  </si>
  <si>
    <t xml:space="preserve">            3105 Member Contribution - 1868 Univeritas Fund LP</t>
  </si>
  <si>
    <t xml:space="preserve">         3100 Member Contributions</t>
  </si>
  <si>
    <t xml:space="preserve">      3000 Equity</t>
  </si>
  <si>
    <t xml:space="preserve">   Equity</t>
  </si>
  <si>
    <t xml:space="preserve">   Total Liabilities</t>
  </si>
  <si>
    <t xml:space="preserve">      Total Long-Term Liabilities</t>
  </si>
  <si>
    <t xml:space="preserve">         Total 2800 Long Term Debt</t>
  </si>
  <si>
    <t xml:space="preserve">            2890 Accrued Interest</t>
  </si>
  <si>
    <t xml:space="preserve">            2805 Luke Wood Loan</t>
  </si>
  <si>
    <t xml:space="preserve">         2800 Long Term Debt</t>
  </si>
  <si>
    <t xml:space="preserve">      Long-Term Liabilities</t>
  </si>
  <si>
    <t xml:space="preserve">      Total Current Liabilities</t>
  </si>
  <si>
    <t xml:space="preserve">         Total Other Current Liabilities</t>
  </si>
  <si>
    <t xml:space="preserve">            Total 2300 Accrued Expenses</t>
  </si>
  <si>
    <t xml:space="preserve">               2310 Sales Tax Payable</t>
  </si>
  <si>
    <t xml:space="preserve">               Total 2305 Payroll Liabilities</t>
  </si>
  <si>
    <t xml:space="preserve">                  2306 401K Liability</t>
  </si>
  <si>
    <t xml:space="preserve">               2305 Payroll Liabilities</t>
  </si>
  <si>
    <t xml:space="preserve">            2300 Accrued Expenses</t>
  </si>
  <si>
    <t xml:space="preserve">         Other Current Liabilities</t>
  </si>
  <si>
    <t xml:space="preserve">         Total Credit Cards</t>
  </si>
  <si>
    <t xml:space="preserve">            Total 2100 Credit Cards</t>
  </si>
  <si>
    <t xml:space="preserve">               2105 AmEx - 01009</t>
  </si>
  <si>
    <t xml:space="preserve">            2100 Credit Cards</t>
  </si>
  <si>
    <t xml:space="preserve">         Credit Cards</t>
  </si>
  <si>
    <t xml:space="preserve">         Total Accounts Payable</t>
  </si>
  <si>
    <t xml:space="preserve">            2000 Accounts Payable</t>
  </si>
  <si>
    <t xml:space="preserve">         Accounts Payable</t>
  </si>
  <si>
    <t xml:space="preserve">      Current Liabilities</t>
  </si>
  <si>
    <t xml:space="preserve">   Liabilities</t>
  </si>
  <si>
    <t>LIABILITIES AND EQUITY</t>
  </si>
  <si>
    <t>TOTAL ASSETS</t>
  </si>
  <si>
    <t xml:space="preserve">   Total Other Assets</t>
  </si>
  <si>
    <t xml:space="preserve">      Total 1910 Promissory Note (Brain Dead Amusement LLC)</t>
  </si>
  <si>
    <t xml:space="preserve">         1911 Accrued Interest</t>
  </si>
  <si>
    <t xml:space="preserve">      1910 Promissory Note (Brain Dead Amusement LLC)</t>
  </si>
  <si>
    <t xml:space="preserve">      1900 Investment in Brain Dead LLC</t>
  </si>
  <si>
    <t xml:space="preserve">      1850 Deposits</t>
  </si>
  <si>
    <t xml:space="preserve">      Total 1800 Intangible Assets</t>
  </si>
  <si>
    <t xml:space="preserve">         1811 Start-Up Costs - Amortization</t>
  </si>
  <si>
    <t xml:space="preserve">         1810 Start-Up Costs</t>
  </si>
  <si>
    <t xml:space="preserve">         1806 Organizational Costs - Amortization</t>
  </si>
  <si>
    <t xml:space="preserve">         1805 Organizational Costs</t>
  </si>
  <si>
    <t xml:space="preserve">         1721 Leasehold Improv. - Accum Depr</t>
  </si>
  <si>
    <t xml:space="preserve">         1720 Leasehold Improvements Asset</t>
  </si>
  <si>
    <t xml:space="preserve">      1800 Intangible Assets</t>
  </si>
  <si>
    <t xml:space="preserve">   Other Assets</t>
  </si>
  <si>
    <t xml:space="preserve">   Total Fixed Assets</t>
  </si>
  <si>
    <t xml:space="preserve">      Office and Computer Equipment</t>
  </si>
  <si>
    <t xml:space="preserve">      Leasehold Improvements (deleted)</t>
  </si>
  <si>
    <t xml:space="preserve">      Leasehold Improvement</t>
  </si>
  <si>
    <t xml:space="preserve">      Total 1700 Fixed Assets</t>
  </si>
  <si>
    <t xml:space="preserve">         1713 Office Equip - Accum Depr</t>
  </si>
  <si>
    <t xml:space="preserve">         1712 Office and Computer Equipment</t>
  </si>
  <si>
    <t xml:space="preserve">         1711 Furniture &amp; Fixtures - Accum Depr</t>
  </si>
  <si>
    <t xml:space="preserve">         1710 Furniture &amp; Fixtures</t>
  </si>
  <si>
    <t xml:space="preserve">      1700 Fixed Assets</t>
  </si>
  <si>
    <t xml:space="preserve">   Fixed Assets</t>
  </si>
  <si>
    <t xml:space="preserve">   Total Current Assets</t>
  </si>
  <si>
    <t xml:space="preserve">      Total Other Current Assets</t>
  </si>
  <si>
    <t xml:space="preserve">         Undeposited Funds</t>
  </si>
  <si>
    <t xml:space="preserve">         Uncategorized Asset</t>
  </si>
  <si>
    <t xml:space="preserve">         Inventory Asset</t>
  </si>
  <si>
    <t xml:space="preserve">         Total 1400 Prepaids</t>
  </si>
  <si>
    <t xml:space="preserve">            1410 Other Prepaid Expenses</t>
  </si>
  <si>
    <t xml:space="preserve">            1405 Prepaid Inventory</t>
  </si>
  <si>
    <t xml:space="preserve">         1400 Prepaids</t>
  </si>
  <si>
    <t xml:space="preserve">         Total 1300 Inventory</t>
  </si>
  <si>
    <t xml:space="preserve">            1315 Packaging</t>
  </si>
  <si>
    <t xml:space="preserve">            1310 Raw Materials</t>
  </si>
  <si>
    <t xml:space="preserve">            1305 Finished Goods</t>
  </si>
  <si>
    <t xml:space="preserve">         1300 Inventory</t>
  </si>
  <si>
    <t xml:space="preserve">      Other Current Assets</t>
  </si>
  <si>
    <t xml:space="preserve">      Total Accounts Receivable</t>
  </si>
  <si>
    <t xml:space="preserve">         1200 Accounts Receivable</t>
  </si>
  <si>
    <t xml:space="preserve">      Accounts Receivable</t>
  </si>
  <si>
    <t xml:space="preserve">      Total Bank Accounts</t>
  </si>
  <si>
    <t xml:space="preserve">         1073 Bill.com Money In Clearing</t>
  </si>
  <si>
    <t xml:space="preserve">         1072 Bill.com Money Out Clearing</t>
  </si>
  <si>
    <t xml:space="preserve">         Total 1000 Cash</t>
  </si>
  <si>
    <t xml:space="preserve">            CNB Savings (9725)</t>
  </si>
  <si>
    <t xml:space="preserve">            CNB Operating (8899)</t>
  </si>
  <si>
    <t xml:space="preserve">            Bank 1</t>
  </si>
  <si>
    <t xml:space="preserve">            1090 Shopify Clearing</t>
  </si>
  <si>
    <t xml:space="preserve">         1000 Cash</t>
  </si>
  <si>
    <t xml:space="preserve">      Bank Accounts</t>
  </si>
  <si>
    <t xml:space="preserve">   Current Assets</t>
  </si>
  <si>
    <t>ASSETS</t>
  </si>
  <si>
    <t>Mapping</t>
  </si>
  <si>
    <t>Dec 2023</t>
  </si>
  <si>
    <t>Nov 2023</t>
  </si>
  <si>
    <t>Oct 2023</t>
  </si>
  <si>
    <t>Sep 2023</t>
  </si>
  <si>
    <t>Aug 2023</t>
  </si>
  <si>
    <t>Jul 2023</t>
  </si>
  <si>
    <t>Jun 2023</t>
  </si>
  <si>
    <t>May 2023</t>
  </si>
  <si>
    <t>Apr 2023</t>
  </si>
  <si>
    <t>Mar 2023</t>
  </si>
  <si>
    <t>Feb 2023</t>
  </si>
  <si>
    <t>Jan 2023</t>
  </si>
  <si>
    <t>As of December 31, 2023</t>
  </si>
  <si>
    <t>Balance Sheet</t>
  </si>
  <si>
    <t>Wood/Mangan Footwear, LLC</t>
  </si>
  <si>
    <t>Total</t>
  </si>
  <si>
    <t>Inventory Beginning Balance</t>
  </si>
  <si>
    <t>Inventory Sold</t>
  </si>
  <si>
    <t>Inventory Purchased</t>
  </si>
  <si>
    <t>Ending Inventory</t>
  </si>
  <si>
    <t>Leadtime Days</t>
  </si>
  <si>
    <t>x</t>
  </si>
  <si>
    <t>Gross Revenue</t>
  </si>
  <si>
    <t>Net Revenue</t>
  </si>
  <si>
    <t>Total Contras</t>
  </si>
  <si>
    <t>Cash Receipts</t>
  </si>
  <si>
    <t>Terms</t>
  </si>
  <si>
    <t>Lookup</t>
  </si>
  <si>
    <t>Check (60 day terms, manual adj)</t>
  </si>
  <si>
    <t>AR Aging</t>
  </si>
  <si>
    <t>Contra Release (timing same as cash receipt)</t>
  </si>
  <si>
    <t>Check</t>
  </si>
  <si>
    <t>Ending Contra Balance</t>
  </si>
  <si>
    <t>AP Invoice Build</t>
  </si>
  <si>
    <t>AP Payments</t>
  </si>
  <si>
    <t>AP Aging Balance</t>
  </si>
  <si>
    <t>A/R</t>
  </si>
  <si>
    <t>Inv</t>
  </si>
  <si>
    <t>A/P</t>
  </si>
  <si>
    <t>Contra Balance</t>
  </si>
  <si>
    <t>*Note, insert beg balance here for build</t>
  </si>
  <si>
    <t>Working Capital</t>
  </si>
  <si>
    <t>Operating Cash Flow</t>
  </si>
  <si>
    <t>Net Income</t>
  </si>
  <si>
    <t>Depreciation &amp; Amortization</t>
  </si>
  <si>
    <t>Change in Operating Assets / Liabilites</t>
  </si>
  <si>
    <t>Change in Accounts Receivable</t>
  </si>
  <si>
    <t>Change in Inventory</t>
  </si>
  <si>
    <t>Change in Prepaid Expenses</t>
  </si>
  <si>
    <t>Change in Other Current Assets</t>
  </si>
  <si>
    <t>Change in Accounts Payable</t>
  </si>
  <si>
    <t>Change in Accrued Expenses</t>
  </si>
  <si>
    <t>Change in Other Liabilities</t>
  </si>
  <si>
    <t>Cash Flow from Operations</t>
  </si>
  <si>
    <t>Investing Cash Flow</t>
  </si>
  <si>
    <t>Capital Expenditures</t>
  </si>
  <si>
    <t>Other Investing Activities</t>
  </si>
  <si>
    <t>Cash Flow from Investing</t>
  </si>
  <si>
    <t>Financing Cash Flow</t>
  </si>
  <si>
    <t>Issuance / (Payments) on Long-Term Debt</t>
  </si>
  <si>
    <t>Issuance / (Payments) in Stock</t>
  </si>
  <si>
    <t>Cash Flow from Financing</t>
  </si>
  <si>
    <t>Change in Cash</t>
  </si>
  <si>
    <t>Beginning Cash Balance</t>
  </si>
  <si>
    <t>Ending Cash Balance</t>
  </si>
  <si>
    <t>check</t>
  </si>
  <si>
    <t>Net Income check:</t>
  </si>
  <si>
    <t>Net Change in RE</t>
  </si>
  <si>
    <t>Variance</t>
  </si>
  <si>
    <t>Fixed Assets, net</t>
  </si>
  <si>
    <t xml:space="preserve">      Furniture &amp; Fixture - Accum Capex</t>
  </si>
  <si>
    <t xml:space="preserve">      Furniture &amp; Fixtures (deleted) - Accum Depr related to Capex</t>
  </si>
  <si>
    <t>Violet St Consolidated</t>
  </si>
  <si>
    <t>Confidential</t>
  </si>
  <si>
    <t>Pro Forma Balance Sheet</t>
  </si>
  <si>
    <t>Pro Forma Cash Flow Statement</t>
  </si>
  <si>
    <t>AOP 2024-2026</t>
  </si>
  <si>
    <t>**Actuals through Dec23, estimates through '26</t>
  </si>
  <si>
    <t>Depreciation estimate based on current FA, for current Fixed Assets</t>
  </si>
  <si>
    <t>Cash Flow Statement</t>
  </si>
  <si>
    <t>Balance Sheet (in $Ms)</t>
  </si>
  <si>
    <t>Q1-2024</t>
  </si>
  <si>
    <t>Q2-2024</t>
  </si>
  <si>
    <t>Q3-2024</t>
  </si>
  <si>
    <t>Q4-2024</t>
  </si>
  <si>
    <t>*Manual input of Other Receivable in row32, for Fry Guy Revenue</t>
  </si>
  <si>
    <t>Ending Cash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</si>
  <si>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</si>
  <si>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</si>
  <si>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</si>
  <si>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</si>
  <si>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</si>
  <si>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</si>
  <si>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</si>
  <si>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</si>
  <si>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</si>
  <si>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</si>
  <si>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</si>
  <si>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</si>
  <si>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 on hand, average of 3 month demand</t>
  </si>
  <si>
    <t>Forced Nov/Dec26 to tie to prior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</si>
</sst>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3" formatCode="_(* #,##0.00_);_(* \(#,##0.00\);_(* &quot;-&quot;??_);_(@_)"/>
    <numFmt numFmtId="164" formatCode="0.00000000\(&quot;A&quot;\)"/>
    <numFmt numFmtId="165" formatCode="[$-409]mmm\-yy;@"/>
    <numFmt numFmtId="166" formatCode="_(* #,##0_);_(* \(#,##0\);_(* &quot;-&quot;??_);_(@_)"/>
    <numFmt numFmtId="167" formatCode="#,##0.00\ _€"/>
    <numFmt numFmtId="168" formatCode="0.000000E+00"/>
    <numFmt numFmtId="169" formatCode="#,##0,_);\(#,##0,\)"/>
    <numFmt numFmtId="170" formatCode="#,##0\ _€"/>
    <numFmt numFmtId="171" formatCode="#,##0.0,,"/>
    <numFmt numFmtId="172" formatCode="&quot;$&quot;#,##0.0,,"/>
    <numFmt numFmtId="173" formatCode="_(* #,##0.0_);_(* \(#,##0.0\);_(* &quot;-&quot;??_);_(@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rgb="FF7030A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sz val="8"/>
      <color rgb="FF7030A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sz val="11"/>
      <color rgb="FF7030A0"/>
      <name val="Arial"/>
      <family val="2"/>
    </font>
    <font>
      <sz val="11"/>
      <name val="Arial"/>
      <family val="2"/>
    </font>
    <font>
      <sz val="8"/>
      <color rgb="FF00B050"/>
      <name val="Arial"/>
      <family val="2"/>
    </font>
    <font>
      <b/>
      <sz val="10"/>
      <color rgb="FF7030A0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lightGray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2" fillId="0" borderId="0"/>
    <xf numFmtId="0" fontId="1" fillId="0" borderId="0"/>
    <xf numFmtId="0" fontId="12" fillId="0" borderId="0"/>
    <xf numFmtId="0" fontId="17" fillId="0" borderId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5" fillId="0" borderId="0" xfId="2" applyFont="1" applyAlignment="1">
      <alignment horizontal="left" indent="1"/>
    </xf>
    <xf numFmtId="0" fontId="6" fillId="0" borderId="0" xfId="2" applyFont="1" applyAlignment="1">
      <alignment horizontal="left" indent="1"/>
    </xf>
    <xf numFmtId="0" fontId="7" fillId="0" borderId="0" xfId="2" applyFont="1" applyAlignment="1">
      <alignment horizontal="left" indent="1"/>
    </xf>
    <xf numFmtId="0" fontId="8" fillId="0" borderId="0" xfId="2" applyFont="1" applyAlignment="1">
      <alignment horizontal="left" indent="1"/>
    </xf>
    <xf numFmtId="0" fontId="9" fillId="0" borderId="0" xfId="2" applyFont="1" applyAlignment="1">
      <alignment horizontal="left" indent="1"/>
    </xf>
    <xf numFmtId="0" fontId="1" fillId="0" borderId="0" xfId="2" applyFont="1" applyAlignment="1">
      <alignment horizontal="left" indent="1"/>
    </xf>
    <xf numFmtId="0" fontId="9" fillId="0" borderId="1" xfId="2" applyFont="1" applyBorder="1" applyAlignment="1">
      <alignment horizontal="left" indent="1"/>
    </xf>
    <xf numFmtId="164" fontId="1" fillId="0" borderId="0" xfId="2" applyNumberFormat="1" applyFont="1" applyAlignment="1">
      <alignment horizontal="left" indent="1"/>
    </xf>
    <xf numFmtId="0" fontId="4" fillId="0" borderId="0" xfId="2" applyAlignment="1">
      <alignment horizontal="left" indent="1"/>
    </xf>
    <xf numFmtId="0" fontId="10" fillId="0" borderId="1" xfId="2" applyFont="1" applyBorder="1" applyAlignment="1">
      <alignment horizontal="left" indent="1"/>
    </xf>
    <xf numFmtId="43" fontId="11" fillId="0" borderId="0" xfId="1" applyFont="1"/>
    <xf numFmtId="0" fontId="1" fillId="0" borderId="0" xfId="4"/>
    <xf numFmtId="37" fontId="1" fillId="0" borderId="0" xfId="4" applyNumberFormat="1"/>
    <xf numFmtId="43" fontId="15" fillId="0" borderId="0" xfId="1" applyFont="1"/>
    <xf numFmtId="43" fontId="16" fillId="0" borderId="0" xfId="1" applyFont="1"/>
    <xf numFmtId="43" fontId="1" fillId="0" borderId="0" xfId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6" fontId="0" fillId="0" borderId="0" xfId="0" applyNumberFormat="1"/>
    <xf numFmtId="43" fontId="0" fillId="0" borderId="0" xfId="1" applyFont="1"/>
    <xf numFmtId="43" fontId="13" fillId="0" borderId="0" xfId="1" applyFont="1"/>
    <xf numFmtId="166" fontId="13" fillId="0" borderId="0" xfId="1" applyNumberFormat="1" applyFont="1"/>
    <xf numFmtId="166" fontId="1" fillId="0" borderId="3" xfId="1" applyNumberFormat="1" applyBorder="1"/>
    <xf numFmtId="166" fontId="2" fillId="0" borderId="1" xfId="1" applyNumberFormat="1" applyFont="1" applyBorder="1"/>
    <xf numFmtId="166" fontId="9" fillId="0" borderId="1" xfId="1" applyNumberFormat="1" applyFont="1" applyBorder="1"/>
    <xf numFmtId="166" fontId="14" fillId="0" borderId="3" xfId="1" applyNumberFormat="1" applyFont="1" applyBorder="1"/>
    <xf numFmtId="0" fontId="1" fillId="0" borderId="3" xfId="2" applyFont="1" applyBorder="1" applyAlignment="1">
      <alignment horizontal="left" indent="1"/>
    </xf>
    <xf numFmtId="0" fontId="17" fillId="0" borderId="0" xfId="6"/>
    <xf numFmtId="0" fontId="18" fillId="0" borderId="0" xfId="6" applyFont="1" applyAlignment="1">
      <alignment horizontal="center"/>
    </xf>
    <xf numFmtId="0" fontId="19" fillId="0" borderId="0" xfId="6" applyFont="1" applyAlignment="1">
      <alignment horizontal="left"/>
    </xf>
    <xf numFmtId="0" fontId="20" fillId="0" borderId="0" xfId="6" applyFont="1" applyAlignment="1">
      <alignment horizontal="center"/>
    </xf>
    <xf numFmtId="0" fontId="21" fillId="0" borderId="0" xfId="6" applyFont="1" applyAlignment="1">
      <alignment horizontal="center"/>
    </xf>
    <xf numFmtId="0" fontId="22" fillId="0" borderId="0" xfId="6" applyFont="1" applyAlignment="1">
      <alignment horizontal="center"/>
    </xf>
    <xf numFmtId="8" fontId="13" fillId="0" borderId="0" xfId="0" applyNumberFormat="1" applyFont="1"/>
    <xf numFmtId="166" fontId="1" fillId="0" borderId="0" xfId="1" applyNumberFormat="1"/>
    <xf numFmtId="166" fontId="2" fillId="0" borderId="3" xfId="1" applyNumberFormat="1" applyFont="1" applyBorder="1"/>
    <xf numFmtId="0" fontId="2" fillId="0" borderId="0" xfId="0" applyFont="1"/>
    <xf numFmtId="166" fontId="24" fillId="0" borderId="0" xfId="1" applyNumberFormat="1" applyFont="1"/>
    <xf numFmtId="0" fontId="2" fillId="3" borderId="0" xfId="0" applyFont="1" applyFill="1"/>
    <xf numFmtId="166" fontId="25" fillId="0" borderId="0" xfId="1" applyNumberFormat="1" applyFont="1"/>
    <xf numFmtId="0" fontId="3" fillId="5" borderId="0" xfId="0" applyFont="1" applyFill="1" applyAlignment="1">
      <alignment horizontal="right"/>
    </xf>
    <xf numFmtId="165" fontId="3" fillId="5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4" applyFill="1"/>
    <xf numFmtId="0" fontId="0" fillId="3" borderId="0" xfId="0" applyFill="1"/>
    <xf numFmtId="43" fontId="0" fillId="0" borderId="0" xfId="1" applyFont="1" applyAlignment="1">
      <alignment horizontal="right"/>
    </xf>
    <xf numFmtId="166" fontId="1" fillId="0" borderId="0" xfId="4" applyNumberFormat="1"/>
    <xf numFmtId="0" fontId="26" fillId="0" borderId="0" xfId="0" applyFont="1"/>
    <xf numFmtId="0" fontId="27" fillId="0" borderId="0" xfId="0" applyFont="1"/>
    <xf numFmtId="0" fontId="0" fillId="4" borderId="0" xfId="0" applyFill="1"/>
    <xf numFmtId="0" fontId="23" fillId="6" borderId="0" xfId="0" applyFont="1" applyFill="1"/>
    <xf numFmtId="0" fontId="0" fillId="7" borderId="0" xfId="0" applyFill="1"/>
    <xf numFmtId="43" fontId="0" fillId="7" borderId="0" xfId="1" applyFont="1" applyFill="1"/>
    <xf numFmtId="43" fontId="1" fillId="7" borderId="0" xfId="1" applyFill="1"/>
    <xf numFmtId="166" fontId="1" fillId="7" borderId="0" xfId="1" applyNumberFormat="1" applyFill="1"/>
    <xf numFmtId="43" fontId="1" fillId="8" borderId="0" xfId="1" applyFill="1"/>
    <xf numFmtId="43" fontId="1" fillId="0" borderId="0" xfId="4" applyNumberFormat="1"/>
    <xf numFmtId="168" fontId="0" fillId="0" borderId="0" xfId="0" applyNumberFormat="1"/>
    <xf numFmtId="166" fontId="24" fillId="3" borderId="4" xfId="1" applyNumberFormat="1" applyFont="1" applyFill="1" applyBorder="1"/>
    <xf numFmtId="0" fontId="10" fillId="0" borderId="0" xfId="2" applyFont="1" applyAlignment="1">
      <alignment horizontal="left" indent="1"/>
    </xf>
    <xf numFmtId="0" fontId="29" fillId="0" borderId="0" xfId="3" applyFont="1"/>
    <xf numFmtId="0" fontId="12" fillId="0" borderId="0" xfId="3"/>
    <xf numFmtId="0" fontId="31" fillId="0" borderId="0" xfId="6" applyFont="1" applyAlignment="1">
      <alignment horizontal="left" indent="1"/>
    </xf>
    <xf numFmtId="0" fontId="32" fillId="0" borderId="0" xfId="6" applyFont="1"/>
    <xf numFmtId="0" fontId="32" fillId="0" borderId="0" xfId="6" applyFont="1" applyAlignment="1">
      <alignment horizontal="left" indent="2"/>
    </xf>
    <xf numFmtId="0" fontId="32" fillId="0" borderId="0" xfId="6" applyFont="1" applyAlignment="1">
      <alignment horizontal="left" indent="3"/>
    </xf>
    <xf numFmtId="0" fontId="33" fillId="0" borderId="0" xfId="6" applyFont="1" applyAlignment="1">
      <alignment horizontal="left" indent="2"/>
    </xf>
    <xf numFmtId="0" fontId="32" fillId="0" borderId="0" xfId="6" applyFont="1" applyAlignment="1">
      <alignment horizontal="left" indent="1"/>
    </xf>
    <xf numFmtId="0" fontId="33" fillId="0" borderId="0" xfId="6" applyFont="1" applyAlignment="1">
      <alignment horizontal="left" indent="1"/>
    </xf>
    <xf numFmtId="0" fontId="12" fillId="0" borderId="0" xfId="3" applyAlignment="1">
      <alignment horizontal="left" indent="2"/>
    </xf>
    <xf numFmtId="166" fontId="34" fillId="0" borderId="0" xfId="1" applyNumberFormat="1" applyFont="1" applyAlignment="1">
      <alignment horizontal="left" indent="1"/>
    </xf>
    <xf numFmtId="166" fontId="30" fillId="0" borderId="0" xfId="1" applyNumberFormat="1" applyFont="1"/>
    <xf numFmtId="166" fontId="35" fillId="0" borderId="0" xfId="1" applyNumberFormat="1" applyFont="1"/>
    <xf numFmtId="0" fontId="36" fillId="0" borderId="0" xfId="3" applyFont="1"/>
    <xf numFmtId="0" fontId="32" fillId="0" borderId="0" xfId="3" applyFont="1" applyAlignment="1">
      <alignment horizontal="left" indent="1"/>
    </xf>
    <xf numFmtId="0" fontId="32" fillId="0" borderId="0" xfId="3" applyFont="1"/>
    <xf numFmtId="0" fontId="12" fillId="0" borderId="0" xfId="3" applyAlignment="1">
      <alignment horizontal="left" indent="1"/>
    </xf>
    <xf numFmtId="0" fontId="37" fillId="0" borderId="0" xfId="3" applyFont="1"/>
    <xf numFmtId="0" fontId="38" fillId="0" borderId="0" xfId="3" applyFont="1"/>
    <xf numFmtId="169" fontId="32" fillId="0" borderId="0" xfId="3" applyNumberFormat="1" applyFont="1"/>
    <xf numFmtId="166" fontId="34" fillId="0" borderId="0" xfId="1" applyNumberFormat="1" applyFont="1" applyBorder="1"/>
    <xf numFmtId="43" fontId="34" fillId="0" borderId="0" xfId="1" applyFont="1" applyBorder="1"/>
    <xf numFmtId="166" fontId="32" fillId="0" borderId="0" xfId="7" quotePrefix="1" applyNumberFormat="1" applyFont="1" applyBorder="1"/>
    <xf numFmtId="166" fontId="36" fillId="0" borderId="2" xfId="7" applyNumberFormat="1" applyFont="1" applyFill="1" applyBorder="1"/>
    <xf numFmtId="166" fontId="39" fillId="0" borderId="0" xfId="7" applyNumberFormat="1" applyFont="1" applyFill="1"/>
    <xf numFmtId="170" fontId="17" fillId="0" borderId="0" xfId="6" applyNumberFormat="1"/>
    <xf numFmtId="170" fontId="18" fillId="0" borderId="0" xfId="6" applyNumberFormat="1" applyFont="1"/>
    <xf numFmtId="170" fontId="18" fillId="0" borderId="0" xfId="6" applyNumberFormat="1" applyFont="1" applyAlignment="1">
      <alignment horizontal="right"/>
    </xf>
    <xf numFmtId="170" fontId="19" fillId="0" borderId="3" xfId="6" applyNumberFormat="1" applyFont="1" applyBorder="1" applyAlignment="1">
      <alignment horizontal="right"/>
    </xf>
    <xf numFmtId="170" fontId="28" fillId="0" borderId="0" xfId="1" applyNumberFormat="1" applyFont="1" applyAlignment="1">
      <alignment horizontal="right"/>
    </xf>
    <xf numFmtId="170" fontId="40" fillId="0" borderId="0" xfId="6" applyNumberFormat="1" applyFont="1" applyAlignment="1">
      <alignment horizontal="right"/>
    </xf>
    <xf numFmtId="170" fontId="28" fillId="0" borderId="0" xfId="6" applyNumberFormat="1" applyFont="1" applyAlignment="1">
      <alignment horizontal="right"/>
    </xf>
    <xf numFmtId="165" fontId="24" fillId="2" borderId="0" xfId="0" applyNumberFormat="1" applyFont="1" applyFill="1" applyAlignment="1">
      <alignment horizontal="right"/>
    </xf>
    <xf numFmtId="170" fontId="24" fillId="0" borderId="0" xfId="6" applyNumberFormat="1" applyFont="1"/>
    <xf numFmtId="170" fontId="42" fillId="0" borderId="0" xfId="6" applyNumberFormat="1" applyFont="1"/>
    <xf numFmtId="170" fontId="25" fillId="0" borderId="0" xfId="6" applyNumberFormat="1" applyFont="1"/>
    <xf numFmtId="166" fontId="32" fillId="0" borderId="0" xfId="1" applyNumberFormat="1" applyFont="1"/>
    <xf numFmtId="0" fontId="19" fillId="3" borderId="0" xfId="6" applyFont="1" applyFill="1" applyAlignment="1">
      <alignment horizontal="left"/>
    </xf>
    <xf numFmtId="166" fontId="36" fillId="0" borderId="0" xfId="1" quotePrefix="1" applyNumberFormat="1" applyFont="1" applyFill="1" applyBorder="1"/>
    <xf numFmtId="166" fontId="32" fillId="0" borderId="0" xfId="1" quotePrefix="1" applyNumberFormat="1" applyFont="1" applyFill="1" applyBorder="1"/>
    <xf numFmtId="166" fontId="12" fillId="0" borderId="0" xfId="1" applyNumberFormat="1" applyFont="1" applyAlignment="1">
      <alignment vertical="top"/>
    </xf>
    <xf numFmtId="166" fontId="36" fillId="0" borderId="0" xfId="1" applyNumberFormat="1" applyFont="1" applyFill="1" applyBorder="1"/>
    <xf numFmtId="166" fontId="33" fillId="0" borderId="0" xfId="1" applyNumberFormat="1" applyFont="1" applyFill="1" applyBorder="1"/>
    <xf numFmtId="166" fontId="12" fillId="0" borderId="0" xfId="1" applyNumberFormat="1" applyFont="1"/>
    <xf numFmtId="166" fontId="36" fillId="0" borderId="0" xfId="1" applyNumberFormat="1" applyFont="1"/>
    <xf numFmtId="166" fontId="36" fillId="0" borderId="2" xfId="1" applyNumberFormat="1" applyFont="1" applyFill="1" applyBorder="1"/>
    <xf numFmtId="166" fontId="33" fillId="0" borderId="0" xfId="1" applyNumberFormat="1" applyFont="1" applyBorder="1"/>
    <xf numFmtId="166" fontId="41" fillId="3" borderId="1" xfId="1" applyNumberFormat="1" applyFont="1" applyFill="1" applyBorder="1"/>
    <xf numFmtId="166" fontId="33" fillId="0" borderId="1" xfId="1" applyNumberFormat="1" applyFont="1" applyBorder="1"/>
    <xf numFmtId="0" fontId="20" fillId="0" borderId="2" xfId="0" applyFont="1" applyBorder="1" applyAlignment="1">
      <alignment horizontal="center" wrapText="1"/>
    </xf>
    <xf numFmtId="167" fontId="18" fillId="0" borderId="0" xfId="0" applyNumberFormat="1" applyFont="1" applyAlignment="1">
      <alignment wrapText="1"/>
    </xf>
    <xf numFmtId="166" fontId="13" fillId="9" borderId="0" xfId="1" applyNumberFormat="1" applyFont="1" applyFill="1"/>
    <xf numFmtId="0" fontId="23" fillId="0" borderId="5" xfId="0" applyFont="1" applyBorder="1"/>
    <xf numFmtId="43" fontId="0" fillId="0" borderId="0" xfId="1" applyFont="1" applyFill="1"/>
    <xf numFmtId="43" fontId="1" fillId="0" borderId="0" xfId="1" applyFill="1"/>
    <xf numFmtId="166" fontId="1" fillId="0" borderId="0" xfId="1" applyNumberFormat="1" applyFill="1"/>
    <xf numFmtId="0" fontId="43" fillId="0" borderId="0" xfId="6" applyFont="1"/>
    <xf numFmtId="170" fontId="18" fillId="0" borderId="0" xfId="0" applyNumberFormat="1" applyFont="1" applyAlignment="1">
      <alignment wrapText="1"/>
    </xf>
    <xf numFmtId="170" fontId="18" fillId="0" borderId="0" xfId="0" applyNumberFormat="1" applyFont="1" applyAlignment="1">
      <alignment horizontal="right" wrapText="1"/>
    </xf>
    <xf numFmtId="170" fontId="19" fillId="0" borderId="3" xfId="0" applyNumberFormat="1" applyFont="1" applyBorder="1" applyAlignment="1">
      <alignment horizontal="right" wrapText="1"/>
    </xf>
    <xf numFmtId="0" fontId="42" fillId="0" borderId="0" xfId="6" applyFont="1"/>
    <xf numFmtId="0" fontId="44" fillId="0" borderId="0" xfId="6" applyFont="1"/>
    <xf numFmtId="0" fontId="45" fillId="0" borderId="0" xfId="0" applyFont="1"/>
    <xf numFmtId="37" fontId="2" fillId="0" borderId="0" xfId="4" applyNumberFormat="1" applyFont="1"/>
    <xf numFmtId="0" fontId="2" fillId="0" borderId="0" xfId="2" applyFont="1" applyAlignment="1">
      <alignment horizontal="left" indent="1"/>
    </xf>
    <xf numFmtId="171" fontId="0" fillId="0" borderId="0" xfId="0" applyNumberFormat="1"/>
    <xf numFmtId="172" fontId="2" fillId="10" borderId="3" xfId="0" applyNumberFormat="1" applyFont="1" applyFill="1" applyBorder="1"/>
    <xf numFmtId="166" fontId="33" fillId="0" borderId="3" xfId="1" applyNumberFormat="1" applyFont="1" applyBorder="1"/>
    <xf numFmtId="0" fontId="2" fillId="10" borderId="3" xfId="2" applyFont="1" applyFill="1" applyBorder="1" applyAlignment="1">
      <alignment horizontal="left" indent="1"/>
    </xf>
    <xf numFmtId="0" fontId="3" fillId="0" borderId="0" xfId="0" applyFont="1"/>
    <xf numFmtId="0" fontId="3" fillId="0" borderId="0" xfId="0" applyFont="1" applyAlignment="1">
      <alignment horizontal="right"/>
    </xf>
    <xf numFmtId="170" fontId="34" fillId="11" borderId="0" xfId="0" applyNumberFormat="1" applyFont="1" applyFill="1" applyAlignment="1">
      <alignment horizontal="right" wrapText="1"/>
    </xf>
    <xf numFmtId="43" fontId="18" fillId="0" borderId="0" xfId="1" applyFont="1"/>
    <xf numFmtId="173" fontId="1" fillId="0" borderId="0" xfId="1" applyNumberFormat="1"/>
    <xf numFmtId="0" fontId="0" fillId="12" borderId="0" xfId="0" applyFill="1"/>
    <xf numFmtId="166" fontId="41" fillId="0" borderId="1" xfId="1" applyNumberFormat="1" applyFont="1" applyFill="1" applyBorder="1"/>
  </cellXfs>
  <cellStyles count="9">
    <cellStyle name="Comma" xfId="1" builtinId="3"/>
    <cellStyle name="Comma 3" xfId="7" xr:uid="{6AE2BC06-6EE2-4BE7-BAF2-31155B7F5991}"/>
    <cellStyle name="Comma 5" xfId="8" xr:uid="{17C92994-B690-48D0-8C5B-68B9036A9420}"/>
    <cellStyle name="Normal" xfId="0" builtinId="0"/>
    <cellStyle name="Normal 2" xfId="6" xr:uid="{6D52358F-A368-4447-8EDD-C9D729F1182D}"/>
    <cellStyle name="Normal 2 2 2" xfId="5" xr:uid="{840F5896-58BA-4925-BEFE-2C25BB44EDD1}"/>
    <cellStyle name="Normal 2 3 2" xfId="2" xr:uid="{001A3D68-2A08-4116-B530-5EFD4D55D337}"/>
    <cellStyle name="Normal 3" xfId="3" xr:uid="{04F2E6C5-408D-4B14-8D60-52E3165C5F65}"/>
    <cellStyle name="Normal 5 2" xfId="4" xr:uid="{DC4F3526-2D86-4D80-974A-01B2AE7149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CFSPres!$W$12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CFSPres!$X$12:$AI$12</c:f>
              <c:numCache>
                <c:formatCode>"$"#,##0.0,,</c:formatCode>
                <c:ptCount val="12"/>
                <c:pt idx="0">
                  <c:v>5140932.7566666678</c:v>
                </c:pt>
                <c:pt idx="1">
                  <c:v>2788558.0933333347</c:v>
                </c:pt>
                <c:pt idx="2">
                  <c:v>1405842.060000001</c:v>
                </c:pt>
                <c:pt idx="3">
                  <c:v>615898.72666666785</c:v>
                </c:pt>
                <c:pt idx="4">
                  <c:v>259924.89333333459</c:v>
                </c:pt>
                <c:pt idx="5">
                  <c:v>-359624.48082601349</c:v>
                </c:pt>
                <c:pt idx="6">
                  <c:v>-589963.80407152313</c:v>
                </c:pt>
                <c:pt idx="7">
                  <c:v>-1339462.6374048565</c:v>
                </c:pt>
                <c:pt idx="8">
                  <c:v>-1957362.5523902192</c:v>
                </c:pt>
                <c:pt idx="9">
                  <c:v>-3063834.3857235527</c:v>
                </c:pt>
                <c:pt idx="10">
                  <c:v>-3999563.2190568857</c:v>
                </c:pt>
                <c:pt idx="11">
                  <c:v>-5193407.7523902189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9-4D82-B628-59BA74D83E3E}"/>
            </c:ext>
          </c:extLst>
        </c:ser>
        <c:ser>
          <c:idx val="1"/>
          <c:order val="1"/>
          <c:tx>
            <c:strRef>
              <c:f>CFSPres!$W$13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CFSPres!$X$13:$AI$13</c:f>
              <c:numCache>
                <c:formatCode>"$"#,##0.0,,</c:formatCode>
                <c:ptCount val="12"/>
                <c:pt idx="0">
                  <c:v>-5777953.6190568861</c:v>
                </c:pt>
                <c:pt idx="1">
                  <c:v>-6862940.8106938824</c:v>
                </c:pt>
                <c:pt idx="2">
                  <c:v>-7604997.1773605496</c:v>
                </c:pt>
                <c:pt idx="3">
                  <c:v>-7466948.3440272156</c:v>
                </c:pt>
                <c:pt idx="4">
                  <c:v>-8435124.8009858355</c:v>
                </c:pt>
                <c:pt idx="5">
                  <c:v>-9033018.2108758576</c:v>
                </c:pt>
                <c:pt idx="6">
                  <c:v>-9654373.8551594242</c:v>
                </c:pt>
                <c:pt idx="7">
                  <c:v>-10732056.815480653</c:v>
                </c:pt>
                <c:pt idx="8">
                  <c:v>-11699829.463411661</c:v>
                </c:pt>
                <c:pt idx="9">
                  <c:v>-11341931.835838277</c:v>
                </c:pt>
                <c:pt idx="10">
                  <c:v>-11453459.604324708</c:v>
                </c:pt>
                <c:pt idx="11">
                  <c:v>-11471749.950428039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C9-4D82-B628-59BA74D83E3E}"/>
            </c:ext>
          </c:extLst>
        </c:ser>
        <c:ser>
          <c:idx val="2"/>
          <c:order val="2"/>
          <c:tx>
            <c:strRef>
              <c:f>CFSPres!$W$14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CFSPres!$X$14:$AI$14</c:f>
              <c:numCache>
                <c:formatCode>"$"#,##0.0,,</c:formatCode>
                <c:ptCount val="12"/>
                <c:pt idx="0">
                  <c:v>-14001594.756348208</c:v>
                </c:pt>
                <c:pt idx="1">
                  <c:v>-14993796.185513886</c:v>
                </c:pt>
                <c:pt idx="2">
                  <c:v>-14220877.446390932</c:v>
                </c:pt>
                <c:pt idx="3">
                  <c:v>-13070140.995257536</c:v>
                </c:pt>
                <c:pt idx="4">
                  <c:v>-13800764.073224543</c:v>
                </c:pt>
                <c:pt idx="5">
                  <c:v>-13763691.730446238</c:v>
                </c:pt>
                <c:pt idx="6">
                  <c:v>-15367164.637608593</c:v>
                </c:pt>
                <c:pt idx="7">
                  <c:v>-16103197.744011395</c:v>
                </c:pt>
                <c:pt idx="8">
                  <c:v>-14853225.742636681</c:v>
                </c:pt>
                <c:pt idx="9">
                  <c:v>-14240529.041546801</c:v>
                </c:pt>
                <c:pt idx="10">
                  <c:v>-13688401.7385343</c:v>
                </c:pt>
                <c:pt idx="11">
                  <c:v>-13105877.924959254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C9-4D82-B628-59BA74D83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489039"/>
        <c:axId val="378525279"/>
      </c:lineChart>
      <c:catAx>
        <c:axId val="413489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25279"/>
        <c:crosses val="autoZero"/>
        <c:auto val="1"/>
        <c:lblAlgn val="ctr"/>
        <c:lblOffset val="100"/>
        <c:noMultiLvlLbl val="0"/>
      </c:catAx>
      <c:valAx>
        <c:axId val="3785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,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8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39219</xdr:colOff>
      <xdr:row>16</xdr:row>
      <xdr:rowOff>129989</xdr:rowOff>
    </xdr:from>
    <xdr:to>
      <xdr:col>36</xdr:col>
      <xdr:colOff>156882</xdr:colOff>
      <xdr:row>37</xdr:row>
      <xdr:rowOff>156883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BCE371-9E10-48E7-FA16-461402B85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36</xdr:row>
      <xdr:rowOff>0</xdr:rowOff>
    </xdr:from>
    <xdr:to>
      <xdr:col>19</xdr:col>
      <xdr:colOff>28574</xdr:colOff>
      <xdr:row>48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57694F-D1E3-B908-ECB9-77825C74F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6905625"/>
          <a:ext cx="6105525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Finance\AOP%202024\VS%20AOP%202024-29%20v3.18.24%20Updated%20MSA%20Royalty%20Ice.xlsx" TargetMode="External"/><Relationship Id="rId1" Type="http://schemas.openxmlformats.org/officeDocument/2006/relationships/externalLinkPath" Target="VS%20AOP%202024-29%20v3.18.24%20Updated%20MSA%20Royalty%20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ey"/>
      <sheetName val="ConsolIS"/>
      <sheetName val="SummISEntity"/>
      <sheetName val="SummaryISYY"/>
      <sheetName val="PresIS"/>
      <sheetName val="start"/>
      <sheetName val="Corp"/>
      <sheetName val="Bari"/>
      <sheetName val="BDAOakley"/>
      <sheetName val="Growth"/>
      <sheetName val="Ice"/>
      <sheetName val="Murakami"/>
      <sheetName val="NP1"/>
      <sheetName val="NP2"/>
      <sheetName val="Pigalle"/>
      <sheetName val="Sport"/>
      <sheetName val="Spunge"/>
      <sheetName val="Sunflower"/>
      <sheetName val="end"/>
      <sheetName val="EntityIS3yr"/>
      <sheetName val="EntityIS"/>
      <sheetName val="Summary&gt;"/>
      <sheetName val="RevSumm"/>
      <sheetName val="CostSumm"/>
      <sheetName val="PaySumm"/>
      <sheetName val="Units&gt;"/>
      <sheetName val="units"/>
      <sheetName val="rev"/>
      <sheetName val="cost"/>
      <sheetName val="tariffs"/>
      <sheetName val="GP&gt;"/>
      <sheetName val="contras"/>
      <sheetName val="freightin"/>
      <sheetName val="tariffsumm"/>
      <sheetName val="obs"/>
      <sheetName val="OPEX&gt;"/>
      <sheetName val="freightrevout"/>
      <sheetName val="fulfillment"/>
      <sheetName val="sales"/>
      <sheetName val="marketing"/>
      <sheetName val="proddev"/>
      <sheetName val="design"/>
      <sheetName val="ops"/>
      <sheetName val="it"/>
      <sheetName val="hr"/>
      <sheetName val="ga"/>
      <sheetName val="legal"/>
      <sheetName val="DA"/>
      <sheetName val="Int"/>
      <sheetName val="Ref&gt;"/>
      <sheetName val="BSSched"/>
      <sheetName val="TE"/>
      <sheetName val="Payroll"/>
      <sheetName val="Recruiting"/>
      <sheetName val="mkt"/>
      <sheetName val="Charts"/>
      <sheetName val="23SepBod"/>
      <sheetName val="ConsolChart 23"/>
      <sheetName val="ConsolChart"/>
      <sheetName val="RevChart"/>
      <sheetName val="BariChart"/>
      <sheetName val="BDAChart"/>
      <sheetName val="GrowthChart"/>
      <sheetName val="IceChart"/>
      <sheetName val="MuraChart"/>
      <sheetName val="NP1Chart"/>
      <sheetName val="NP2Chart"/>
      <sheetName val="PigalleChart"/>
      <sheetName val="SportChart"/>
      <sheetName val="SpungeChart"/>
      <sheetName val="SunChart"/>
      <sheetName val="PayChart"/>
      <sheetName val="YoYChart"/>
      <sheetName val="RevMixSumm"/>
      <sheetName val="UnitChart"/>
      <sheetName val="ISCheck"/>
      <sheetName val="RevPresent"/>
      <sheetName val="Act23"/>
      <sheetName val="GLAct23"/>
    </sheetNames>
    <sheetDataSet>
      <sheetData sheetId="0">
        <row r="12">
          <cell r="C12" t="str">
            <v>BARI</v>
          </cell>
          <cell r="D12" t="str">
            <v>Wholesale</v>
          </cell>
          <cell r="R12">
            <v>60</v>
          </cell>
          <cell r="W12" t="str">
            <v>BARI</v>
          </cell>
          <cell r="AD12">
            <v>-60</v>
          </cell>
          <cell r="AE12">
            <v>60</v>
          </cell>
        </row>
        <row r="13">
          <cell r="C13" t="str">
            <v>BRAIN DEAD OAKLEY</v>
          </cell>
          <cell r="D13" t="str">
            <v>Wholesale</v>
          </cell>
          <cell r="R13">
            <v>60</v>
          </cell>
          <cell r="W13" t="str">
            <v>BRAIN DEAD OAKLEY</v>
          </cell>
          <cell r="AD13">
            <v>-60</v>
          </cell>
        </row>
        <row r="14">
          <cell r="C14" t="str">
            <v>GROWTH "HIT" PH</v>
          </cell>
          <cell r="D14" t="str">
            <v>Wholesale</v>
          </cell>
          <cell r="R14">
            <v>60</v>
          </cell>
          <cell r="W14" t="str">
            <v>GROWTH "HIT" PH</v>
          </cell>
          <cell r="AD14">
            <v>-60</v>
          </cell>
        </row>
        <row r="15">
          <cell r="C15" t="str">
            <v>ICE STUDIOS</v>
          </cell>
          <cell r="D15" t="str">
            <v>Wholesale</v>
          </cell>
          <cell r="R15">
            <v>60</v>
          </cell>
          <cell r="W15" t="str">
            <v>ICE STUDIOS</v>
          </cell>
          <cell r="AD15">
            <v>-60</v>
          </cell>
        </row>
        <row r="16">
          <cell r="C16" t="str">
            <v>MURAKAMI / TORITON</v>
          </cell>
          <cell r="D16" t="str">
            <v>Wholesale</v>
          </cell>
          <cell r="R16">
            <v>60</v>
          </cell>
          <cell r="W16" t="str">
            <v>MURAKAMI / TORITON</v>
          </cell>
          <cell r="AD16">
            <v>-60</v>
          </cell>
        </row>
        <row r="17">
          <cell r="C17" t="str">
            <v>NEW PARTNER 1</v>
          </cell>
          <cell r="D17" t="str">
            <v>Wholesale</v>
          </cell>
          <cell r="R17">
            <v>60</v>
          </cell>
          <cell r="W17" t="str">
            <v>NEW PARTNER 1</v>
          </cell>
          <cell r="AD17">
            <v>-60</v>
          </cell>
        </row>
        <row r="18">
          <cell r="C18" t="str">
            <v>NEW PARTNER 2</v>
          </cell>
          <cell r="D18" t="str">
            <v>Wholesale</v>
          </cell>
          <cell r="R18">
            <v>60</v>
          </cell>
          <cell r="W18" t="str">
            <v>NEW PARTNER 2</v>
          </cell>
          <cell r="AD18">
            <v>-60</v>
          </cell>
        </row>
        <row r="19">
          <cell r="C19" t="str">
            <v>PIGALLE</v>
          </cell>
          <cell r="D19" t="str">
            <v>Wholesale</v>
          </cell>
          <cell r="R19">
            <v>60</v>
          </cell>
          <cell r="W19" t="str">
            <v>PIGALLE</v>
          </cell>
          <cell r="AD19">
            <v>-60</v>
          </cell>
        </row>
        <row r="20">
          <cell r="C20" t="str">
            <v>SPORT PLACEHOLDER</v>
          </cell>
          <cell r="D20" t="str">
            <v>Wholesale</v>
          </cell>
          <cell r="R20">
            <v>60</v>
          </cell>
          <cell r="W20" t="str">
            <v>SPORT PLACEHOLDER</v>
          </cell>
          <cell r="AD20">
            <v>-60</v>
          </cell>
        </row>
        <row r="21">
          <cell r="C21" t="str">
            <v>SPUNGE</v>
          </cell>
          <cell r="D21" t="str">
            <v>Wholesale</v>
          </cell>
          <cell r="R21">
            <v>60</v>
          </cell>
          <cell r="W21" t="str">
            <v>SPUNGE</v>
          </cell>
          <cell r="AD21">
            <v>-60</v>
          </cell>
        </row>
        <row r="22">
          <cell r="C22" t="str">
            <v>SUNFLOWER</v>
          </cell>
          <cell r="D22" t="str">
            <v>Wholesale</v>
          </cell>
          <cell r="R22">
            <v>60</v>
          </cell>
          <cell r="W22" t="str">
            <v>SUNFLOWER</v>
          </cell>
          <cell r="AD22">
            <v>-60</v>
          </cell>
        </row>
        <row r="23">
          <cell r="C23" t="str">
            <v>BARI</v>
          </cell>
          <cell r="D23" t="str">
            <v>DTC</v>
          </cell>
          <cell r="R23">
            <v>0</v>
          </cell>
          <cell r="W23" t="str">
            <v>Corporate</v>
          </cell>
          <cell r="AD23">
            <v>0</v>
          </cell>
        </row>
        <row r="24">
          <cell r="C24" t="str">
            <v>BRAIN DEAD OAKLEY</v>
          </cell>
          <cell r="D24" t="str">
            <v>DTC</v>
          </cell>
          <cell r="R24">
            <v>0</v>
          </cell>
        </row>
        <row r="25">
          <cell r="C25" t="str">
            <v>GROWTH "HIT" PH</v>
          </cell>
          <cell r="D25" t="str">
            <v>DTC</v>
          </cell>
          <cell r="R25">
            <v>0</v>
          </cell>
        </row>
        <row r="26">
          <cell r="C26" t="str">
            <v>ICE STUDIOS</v>
          </cell>
          <cell r="D26" t="str">
            <v>DTC</v>
          </cell>
          <cell r="R26">
            <v>0</v>
          </cell>
        </row>
        <row r="27">
          <cell r="C27" t="str">
            <v>MURAKAMI / TORITON</v>
          </cell>
          <cell r="D27" t="str">
            <v>DTC</v>
          </cell>
          <cell r="R27">
            <v>0</v>
          </cell>
        </row>
        <row r="28">
          <cell r="C28" t="str">
            <v>NEW PARTNER 1</v>
          </cell>
          <cell r="D28" t="str">
            <v>DTC</v>
          </cell>
          <cell r="R28">
            <v>0</v>
          </cell>
        </row>
        <row r="29">
          <cell r="C29" t="str">
            <v>NEW PARTNER 2</v>
          </cell>
          <cell r="D29" t="str">
            <v>DTC</v>
          </cell>
          <cell r="R29">
            <v>0</v>
          </cell>
        </row>
        <row r="30">
          <cell r="C30" t="str">
            <v>PIGALLE</v>
          </cell>
          <cell r="D30" t="str">
            <v>DTC</v>
          </cell>
          <cell r="R30">
            <v>0</v>
          </cell>
        </row>
        <row r="31">
          <cell r="C31" t="str">
            <v>SPORT PLACEHOLDER</v>
          </cell>
          <cell r="D31" t="str">
            <v>DTC</v>
          </cell>
          <cell r="R31">
            <v>0</v>
          </cell>
        </row>
        <row r="32">
          <cell r="C32" t="str">
            <v>SPUNGE</v>
          </cell>
          <cell r="D32" t="str">
            <v>DTC</v>
          </cell>
          <cell r="R32">
            <v>0</v>
          </cell>
        </row>
        <row r="33">
          <cell r="C33" t="str">
            <v>SUNFLOWER</v>
          </cell>
          <cell r="D33" t="str">
            <v>DTC</v>
          </cell>
          <cell r="R33">
            <v>0</v>
          </cell>
        </row>
        <row r="34">
          <cell r="C34" t="str">
            <v>Corporate</v>
          </cell>
          <cell r="D34" t="str">
            <v>N/A</v>
          </cell>
          <cell r="R34">
            <v>30</v>
          </cell>
        </row>
        <row r="35">
          <cell r="C35" t="str">
            <v>Other Revenue</v>
          </cell>
          <cell r="D35" t="str">
            <v>N/A</v>
          </cell>
          <cell r="R35">
            <v>30</v>
          </cell>
        </row>
      </sheetData>
      <sheetData sheetId="1">
        <row r="32">
          <cell r="BE32">
            <v>0</v>
          </cell>
          <cell r="BF32">
            <v>0</v>
          </cell>
          <cell r="BG32">
            <v>138720</v>
          </cell>
          <cell r="BH32">
            <v>14450</v>
          </cell>
          <cell r="BI32">
            <v>0</v>
          </cell>
          <cell r="BJ32">
            <v>14450</v>
          </cell>
          <cell r="BK32">
            <v>346800</v>
          </cell>
          <cell r="BL32">
            <v>0</v>
          </cell>
          <cell r="BM32">
            <v>28900</v>
          </cell>
          <cell r="BN32">
            <v>24300</v>
          </cell>
          <cell r="BO32">
            <v>136860</v>
          </cell>
          <cell r="BP32">
            <v>275920</v>
          </cell>
          <cell r="BQ32">
            <v>58320</v>
          </cell>
          <cell r="BR32">
            <v>861020</v>
          </cell>
          <cell r="BS32">
            <v>132320</v>
          </cell>
          <cell r="BT32">
            <v>0</v>
          </cell>
          <cell r="BU32">
            <v>357400</v>
          </cell>
          <cell r="BV32">
            <v>627340</v>
          </cell>
          <cell r="BW32">
            <v>186040</v>
          </cell>
          <cell r="BX32">
            <v>989000.00000000012</v>
          </cell>
          <cell r="BY32">
            <v>942840</v>
          </cell>
          <cell r="BZ32">
            <v>591840</v>
          </cell>
          <cell r="CA32">
            <v>590560</v>
          </cell>
          <cell r="CB32">
            <v>1208660</v>
          </cell>
          <cell r="CC32">
            <v>2317160</v>
          </cell>
          <cell r="CD32">
            <v>2272320</v>
          </cell>
          <cell r="CE32">
            <v>375840</v>
          </cell>
          <cell r="CF32">
            <v>882500</v>
          </cell>
          <cell r="CG32">
            <v>1000880</v>
          </cell>
          <cell r="CH32">
            <v>1360800</v>
          </cell>
          <cell r="CI32">
            <v>3686600</v>
          </cell>
          <cell r="CJ32">
            <v>1448280</v>
          </cell>
          <cell r="CK32">
            <v>1578960</v>
          </cell>
          <cell r="CL32">
            <v>1750820</v>
          </cell>
          <cell r="CM32">
            <v>1339600</v>
          </cell>
          <cell r="CN32">
            <v>1250640</v>
          </cell>
          <cell r="CO32">
            <v>5472475</v>
          </cell>
          <cell r="CP32">
            <v>5162319</v>
          </cell>
          <cell r="CQ32">
            <v>837216</v>
          </cell>
          <cell r="CR32">
            <v>1685537.5</v>
          </cell>
          <cell r="CS32">
            <v>2528938</v>
          </cell>
          <cell r="CT32">
            <v>3096468</v>
          </cell>
          <cell r="CU32">
            <v>9453355</v>
          </cell>
          <cell r="CV32">
            <v>3019005</v>
          </cell>
          <cell r="CW32">
            <v>3516102</v>
          </cell>
          <cell r="CX32">
            <v>3335345.5</v>
          </cell>
          <cell r="CY32">
            <v>3497558</v>
          </cell>
          <cell r="CZ32">
            <v>2966166</v>
          </cell>
          <cell r="DA32">
            <v>12386019.25</v>
          </cell>
          <cell r="DB32">
            <v>9999011.25</v>
          </cell>
          <cell r="DC32">
            <v>1409724</v>
          </cell>
          <cell r="DD32">
            <v>2539290.625</v>
          </cell>
          <cell r="DE32">
            <v>5324417.5</v>
          </cell>
          <cell r="DF32">
            <v>6129837</v>
          </cell>
          <cell r="DG32">
            <v>23325231.25</v>
          </cell>
          <cell r="DH32">
            <v>4862598.75</v>
          </cell>
          <cell r="DI32">
            <v>6864709.5</v>
          </cell>
          <cell r="DJ32">
            <v>5014002.625</v>
          </cell>
          <cell r="DK32">
            <v>7819782.5</v>
          </cell>
          <cell r="DL32">
            <v>6261421.5</v>
          </cell>
          <cell r="DM32">
            <v>24446620.274999999</v>
          </cell>
          <cell r="DN32">
            <v>15804568.125</v>
          </cell>
          <cell r="DO32">
            <v>2048101.2</v>
          </cell>
          <cell r="DP32">
            <v>3316455.9375</v>
          </cell>
          <cell r="DQ32">
            <v>8713034.25</v>
          </cell>
          <cell r="DR32">
            <v>9984493.3499999996</v>
          </cell>
          <cell r="DS32">
            <v>47684596.875</v>
          </cell>
          <cell r="DT32">
            <v>6789106.125</v>
          </cell>
          <cell r="DU32">
            <v>11045826.225</v>
          </cell>
          <cell r="DV32">
            <v>6533581.5374999996</v>
          </cell>
          <cell r="DW32">
            <v>13140936.75</v>
          </cell>
          <cell r="DX32">
            <v>10510869.824999999</v>
          </cell>
          <cell r="DZ32">
            <v>0</v>
          </cell>
        </row>
        <row r="85">
          <cell r="BE85">
            <v>15786.143749999999</v>
          </cell>
          <cell r="BF85">
            <v>15786.143749999999</v>
          </cell>
          <cell r="BG85">
            <v>33077.810416666667</v>
          </cell>
          <cell r="BH85">
            <v>33077.810416666667</v>
          </cell>
          <cell r="BI85">
            <v>33077.810416666667</v>
          </cell>
          <cell r="BJ85">
            <v>33077.810416666667</v>
          </cell>
          <cell r="BK85">
            <v>33077.810416666667</v>
          </cell>
          <cell r="BL85">
            <v>33077.810416666667</v>
          </cell>
          <cell r="BM85">
            <v>33077.810416666667</v>
          </cell>
          <cell r="BN85">
            <v>51202.810416666674</v>
          </cell>
          <cell r="BO85">
            <v>57478.018750000003</v>
          </cell>
          <cell r="BP85">
            <v>80250.518750000003</v>
          </cell>
          <cell r="BQ85">
            <v>80250.518750000003</v>
          </cell>
          <cell r="BR85">
            <v>80250.518750000003</v>
          </cell>
          <cell r="BS85">
            <v>80250.518750000003</v>
          </cell>
          <cell r="BT85">
            <v>80250.518750000003</v>
          </cell>
          <cell r="BU85">
            <v>89833.852083333331</v>
          </cell>
          <cell r="BV85">
            <v>89833.852083333331</v>
          </cell>
          <cell r="BW85">
            <v>89833.852083333331</v>
          </cell>
          <cell r="BX85">
            <v>89833.852083333331</v>
          </cell>
          <cell r="BY85">
            <v>102333.85208333333</v>
          </cell>
          <cell r="BZ85">
            <v>102333.85208333333</v>
          </cell>
          <cell r="CA85">
            <v>102333.85208333333</v>
          </cell>
          <cell r="CB85">
            <v>102333.85208333333</v>
          </cell>
          <cell r="CC85">
            <v>127172.70833333333</v>
          </cell>
          <cell r="CD85">
            <v>127172.70833333333</v>
          </cell>
          <cell r="CE85">
            <v>127172.70833333333</v>
          </cell>
          <cell r="CF85">
            <v>127172.70833333333</v>
          </cell>
          <cell r="CG85">
            <v>127172.70833333333</v>
          </cell>
          <cell r="CH85">
            <v>127172.70833333333</v>
          </cell>
          <cell r="CI85">
            <v>127172.70833333333</v>
          </cell>
          <cell r="CJ85">
            <v>127172.70833333333</v>
          </cell>
          <cell r="CK85">
            <v>127172.70833333333</v>
          </cell>
          <cell r="CL85">
            <v>109047.70833333333</v>
          </cell>
          <cell r="CM85">
            <v>102772.5</v>
          </cell>
          <cell r="CN85">
            <v>80000</v>
          </cell>
          <cell r="CO85">
            <v>94583.333333333328</v>
          </cell>
          <cell r="CP85">
            <v>94583.333333333328</v>
          </cell>
          <cell r="CQ85">
            <v>94583.333333333328</v>
          </cell>
          <cell r="CR85">
            <v>94583.333333333328</v>
          </cell>
          <cell r="CS85">
            <v>85000</v>
          </cell>
          <cell r="CT85">
            <v>85000</v>
          </cell>
          <cell r="CU85">
            <v>85000</v>
          </cell>
          <cell r="CV85">
            <v>85000</v>
          </cell>
          <cell r="CW85">
            <v>72500</v>
          </cell>
          <cell r="CX85">
            <v>72500</v>
          </cell>
          <cell r="CY85">
            <v>72500</v>
          </cell>
          <cell r="CZ85">
            <v>72500</v>
          </cell>
          <cell r="DA85">
            <v>58958.333333333336</v>
          </cell>
          <cell r="DB85">
            <v>58958.333333333336</v>
          </cell>
          <cell r="DC85">
            <v>58958.333333333336</v>
          </cell>
          <cell r="DD85">
            <v>58958.333333333336</v>
          </cell>
          <cell r="DE85">
            <v>58958.333333333336</v>
          </cell>
          <cell r="DF85">
            <v>73541.666666666672</v>
          </cell>
          <cell r="DG85">
            <v>73541.666666666672</v>
          </cell>
          <cell r="DH85">
            <v>73541.666666666672</v>
          </cell>
          <cell r="DI85">
            <v>73541.666666666672</v>
          </cell>
          <cell r="DJ85">
            <v>73541.666666666672</v>
          </cell>
          <cell r="DK85">
            <v>73541.666666666672</v>
          </cell>
          <cell r="DL85">
            <v>73541.666666666672</v>
          </cell>
          <cell r="DM85">
            <v>73541.666666666672</v>
          </cell>
          <cell r="DN85">
            <v>73541.666666666672</v>
          </cell>
          <cell r="DO85">
            <v>73541.666666666672</v>
          </cell>
          <cell r="DP85">
            <v>73541.666666666672</v>
          </cell>
          <cell r="DQ85">
            <v>73541.666666666672</v>
          </cell>
          <cell r="DR85">
            <v>73541.666666666672</v>
          </cell>
          <cell r="DS85">
            <v>73541.666666666672</v>
          </cell>
          <cell r="DT85">
            <v>73541.666666666672</v>
          </cell>
          <cell r="DU85">
            <v>73541.666666666672</v>
          </cell>
          <cell r="DV85">
            <v>73541.666666666672</v>
          </cell>
          <cell r="DW85">
            <v>73541.666666666672</v>
          </cell>
          <cell r="DX85">
            <v>73541.666666666672</v>
          </cell>
        </row>
        <row r="102">
          <cell r="H102">
            <v>-6153988.2700000005</v>
          </cell>
          <cell r="BE102">
            <v>-593059.9770833333</v>
          </cell>
          <cell r="BF102">
            <v>-723759.9770833333</v>
          </cell>
          <cell r="BG102">
            <v>-682460.51041666674</v>
          </cell>
          <cell r="BH102">
            <v>-827187.81041666667</v>
          </cell>
          <cell r="BI102">
            <v>-790718.31041666656</v>
          </cell>
          <cell r="BJ102">
            <v>-731793.85124268127</v>
          </cell>
          <cell r="BK102">
            <v>-305083.80032884306</v>
          </cell>
          <cell r="BL102">
            <v>-824243.31041666667</v>
          </cell>
          <cell r="BM102">
            <v>-692644.39206869598</v>
          </cell>
          <cell r="BN102">
            <v>-764341.31041666667</v>
          </cell>
          <cell r="BO102">
            <v>-797168.51874999993</v>
          </cell>
          <cell r="BP102">
            <v>-701721.71875</v>
          </cell>
          <cell r="BQ102">
            <v>-798063.05208333326</v>
          </cell>
          <cell r="BR102">
            <v>-418604.37705366325</v>
          </cell>
          <cell r="BS102">
            <v>-789273.55208333326</v>
          </cell>
          <cell r="BT102">
            <v>-839668.3520833333</v>
          </cell>
          <cell r="BU102">
            <v>-825626.97570862004</v>
          </cell>
          <cell r="BV102">
            <v>-412518.92864002287</v>
          </cell>
          <cell r="BW102">
            <v>-785956.16303356667</v>
          </cell>
          <cell r="BX102">
            <v>-328558.47907122807</v>
          </cell>
          <cell r="BY102">
            <v>-307323.16668100725</v>
          </cell>
          <cell r="BZ102">
            <v>-533602.89117661607</v>
          </cell>
          <cell r="CA102">
            <v>-584003.28723643068</v>
          </cell>
          <cell r="CB102">
            <v>-48415.864853330888</v>
          </cell>
          <cell r="CC102">
            <v>-324309.18092016829</v>
          </cell>
          <cell r="CD102">
            <v>451034.1958343219</v>
          </cell>
          <cell r="CE102">
            <v>-872753.96921038046</v>
          </cell>
          <cell r="CF102">
            <v>-393011.25719993678</v>
          </cell>
          <cell r="CG102">
            <v>-444645.78630034043</v>
          </cell>
          <cell r="CH102">
            <v>7024.6344449720345</v>
          </cell>
          <cell r="CI102">
            <v>365704.38450431125</v>
          </cell>
          <cell r="CJ102">
            <v>-122205.81473613414</v>
          </cell>
          <cell r="CK102">
            <v>-209700.70695861988</v>
          </cell>
          <cell r="CL102">
            <v>378023.99275654671</v>
          </cell>
          <cell r="CM102">
            <v>-17745.196987499017</v>
          </cell>
          <cell r="CN102">
            <v>-145726.18642495456</v>
          </cell>
          <cell r="CO102">
            <v>143588.75239800941</v>
          </cell>
          <cell r="CP102">
            <v>1109791.5985314054</v>
          </cell>
          <cell r="CQ102">
            <v>-1107683.2476476827</v>
          </cell>
          <cell r="CR102">
            <v>-657914.75783371413</v>
          </cell>
          <cell r="CS102">
            <v>-273267.22537980229</v>
          </cell>
          <cell r="CT102">
            <v>257890.07804768439</v>
          </cell>
          <cell r="CU102">
            <v>897765.89511153288</v>
          </cell>
          <cell r="CV102">
            <v>172442.07562126732</v>
          </cell>
          <cell r="CW102">
            <v>209136.97274050023</v>
          </cell>
          <cell r="CX102">
            <v>378536.732912587</v>
          </cell>
          <cell r="CY102">
            <v>570581.17212751694</v>
          </cell>
          <cell r="CZ102">
            <v>106824.51766751288</v>
          </cell>
          <cell r="DA102">
            <v>-1839860.4939952884</v>
          </cell>
          <cell r="DB102">
            <v>2524017.126617102</v>
          </cell>
          <cell r="DC102">
            <v>-2142392.6245989259</v>
          </cell>
          <cell r="DD102">
            <v>-1472888.1982616219</v>
          </cell>
          <cell r="DE102">
            <v>141782.35100404359</v>
          </cell>
          <cell r="DF102">
            <v>439926.86325936392</v>
          </cell>
          <cell r="DG102">
            <v>2022837.9053784013</v>
          </cell>
          <cell r="DH102">
            <v>-213548.08116993122</v>
          </cell>
          <cell r="DI102">
            <v>491235.73195432592</v>
          </cell>
          <cell r="DJ102">
            <v>58537.782649495639</v>
          </cell>
          <cell r="DK102">
            <v>1938920.9102606121</v>
          </cell>
          <cell r="DL102">
            <v>505468.65404888522</v>
          </cell>
          <cell r="DM102">
            <v>-257665.57000502199</v>
          </cell>
          <cell r="DN102">
            <v>4935054.6073506661</v>
          </cell>
          <cell r="DO102">
            <v>-2551611.3233379563</v>
          </cell>
          <cell r="DP102">
            <v>-1684280.698414695</v>
          </cell>
          <cell r="DQ102">
            <v>1537848.3172738031</v>
          </cell>
          <cell r="DR102">
            <v>1615542.6785690784</v>
          </cell>
          <cell r="DS102">
            <v>3296638.1565839685</v>
          </cell>
          <cell r="DT102">
            <v>47378.337008662522</v>
          </cell>
          <cell r="DU102">
            <v>1835420.2900573183</v>
          </cell>
          <cell r="DV102">
            <v>359177.7890093429</v>
          </cell>
          <cell r="DW102">
            <v>4620312.3232779112</v>
          </cell>
          <cell r="DX102">
            <v>2041934.6460254192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AS5">
            <v>42000</v>
          </cell>
          <cell r="AT5">
            <v>42000</v>
          </cell>
          <cell r="AU5">
            <v>42000</v>
          </cell>
          <cell r="AV5">
            <v>42000</v>
          </cell>
          <cell r="AW5">
            <v>42000</v>
          </cell>
          <cell r="AX5">
            <v>42000</v>
          </cell>
          <cell r="AY5">
            <v>42000</v>
          </cell>
          <cell r="AZ5">
            <v>42000</v>
          </cell>
          <cell r="BA5">
            <v>42000</v>
          </cell>
          <cell r="BB5">
            <v>42000</v>
          </cell>
          <cell r="BC5">
            <v>42000</v>
          </cell>
          <cell r="BD5">
            <v>42000</v>
          </cell>
        </row>
      </sheetData>
      <sheetData sheetId="23">
        <row r="28"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24300</v>
          </cell>
          <cell r="BC28">
            <v>24300</v>
          </cell>
          <cell r="BD28">
            <v>58320</v>
          </cell>
          <cell r="BE28">
            <v>58320</v>
          </cell>
          <cell r="BF28">
            <v>0</v>
          </cell>
          <cell r="BG28">
            <v>58320</v>
          </cell>
          <cell r="BH28">
            <v>0</v>
          </cell>
          <cell r="BI28">
            <v>0</v>
          </cell>
          <cell r="BJ28">
            <v>116640</v>
          </cell>
          <cell r="BK28">
            <v>0</v>
          </cell>
          <cell r="BL28">
            <v>58320</v>
          </cell>
          <cell r="BM28">
            <v>116640</v>
          </cell>
          <cell r="BN28">
            <v>116640</v>
          </cell>
          <cell r="BO28">
            <v>21600</v>
          </cell>
          <cell r="BP28">
            <v>116640</v>
          </cell>
          <cell r="BQ28">
            <v>168480</v>
          </cell>
          <cell r="BR28">
            <v>0</v>
          </cell>
          <cell r="BS28">
            <v>116640</v>
          </cell>
          <cell r="BT28">
            <v>0</v>
          </cell>
          <cell r="BU28">
            <v>0</v>
          </cell>
          <cell r="BV28">
            <v>285120</v>
          </cell>
          <cell r="BW28">
            <v>0</v>
          </cell>
          <cell r="BX28">
            <v>0</v>
          </cell>
          <cell r="BY28">
            <v>116640</v>
          </cell>
          <cell r="BZ28">
            <v>220320</v>
          </cell>
          <cell r="CA28">
            <v>0</v>
          </cell>
          <cell r="CB28">
            <v>138240</v>
          </cell>
          <cell r="CC28">
            <v>320112</v>
          </cell>
          <cell r="CD28">
            <v>0</v>
          </cell>
          <cell r="CE28">
            <v>221616</v>
          </cell>
          <cell r="CF28">
            <v>0</v>
          </cell>
          <cell r="CG28">
            <v>0</v>
          </cell>
          <cell r="CH28">
            <v>541728</v>
          </cell>
          <cell r="CI28">
            <v>0</v>
          </cell>
          <cell r="CJ28">
            <v>0</v>
          </cell>
          <cell r="CK28">
            <v>221616</v>
          </cell>
          <cell r="CL28">
            <v>418608</v>
          </cell>
          <cell r="CM28">
            <v>0</v>
          </cell>
          <cell r="CN28">
            <v>262656</v>
          </cell>
          <cell r="CO28">
            <v>480168</v>
          </cell>
          <cell r="CP28">
            <v>0</v>
          </cell>
          <cell r="CQ28">
            <v>332424</v>
          </cell>
          <cell r="CR28">
            <v>0</v>
          </cell>
          <cell r="CS28">
            <v>0</v>
          </cell>
          <cell r="CT28">
            <v>812592</v>
          </cell>
          <cell r="CU28">
            <v>0</v>
          </cell>
          <cell r="CV28">
            <v>0</v>
          </cell>
          <cell r="CW28">
            <v>332424</v>
          </cell>
          <cell r="CX28">
            <v>627912</v>
          </cell>
          <cell r="CY28">
            <v>0</v>
          </cell>
          <cell r="CZ28">
            <v>393984</v>
          </cell>
          <cell r="DA28">
            <v>624218.40000000014</v>
          </cell>
          <cell r="DB28">
            <v>0</v>
          </cell>
          <cell r="DC28">
            <v>432151.2</v>
          </cell>
          <cell r="DD28">
            <v>0</v>
          </cell>
          <cell r="DE28">
            <v>0</v>
          </cell>
          <cell r="DF28">
            <v>1056369.6000000001</v>
          </cell>
          <cell r="DG28">
            <v>0</v>
          </cell>
          <cell r="DH28">
            <v>0</v>
          </cell>
          <cell r="DI28">
            <v>432151.2</v>
          </cell>
          <cell r="DJ28">
            <v>816285.6</v>
          </cell>
          <cell r="DK28">
            <v>0</v>
          </cell>
          <cell r="DL28">
            <v>512179.20000000001</v>
          </cell>
        </row>
        <row r="29"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34560</v>
          </cell>
          <cell r="BD29">
            <v>0</v>
          </cell>
          <cell r="BE29">
            <v>0</v>
          </cell>
          <cell r="BF29">
            <v>103680</v>
          </cell>
          <cell r="BG29">
            <v>16200</v>
          </cell>
          <cell r="BH29">
            <v>0</v>
          </cell>
          <cell r="BI29">
            <v>0</v>
          </cell>
          <cell r="BJ29">
            <v>0</v>
          </cell>
          <cell r="BK29">
            <v>32400</v>
          </cell>
          <cell r="BL29">
            <v>0</v>
          </cell>
          <cell r="BM29">
            <v>207360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194400.00000000003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427680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369360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812592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554040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1218888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720252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1584554.4</v>
          </cell>
          <cell r="DJ29">
            <v>0</v>
          </cell>
          <cell r="DK29">
            <v>0</v>
          </cell>
          <cell r="DL29">
            <v>0</v>
          </cell>
        </row>
        <row r="30"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432000</v>
          </cell>
          <cell r="BO30">
            <v>0</v>
          </cell>
          <cell r="BP30">
            <v>0</v>
          </cell>
          <cell r="BQ30">
            <v>864000</v>
          </cell>
          <cell r="BR30">
            <v>0</v>
          </cell>
          <cell r="BS30">
            <v>0</v>
          </cell>
          <cell r="BT30">
            <v>864000</v>
          </cell>
          <cell r="BU30">
            <v>0</v>
          </cell>
          <cell r="BV30">
            <v>0</v>
          </cell>
          <cell r="BW30">
            <v>1080000</v>
          </cell>
          <cell r="BX30">
            <v>0</v>
          </cell>
          <cell r="BY30">
            <v>0</v>
          </cell>
          <cell r="BZ30">
            <v>1512000</v>
          </cell>
          <cell r="CA30">
            <v>0</v>
          </cell>
          <cell r="CB30">
            <v>0</v>
          </cell>
          <cell r="CC30">
            <v>1641600</v>
          </cell>
          <cell r="CD30">
            <v>0</v>
          </cell>
          <cell r="CE30">
            <v>0</v>
          </cell>
          <cell r="CF30">
            <v>1641600</v>
          </cell>
          <cell r="CG30">
            <v>0</v>
          </cell>
          <cell r="CH30">
            <v>0</v>
          </cell>
          <cell r="CI30">
            <v>2052000</v>
          </cell>
          <cell r="CJ30">
            <v>0</v>
          </cell>
          <cell r="CK30">
            <v>0</v>
          </cell>
          <cell r="CL30">
            <v>2872800</v>
          </cell>
          <cell r="CM30">
            <v>0</v>
          </cell>
          <cell r="CN30">
            <v>0</v>
          </cell>
          <cell r="CO30">
            <v>2462400</v>
          </cell>
          <cell r="CP30">
            <v>0</v>
          </cell>
          <cell r="CQ30">
            <v>0</v>
          </cell>
          <cell r="CR30">
            <v>2462400</v>
          </cell>
          <cell r="CS30">
            <v>0</v>
          </cell>
          <cell r="CT30">
            <v>0</v>
          </cell>
          <cell r="CU30">
            <v>3078000</v>
          </cell>
          <cell r="CV30">
            <v>0</v>
          </cell>
          <cell r="CW30">
            <v>0</v>
          </cell>
          <cell r="CX30">
            <v>4309200</v>
          </cell>
          <cell r="CY30">
            <v>0</v>
          </cell>
          <cell r="CZ30">
            <v>0</v>
          </cell>
          <cell r="DA30">
            <v>3201120</v>
          </cell>
          <cell r="DB30">
            <v>0</v>
          </cell>
          <cell r="DC30">
            <v>0</v>
          </cell>
          <cell r="DD30">
            <v>3201120</v>
          </cell>
          <cell r="DE30">
            <v>0</v>
          </cell>
          <cell r="DF30">
            <v>0</v>
          </cell>
          <cell r="DG30">
            <v>4001400</v>
          </cell>
          <cell r="DH30">
            <v>0</v>
          </cell>
          <cell r="DI30">
            <v>0</v>
          </cell>
          <cell r="DJ30">
            <v>5601960</v>
          </cell>
          <cell r="DK30">
            <v>0</v>
          </cell>
          <cell r="DL30">
            <v>0</v>
          </cell>
        </row>
        <row r="31"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110700</v>
          </cell>
          <cell r="BE31">
            <v>0</v>
          </cell>
          <cell r="BF31">
            <v>213840</v>
          </cell>
          <cell r="BG31">
            <v>0</v>
          </cell>
          <cell r="BH31">
            <v>0</v>
          </cell>
          <cell r="BI31">
            <v>0</v>
          </cell>
          <cell r="BJ31">
            <v>356400</v>
          </cell>
          <cell r="BK31">
            <v>0</v>
          </cell>
          <cell r="BL31">
            <v>0</v>
          </cell>
          <cell r="BM31">
            <v>567000</v>
          </cell>
          <cell r="BN31">
            <v>0</v>
          </cell>
          <cell r="BO31">
            <v>0</v>
          </cell>
          <cell r="BP31">
            <v>684720</v>
          </cell>
          <cell r="BQ31">
            <v>259200</v>
          </cell>
          <cell r="BR31">
            <v>453600</v>
          </cell>
          <cell r="BS31">
            <v>0</v>
          </cell>
          <cell r="BT31">
            <v>0</v>
          </cell>
          <cell r="BU31">
            <v>0</v>
          </cell>
          <cell r="BV31">
            <v>712800</v>
          </cell>
          <cell r="BW31">
            <v>0</v>
          </cell>
          <cell r="BX31">
            <v>0</v>
          </cell>
          <cell r="BY31">
            <v>723600</v>
          </cell>
          <cell r="BZ31">
            <v>0</v>
          </cell>
          <cell r="CA31">
            <v>51840</v>
          </cell>
          <cell r="CB31">
            <v>723600</v>
          </cell>
          <cell r="CC31">
            <v>615600</v>
          </cell>
          <cell r="CD31">
            <v>1077300</v>
          </cell>
          <cell r="CE31">
            <v>0</v>
          </cell>
          <cell r="CF31">
            <v>0</v>
          </cell>
          <cell r="CG31">
            <v>0</v>
          </cell>
          <cell r="CH31">
            <v>1692900</v>
          </cell>
          <cell r="CI31">
            <v>0</v>
          </cell>
          <cell r="CJ31">
            <v>0</v>
          </cell>
          <cell r="CK31">
            <v>1718550</v>
          </cell>
          <cell r="CL31">
            <v>0</v>
          </cell>
          <cell r="CM31">
            <v>123120</v>
          </cell>
          <cell r="CN31">
            <v>1718550</v>
          </cell>
          <cell r="CO31">
            <v>1385100</v>
          </cell>
          <cell r="CP31">
            <v>2423925</v>
          </cell>
          <cell r="CQ31">
            <v>0</v>
          </cell>
          <cell r="CR31">
            <v>0</v>
          </cell>
          <cell r="CS31">
            <v>0</v>
          </cell>
          <cell r="CT31">
            <v>3809025</v>
          </cell>
          <cell r="CU31">
            <v>0</v>
          </cell>
          <cell r="CV31">
            <v>0</v>
          </cell>
          <cell r="CW31">
            <v>3866737.5</v>
          </cell>
          <cell r="CX31">
            <v>0</v>
          </cell>
          <cell r="CY31">
            <v>277020</v>
          </cell>
          <cell r="CZ31">
            <v>3866737.5</v>
          </cell>
          <cell r="DA31">
            <v>2423925</v>
          </cell>
          <cell r="DB31">
            <v>4241868.75</v>
          </cell>
          <cell r="DC31">
            <v>0</v>
          </cell>
          <cell r="DD31">
            <v>0</v>
          </cell>
          <cell r="DE31">
            <v>0</v>
          </cell>
          <cell r="DF31">
            <v>6665793.75</v>
          </cell>
          <cell r="DG31">
            <v>0</v>
          </cell>
          <cell r="DH31">
            <v>0</v>
          </cell>
          <cell r="DI31">
            <v>6766790.625</v>
          </cell>
          <cell r="DJ31">
            <v>0</v>
          </cell>
          <cell r="DK31">
            <v>484785</v>
          </cell>
          <cell r="DL31">
            <v>6766790.625</v>
          </cell>
        </row>
        <row r="32">
          <cell r="AS32">
            <v>0</v>
          </cell>
          <cell r="AT32">
            <v>0</v>
          </cell>
          <cell r="AU32">
            <v>138720</v>
          </cell>
          <cell r="AV32">
            <v>14450</v>
          </cell>
          <cell r="AW32">
            <v>0</v>
          </cell>
          <cell r="AX32">
            <v>14450</v>
          </cell>
          <cell r="AY32">
            <v>346800</v>
          </cell>
          <cell r="AZ32">
            <v>0</v>
          </cell>
          <cell r="BA32">
            <v>28900</v>
          </cell>
          <cell r="BB32">
            <v>0</v>
          </cell>
          <cell r="BC32">
            <v>78000</v>
          </cell>
          <cell r="BD32">
            <v>106900</v>
          </cell>
          <cell r="BE32">
            <v>0</v>
          </cell>
          <cell r="BF32">
            <v>260000</v>
          </cell>
          <cell r="BG32">
            <v>57800</v>
          </cell>
          <cell r="BH32">
            <v>0</v>
          </cell>
          <cell r="BI32">
            <v>325000</v>
          </cell>
          <cell r="BJ32">
            <v>154300</v>
          </cell>
          <cell r="BK32">
            <v>88840</v>
          </cell>
          <cell r="BL32">
            <v>363680</v>
          </cell>
          <cell r="BM32">
            <v>0</v>
          </cell>
          <cell r="BN32">
            <v>43200</v>
          </cell>
          <cell r="BO32">
            <v>387520</v>
          </cell>
          <cell r="BP32">
            <v>277700</v>
          </cell>
          <cell r="BQ32">
            <v>57800</v>
          </cell>
          <cell r="BR32">
            <v>530280</v>
          </cell>
          <cell r="BS32">
            <v>259200</v>
          </cell>
          <cell r="BT32">
            <v>18500</v>
          </cell>
          <cell r="BU32">
            <v>422000</v>
          </cell>
          <cell r="BV32">
            <v>362880</v>
          </cell>
          <cell r="BW32">
            <v>57800</v>
          </cell>
          <cell r="BX32">
            <v>562680</v>
          </cell>
          <cell r="BY32">
            <v>259200</v>
          </cell>
          <cell r="BZ32">
            <v>18500</v>
          </cell>
          <cell r="CA32">
            <v>363280</v>
          </cell>
          <cell r="CB32">
            <v>259200</v>
          </cell>
          <cell r="CC32">
            <v>137275</v>
          </cell>
          <cell r="CD32">
            <v>1259415</v>
          </cell>
          <cell r="CE32">
            <v>615600</v>
          </cell>
          <cell r="CF32">
            <v>43937.5</v>
          </cell>
          <cell r="CG32">
            <v>1002250</v>
          </cell>
          <cell r="CH32">
            <v>861840</v>
          </cell>
          <cell r="CI32">
            <v>137275</v>
          </cell>
          <cell r="CJ32">
            <v>1336365</v>
          </cell>
          <cell r="CK32">
            <v>615600</v>
          </cell>
          <cell r="CL32">
            <v>43937.5</v>
          </cell>
          <cell r="CM32">
            <v>862790</v>
          </cell>
          <cell r="CN32">
            <v>615600</v>
          </cell>
          <cell r="CO32">
            <v>240231.25</v>
          </cell>
          <cell r="CP32">
            <v>2203976.25</v>
          </cell>
          <cell r="CQ32">
            <v>1077300</v>
          </cell>
          <cell r="CR32">
            <v>76890.625</v>
          </cell>
          <cell r="CS32">
            <v>1753937.5</v>
          </cell>
          <cell r="CT32">
            <v>1508220</v>
          </cell>
          <cell r="CU32">
            <v>240231.25</v>
          </cell>
          <cell r="CV32">
            <v>2338638.75</v>
          </cell>
          <cell r="CW32">
            <v>1077300</v>
          </cell>
          <cell r="CX32">
            <v>76890.625</v>
          </cell>
          <cell r="CY32">
            <v>1509882.5</v>
          </cell>
          <cell r="CZ32">
            <v>1077300</v>
          </cell>
          <cell r="DA32">
            <v>360346.875</v>
          </cell>
          <cell r="DB32">
            <v>3305964.375</v>
          </cell>
          <cell r="DC32">
            <v>1615950</v>
          </cell>
          <cell r="DD32">
            <v>115335.9375</v>
          </cell>
          <cell r="DE32">
            <v>2630906.25</v>
          </cell>
          <cell r="DF32">
            <v>2262330</v>
          </cell>
          <cell r="DG32">
            <v>360346.875</v>
          </cell>
          <cell r="DH32">
            <v>3507958.125</v>
          </cell>
          <cell r="DI32">
            <v>1615950</v>
          </cell>
          <cell r="DJ32">
            <v>115335.9375</v>
          </cell>
          <cell r="DK32">
            <v>2264823.75</v>
          </cell>
          <cell r="DL32">
            <v>1615950</v>
          </cell>
        </row>
        <row r="33"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103680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216000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295488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615600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738720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1539000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1292760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2693250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</row>
        <row r="34"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216000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518400.00000000006</v>
          </cell>
          <cell r="BX34">
            <v>0</v>
          </cell>
          <cell r="BY34">
            <v>0</v>
          </cell>
          <cell r="BZ34">
            <v>0</v>
          </cell>
          <cell r="CA34">
            <v>103680</v>
          </cell>
          <cell r="CB34">
            <v>0</v>
          </cell>
          <cell r="CC34">
            <v>615600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1477440</v>
          </cell>
          <cell r="CJ34">
            <v>0</v>
          </cell>
          <cell r="CK34">
            <v>0</v>
          </cell>
          <cell r="CL34">
            <v>0</v>
          </cell>
          <cell r="CM34">
            <v>295488</v>
          </cell>
          <cell r="CN34">
            <v>0</v>
          </cell>
          <cell r="CO34">
            <v>1539000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3693600</v>
          </cell>
          <cell r="CV34">
            <v>0</v>
          </cell>
          <cell r="CW34">
            <v>0</v>
          </cell>
          <cell r="CX34">
            <v>0</v>
          </cell>
          <cell r="CY34">
            <v>738720</v>
          </cell>
          <cell r="CZ34">
            <v>0</v>
          </cell>
          <cell r="DA34">
            <v>2693250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6463800</v>
          </cell>
          <cell r="DH34">
            <v>0</v>
          </cell>
          <cell r="DI34">
            <v>0</v>
          </cell>
          <cell r="DJ34">
            <v>0</v>
          </cell>
          <cell r="DK34">
            <v>1292760</v>
          </cell>
          <cell r="DL34">
            <v>0</v>
          </cell>
        </row>
        <row r="35"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32400</v>
          </cell>
          <cell r="BJ35">
            <v>0</v>
          </cell>
          <cell r="BK35">
            <v>64800</v>
          </cell>
          <cell r="BL35">
            <v>0</v>
          </cell>
          <cell r="BM35">
            <v>0</v>
          </cell>
          <cell r="BN35">
            <v>0</v>
          </cell>
          <cell r="BO35">
            <v>129600</v>
          </cell>
          <cell r="BP35">
            <v>0</v>
          </cell>
          <cell r="BQ35">
            <v>0</v>
          </cell>
          <cell r="BR35">
            <v>129600</v>
          </cell>
          <cell r="BS35">
            <v>0</v>
          </cell>
          <cell r="BT35">
            <v>0</v>
          </cell>
          <cell r="BU35">
            <v>129600</v>
          </cell>
          <cell r="BV35">
            <v>0</v>
          </cell>
          <cell r="BW35">
            <v>0</v>
          </cell>
          <cell r="BX35">
            <v>129600</v>
          </cell>
          <cell r="BY35">
            <v>0</v>
          </cell>
          <cell r="BZ35">
            <v>0</v>
          </cell>
          <cell r="CA35">
            <v>129600</v>
          </cell>
          <cell r="CB35">
            <v>0</v>
          </cell>
          <cell r="CC35">
            <v>0</v>
          </cell>
          <cell r="CD35">
            <v>246240</v>
          </cell>
          <cell r="CE35">
            <v>0</v>
          </cell>
          <cell r="CF35">
            <v>0</v>
          </cell>
          <cell r="CG35">
            <v>246240</v>
          </cell>
          <cell r="CH35">
            <v>0</v>
          </cell>
          <cell r="CI35">
            <v>0</v>
          </cell>
          <cell r="CJ35">
            <v>246240</v>
          </cell>
          <cell r="CK35">
            <v>0</v>
          </cell>
          <cell r="CL35">
            <v>0</v>
          </cell>
          <cell r="CM35">
            <v>246240</v>
          </cell>
          <cell r="CN35">
            <v>0</v>
          </cell>
          <cell r="CO35">
            <v>0</v>
          </cell>
          <cell r="CP35">
            <v>369360</v>
          </cell>
          <cell r="CQ35">
            <v>0</v>
          </cell>
          <cell r="CR35">
            <v>0</v>
          </cell>
          <cell r="CS35">
            <v>369360</v>
          </cell>
          <cell r="CT35">
            <v>0</v>
          </cell>
          <cell r="CU35">
            <v>0</v>
          </cell>
          <cell r="CV35">
            <v>369360</v>
          </cell>
          <cell r="CW35">
            <v>0</v>
          </cell>
          <cell r="CX35">
            <v>0</v>
          </cell>
          <cell r="CY35">
            <v>369360</v>
          </cell>
          <cell r="CZ35">
            <v>0</v>
          </cell>
          <cell r="DA35">
            <v>0</v>
          </cell>
          <cell r="DB35">
            <v>480168</v>
          </cell>
          <cell r="DC35">
            <v>0</v>
          </cell>
          <cell r="DD35">
            <v>0</v>
          </cell>
          <cell r="DE35">
            <v>480168</v>
          </cell>
          <cell r="DF35">
            <v>0</v>
          </cell>
          <cell r="DG35">
            <v>0</v>
          </cell>
          <cell r="DH35">
            <v>480168</v>
          </cell>
          <cell r="DI35">
            <v>0</v>
          </cell>
          <cell r="DJ35">
            <v>0</v>
          </cell>
          <cell r="DK35">
            <v>480168</v>
          </cell>
          <cell r="DL35">
            <v>0</v>
          </cell>
        </row>
        <row r="36"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648000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1296000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1846800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3693600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5540400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11080800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13851000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27702000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</row>
        <row r="37"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51840</v>
          </cell>
          <cell r="BN37">
            <v>0</v>
          </cell>
          <cell r="BO37">
            <v>51840</v>
          </cell>
          <cell r="BP37">
            <v>129600</v>
          </cell>
          <cell r="BQ37">
            <v>0</v>
          </cell>
          <cell r="BR37">
            <v>397440</v>
          </cell>
          <cell r="BS37">
            <v>0</v>
          </cell>
          <cell r="BT37">
            <v>0</v>
          </cell>
          <cell r="BU37">
            <v>449280</v>
          </cell>
          <cell r="BV37">
            <v>0</v>
          </cell>
          <cell r="BW37">
            <v>518400</v>
          </cell>
          <cell r="BX37">
            <v>0</v>
          </cell>
          <cell r="BY37">
            <v>51840</v>
          </cell>
          <cell r="BZ37">
            <v>0</v>
          </cell>
          <cell r="CA37">
            <v>691200</v>
          </cell>
          <cell r="CB37">
            <v>129600</v>
          </cell>
          <cell r="CC37">
            <v>0</v>
          </cell>
          <cell r="CD37">
            <v>1132704</v>
          </cell>
          <cell r="CE37">
            <v>0</v>
          </cell>
          <cell r="CF37">
            <v>0</v>
          </cell>
          <cell r="CG37">
            <v>1280448</v>
          </cell>
          <cell r="CH37">
            <v>0</v>
          </cell>
          <cell r="CI37">
            <v>1477440</v>
          </cell>
          <cell r="CJ37">
            <v>0</v>
          </cell>
          <cell r="CK37">
            <v>147744</v>
          </cell>
          <cell r="CL37">
            <v>0</v>
          </cell>
          <cell r="CM37">
            <v>1969920</v>
          </cell>
          <cell r="CN37">
            <v>369360</v>
          </cell>
          <cell r="CO37">
            <v>0</v>
          </cell>
          <cell r="CP37">
            <v>2831760</v>
          </cell>
          <cell r="CQ37">
            <v>0</v>
          </cell>
          <cell r="CR37">
            <v>0</v>
          </cell>
          <cell r="CS37">
            <v>3201120</v>
          </cell>
          <cell r="CT37">
            <v>0</v>
          </cell>
          <cell r="CU37">
            <v>3693600</v>
          </cell>
          <cell r="CV37">
            <v>0</v>
          </cell>
          <cell r="CW37">
            <v>369360</v>
          </cell>
          <cell r="CX37">
            <v>0</v>
          </cell>
          <cell r="CY37">
            <v>4924800</v>
          </cell>
          <cell r="CZ37">
            <v>923400</v>
          </cell>
          <cell r="DA37">
            <v>0</v>
          </cell>
          <cell r="DB37">
            <v>4955580</v>
          </cell>
          <cell r="DC37">
            <v>0</v>
          </cell>
          <cell r="DD37">
            <v>0</v>
          </cell>
          <cell r="DE37">
            <v>5601960</v>
          </cell>
          <cell r="DF37">
            <v>0</v>
          </cell>
          <cell r="DG37">
            <v>6463800</v>
          </cell>
          <cell r="DH37">
            <v>0</v>
          </cell>
          <cell r="DI37">
            <v>646380</v>
          </cell>
          <cell r="DJ37">
            <v>0</v>
          </cell>
          <cell r="DK37">
            <v>8618400</v>
          </cell>
          <cell r="DL37">
            <v>1615950</v>
          </cell>
        </row>
        <row r="38"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283500.00000000006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567000.00000000012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567000.00000000012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756000.00000000012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1077300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1436400.0000000002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1615950.0000000002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2154600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2100735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2800980.0000000005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2"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37500</v>
          </cell>
          <cell r="BF12">
            <v>0</v>
          </cell>
          <cell r="BG12">
            <v>37500</v>
          </cell>
          <cell r="BH12">
            <v>0</v>
          </cell>
          <cell r="BI12">
            <v>0</v>
          </cell>
          <cell r="BJ12">
            <v>75000</v>
          </cell>
          <cell r="BK12">
            <v>0</v>
          </cell>
          <cell r="BL12">
            <v>37500</v>
          </cell>
          <cell r="BM12">
            <v>75000</v>
          </cell>
          <cell r="BN12">
            <v>75000</v>
          </cell>
          <cell r="BO12">
            <v>15625</v>
          </cell>
          <cell r="BP12">
            <v>75000</v>
          </cell>
          <cell r="BQ12">
            <v>112500</v>
          </cell>
          <cell r="BR12">
            <v>0</v>
          </cell>
          <cell r="BS12">
            <v>75000</v>
          </cell>
          <cell r="BT12">
            <v>0</v>
          </cell>
          <cell r="BU12">
            <v>0</v>
          </cell>
          <cell r="BV12">
            <v>187500</v>
          </cell>
          <cell r="BW12">
            <v>0</v>
          </cell>
          <cell r="BX12">
            <v>0</v>
          </cell>
          <cell r="BY12">
            <v>75000</v>
          </cell>
          <cell r="BZ12">
            <v>150000</v>
          </cell>
          <cell r="CA12">
            <v>0</v>
          </cell>
          <cell r="CB12">
            <v>90625</v>
          </cell>
          <cell r="CC12">
            <v>225000</v>
          </cell>
          <cell r="CD12">
            <v>0</v>
          </cell>
          <cell r="CE12">
            <v>150000</v>
          </cell>
          <cell r="CF12">
            <v>0</v>
          </cell>
          <cell r="CG12">
            <v>0</v>
          </cell>
          <cell r="CH12">
            <v>375000</v>
          </cell>
          <cell r="CI12">
            <v>0</v>
          </cell>
          <cell r="CJ12">
            <v>0</v>
          </cell>
          <cell r="CK12">
            <v>150000</v>
          </cell>
          <cell r="CL12">
            <v>300000</v>
          </cell>
          <cell r="CM12">
            <v>0</v>
          </cell>
          <cell r="CN12">
            <v>181250</v>
          </cell>
          <cell r="CO12">
            <v>337500</v>
          </cell>
          <cell r="CP12">
            <v>0</v>
          </cell>
          <cell r="CQ12">
            <v>225000</v>
          </cell>
          <cell r="CR12">
            <v>0</v>
          </cell>
          <cell r="CS12">
            <v>0</v>
          </cell>
          <cell r="CT12">
            <v>562500</v>
          </cell>
          <cell r="CU12">
            <v>0</v>
          </cell>
          <cell r="CV12">
            <v>0</v>
          </cell>
          <cell r="CW12">
            <v>225000</v>
          </cell>
          <cell r="CX12">
            <v>450000</v>
          </cell>
          <cell r="CY12">
            <v>0</v>
          </cell>
          <cell r="CZ12">
            <v>271875</v>
          </cell>
          <cell r="DA12">
            <v>438750</v>
          </cell>
          <cell r="DB12">
            <v>0</v>
          </cell>
          <cell r="DC12">
            <v>292500</v>
          </cell>
          <cell r="DD12">
            <v>0</v>
          </cell>
          <cell r="DE12">
            <v>0</v>
          </cell>
          <cell r="DF12">
            <v>731250</v>
          </cell>
          <cell r="DG12">
            <v>0</v>
          </cell>
          <cell r="DH12">
            <v>0</v>
          </cell>
          <cell r="DI12">
            <v>292500</v>
          </cell>
          <cell r="DJ12">
            <v>585000</v>
          </cell>
          <cell r="DK12">
            <v>0</v>
          </cell>
          <cell r="DL12">
            <v>353437.5</v>
          </cell>
        </row>
        <row r="13"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49600</v>
          </cell>
          <cell r="BD13">
            <v>0</v>
          </cell>
          <cell r="BE13">
            <v>0</v>
          </cell>
          <cell r="BF13">
            <v>148800</v>
          </cell>
          <cell r="BG13">
            <v>37200</v>
          </cell>
          <cell r="BH13">
            <v>0</v>
          </cell>
          <cell r="BI13">
            <v>0</v>
          </cell>
          <cell r="BJ13">
            <v>0</v>
          </cell>
          <cell r="BK13">
            <v>74400</v>
          </cell>
          <cell r="BL13">
            <v>0</v>
          </cell>
          <cell r="BM13">
            <v>297600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279000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613800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558000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1227600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837000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1841400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1088100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2393820</v>
          </cell>
          <cell r="DJ13">
            <v>0</v>
          </cell>
          <cell r="DK13">
            <v>0</v>
          </cell>
          <cell r="DL13">
            <v>0</v>
          </cell>
        </row>
        <row r="14"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350000</v>
          </cell>
          <cell r="BO14">
            <v>0</v>
          </cell>
          <cell r="BP14">
            <v>0</v>
          </cell>
          <cell r="BQ14">
            <v>750000</v>
          </cell>
          <cell r="BR14">
            <v>0</v>
          </cell>
          <cell r="BS14">
            <v>0</v>
          </cell>
          <cell r="BT14">
            <v>750000</v>
          </cell>
          <cell r="BU14">
            <v>0</v>
          </cell>
          <cell r="BV14">
            <v>0</v>
          </cell>
          <cell r="BW14">
            <v>937500</v>
          </cell>
          <cell r="BX14">
            <v>0</v>
          </cell>
          <cell r="BY14">
            <v>0</v>
          </cell>
          <cell r="BZ14">
            <v>1312500</v>
          </cell>
          <cell r="CA14">
            <v>0</v>
          </cell>
          <cell r="CB14">
            <v>0</v>
          </cell>
          <cell r="CC14">
            <v>1500000</v>
          </cell>
          <cell r="CD14">
            <v>0</v>
          </cell>
          <cell r="CE14">
            <v>0</v>
          </cell>
          <cell r="CF14">
            <v>1500000</v>
          </cell>
          <cell r="CG14">
            <v>0</v>
          </cell>
          <cell r="CH14">
            <v>0</v>
          </cell>
          <cell r="CI14">
            <v>1875000</v>
          </cell>
          <cell r="CJ14">
            <v>0</v>
          </cell>
          <cell r="CK14">
            <v>0</v>
          </cell>
          <cell r="CL14">
            <v>2625000</v>
          </cell>
          <cell r="CM14">
            <v>0</v>
          </cell>
          <cell r="CN14">
            <v>0</v>
          </cell>
          <cell r="CO14">
            <v>2250000</v>
          </cell>
          <cell r="CP14">
            <v>0</v>
          </cell>
          <cell r="CQ14">
            <v>0</v>
          </cell>
          <cell r="CR14">
            <v>2250000</v>
          </cell>
          <cell r="CS14">
            <v>0</v>
          </cell>
          <cell r="CT14">
            <v>0</v>
          </cell>
          <cell r="CU14">
            <v>2812500</v>
          </cell>
          <cell r="CV14">
            <v>0</v>
          </cell>
          <cell r="CW14">
            <v>0</v>
          </cell>
          <cell r="CX14">
            <v>3937500</v>
          </cell>
          <cell r="CY14">
            <v>0</v>
          </cell>
          <cell r="CZ14">
            <v>0</v>
          </cell>
          <cell r="DA14">
            <v>2925000</v>
          </cell>
          <cell r="DB14">
            <v>0</v>
          </cell>
          <cell r="DC14">
            <v>0</v>
          </cell>
          <cell r="DD14">
            <v>2925000</v>
          </cell>
          <cell r="DE14">
            <v>0</v>
          </cell>
          <cell r="DF14">
            <v>0</v>
          </cell>
          <cell r="DG14">
            <v>3656250</v>
          </cell>
          <cell r="DH14">
            <v>0</v>
          </cell>
          <cell r="DI14">
            <v>0</v>
          </cell>
          <cell r="DJ14">
            <v>5118750</v>
          </cell>
          <cell r="DK14">
            <v>0</v>
          </cell>
          <cell r="DL14">
            <v>0</v>
          </cell>
        </row>
        <row r="15"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11250</v>
          </cell>
          <cell r="BE15">
            <v>0</v>
          </cell>
          <cell r="BF15">
            <v>94500</v>
          </cell>
          <cell r="BG15">
            <v>0</v>
          </cell>
          <cell r="BH15">
            <v>0</v>
          </cell>
          <cell r="BI15">
            <v>0</v>
          </cell>
          <cell r="BJ15">
            <v>157500</v>
          </cell>
          <cell r="BK15">
            <v>0</v>
          </cell>
          <cell r="BL15">
            <v>0</v>
          </cell>
          <cell r="BM15">
            <v>255000</v>
          </cell>
          <cell r="BN15">
            <v>0</v>
          </cell>
          <cell r="BO15">
            <v>0</v>
          </cell>
          <cell r="BP15">
            <v>307000</v>
          </cell>
          <cell r="BQ15">
            <v>192000</v>
          </cell>
          <cell r="BR15">
            <v>312000</v>
          </cell>
          <cell r="BS15">
            <v>0</v>
          </cell>
          <cell r="BT15">
            <v>0</v>
          </cell>
          <cell r="BU15">
            <v>0</v>
          </cell>
          <cell r="BV15">
            <v>504000</v>
          </cell>
          <cell r="BW15">
            <v>0</v>
          </cell>
          <cell r="BX15">
            <v>0</v>
          </cell>
          <cell r="BY15">
            <v>520000</v>
          </cell>
          <cell r="BZ15">
            <v>0</v>
          </cell>
          <cell r="CA15">
            <v>38400</v>
          </cell>
          <cell r="CB15">
            <v>520000</v>
          </cell>
          <cell r="CC15">
            <v>480000</v>
          </cell>
          <cell r="CD15">
            <v>780000</v>
          </cell>
          <cell r="CE15">
            <v>0</v>
          </cell>
          <cell r="CF15">
            <v>0</v>
          </cell>
          <cell r="CG15">
            <v>0</v>
          </cell>
          <cell r="CH15">
            <v>1260000</v>
          </cell>
          <cell r="CI15">
            <v>0</v>
          </cell>
          <cell r="CJ15">
            <v>0</v>
          </cell>
          <cell r="CK15">
            <v>1300000</v>
          </cell>
          <cell r="CL15">
            <v>0</v>
          </cell>
          <cell r="CM15">
            <v>96000</v>
          </cell>
          <cell r="CN15">
            <v>1300000</v>
          </cell>
          <cell r="CO15">
            <v>1080000</v>
          </cell>
          <cell r="CP15">
            <v>1755000</v>
          </cell>
          <cell r="CQ15">
            <v>0</v>
          </cell>
          <cell r="CR15">
            <v>0</v>
          </cell>
          <cell r="CS15">
            <v>0</v>
          </cell>
          <cell r="CT15">
            <v>2835000</v>
          </cell>
          <cell r="CU15">
            <v>0</v>
          </cell>
          <cell r="CV15">
            <v>0</v>
          </cell>
          <cell r="CW15">
            <v>2925000</v>
          </cell>
          <cell r="CX15">
            <v>0</v>
          </cell>
          <cell r="CY15">
            <v>216000</v>
          </cell>
          <cell r="CZ15">
            <v>2925000</v>
          </cell>
          <cell r="DA15">
            <v>1890000</v>
          </cell>
          <cell r="DB15">
            <v>3071250</v>
          </cell>
          <cell r="DC15">
            <v>0</v>
          </cell>
          <cell r="DD15">
            <v>0</v>
          </cell>
          <cell r="DE15">
            <v>0</v>
          </cell>
          <cell r="DF15">
            <v>4961250</v>
          </cell>
          <cell r="DG15">
            <v>0</v>
          </cell>
          <cell r="DH15">
            <v>0</v>
          </cell>
          <cell r="DI15">
            <v>5118750</v>
          </cell>
          <cell r="DJ15">
            <v>0</v>
          </cell>
          <cell r="DK15">
            <v>378000</v>
          </cell>
          <cell r="DL15">
            <v>5118750</v>
          </cell>
        </row>
        <row r="16">
          <cell r="AS16">
            <v>0</v>
          </cell>
          <cell r="AT16">
            <v>0</v>
          </cell>
          <cell r="AU16">
            <v>360000</v>
          </cell>
          <cell r="AV16">
            <v>37500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37500</v>
          </cell>
          <cell r="BD16">
            <v>56250</v>
          </cell>
          <cell r="BE16">
            <v>0</v>
          </cell>
          <cell r="BF16">
            <v>125000</v>
          </cell>
          <cell r="BG16">
            <v>37500</v>
          </cell>
          <cell r="BH16">
            <v>0</v>
          </cell>
          <cell r="BI16">
            <v>156250</v>
          </cell>
          <cell r="BJ16">
            <v>84375</v>
          </cell>
          <cell r="BK16">
            <v>48750</v>
          </cell>
          <cell r="BL16">
            <v>185000</v>
          </cell>
          <cell r="BM16">
            <v>0</v>
          </cell>
          <cell r="BN16">
            <v>25000</v>
          </cell>
          <cell r="BO16">
            <v>202500</v>
          </cell>
          <cell r="BP16">
            <v>114375</v>
          </cell>
          <cell r="BQ16">
            <v>37500</v>
          </cell>
          <cell r="BR16">
            <v>278750</v>
          </cell>
          <cell r="BS16">
            <v>105000</v>
          </cell>
          <cell r="BT16">
            <v>9375</v>
          </cell>
          <cell r="BU16">
            <v>218750</v>
          </cell>
          <cell r="BV16">
            <v>165000</v>
          </cell>
          <cell r="BW16">
            <v>37500</v>
          </cell>
          <cell r="BX16">
            <v>297500</v>
          </cell>
          <cell r="BY16">
            <v>105000</v>
          </cell>
          <cell r="BZ16">
            <v>9375</v>
          </cell>
          <cell r="CA16">
            <v>197500</v>
          </cell>
          <cell r="CB16">
            <v>105000</v>
          </cell>
          <cell r="CC16">
            <v>93750</v>
          </cell>
          <cell r="CD16">
            <v>696875</v>
          </cell>
          <cell r="CE16">
            <v>262500</v>
          </cell>
          <cell r="CF16">
            <v>23437.5</v>
          </cell>
          <cell r="CG16">
            <v>546875</v>
          </cell>
          <cell r="CH16">
            <v>412500</v>
          </cell>
          <cell r="CI16">
            <v>93750</v>
          </cell>
          <cell r="CJ16">
            <v>743750</v>
          </cell>
          <cell r="CK16">
            <v>262500</v>
          </cell>
          <cell r="CL16">
            <v>23437.5</v>
          </cell>
          <cell r="CM16">
            <v>493750</v>
          </cell>
          <cell r="CN16">
            <v>262500</v>
          </cell>
          <cell r="CO16">
            <v>164062.5</v>
          </cell>
          <cell r="CP16">
            <v>1219531.25</v>
          </cell>
          <cell r="CQ16">
            <v>459375</v>
          </cell>
          <cell r="CR16">
            <v>41015.625</v>
          </cell>
          <cell r="CS16">
            <v>957031.25</v>
          </cell>
          <cell r="CT16">
            <v>721875</v>
          </cell>
          <cell r="CU16">
            <v>164062.5</v>
          </cell>
          <cell r="CV16">
            <v>1301562.5</v>
          </cell>
          <cell r="CW16">
            <v>459375</v>
          </cell>
          <cell r="CX16">
            <v>41015.625</v>
          </cell>
          <cell r="CY16">
            <v>864062.5</v>
          </cell>
          <cell r="CZ16">
            <v>459375</v>
          </cell>
          <cell r="DA16">
            <v>246093.75</v>
          </cell>
          <cell r="DB16">
            <v>1829296.875</v>
          </cell>
          <cell r="DC16">
            <v>689062.5</v>
          </cell>
          <cell r="DD16">
            <v>61523.4375</v>
          </cell>
          <cell r="DE16">
            <v>1435546.875</v>
          </cell>
          <cell r="DF16">
            <v>1082812.5</v>
          </cell>
          <cell r="DG16">
            <v>246093.75</v>
          </cell>
          <cell r="DH16">
            <v>1952343.75</v>
          </cell>
          <cell r="DI16">
            <v>689062.5</v>
          </cell>
          <cell r="DJ16">
            <v>61523.4375</v>
          </cell>
          <cell r="DK16">
            <v>1296093.75</v>
          </cell>
          <cell r="DL16">
            <v>689062.5</v>
          </cell>
        </row>
        <row r="17"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54000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112500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162000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337500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405000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843750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708750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1476562.5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</row>
        <row r="18"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162500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390000</v>
          </cell>
          <cell r="BX18">
            <v>0</v>
          </cell>
          <cell r="BY18">
            <v>0</v>
          </cell>
          <cell r="BZ18">
            <v>0</v>
          </cell>
          <cell r="CA18">
            <v>78000</v>
          </cell>
          <cell r="CB18">
            <v>0</v>
          </cell>
          <cell r="CC18">
            <v>487500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1170000</v>
          </cell>
          <cell r="CJ18">
            <v>0</v>
          </cell>
          <cell r="CK18">
            <v>0</v>
          </cell>
          <cell r="CL18">
            <v>0</v>
          </cell>
          <cell r="CM18">
            <v>234000</v>
          </cell>
          <cell r="CN18">
            <v>0</v>
          </cell>
          <cell r="CO18">
            <v>1218750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2925000</v>
          </cell>
          <cell r="CV18">
            <v>0</v>
          </cell>
          <cell r="CW18">
            <v>0</v>
          </cell>
          <cell r="CX18">
            <v>0</v>
          </cell>
          <cell r="CY18">
            <v>585000</v>
          </cell>
          <cell r="CZ18">
            <v>0</v>
          </cell>
          <cell r="DA18">
            <v>2132812.5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5118750</v>
          </cell>
          <cell r="DH18">
            <v>0</v>
          </cell>
          <cell r="DI18">
            <v>0</v>
          </cell>
          <cell r="DJ18">
            <v>0</v>
          </cell>
          <cell r="DK18">
            <v>1023750</v>
          </cell>
          <cell r="DL18">
            <v>0</v>
          </cell>
        </row>
        <row r="19"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54000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</row>
        <row r="20"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390000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780000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1170000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2340000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3510000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7020000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8775000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17550000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</row>
        <row r="21"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27000</v>
          </cell>
          <cell r="BP21">
            <v>67500</v>
          </cell>
          <cell r="BQ21">
            <v>0</v>
          </cell>
          <cell r="BR21">
            <v>331200</v>
          </cell>
          <cell r="BS21">
            <v>0</v>
          </cell>
          <cell r="BT21">
            <v>0</v>
          </cell>
          <cell r="BU21">
            <v>374400</v>
          </cell>
          <cell r="BV21">
            <v>0</v>
          </cell>
          <cell r="BW21">
            <v>432000</v>
          </cell>
          <cell r="BX21">
            <v>0</v>
          </cell>
          <cell r="BY21">
            <v>43200</v>
          </cell>
          <cell r="BZ21">
            <v>0</v>
          </cell>
          <cell r="CA21">
            <v>576000</v>
          </cell>
          <cell r="CB21">
            <v>108000</v>
          </cell>
          <cell r="CC21">
            <v>0</v>
          </cell>
          <cell r="CD21">
            <v>993600</v>
          </cell>
          <cell r="CE21">
            <v>0</v>
          </cell>
          <cell r="CF21">
            <v>0</v>
          </cell>
          <cell r="CG21">
            <v>1123200</v>
          </cell>
          <cell r="CH21">
            <v>0</v>
          </cell>
          <cell r="CI21">
            <v>1296000</v>
          </cell>
          <cell r="CJ21">
            <v>0</v>
          </cell>
          <cell r="CK21">
            <v>129600</v>
          </cell>
          <cell r="CL21">
            <v>0</v>
          </cell>
          <cell r="CM21">
            <v>1728000</v>
          </cell>
          <cell r="CN21">
            <v>324000</v>
          </cell>
          <cell r="CO21">
            <v>0</v>
          </cell>
          <cell r="CP21">
            <v>2484000</v>
          </cell>
          <cell r="CQ21">
            <v>0</v>
          </cell>
          <cell r="CR21">
            <v>0</v>
          </cell>
          <cell r="CS21">
            <v>2808000</v>
          </cell>
          <cell r="CT21">
            <v>0</v>
          </cell>
          <cell r="CU21">
            <v>3240000</v>
          </cell>
          <cell r="CV21">
            <v>0</v>
          </cell>
          <cell r="CW21">
            <v>324000</v>
          </cell>
          <cell r="CX21">
            <v>0</v>
          </cell>
          <cell r="CY21">
            <v>4320000</v>
          </cell>
          <cell r="CZ21">
            <v>810000</v>
          </cell>
          <cell r="DA21">
            <v>0</v>
          </cell>
          <cell r="DB21">
            <v>4347000</v>
          </cell>
          <cell r="DC21">
            <v>0</v>
          </cell>
          <cell r="DD21">
            <v>0</v>
          </cell>
          <cell r="DE21">
            <v>4914000</v>
          </cell>
          <cell r="DF21">
            <v>0</v>
          </cell>
          <cell r="DG21">
            <v>5670000</v>
          </cell>
          <cell r="DH21">
            <v>0</v>
          </cell>
          <cell r="DI21">
            <v>567000</v>
          </cell>
          <cell r="DJ21">
            <v>0</v>
          </cell>
          <cell r="DK21">
            <v>7560000</v>
          </cell>
          <cell r="DL21">
            <v>1417500</v>
          </cell>
        </row>
        <row r="22"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487500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975000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975000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1300000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1950000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2600000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2925000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3900000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3802500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5070000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</row>
        <row r="23"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125000</v>
          </cell>
          <cell r="BC23">
            <v>125000</v>
          </cell>
          <cell r="BD23">
            <v>300000</v>
          </cell>
          <cell r="BE23">
            <v>225000</v>
          </cell>
          <cell r="BF23">
            <v>0</v>
          </cell>
          <cell r="BG23">
            <v>225000</v>
          </cell>
          <cell r="BH23">
            <v>0</v>
          </cell>
          <cell r="BI23">
            <v>0</v>
          </cell>
          <cell r="BJ23">
            <v>450000</v>
          </cell>
          <cell r="BK23">
            <v>0</v>
          </cell>
          <cell r="BL23">
            <v>225000</v>
          </cell>
          <cell r="BM23">
            <v>450000</v>
          </cell>
          <cell r="BN23">
            <v>450000</v>
          </cell>
          <cell r="BO23">
            <v>93750</v>
          </cell>
          <cell r="BP23">
            <v>450000</v>
          </cell>
          <cell r="BQ23">
            <v>675000</v>
          </cell>
          <cell r="BR23">
            <v>0</v>
          </cell>
          <cell r="BS23">
            <v>450000</v>
          </cell>
          <cell r="BT23">
            <v>0</v>
          </cell>
          <cell r="BU23">
            <v>0</v>
          </cell>
          <cell r="BV23">
            <v>1125000</v>
          </cell>
          <cell r="BW23">
            <v>0</v>
          </cell>
          <cell r="BX23">
            <v>0</v>
          </cell>
          <cell r="BY23">
            <v>450000</v>
          </cell>
          <cell r="BZ23">
            <v>900000</v>
          </cell>
          <cell r="CA23">
            <v>0</v>
          </cell>
          <cell r="CB23">
            <v>543750</v>
          </cell>
          <cell r="CC23">
            <v>1350000</v>
          </cell>
          <cell r="CD23">
            <v>0</v>
          </cell>
          <cell r="CE23">
            <v>900000</v>
          </cell>
          <cell r="CF23">
            <v>0</v>
          </cell>
          <cell r="CG23">
            <v>0</v>
          </cell>
          <cell r="CH23">
            <v>2250000</v>
          </cell>
          <cell r="CI23">
            <v>0</v>
          </cell>
          <cell r="CJ23">
            <v>0</v>
          </cell>
          <cell r="CK23">
            <v>900000</v>
          </cell>
          <cell r="CL23">
            <v>1800000</v>
          </cell>
          <cell r="CM23">
            <v>0</v>
          </cell>
          <cell r="CN23">
            <v>1087500</v>
          </cell>
          <cell r="CO23">
            <v>2025000</v>
          </cell>
          <cell r="CP23">
            <v>0</v>
          </cell>
          <cell r="CQ23">
            <v>1350000</v>
          </cell>
          <cell r="CR23">
            <v>0</v>
          </cell>
          <cell r="CS23">
            <v>0</v>
          </cell>
          <cell r="CT23">
            <v>3375000</v>
          </cell>
          <cell r="CU23">
            <v>0</v>
          </cell>
          <cell r="CV23">
            <v>0</v>
          </cell>
          <cell r="CW23">
            <v>1350000</v>
          </cell>
          <cell r="CX23">
            <v>2700000</v>
          </cell>
          <cell r="CY23">
            <v>0</v>
          </cell>
          <cell r="CZ23">
            <v>1631250</v>
          </cell>
          <cell r="DA23">
            <v>2632500</v>
          </cell>
          <cell r="DB23">
            <v>0</v>
          </cell>
          <cell r="DC23">
            <v>1755000</v>
          </cell>
          <cell r="DD23">
            <v>0</v>
          </cell>
          <cell r="DE23">
            <v>0</v>
          </cell>
          <cell r="DF23">
            <v>4387500</v>
          </cell>
          <cell r="DG23">
            <v>0</v>
          </cell>
          <cell r="DH23">
            <v>0</v>
          </cell>
          <cell r="DI23">
            <v>1755000</v>
          </cell>
          <cell r="DJ23">
            <v>3510000</v>
          </cell>
          <cell r="DK23">
            <v>0</v>
          </cell>
          <cell r="DL23">
            <v>2120625</v>
          </cell>
        </row>
        <row r="24"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</row>
        <row r="25"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700000</v>
          </cell>
          <cell r="BO25">
            <v>0</v>
          </cell>
          <cell r="BP25">
            <v>0</v>
          </cell>
          <cell r="BQ25">
            <v>1500000</v>
          </cell>
          <cell r="BR25">
            <v>0</v>
          </cell>
          <cell r="BS25">
            <v>0</v>
          </cell>
          <cell r="BT25">
            <v>1500000</v>
          </cell>
          <cell r="BU25">
            <v>0</v>
          </cell>
          <cell r="BV25">
            <v>0</v>
          </cell>
          <cell r="BW25">
            <v>1875000</v>
          </cell>
          <cell r="BX25">
            <v>0</v>
          </cell>
          <cell r="BY25">
            <v>0</v>
          </cell>
          <cell r="BZ25">
            <v>2625000</v>
          </cell>
          <cell r="CA25">
            <v>0</v>
          </cell>
          <cell r="CB25">
            <v>0</v>
          </cell>
          <cell r="CC25">
            <v>3000000</v>
          </cell>
          <cell r="CD25">
            <v>0</v>
          </cell>
          <cell r="CE25">
            <v>0</v>
          </cell>
          <cell r="CF25">
            <v>3000000</v>
          </cell>
          <cell r="CG25">
            <v>0</v>
          </cell>
          <cell r="CH25">
            <v>0</v>
          </cell>
          <cell r="CI25">
            <v>3750000</v>
          </cell>
          <cell r="CJ25">
            <v>0</v>
          </cell>
          <cell r="CK25">
            <v>0</v>
          </cell>
          <cell r="CL25">
            <v>5250000</v>
          </cell>
          <cell r="CM25">
            <v>0</v>
          </cell>
          <cell r="CN25">
            <v>0</v>
          </cell>
          <cell r="CO25">
            <v>4500000</v>
          </cell>
          <cell r="CP25">
            <v>0</v>
          </cell>
          <cell r="CQ25">
            <v>0</v>
          </cell>
          <cell r="CR25">
            <v>4500000</v>
          </cell>
          <cell r="CS25">
            <v>0</v>
          </cell>
          <cell r="CT25">
            <v>0</v>
          </cell>
          <cell r="CU25">
            <v>5625000</v>
          </cell>
          <cell r="CV25">
            <v>0</v>
          </cell>
          <cell r="CW25">
            <v>0</v>
          </cell>
          <cell r="CX25">
            <v>7875000</v>
          </cell>
          <cell r="CY25">
            <v>0</v>
          </cell>
          <cell r="CZ25">
            <v>0</v>
          </cell>
          <cell r="DA25">
            <v>5850000</v>
          </cell>
          <cell r="DB25">
            <v>0</v>
          </cell>
          <cell r="DC25">
            <v>0</v>
          </cell>
          <cell r="DD25">
            <v>5850000</v>
          </cell>
          <cell r="DE25">
            <v>0</v>
          </cell>
          <cell r="DF25">
            <v>0</v>
          </cell>
          <cell r="DG25">
            <v>7312500</v>
          </cell>
          <cell r="DH25">
            <v>0</v>
          </cell>
          <cell r="DI25">
            <v>0</v>
          </cell>
          <cell r="DJ25">
            <v>10237500</v>
          </cell>
          <cell r="DK25">
            <v>0</v>
          </cell>
          <cell r="DL25">
            <v>0</v>
          </cell>
        </row>
        <row r="26"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367500</v>
          </cell>
          <cell r="BE26">
            <v>0</v>
          </cell>
          <cell r="BF26">
            <v>567000</v>
          </cell>
          <cell r="BG26">
            <v>0</v>
          </cell>
          <cell r="BH26">
            <v>0</v>
          </cell>
          <cell r="BI26">
            <v>0</v>
          </cell>
          <cell r="BJ26">
            <v>945000</v>
          </cell>
          <cell r="BK26">
            <v>0</v>
          </cell>
          <cell r="BL26">
            <v>0</v>
          </cell>
          <cell r="BM26">
            <v>1530000</v>
          </cell>
          <cell r="BN26">
            <v>0</v>
          </cell>
          <cell r="BO26">
            <v>0</v>
          </cell>
          <cell r="BP26">
            <v>1842000</v>
          </cell>
          <cell r="BQ26">
            <v>576000</v>
          </cell>
          <cell r="BR26">
            <v>936000</v>
          </cell>
          <cell r="BS26">
            <v>0</v>
          </cell>
          <cell r="BT26">
            <v>0</v>
          </cell>
          <cell r="BU26">
            <v>0</v>
          </cell>
          <cell r="BV26">
            <v>1512000</v>
          </cell>
          <cell r="BW26">
            <v>0</v>
          </cell>
          <cell r="BX26">
            <v>0</v>
          </cell>
          <cell r="BY26">
            <v>1560000</v>
          </cell>
          <cell r="BZ26">
            <v>0</v>
          </cell>
          <cell r="CA26">
            <v>115200</v>
          </cell>
          <cell r="CB26">
            <v>1560000</v>
          </cell>
          <cell r="CC26">
            <v>1440000</v>
          </cell>
          <cell r="CD26">
            <v>2340000</v>
          </cell>
          <cell r="CE26">
            <v>0</v>
          </cell>
          <cell r="CF26">
            <v>0</v>
          </cell>
          <cell r="CG26">
            <v>0</v>
          </cell>
          <cell r="CH26">
            <v>3780000</v>
          </cell>
          <cell r="CI26">
            <v>0</v>
          </cell>
          <cell r="CJ26">
            <v>0</v>
          </cell>
          <cell r="CK26">
            <v>3900000</v>
          </cell>
          <cell r="CL26">
            <v>0</v>
          </cell>
          <cell r="CM26">
            <v>288000</v>
          </cell>
          <cell r="CN26">
            <v>3900000</v>
          </cell>
          <cell r="CO26">
            <v>3240000</v>
          </cell>
          <cell r="CP26">
            <v>5265000</v>
          </cell>
          <cell r="CQ26">
            <v>0</v>
          </cell>
          <cell r="CR26">
            <v>0</v>
          </cell>
          <cell r="CS26">
            <v>0</v>
          </cell>
          <cell r="CT26">
            <v>8505000</v>
          </cell>
          <cell r="CU26">
            <v>0</v>
          </cell>
          <cell r="CV26">
            <v>0</v>
          </cell>
          <cell r="CW26">
            <v>8775000</v>
          </cell>
          <cell r="CX26">
            <v>0</v>
          </cell>
          <cell r="CY26">
            <v>648000</v>
          </cell>
          <cell r="CZ26">
            <v>8775000</v>
          </cell>
          <cell r="DA26">
            <v>5670000</v>
          </cell>
          <cell r="DB26">
            <v>9213750</v>
          </cell>
          <cell r="DC26">
            <v>0</v>
          </cell>
          <cell r="DD26">
            <v>0</v>
          </cell>
          <cell r="DE26">
            <v>0</v>
          </cell>
          <cell r="DF26">
            <v>14883750</v>
          </cell>
          <cell r="DG26">
            <v>0</v>
          </cell>
          <cell r="DH26">
            <v>0</v>
          </cell>
          <cell r="DI26">
            <v>15356250</v>
          </cell>
          <cell r="DJ26">
            <v>0</v>
          </cell>
          <cell r="DK26">
            <v>1134000</v>
          </cell>
          <cell r="DL26">
            <v>15356250</v>
          </cell>
        </row>
        <row r="27"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75000</v>
          </cell>
          <cell r="AY27">
            <v>1800000</v>
          </cell>
          <cell r="AZ27">
            <v>0</v>
          </cell>
          <cell r="BA27">
            <v>150000</v>
          </cell>
          <cell r="BB27">
            <v>0</v>
          </cell>
          <cell r="BC27">
            <v>225000</v>
          </cell>
          <cell r="BD27">
            <v>337500</v>
          </cell>
          <cell r="BE27">
            <v>0</v>
          </cell>
          <cell r="BF27">
            <v>750000</v>
          </cell>
          <cell r="BG27">
            <v>225000</v>
          </cell>
          <cell r="BH27">
            <v>0</v>
          </cell>
          <cell r="BI27">
            <v>937500</v>
          </cell>
          <cell r="BJ27">
            <v>506250</v>
          </cell>
          <cell r="BK27">
            <v>292500</v>
          </cell>
          <cell r="BL27">
            <v>1110000</v>
          </cell>
          <cell r="BM27">
            <v>0</v>
          </cell>
          <cell r="BN27">
            <v>150000</v>
          </cell>
          <cell r="BO27">
            <v>1215000</v>
          </cell>
          <cell r="BP27">
            <v>686250</v>
          </cell>
          <cell r="BQ27">
            <v>225000</v>
          </cell>
          <cell r="BR27">
            <v>1672500</v>
          </cell>
          <cell r="BS27">
            <v>630000</v>
          </cell>
          <cell r="BT27">
            <v>56250</v>
          </cell>
          <cell r="BU27">
            <v>1312500</v>
          </cell>
          <cell r="BV27">
            <v>990000</v>
          </cell>
          <cell r="BW27">
            <v>225000</v>
          </cell>
          <cell r="BX27">
            <v>1785000</v>
          </cell>
          <cell r="BY27">
            <v>630000</v>
          </cell>
          <cell r="BZ27">
            <v>56250</v>
          </cell>
          <cell r="CA27">
            <v>1185000</v>
          </cell>
          <cell r="CB27">
            <v>630000</v>
          </cell>
          <cell r="CC27">
            <v>562500</v>
          </cell>
          <cell r="CD27">
            <v>4181250</v>
          </cell>
          <cell r="CE27">
            <v>1575000</v>
          </cell>
          <cell r="CF27">
            <v>140625</v>
          </cell>
          <cell r="CG27">
            <v>3281250</v>
          </cell>
          <cell r="CH27">
            <v>2475000</v>
          </cell>
          <cell r="CI27">
            <v>562500</v>
          </cell>
          <cell r="CJ27">
            <v>4462500</v>
          </cell>
          <cell r="CK27">
            <v>1575000</v>
          </cell>
          <cell r="CL27">
            <v>140625</v>
          </cell>
          <cell r="CM27">
            <v>2962500</v>
          </cell>
          <cell r="CN27">
            <v>1575000</v>
          </cell>
          <cell r="CO27">
            <v>984375</v>
          </cell>
          <cell r="CP27">
            <v>7317187.5</v>
          </cell>
          <cell r="CQ27">
            <v>2756250</v>
          </cell>
          <cell r="CR27">
            <v>246093.75</v>
          </cell>
          <cell r="CS27">
            <v>5742187.5</v>
          </cell>
          <cell r="CT27">
            <v>4331250</v>
          </cell>
          <cell r="CU27">
            <v>984375</v>
          </cell>
          <cell r="CV27">
            <v>7809375</v>
          </cell>
          <cell r="CW27">
            <v>2756250</v>
          </cell>
          <cell r="CX27">
            <v>246093.75</v>
          </cell>
          <cell r="CY27">
            <v>5184375</v>
          </cell>
          <cell r="CZ27">
            <v>2756250</v>
          </cell>
          <cell r="DA27">
            <v>1476562.5</v>
          </cell>
          <cell r="DB27">
            <v>10975781.25</v>
          </cell>
          <cell r="DC27">
            <v>4134375</v>
          </cell>
          <cell r="DD27">
            <v>369140.625</v>
          </cell>
          <cell r="DE27">
            <v>8613281.25</v>
          </cell>
          <cell r="DF27">
            <v>6496875</v>
          </cell>
          <cell r="DG27">
            <v>1476562.5</v>
          </cell>
          <cell r="DH27">
            <v>11714062.5</v>
          </cell>
          <cell r="DI27">
            <v>4134375</v>
          </cell>
          <cell r="DJ27">
            <v>369140.625</v>
          </cell>
          <cell r="DK27">
            <v>7776562.5</v>
          </cell>
          <cell r="DL27">
            <v>4134375</v>
          </cell>
        </row>
        <row r="28"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324000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675000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972000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2025000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2430000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5062500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4252500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8859375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</row>
        <row r="29"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325000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780000</v>
          </cell>
          <cell r="BX29">
            <v>0</v>
          </cell>
          <cell r="BY29">
            <v>0</v>
          </cell>
          <cell r="BZ29">
            <v>0</v>
          </cell>
          <cell r="CA29">
            <v>156000</v>
          </cell>
          <cell r="CB29">
            <v>0</v>
          </cell>
          <cell r="CC29">
            <v>975000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2340000</v>
          </cell>
          <cell r="CJ29">
            <v>0</v>
          </cell>
          <cell r="CK29">
            <v>0</v>
          </cell>
          <cell r="CL29">
            <v>0</v>
          </cell>
          <cell r="CM29">
            <v>468000</v>
          </cell>
          <cell r="CN29">
            <v>0</v>
          </cell>
          <cell r="CO29">
            <v>2437500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5850000</v>
          </cell>
          <cell r="CV29">
            <v>0</v>
          </cell>
          <cell r="CW29">
            <v>0</v>
          </cell>
          <cell r="CX29">
            <v>0</v>
          </cell>
          <cell r="CY29">
            <v>1170000</v>
          </cell>
          <cell r="CZ29">
            <v>0</v>
          </cell>
          <cell r="DA29">
            <v>4265625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10237500</v>
          </cell>
          <cell r="DH29">
            <v>0</v>
          </cell>
          <cell r="DI29">
            <v>0</v>
          </cell>
          <cell r="DJ29">
            <v>0</v>
          </cell>
          <cell r="DK29">
            <v>2047500</v>
          </cell>
          <cell r="DL29">
            <v>0</v>
          </cell>
        </row>
        <row r="30"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108000</v>
          </cell>
          <cell r="BJ30">
            <v>0</v>
          </cell>
          <cell r="BK30">
            <v>216000</v>
          </cell>
          <cell r="BL30">
            <v>0</v>
          </cell>
          <cell r="BM30">
            <v>0</v>
          </cell>
          <cell r="BN30">
            <v>0</v>
          </cell>
          <cell r="BO30">
            <v>324000</v>
          </cell>
          <cell r="BP30">
            <v>0</v>
          </cell>
          <cell r="BQ30">
            <v>0</v>
          </cell>
          <cell r="BR30">
            <v>432000</v>
          </cell>
          <cell r="BS30">
            <v>0</v>
          </cell>
          <cell r="BT30">
            <v>0</v>
          </cell>
          <cell r="BU30">
            <v>432000</v>
          </cell>
          <cell r="BV30">
            <v>0</v>
          </cell>
          <cell r="BW30">
            <v>0</v>
          </cell>
          <cell r="BX30">
            <v>432000</v>
          </cell>
          <cell r="BY30">
            <v>0</v>
          </cell>
          <cell r="BZ30">
            <v>0</v>
          </cell>
          <cell r="CA30">
            <v>432000</v>
          </cell>
          <cell r="CB30">
            <v>0</v>
          </cell>
          <cell r="CC30">
            <v>0</v>
          </cell>
          <cell r="CD30">
            <v>864000</v>
          </cell>
          <cell r="CE30">
            <v>0</v>
          </cell>
          <cell r="CF30">
            <v>0</v>
          </cell>
          <cell r="CG30">
            <v>864000</v>
          </cell>
          <cell r="CH30">
            <v>0</v>
          </cell>
          <cell r="CI30">
            <v>0</v>
          </cell>
          <cell r="CJ30">
            <v>864000</v>
          </cell>
          <cell r="CK30">
            <v>0</v>
          </cell>
          <cell r="CL30">
            <v>0</v>
          </cell>
          <cell r="CM30">
            <v>864000</v>
          </cell>
          <cell r="CN30">
            <v>0</v>
          </cell>
          <cell r="CO30">
            <v>0</v>
          </cell>
          <cell r="CP30">
            <v>1296000</v>
          </cell>
          <cell r="CQ30">
            <v>0</v>
          </cell>
          <cell r="CR30">
            <v>0</v>
          </cell>
          <cell r="CS30">
            <v>1296000</v>
          </cell>
          <cell r="CT30">
            <v>0</v>
          </cell>
          <cell r="CU30">
            <v>0</v>
          </cell>
          <cell r="CV30">
            <v>1296000</v>
          </cell>
          <cell r="CW30">
            <v>0</v>
          </cell>
          <cell r="CX30">
            <v>0</v>
          </cell>
          <cell r="CY30">
            <v>1296000</v>
          </cell>
          <cell r="CZ30">
            <v>0</v>
          </cell>
          <cell r="DA30">
            <v>0</v>
          </cell>
          <cell r="DB30">
            <v>1684800</v>
          </cell>
          <cell r="DC30">
            <v>0</v>
          </cell>
          <cell r="DD30">
            <v>0</v>
          </cell>
          <cell r="DE30">
            <v>1684800</v>
          </cell>
          <cell r="DF30">
            <v>0</v>
          </cell>
          <cell r="DG30">
            <v>0</v>
          </cell>
          <cell r="DH30">
            <v>1684800</v>
          </cell>
          <cell r="DI30">
            <v>0</v>
          </cell>
          <cell r="DJ30">
            <v>0</v>
          </cell>
          <cell r="DK30">
            <v>1684800</v>
          </cell>
          <cell r="DL30">
            <v>0</v>
          </cell>
        </row>
        <row r="31"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780000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1560000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2340000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4680000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7020000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14040000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17550000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35100000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</row>
        <row r="32"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216000</v>
          </cell>
          <cell r="BN32">
            <v>0</v>
          </cell>
          <cell r="BO32">
            <v>162000</v>
          </cell>
          <cell r="BP32">
            <v>405000</v>
          </cell>
          <cell r="BQ32">
            <v>0</v>
          </cell>
          <cell r="BR32">
            <v>993600</v>
          </cell>
          <cell r="BS32">
            <v>0</v>
          </cell>
          <cell r="BT32">
            <v>0</v>
          </cell>
          <cell r="BU32">
            <v>1123200</v>
          </cell>
          <cell r="BV32">
            <v>0</v>
          </cell>
          <cell r="BW32">
            <v>1296000</v>
          </cell>
          <cell r="BX32">
            <v>0</v>
          </cell>
          <cell r="BY32">
            <v>129600</v>
          </cell>
          <cell r="BZ32">
            <v>0</v>
          </cell>
          <cell r="CA32">
            <v>1728000</v>
          </cell>
          <cell r="CB32">
            <v>324000</v>
          </cell>
          <cell r="CC32">
            <v>0</v>
          </cell>
          <cell r="CD32">
            <v>2980800</v>
          </cell>
          <cell r="CE32">
            <v>0</v>
          </cell>
          <cell r="CF32">
            <v>0</v>
          </cell>
          <cell r="CG32">
            <v>3369600</v>
          </cell>
          <cell r="CH32">
            <v>0</v>
          </cell>
          <cell r="CI32">
            <v>3888000</v>
          </cell>
          <cell r="CJ32">
            <v>0</v>
          </cell>
          <cell r="CK32">
            <v>388800</v>
          </cell>
          <cell r="CL32">
            <v>0</v>
          </cell>
          <cell r="CM32">
            <v>5184000</v>
          </cell>
          <cell r="CN32">
            <v>972000</v>
          </cell>
          <cell r="CO32">
            <v>0</v>
          </cell>
          <cell r="CP32">
            <v>7452000</v>
          </cell>
          <cell r="CQ32">
            <v>0</v>
          </cell>
          <cell r="CR32">
            <v>0</v>
          </cell>
          <cell r="CS32">
            <v>8424000</v>
          </cell>
          <cell r="CT32">
            <v>0</v>
          </cell>
          <cell r="CU32">
            <v>9720000</v>
          </cell>
          <cell r="CV32">
            <v>0</v>
          </cell>
          <cell r="CW32">
            <v>972000</v>
          </cell>
          <cell r="CX32">
            <v>0</v>
          </cell>
          <cell r="CY32">
            <v>12960000</v>
          </cell>
          <cell r="CZ32">
            <v>2430000</v>
          </cell>
          <cell r="DA32">
            <v>0</v>
          </cell>
          <cell r="DB32">
            <v>13041000</v>
          </cell>
          <cell r="DC32">
            <v>0</v>
          </cell>
          <cell r="DD32">
            <v>0</v>
          </cell>
          <cell r="DE32">
            <v>14742000</v>
          </cell>
          <cell r="DF32">
            <v>0</v>
          </cell>
          <cell r="DG32">
            <v>17010000</v>
          </cell>
          <cell r="DH32">
            <v>0</v>
          </cell>
          <cell r="DI32">
            <v>1701000</v>
          </cell>
          <cell r="DJ32">
            <v>0</v>
          </cell>
          <cell r="DK32">
            <v>22680000</v>
          </cell>
          <cell r="DL32">
            <v>4252500</v>
          </cell>
        </row>
        <row r="33"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</row>
        <row r="40"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33000</v>
          </cell>
          <cell r="BF40">
            <v>0</v>
          </cell>
          <cell r="BG40">
            <v>33000</v>
          </cell>
          <cell r="BH40">
            <v>0</v>
          </cell>
          <cell r="BI40">
            <v>0</v>
          </cell>
          <cell r="BJ40">
            <v>66000</v>
          </cell>
          <cell r="BK40">
            <v>0</v>
          </cell>
          <cell r="BL40">
            <v>33000</v>
          </cell>
          <cell r="BM40">
            <v>66000</v>
          </cell>
          <cell r="BN40">
            <v>66000</v>
          </cell>
          <cell r="BO40">
            <v>13750</v>
          </cell>
          <cell r="BP40">
            <v>66000</v>
          </cell>
          <cell r="BQ40">
            <v>99000</v>
          </cell>
          <cell r="BR40">
            <v>0</v>
          </cell>
          <cell r="BS40">
            <v>66000</v>
          </cell>
          <cell r="BT40">
            <v>0</v>
          </cell>
          <cell r="BU40">
            <v>0</v>
          </cell>
          <cell r="BV40">
            <v>165000</v>
          </cell>
          <cell r="BW40">
            <v>0</v>
          </cell>
          <cell r="BX40">
            <v>0</v>
          </cell>
          <cell r="BY40">
            <v>66000</v>
          </cell>
          <cell r="BZ40">
            <v>132000</v>
          </cell>
          <cell r="CA40">
            <v>0</v>
          </cell>
          <cell r="CB40">
            <v>79750</v>
          </cell>
          <cell r="CC40">
            <v>198000</v>
          </cell>
          <cell r="CD40">
            <v>0</v>
          </cell>
          <cell r="CE40">
            <v>132000</v>
          </cell>
          <cell r="CF40">
            <v>0</v>
          </cell>
          <cell r="CG40">
            <v>0</v>
          </cell>
          <cell r="CH40">
            <v>330000</v>
          </cell>
          <cell r="CI40">
            <v>0</v>
          </cell>
          <cell r="CJ40">
            <v>0</v>
          </cell>
          <cell r="CK40">
            <v>132000</v>
          </cell>
          <cell r="CL40">
            <v>264000</v>
          </cell>
          <cell r="CM40">
            <v>0</v>
          </cell>
          <cell r="CN40">
            <v>159500</v>
          </cell>
          <cell r="CO40">
            <v>297000</v>
          </cell>
          <cell r="CP40">
            <v>0</v>
          </cell>
          <cell r="CQ40">
            <v>198000</v>
          </cell>
          <cell r="CR40">
            <v>0</v>
          </cell>
          <cell r="CS40">
            <v>0</v>
          </cell>
          <cell r="CT40">
            <v>495000</v>
          </cell>
          <cell r="CU40">
            <v>0</v>
          </cell>
          <cell r="CV40">
            <v>0</v>
          </cell>
          <cell r="CW40">
            <v>198000</v>
          </cell>
          <cell r="CX40">
            <v>396000</v>
          </cell>
          <cell r="CY40">
            <v>0</v>
          </cell>
          <cell r="CZ40">
            <v>239250</v>
          </cell>
          <cell r="DA40">
            <v>386100</v>
          </cell>
          <cell r="DB40">
            <v>0</v>
          </cell>
          <cell r="DC40">
            <v>257400</v>
          </cell>
          <cell r="DD40">
            <v>0</v>
          </cell>
          <cell r="DE40">
            <v>0</v>
          </cell>
          <cell r="DF40">
            <v>643500</v>
          </cell>
          <cell r="DG40">
            <v>0</v>
          </cell>
          <cell r="DH40">
            <v>0</v>
          </cell>
          <cell r="DI40">
            <v>257400</v>
          </cell>
          <cell r="DJ40">
            <v>514800</v>
          </cell>
          <cell r="DK40">
            <v>0</v>
          </cell>
          <cell r="DL40">
            <v>311025</v>
          </cell>
        </row>
        <row r="41"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49600</v>
          </cell>
          <cell r="BD41">
            <v>0</v>
          </cell>
          <cell r="BE41">
            <v>0</v>
          </cell>
          <cell r="BF41">
            <v>148800</v>
          </cell>
          <cell r="BG41">
            <v>37200</v>
          </cell>
          <cell r="BH41">
            <v>0</v>
          </cell>
          <cell r="BI41">
            <v>0</v>
          </cell>
          <cell r="BJ41">
            <v>0</v>
          </cell>
          <cell r="BK41">
            <v>74400</v>
          </cell>
          <cell r="BL41">
            <v>0</v>
          </cell>
          <cell r="BM41">
            <v>297600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279000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613800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558000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1227600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837000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1841400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1088100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2393820</v>
          </cell>
          <cell r="DJ41">
            <v>0</v>
          </cell>
          <cell r="DK41">
            <v>0</v>
          </cell>
          <cell r="DL41">
            <v>0</v>
          </cell>
        </row>
        <row r="42"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308000</v>
          </cell>
          <cell r="BO42">
            <v>0</v>
          </cell>
          <cell r="BP42">
            <v>0</v>
          </cell>
          <cell r="BQ42">
            <v>660000</v>
          </cell>
          <cell r="BR42">
            <v>0</v>
          </cell>
          <cell r="BS42">
            <v>0</v>
          </cell>
          <cell r="BT42">
            <v>660000</v>
          </cell>
          <cell r="BU42">
            <v>0</v>
          </cell>
          <cell r="BV42">
            <v>0</v>
          </cell>
          <cell r="BW42">
            <v>825000</v>
          </cell>
          <cell r="BX42">
            <v>0</v>
          </cell>
          <cell r="BY42">
            <v>0</v>
          </cell>
          <cell r="BZ42">
            <v>1155000</v>
          </cell>
          <cell r="CA42">
            <v>0</v>
          </cell>
          <cell r="CB42">
            <v>0</v>
          </cell>
          <cell r="CC42">
            <v>1320000</v>
          </cell>
          <cell r="CD42">
            <v>0</v>
          </cell>
          <cell r="CE42">
            <v>0</v>
          </cell>
          <cell r="CF42">
            <v>1320000</v>
          </cell>
          <cell r="CG42">
            <v>0</v>
          </cell>
          <cell r="CH42">
            <v>0</v>
          </cell>
          <cell r="CI42">
            <v>1650000</v>
          </cell>
          <cell r="CJ42">
            <v>0</v>
          </cell>
          <cell r="CK42">
            <v>0</v>
          </cell>
          <cell r="CL42">
            <v>2310000</v>
          </cell>
          <cell r="CM42">
            <v>0</v>
          </cell>
          <cell r="CN42">
            <v>0</v>
          </cell>
          <cell r="CO42">
            <v>1980000</v>
          </cell>
          <cell r="CP42">
            <v>0</v>
          </cell>
          <cell r="CQ42">
            <v>0</v>
          </cell>
          <cell r="CR42">
            <v>1980000</v>
          </cell>
          <cell r="CS42">
            <v>0</v>
          </cell>
          <cell r="CT42">
            <v>0</v>
          </cell>
          <cell r="CU42">
            <v>2475000</v>
          </cell>
          <cell r="CV42">
            <v>0</v>
          </cell>
          <cell r="CW42">
            <v>0</v>
          </cell>
          <cell r="CX42">
            <v>3465000</v>
          </cell>
          <cell r="CY42">
            <v>0</v>
          </cell>
          <cell r="CZ42">
            <v>0</v>
          </cell>
          <cell r="DA42">
            <v>2574000</v>
          </cell>
          <cell r="DB42">
            <v>0</v>
          </cell>
          <cell r="DC42">
            <v>0</v>
          </cell>
          <cell r="DD42">
            <v>2574000</v>
          </cell>
          <cell r="DE42">
            <v>0</v>
          </cell>
          <cell r="DF42">
            <v>0</v>
          </cell>
          <cell r="DG42">
            <v>3217500</v>
          </cell>
          <cell r="DH42">
            <v>0</v>
          </cell>
          <cell r="DI42">
            <v>0</v>
          </cell>
          <cell r="DJ42">
            <v>4504500</v>
          </cell>
          <cell r="DK42">
            <v>0</v>
          </cell>
          <cell r="DL42">
            <v>0</v>
          </cell>
        </row>
        <row r="43"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9900</v>
          </cell>
          <cell r="BE43">
            <v>0</v>
          </cell>
          <cell r="BF43">
            <v>83160</v>
          </cell>
          <cell r="BG43">
            <v>0</v>
          </cell>
          <cell r="BH43">
            <v>0</v>
          </cell>
          <cell r="BI43">
            <v>0</v>
          </cell>
          <cell r="BJ43">
            <v>138600</v>
          </cell>
          <cell r="BK43">
            <v>0</v>
          </cell>
          <cell r="BL43">
            <v>0</v>
          </cell>
          <cell r="BM43">
            <v>224400</v>
          </cell>
          <cell r="BN43">
            <v>0</v>
          </cell>
          <cell r="BO43">
            <v>0</v>
          </cell>
          <cell r="BP43">
            <v>270160</v>
          </cell>
          <cell r="BQ43">
            <v>168960</v>
          </cell>
          <cell r="BR43">
            <v>274560</v>
          </cell>
          <cell r="BS43">
            <v>0</v>
          </cell>
          <cell r="BT43">
            <v>0</v>
          </cell>
          <cell r="BU43">
            <v>0</v>
          </cell>
          <cell r="BV43">
            <v>443520</v>
          </cell>
          <cell r="BW43">
            <v>0</v>
          </cell>
          <cell r="BX43">
            <v>0</v>
          </cell>
          <cell r="BY43">
            <v>457600</v>
          </cell>
          <cell r="BZ43">
            <v>0</v>
          </cell>
          <cell r="CA43">
            <v>33792</v>
          </cell>
          <cell r="CB43">
            <v>457600</v>
          </cell>
          <cell r="CC43">
            <v>422400</v>
          </cell>
          <cell r="CD43">
            <v>686400</v>
          </cell>
          <cell r="CE43">
            <v>0</v>
          </cell>
          <cell r="CF43">
            <v>0</v>
          </cell>
          <cell r="CG43">
            <v>0</v>
          </cell>
          <cell r="CH43">
            <v>1108800</v>
          </cell>
          <cell r="CI43">
            <v>0</v>
          </cell>
          <cell r="CJ43">
            <v>0</v>
          </cell>
          <cell r="CK43">
            <v>1144000</v>
          </cell>
          <cell r="CL43">
            <v>0</v>
          </cell>
          <cell r="CM43">
            <v>84480</v>
          </cell>
          <cell r="CN43">
            <v>1144000</v>
          </cell>
          <cell r="CO43">
            <v>950400</v>
          </cell>
          <cell r="CP43">
            <v>1544400</v>
          </cell>
          <cell r="CQ43">
            <v>0</v>
          </cell>
          <cell r="CR43">
            <v>0</v>
          </cell>
          <cell r="CS43">
            <v>0</v>
          </cell>
          <cell r="CT43">
            <v>2494800</v>
          </cell>
          <cell r="CU43">
            <v>0</v>
          </cell>
          <cell r="CV43">
            <v>0</v>
          </cell>
          <cell r="CW43">
            <v>2574000</v>
          </cell>
          <cell r="CX43">
            <v>0</v>
          </cell>
          <cell r="CY43">
            <v>190080</v>
          </cell>
          <cell r="CZ43">
            <v>2574000</v>
          </cell>
          <cell r="DA43">
            <v>1663200</v>
          </cell>
          <cell r="DB43">
            <v>2702700</v>
          </cell>
          <cell r="DC43">
            <v>0</v>
          </cell>
          <cell r="DD43">
            <v>0</v>
          </cell>
          <cell r="DE43">
            <v>0</v>
          </cell>
          <cell r="DF43">
            <v>4365900</v>
          </cell>
          <cell r="DG43">
            <v>0</v>
          </cell>
          <cell r="DH43">
            <v>0</v>
          </cell>
          <cell r="DI43">
            <v>4504500</v>
          </cell>
          <cell r="DJ43">
            <v>0</v>
          </cell>
          <cell r="DK43">
            <v>332640</v>
          </cell>
          <cell r="DL43">
            <v>4504500</v>
          </cell>
        </row>
        <row r="44">
          <cell r="AS44">
            <v>0</v>
          </cell>
          <cell r="AT44">
            <v>0</v>
          </cell>
          <cell r="AU44">
            <v>316800</v>
          </cell>
          <cell r="AV44">
            <v>33000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33000</v>
          </cell>
          <cell r="BD44">
            <v>49500</v>
          </cell>
          <cell r="BE44">
            <v>0</v>
          </cell>
          <cell r="BF44">
            <v>110000</v>
          </cell>
          <cell r="BG44">
            <v>33000</v>
          </cell>
          <cell r="BH44">
            <v>0</v>
          </cell>
          <cell r="BI44">
            <v>137500</v>
          </cell>
          <cell r="BJ44">
            <v>74250</v>
          </cell>
          <cell r="BK44">
            <v>42900</v>
          </cell>
          <cell r="BL44">
            <v>162800</v>
          </cell>
          <cell r="BM44">
            <v>0</v>
          </cell>
          <cell r="BN44">
            <v>22000</v>
          </cell>
          <cell r="BO44">
            <v>178200</v>
          </cell>
          <cell r="BP44">
            <v>100650</v>
          </cell>
          <cell r="BQ44">
            <v>33000</v>
          </cell>
          <cell r="BR44">
            <v>245300</v>
          </cell>
          <cell r="BS44">
            <v>92400</v>
          </cell>
          <cell r="BT44">
            <v>8250</v>
          </cell>
          <cell r="BU44">
            <v>192500</v>
          </cell>
          <cell r="BV44">
            <v>145200</v>
          </cell>
          <cell r="BW44">
            <v>33000</v>
          </cell>
          <cell r="BX44">
            <v>261800</v>
          </cell>
          <cell r="BY44">
            <v>92400</v>
          </cell>
          <cell r="BZ44">
            <v>8250</v>
          </cell>
          <cell r="CA44">
            <v>173800</v>
          </cell>
          <cell r="CB44">
            <v>92400</v>
          </cell>
          <cell r="CC44">
            <v>82500</v>
          </cell>
          <cell r="CD44">
            <v>613250</v>
          </cell>
          <cell r="CE44">
            <v>231000</v>
          </cell>
          <cell r="CF44">
            <v>20625</v>
          </cell>
          <cell r="CG44">
            <v>481250</v>
          </cell>
          <cell r="CH44">
            <v>363000</v>
          </cell>
          <cell r="CI44">
            <v>82500</v>
          </cell>
          <cell r="CJ44">
            <v>654500</v>
          </cell>
          <cell r="CK44">
            <v>231000</v>
          </cell>
          <cell r="CL44">
            <v>20625</v>
          </cell>
          <cell r="CM44">
            <v>434500</v>
          </cell>
          <cell r="CN44">
            <v>231000</v>
          </cell>
          <cell r="CO44">
            <v>144375</v>
          </cell>
          <cell r="CP44">
            <v>1073187.5</v>
          </cell>
          <cell r="CQ44">
            <v>404250</v>
          </cell>
          <cell r="CR44">
            <v>36093.75</v>
          </cell>
          <cell r="CS44">
            <v>842187.5</v>
          </cell>
          <cell r="CT44">
            <v>635250</v>
          </cell>
          <cell r="CU44">
            <v>144375</v>
          </cell>
          <cell r="CV44">
            <v>1145375</v>
          </cell>
          <cell r="CW44">
            <v>404250</v>
          </cell>
          <cell r="CX44">
            <v>36093.75</v>
          </cell>
          <cell r="CY44">
            <v>760375</v>
          </cell>
          <cell r="CZ44">
            <v>404250</v>
          </cell>
          <cell r="DA44">
            <v>216562.5</v>
          </cell>
          <cell r="DB44">
            <v>1609781.25</v>
          </cell>
          <cell r="DC44">
            <v>606375</v>
          </cell>
          <cell r="DD44">
            <v>54140.625</v>
          </cell>
          <cell r="DE44">
            <v>1263281.25</v>
          </cell>
          <cell r="DF44">
            <v>952875</v>
          </cell>
          <cell r="DG44">
            <v>216562.5</v>
          </cell>
          <cell r="DH44">
            <v>1718062.5</v>
          </cell>
          <cell r="DI44">
            <v>606375</v>
          </cell>
          <cell r="DJ44">
            <v>54140.625</v>
          </cell>
          <cell r="DK44">
            <v>1140562.5</v>
          </cell>
          <cell r="DL44">
            <v>606375</v>
          </cell>
        </row>
        <row r="45"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47520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99000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142560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297000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356400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742500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623700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1299375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</row>
        <row r="46"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143000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343200</v>
          </cell>
          <cell r="BX46">
            <v>0</v>
          </cell>
          <cell r="BY46">
            <v>0</v>
          </cell>
          <cell r="BZ46">
            <v>0</v>
          </cell>
          <cell r="CA46">
            <v>68640</v>
          </cell>
          <cell r="CB46">
            <v>0</v>
          </cell>
          <cell r="CC46">
            <v>429000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1029600</v>
          </cell>
          <cell r="CJ46">
            <v>0</v>
          </cell>
          <cell r="CK46">
            <v>0</v>
          </cell>
          <cell r="CL46">
            <v>0</v>
          </cell>
          <cell r="CM46">
            <v>205920</v>
          </cell>
          <cell r="CN46">
            <v>0</v>
          </cell>
          <cell r="CO46">
            <v>1072500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2574000</v>
          </cell>
          <cell r="CV46">
            <v>0</v>
          </cell>
          <cell r="CW46">
            <v>0</v>
          </cell>
          <cell r="CX46">
            <v>0</v>
          </cell>
          <cell r="CY46">
            <v>514800</v>
          </cell>
          <cell r="CZ46">
            <v>0</v>
          </cell>
          <cell r="DA46">
            <v>1876875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4504500</v>
          </cell>
          <cell r="DH46">
            <v>0</v>
          </cell>
          <cell r="DI46">
            <v>0</v>
          </cell>
          <cell r="DJ46">
            <v>0</v>
          </cell>
          <cell r="DK46">
            <v>900900</v>
          </cell>
          <cell r="DL46">
            <v>0</v>
          </cell>
        </row>
        <row r="47"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47520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</row>
        <row r="48"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343200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686400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1029600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2059200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3088800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6177600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7722000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15444000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</row>
        <row r="49"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23760</v>
          </cell>
          <cell r="BP49">
            <v>59400</v>
          </cell>
          <cell r="BQ49">
            <v>0</v>
          </cell>
          <cell r="BR49">
            <v>291456</v>
          </cell>
          <cell r="BS49">
            <v>0</v>
          </cell>
          <cell r="BT49">
            <v>0</v>
          </cell>
          <cell r="BU49">
            <v>329472</v>
          </cell>
          <cell r="BV49">
            <v>0</v>
          </cell>
          <cell r="BW49">
            <v>380160</v>
          </cell>
          <cell r="BX49">
            <v>0</v>
          </cell>
          <cell r="BY49">
            <v>38016</v>
          </cell>
          <cell r="BZ49">
            <v>0</v>
          </cell>
          <cell r="CA49">
            <v>506880</v>
          </cell>
          <cell r="CB49">
            <v>95040</v>
          </cell>
          <cell r="CC49">
            <v>0</v>
          </cell>
          <cell r="CD49">
            <v>874368</v>
          </cell>
          <cell r="CE49">
            <v>0</v>
          </cell>
          <cell r="CF49">
            <v>0</v>
          </cell>
          <cell r="CG49">
            <v>988416</v>
          </cell>
          <cell r="CH49">
            <v>0</v>
          </cell>
          <cell r="CI49">
            <v>1140480</v>
          </cell>
          <cell r="CJ49">
            <v>0</v>
          </cell>
          <cell r="CK49">
            <v>114048</v>
          </cell>
          <cell r="CL49">
            <v>0</v>
          </cell>
          <cell r="CM49">
            <v>1520640</v>
          </cell>
          <cell r="CN49">
            <v>285120</v>
          </cell>
          <cell r="CO49">
            <v>0</v>
          </cell>
          <cell r="CP49">
            <v>2185920</v>
          </cell>
          <cell r="CQ49">
            <v>0</v>
          </cell>
          <cell r="CR49">
            <v>0</v>
          </cell>
          <cell r="CS49">
            <v>2471040</v>
          </cell>
          <cell r="CT49">
            <v>0</v>
          </cell>
          <cell r="CU49">
            <v>2851200</v>
          </cell>
          <cell r="CV49">
            <v>0</v>
          </cell>
          <cell r="CW49">
            <v>285120</v>
          </cell>
          <cell r="CX49">
            <v>0</v>
          </cell>
          <cell r="CY49">
            <v>3801600</v>
          </cell>
          <cell r="CZ49">
            <v>712800</v>
          </cell>
          <cell r="DA49">
            <v>0</v>
          </cell>
          <cell r="DB49">
            <v>3825360</v>
          </cell>
          <cell r="DC49">
            <v>0</v>
          </cell>
          <cell r="DD49">
            <v>0</v>
          </cell>
          <cell r="DE49">
            <v>4324320</v>
          </cell>
          <cell r="DF49">
            <v>0</v>
          </cell>
          <cell r="DG49">
            <v>4989600</v>
          </cell>
          <cell r="DH49">
            <v>0</v>
          </cell>
          <cell r="DI49">
            <v>498960</v>
          </cell>
          <cell r="DJ49">
            <v>0</v>
          </cell>
          <cell r="DK49">
            <v>6652800</v>
          </cell>
          <cell r="DL49">
            <v>1247400</v>
          </cell>
        </row>
        <row r="50"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487500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975000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975000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1300000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1950000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2600000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2925000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3900000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3802500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5070000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</row>
        <row r="51"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105000</v>
          </cell>
          <cell r="BC51">
            <v>105000</v>
          </cell>
          <cell r="BD51">
            <v>252000</v>
          </cell>
          <cell r="BE51">
            <v>189000</v>
          </cell>
          <cell r="BF51">
            <v>0</v>
          </cell>
          <cell r="BG51">
            <v>189000</v>
          </cell>
          <cell r="BH51">
            <v>0</v>
          </cell>
          <cell r="BI51">
            <v>0</v>
          </cell>
          <cell r="BJ51">
            <v>378000</v>
          </cell>
          <cell r="BK51">
            <v>0</v>
          </cell>
          <cell r="BL51">
            <v>189000</v>
          </cell>
          <cell r="BM51">
            <v>378000</v>
          </cell>
          <cell r="BN51">
            <v>378000</v>
          </cell>
          <cell r="BO51">
            <v>78750</v>
          </cell>
          <cell r="BP51">
            <v>378000</v>
          </cell>
          <cell r="BQ51">
            <v>567000</v>
          </cell>
          <cell r="BR51">
            <v>0</v>
          </cell>
          <cell r="BS51">
            <v>378000</v>
          </cell>
          <cell r="BT51">
            <v>0</v>
          </cell>
          <cell r="BU51">
            <v>0</v>
          </cell>
          <cell r="BV51">
            <v>945000</v>
          </cell>
          <cell r="BW51">
            <v>0</v>
          </cell>
          <cell r="BX51">
            <v>0</v>
          </cell>
          <cell r="BY51">
            <v>378000</v>
          </cell>
          <cell r="BZ51">
            <v>756000</v>
          </cell>
          <cell r="CA51">
            <v>0</v>
          </cell>
          <cell r="CB51">
            <v>456750</v>
          </cell>
          <cell r="CC51">
            <v>1069200</v>
          </cell>
          <cell r="CD51">
            <v>0</v>
          </cell>
          <cell r="CE51">
            <v>712800</v>
          </cell>
          <cell r="CF51">
            <v>0</v>
          </cell>
          <cell r="CG51">
            <v>0</v>
          </cell>
          <cell r="CH51">
            <v>1782000</v>
          </cell>
          <cell r="CI51">
            <v>0</v>
          </cell>
          <cell r="CJ51">
            <v>0</v>
          </cell>
          <cell r="CK51">
            <v>712800</v>
          </cell>
          <cell r="CL51">
            <v>1425600</v>
          </cell>
          <cell r="CM51">
            <v>0</v>
          </cell>
          <cell r="CN51">
            <v>861300</v>
          </cell>
          <cell r="CO51">
            <v>1603800</v>
          </cell>
          <cell r="CP51">
            <v>0</v>
          </cell>
          <cell r="CQ51">
            <v>1069200</v>
          </cell>
          <cell r="CR51">
            <v>0</v>
          </cell>
          <cell r="CS51">
            <v>0</v>
          </cell>
          <cell r="CT51">
            <v>2673000</v>
          </cell>
          <cell r="CU51">
            <v>0</v>
          </cell>
          <cell r="CV51">
            <v>0</v>
          </cell>
          <cell r="CW51">
            <v>1069200</v>
          </cell>
          <cell r="CX51">
            <v>2138400</v>
          </cell>
          <cell r="CY51">
            <v>0</v>
          </cell>
          <cell r="CZ51">
            <v>1291950</v>
          </cell>
          <cell r="DA51">
            <v>2084940</v>
          </cell>
          <cell r="DB51">
            <v>0</v>
          </cell>
          <cell r="DC51">
            <v>1389960</v>
          </cell>
          <cell r="DD51">
            <v>0</v>
          </cell>
          <cell r="DE51">
            <v>0</v>
          </cell>
          <cell r="DF51">
            <v>3474900</v>
          </cell>
          <cell r="DG51">
            <v>0</v>
          </cell>
          <cell r="DH51">
            <v>0</v>
          </cell>
          <cell r="DI51">
            <v>1389960</v>
          </cell>
          <cell r="DJ51">
            <v>2779920</v>
          </cell>
          <cell r="DK51">
            <v>0</v>
          </cell>
          <cell r="DL51">
            <v>1679535</v>
          </cell>
        </row>
        <row r="52"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</row>
        <row r="53"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588000</v>
          </cell>
          <cell r="BO53">
            <v>0</v>
          </cell>
          <cell r="BP53">
            <v>0</v>
          </cell>
          <cell r="BQ53">
            <v>1260000</v>
          </cell>
          <cell r="BR53">
            <v>0</v>
          </cell>
          <cell r="BS53">
            <v>0</v>
          </cell>
          <cell r="BT53">
            <v>1260000</v>
          </cell>
          <cell r="BU53">
            <v>0</v>
          </cell>
          <cell r="BV53">
            <v>0</v>
          </cell>
          <cell r="BW53">
            <v>1575000</v>
          </cell>
          <cell r="BX53">
            <v>0</v>
          </cell>
          <cell r="BY53">
            <v>0</v>
          </cell>
          <cell r="BZ53">
            <v>2205000</v>
          </cell>
          <cell r="CA53">
            <v>0</v>
          </cell>
          <cell r="CB53">
            <v>0</v>
          </cell>
          <cell r="CC53">
            <v>2376000</v>
          </cell>
          <cell r="CD53">
            <v>0</v>
          </cell>
          <cell r="CE53">
            <v>0</v>
          </cell>
          <cell r="CF53">
            <v>2376000</v>
          </cell>
          <cell r="CG53">
            <v>0</v>
          </cell>
          <cell r="CH53">
            <v>0</v>
          </cell>
          <cell r="CI53">
            <v>2970000</v>
          </cell>
          <cell r="CJ53">
            <v>0</v>
          </cell>
          <cell r="CK53">
            <v>0</v>
          </cell>
          <cell r="CL53">
            <v>4158000</v>
          </cell>
          <cell r="CM53">
            <v>0</v>
          </cell>
          <cell r="CN53">
            <v>0</v>
          </cell>
          <cell r="CO53">
            <v>3564000</v>
          </cell>
          <cell r="CP53">
            <v>0</v>
          </cell>
          <cell r="CQ53">
            <v>0</v>
          </cell>
          <cell r="CR53">
            <v>3564000</v>
          </cell>
          <cell r="CS53">
            <v>0</v>
          </cell>
          <cell r="CT53">
            <v>0</v>
          </cell>
          <cell r="CU53">
            <v>4455000</v>
          </cell>
          <cell r="CV53">
            <v>0</v>
          </cell>
          <cell r="CW53">
            <v>0</v>
          </cell>
          <cell r="CX53">
            <v>6237000</v>
          </cell>
          <cell r="CY53">
            <v>0</v>
          </cell>
          <cell r="CZ53">
            <v>0</v>
          </cell>
          <cell r="DA53">
            <v>4633200</v>
          </cell>
          <cell r="DB53">
            <v>0</v>
          </cell>
          <cell r="DC53">
            <v>0</v>
          </cell>
          <cell r="DD53">
            <v>4633200</v>
          </cell>
          <cell r="DE53">
            <v>0</v>
          </cell>
          <cell r="DF53">
            <v>0</v>
          </cell>
          <cell r="DG53">
            <v>5791500</v>
          </cell>
          <cell r="DH53">
            <v>0</v>
          </cell>
          <cell r="DI53">
            <v>0</v>
          </cell>
          <cell r="DJ53">
            <v>8108100</v>
          </cell>
          <cell r="DK53">
            <v>0</v>
          </cell>
          <cell r="DL53">
            <v>0</v>
          </cell>
        </row>
        <row r="54"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308700</v>
          </cell>
          <cell r="BE54">
            <v>0</v>
          </cell>
          <cell r="BF54">
            <v>476280</v>
          </cell>
          <cell r="BG54">
            <v>0</v>
          </cell>
          <cell r="BH54">
            <v>0</v>
          </cell>
          <cell r="BI54">
            <v>0</v>
          </cell>
          <cell r="BJ54">
            <v>793800</v>
          </cell>
          <cell r="BK54">
            <v>0</v>
          </cell>
          <cell r="BL54">
            <v>0</v>
          </cell>
          <cell r="BM54">
            <v>1285200</v>
          </cell>
          <cell r="BN54">
            <v>0</v>
          </cell>
          <cell r="BO54">
            <v>0</v>
          </cell>
          <cell r="BP54">
            <v>1547280</v>
          </cell>
          <cell r="BQ54">
            <v>483840</v>
          </cell>
          <cell r="BR54">
            <v>786240</v>
          </cell>
          <cell r="BS54">
            <v>0</v>
          </cell>
          <cell r="BT54">
            <v>0</v>
          </cell>
          <cell r="BU54">
            <v>0</v>
          </cell>
          <cell r="BV54">
            <v>1270080</v>
          </cell>
          <cell r="BW54">
            <v>0</v>
          </cell>
          <cell r="BX54">
            <v>0</v>
          </cell>
          <cell r="BY54">
            <v>1310400</v>
          </cell>
          <cell r="BZ54">
            <v>0</v>
          </cell>
          <cell r="CA54">
            <v>96768</v>
          </cell>
          <cell r="CB54">
            <v>1310400</v>
          </cell>
          <cell r="CC54">
            <v>1140480</v>
          </cell>
          <cell r="CD54">
            <v>1853280</v>
          </cell>
          <cell r="CE54">
            <v>0</v>
          </cell>
          <cell r="CF54">
            <v>0</v>
          </cell>
          <cell r="CG54">
            <v>0</v>
          </cell>
          <cell r="CH54">
            <v>2993760</v>
          </cell>
          <cell r="CI54">
            <v>0</v>
          </cell>
          <cell r="CJ54">
            <v>0</v>
          </cell>
          <cell r="CK54">
            <v>3088800</v>
          </cell>
          <cell r="CL54">
            <v>0</v>
          </cell>
          <cell r="CM54">
            <v>228096</v>
          </cell>
          <cell r="CN54">
            <v>3088800</v>
          </cell>
          <cell r="CO54">
            <v>2566080</v>
          </cell>
          <cell r="CP54">
            <v>4169880</v>
          </cell>
          <cell r="CQ54">
            <v>0</v>
          </cell>
          <cell r="CR54">
            <v>0</v>
          </cell>
          <cell r="CS54">
            <v>0</v>
          </cell>
          <cell r="CT54">
            <v>6735960</v>
          </cell>
          <cell r="CU54">
            <v>0</v>
          </cell>
          <cell r="CV54">
            <v>0</v>
          </cell>
          <cell r="CW54">
            <v>6949800</v>
          </cell>
          <cell r="CX54">
            <v>0</v>
          </cell>
          <cell r="CY54">
            <v>513216</v>
          </cell>
          <cell r="CZ54">
            <v>6949800</v>
          </cell>
          <cell r="DA54">
            <v>4490640</v>
          </cell>
          <cell r="DB54">
            <v>7297290</v>
          </cell>
          <cell r="DC54">
            <v>0</v>
          </cell>
          <cell r="DD54">
            <v>0</v>
          </cell>
          <cell r="DE54">
            <v>0</v>
          </cell>
          <cell r="DF54">
            <v>11787930</v>
          </cell>
          <cell r="DG54">
            <v>0</v>
          </cell>
          <cell r="DH54">
            <v>0</v>
          </cell>
          <cell r="DI54">
            <v>12162150</v>
          </cell>
          <cell r="DJ54">
            <v>0</v>
          </cell>
          <cell r="DK54">
            <v>898128</v>
          </cell>
          <cell r="DL54">
            <v>12162150</v>
          </cell>
        </row>
        <row r="55"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63000</v>
          </cell>
          <cell r="AY55">
            <v>1512000</v>
          </cell>
          <cell r="AZ55">
            <v>0</v>
          </cell>
          <cell r="BA55">
            <v>126000</v>
          </cell>
          <cell r="BB55">
            <v>0</v>
          </cell>
          <cell r="BC55">
            <v>189000</v>
          </cell>
          <cell r="BD55">
            <v>283500</v>
          </cell>
          <cell r="BE55">
            <v>0</v>
          </cell>
          <cell r="BF55">
            <v>630000</v>
          </cell>
          <cell r="BG55">
            <v>189000</v>
          </cell>
          <cell r="BH55">
            <v>0</v>
          </cell>
          <cell r="BI55">
            <v>787500</v>
          </cell>
          <cell r="BJ55">
            <v>425250</v>
          </cell>
          <cell r="BK55">
            <v>245700</v>
          </cell>
          <cell r="BL55">
            <v>932400</v>
          </cell>
          <cell r="BM55">
            <v>0</v>
          </cell>
          <cell r="BN55">
            <v>126000</v>
          </cell>
          <cell r="BO55">
            <v>1020600</v>
          </cell>
          <cell r="BP55">
            <v>576450</v>
          </cell>
          <cell r="BQ55">
            <v>189000</v>
          </cell>
          <cell r="BR55">
            <v>1404900</v>
          </cell>
          <cell r="BS55">
            <v>529200</v>
          </cell>
          <cell r="BT55">
            <v>47250</v>
          </cell>
          <cell r="BU55">
            <v>1102500</v>
          </cell>
          <cell r="BV55">
            <v>831600</v>
          </cell>
          <cell r="BW55">
            <v>189000</v>
          </cell>
          <cell r="BX55">
            <v>1499400</v>
          </cell>
          <cell r="BY55">
            <v>529200</v>
          </cell>
          <cell r="BZ55">
            <v>47250</v>
          </cell>
          <cell r="CA55">
            <v>995400</v>
          </cell>
          <cell r="CB55">
            <v>529200</v>
          </cell>
          <cell r="CC55">
            <v>445500</v>
          </cell>
          <cell r="CD55">
            <v>3311550</v>
          </cell>
          <cell r="CE55">
            <v>1247400</v>
          </cell>
          <cell r="CF55">
            <v>111375</v>
          </cell>
          <cell r="CG55">
            <v>2598750</v>
          </cell>
          <cell r="CH55">
            <v>1960200</v>
          </cell>
          <cell r="CI55">
            <v>445500</v>
          </cell>
          <cell r="CJ55">
            <v>3534300</v>
          </cell>
          <cell r="CK55">
            <v>1247400</v>
          </cell>
          <cell r="CL55">
            <v>111375</v>
          </cell>
          <cell r="CM55">
            <v>2346300</v>
          </cell>
          <cell r="CN55">
            <v>1247400</v>
          </cell>
          <cell r="CO55">
            <v>779625</v>
          </cell>
          <cell r="CP55">
            <v>5795212.5</v>
          </cell>
          <cell r="CQ55">
            <v>2182950</v>
          </cell>
          <cell r="CR55">
            <v>194906.25</v>
          </cell>
          <cell r="CS55">
            <v>4547812.5</v>
          </cell>
          <cell r="CT55">
            <v>3430350</v>
          </cell>
          <cell r="CU55">
            <v>779625</v>
          </cell>
          <cell r="CV55">
            <v>6185025</v>
          </cell>
          <cell r="CW55">
            <v>2182950</v>
          </cell>
          <cell r="CX55">
            <v>194906.25</v>
          </cell>
          <cell r="CY55">
            <v>4106025</v>
          </cell>
          <cell r="CZ55">
            <v>2182950</v>
          </cell>
          <cell r="DA55">
            <v>1169437.5</v>
          </cell>
          <cell r="DB55">
            <v>8692818.75</v>
          </cell>
          <cell r="DC55">
            <v>3274425</v>
          </cell>
          <cell r="DD55">
            <v>292359.375</v>
          </cell>
          <cell r="DE55">
            <v>6821718.75</v>
          </cell>
          <cell r="DF55">
            <v>5145525</v>
          </cell>
          <cell r="DG55">
            <v>1169437.5</v>
          </cell>
          <cell r="DH55">
            <v>9277537.5</v>
          </cell>
          <cell r="DI55">
            <v>3274425</v>
          </cell>
          <cell r="DJ55">
            <v>292359.375</v>
          </cell>
          <cell r="DK55">
            <v>6159037.5</v>
          </cell>
          <cell r="DL55">
            <v>3274425</v>
          </cell>
        </row>
        <row r="56"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272160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567000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769824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1603800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1924560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4009500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3367980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7016625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</row>
        <row r="57"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273000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655200</v>
          </cell>
          <cell r="BX57">
            <v>0</v>
          </cell>
          <cell r="BY57">
            <v>0</v>
          </cell>
          <cell r="BZ57">
            <v>0</v>
          </cell>
          <cell r="CA57">
            <v>131040</v>
          </cell>
          <cell r="CB57">
            <v>0</v>
          </cell>
          <cell r="CC57">
            <v>772200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1853280</v>
          </cell>
          <cell r="CJ57">
            <v>0</v>
          </cell>
          <cell r="CK57">
            <v>0</v>
          </cell>
          <cell r="CL57">
            <v>0</v>
          </cell>
          <cell r="CM57">
            <v>370656</v>
          </cell>
          <cell r="CN57">
            <v>0</v>
          </cell>
          <cell r="CO57">
            <v>1930500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4633200</v>
          </cell>
          <cell r="CV57">
            <v>0</v>
          </cell>
          <cell r="CW57">
            <v>0</v>
          </cell>
          <cell r="CX57">
            <v>0</v>
          </cell>
          <cell r="CY57">
            <v>926640</v>
          </cell>
          <cell r="CZ57">
            <v>0</v>
          </cell>
          <cell r="DA57">
            <v>3378375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8108100</v>
          </cell>
          <cell r="DH57">
            <v>0</v>
          </cell>
          <cell r="DI57">
            <v>0</v>
          </cell>
          <cell r="DJ57">
            <v>0</v>
          </cell>
          <cell r="DK57">
            <v>1621620</v>
          </cell>
          <cell r="DL57">
            <v>0</v>
          </cell>
        </row>
        <row r="58"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90720</v>
          </cell>
          <cell r="BJ58">
            <v>0</v>
          </cell>
          <cell r="BK58">
            <v>181440</v>
          </cell>
          <cell r="BL58">
            <v>0</v>
          </cell>
          <cell r="BM58">
            <v>0</v>
          </cell>
          <cell r="BN58">
            <v>0</v>
          </cell>
          <cell r="BO58">
            <v>272160</v>
          </cell>
          <cell r="BP58">
            <v>0</v>
          </cell>
          <cell r="BQ58">
            <v>0</v>
          </cell>
          <cell r="BR58">
            <v>362880</v>
          </cell>
          <cell r="BS58">
            <v>0</v>
          </cell>
          <cell r="BT58">
            <v>0</v>
          </cell>
          <cell r="BU58">
            <v>362880</v>
          </cell>
          <cell r="BV58">
            <v>0</v>
          </cell>
          <cell r="BW58">
            <v>0</v>
          </cell>
          <cell r="BX58">
            <v>362880</v>
          </cell>
          <cell r="BY58">
            <v>0</v>
          </cell>
          <cell r="BZ58">
            <v>0</v>
          </cell>
          <cell r="CA58">
            <v>362880</v>
          </cell>
          <cell r="CB58">
            <v>0</v>
          </cell>
          <cell r="CC58">
            <v>0</v>
          </cell>
          <cell r="CD58">
            <v>684288</v>
          </cell>
          <cell r="CE58">
            <v>0</v>
          </cell>
          <cell r="CF58">
            <v>0</v>
          </cell>
          <cell r="CG58">
            <v>684288</v>
          </cell>
          <cell r="CH58">
            <v>0</v>
          </cell>
          <cell r="CI58">
            <v>0</v>
          </cell>
          <cell r="CJ58">
            <v>684288</v>
          </cell>
          <cell r="CK58">
            <v>0</v>
          </cell>
          <cell r="CL58">
            <v>0</v>
          </cell>
          <cell r="CM58">
            <v>684288</v>
          </cell>
          <cell r="CN58">
            <v>0</v>
          </cell>
          <cell r="CO58">
            <v>0</v>
          </cell>
          <cell r="CP58">
            <v>1026432</v>
          </cell>
          <cell r="CQ58">
            <v>0</v>
          </cell>
          <cell r="CR58">
            <v>0</v>
          </cell>
          <cell r="CS58">
            <v>1026432</v>
          </cell>
          <cell r="CT58">
            <v>0</v>
          </cell>
          <cell r="CU58">
            <v>0</v>
          </cell>
          <cell r="CV58">
            <v>1026432</v>
          </cell>
          <cell r="CW58">
            <v>0</v>
          </cell>
          <cell r="CX58">
            <v>0</v>
          </cell>
          <cell r="CY58">
            <v>1026432</v>
          </cell>
          <cell r="CZ58">
            <v>0</v>
          </cell>
          <cell r="DA58">
            <v>0</v>
          </cell>
          <cell r="DB58">
            <v>1334361.6000000001</v>
          </cell>
          <cell r="DC58">
            <v>0</v>
          </cell>
          <cell r="DD58">
            <v>0</v>
          </cell>
          <cell r="DE58">
            <v>1334361.6000000001</v>
          </cell>
          <cell r="DF58">
            <v>0</v>
          </cell>
          <cell r="DG58">
            <v>0</v>
          </cell>
          <cell r="DH58">
            <v>1334361.6000000001</v>
          </cell>
          <cell r="DI58">
            <v>0</v>
          </cell>
          <cell r="DJ58">
            <v>0</v>
          </cell>
          <cell r="DK58">
            <v>1334361.6000000001</v>
          </cell>
          <cell r="DL58">
            <v>0</v>
          </cell>
        </row>
        <row r="59"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655200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1310400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1853280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3706560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5559840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11119680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13899600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27799200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</row>
        <row r="60"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181440</v>
          </cell>
          <cell r="BN60">
            <v>0</v>
          </cell>
          <cell r="BO60">
            <v>136080</v>
          </cell>
          <cell r="BP60">
            <v>340200</v>
          </cell>
          <cell r="BQ60">
            <v>0</v>
          </cell>
          <cell r="BR60">
            <v>834624</v>
          </cell>
          <cell r="BS60">
            <v>0</v>
          </cell>
          <cell r="BT60">
            <v>0</v>
          </cell>
          <cell r="BU60">
            <v>943488</v>
          </cell>
          <cell r="BV60">
            <v>0</v>
          </cell>
          <cell r="BW60">
            <v>1088640</v>
          </cell>
          <cell r="BX60">
            <v>0</v>
          </cell>
          <cell r="BY60">
            <v>108864</v>
          </cell>
          <cell r="BZ60">
            <v>0</v>
          </cell>
          <cell r="CA60">
            <v>1451520</v>
          </cell>
          <cell r="CB60">
            <v>272160</v>
          </cell>
          <cell r="CC60">
            <v>0</v>
          </cell>
          <cell r="CD60">
            <v>2360793.6</v>
          </cell>
          <cell r="CE60">
            <v>0</v>
          </cell>
          <cell r="CF60">
            <v>0</v>
          </cell>
          <cell r="CG60">
            <v>2668723.2000000002</v>
          </cell>
          <cell r="CH60">
            <v>0</v>
          </cell>
          <cell r="CI60">
            <v>3079296</v>
          </cell>
          <cell r="CJ60">
            <v>0</v>
          </cell>
          <cell r="CK60">
            <v>307929.59999999998</v>
          </cell>
          <cell r="CL60">
            <v>0</v>
          </cell>
          <cell r="CM60">
            <v>4105728</v>
          </cell>
          <cell r="CN60">
            <v>769824</v>
          </cell>
          <cell r="CO60">
            <v>0</v>
          </cell>
          <cell r="CP60">
            <v>5901984</v>
          </cell>
          <cell r="CQ60">
            <v>0</v>
          </cell>
          <cell r="CR60">
            <v>0</v>
          </cell>
          <cell r="CS60">
            <v>6671808</v>
          </cell>
          <cell r="CT60">
            <v>0</v>
          </cell>
          <cell r="CU60">
            <v>7698240</v>
          </cell>
          <cell r="CV60">
            <v>0</v>
          </cell>
          <cell r="CW60">
            <v>769824</v>
          </cell>
          <cell r="CX60">
            <v>0</v>
          </cell>
          <cell r="CY60">
            <v>10264320</v>
          </cell>
          <cell r="CZ60">
            <v>1924560</v>
          </cell>
          <cell r="DA60">
            <v>0</v>
          </cell>
          <cell r="DB60">
            <v>10328472</v>
          </cell>
          <cell r="DC60">
            <v>0</v>
          </cell>
          <cell r="DD60">
            <v>0</v>
          </cell>
          <cell r="DE60">
            <v>11675664</v>
          </cell>
          <cell r="DF60">
            <v>0</v>
          </cell>
          <cell r="DG60">
            <v>13471920</v>
          </cell>
          <cell r="DH60">
            <v>0</v>
          </cell>
          <cell r="DI60">
            <v>1347192</v>
          </cell>
          <cell r="DJ60">
            <v>0</v>
          </cell>
          <cell r="DK60">
            <v>17962560</v>
          </cell>
          <cell r="DL60">
            <v>3367980</v>
          </cell>
        </row>
        <row r="61"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</row>
        <row r="68">
          <cell r="H68" t="str">
            <v>Wholesale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4500</v>
          </cell>
          <cell r="BF68">
            <v>0</v>
          </cell>
          <cell r="BG68">
            <v>4500</v>
          </cell>
          <cell r="BH68">
            <v>0</v>
          </cell>
          <cell r="BI68">
            <v>0</v>
          </cell>
          <cell r="BJ68">
            <v>9000</v>
          </cell>
          <cell r="BK68">
            <v>0</v>
          </cell>
          <cell r="BL68">
            <v>4500</v>
          </cell>
          <cell r="BM68">
            <v>9000</v>
          </cell>
          <cell r="BN68">
            <v>9000</v>
          </cell>
          <cell r="BO68">
            <v>1875</v>
          </cell>
          <cell r="BP68">
            <v>9000</v>
          </cell>
          <cell r="BQ68">
            <v>13500</v>
          </cell>
          <cell r="BR68">
            <v>0</v>
          </cell>
          <cell r="BS68">
            <v>9000</v>
          </cell>
          <cell r="BT68">
            <v>0</v>
          </cell>
          <cell r="BU68">
            <v>0</v>
          </cell>
          <cell r="BV68">
            <v>22500</v>
          </cell>
          <cell r="BW68">
            <v>0</v>
          </cell>
          <cell r="BX68">
            <v>0</v>
          </cell>
          <cell r="BY68">
            <v>9000</v>
          </cell>
          <cell r="BZ68">
            <v>18000</v>
          </cell>
          <cell r="CA68">
            <v>0</v>
          </cell>
          <cell r="CB68">
            <v>10875</v>
          </cell>
          <cell r="CC68">
            <v>27000</v>
          </cell>
          <cell r="CD68">
            <v>0</v>
          </cell>
          <cell r="CE68">
            <v>18000</v>
          </cell>
          <cell r="CF68">
            <v>0</v>
          </cell>
          <cell r="CG68">
            <v>0</v>
          </cell>
          <cell r="CH68">
            <v>45000</v>
          </cell>
          <cell r="CI68">
            <v>0</v>
          </cell>
          <cell r="CJ68">
            <v>0</v>
          </cell>
          <cell r="CK68">
            <v>18000</v>
          </cell>
          <cell r="CL68">
            <v>36000</v>
          </cell>
          <cell r="CM68">
            <v>0</v>
          </cell>
          <cell r="CN68">
            <v>21750</v>
          </cell>
          <cell r="CO68">
            <v>40500</v>
          </cell>
          <cell r="CP68">
            <v>0</v>
          </cell>
          <cell r="CQ68">
            <v>27000</v>
          </cell>
          <cell r="CR68">
            <v>0</v>
          </cell>
          <cell r="CS68">
            <v>0</v>
          </cell>
          <cell r="CT68">
            <v>67500</v>
          </cell>
          <cell r="CU68">
            <v>0</v>
          </cell>
          <cell r="CV68">
            <v>0</v>
          </cell>
          <cell r="CW68">
            <v>27000</v>
          </cell>
          <cell r="CX68">
            <v>54000</v>
          </cell>
          <cell r="CY68">
            <v>0</v>
          </cell>
          <cell r="CZ68">
            <v>32625</v>
          </cell>
          <cell r="DA68">
            <v>52650</v>
          </cell>
          <cell r="DB68">
            <v>0</v>
          </cell>
          <cell r="DC68">
            <v>35100</v>
          </cell>
          <cell r="DD68">
            <v>0</v>
          </cell>
          <cell r="DE68">
            <v>0</v>
          </cell>
          <cell r="DF68">
            <v>87750</v>
          </cell>
          <cell r="DG68">
            <v>0</v>
          </cell>
          <cell r="DH68">
            <v>0</v>
          </cell>
          <cell r="DI68">
            <v>35100</v>
          </cell>
          <cell r="DJ68">
            <v>70200</v>
          </cell>
          <cell r="DK68">
            <v>0</v>
          </cell>
          <cell r="DL68">
            <v>42412.5</v>
          </cell>
        </row>
        <row r="69">
          <cell r="H69" t="str">
            <v>Wholesale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</row>
        <row r="70">
          <cell r="H70" t="str">
            <v>Wholesale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42000</v>
          </cell>
          <cell r="BO70">
            <v>0</v>
          </cell>
          <cell r="BP70">
            <v>0</v>
          </cell>
          <cell r="BQ70">
            <v>90000</v>
          </cell>
          <cell r="BR70">
            <v>0</v>
          </cell>
          <cell r="BS70">
            <v>0</v>
          </cell>
          <cell r="BT70">
            <v>90000</v>
          </cell>
          <cell r="BU70">
            <v>0</v>
          </cell>
          <cell r="BV70">
            <v>0</v>
          </cell>
          <cell r="BW70">
            <v>112500</v>
          </cell>
          <cell r="BX70">
            <v>0</v>
          </cell>
          <cell r="BY70">
            <v>0</v>
          </cell>
          <cell r="BZ70">
            <v>157500</v>
          </cell>
          <cell r="CA70">
            <v>0</v>
          </cell>
          <cell r="CB70">
            <v>0</v>
          </cell>
          <cell r="CC70">
            <v>180000</v>
          </cell>
          <cell r="CD70">
            <v>0</v>
          </cell>
          <cell r="CE70">
            <v>0</v>
          </cell>
          <cell r="CF70">
            <v>180000</v>
          </cell>
          <cell r="CG70">
            <v>0</v>
          </cell>
          <cell r="CH70">
            <v>0</v>
          </cell>
          <cell r="CI70">
            <v>225000</v>
          </cell>
          <cell r="CJ70">
            <v>0</v>
          </cell>
          <cell r="CK70">
            <v>0</v>
          </cell>
          <cell r="CL70">
            <v>315000</v>
          </cell>
          <cell r="CM70">
            <v>0</v>
          </cell>
          <cell r="CN70">
            <v>0</v>
          </cell>
          <cell r="CO70">
            <v>270000</v>
          </cell>
          <cell r="CP70">
            <v>0</v>
          </cell>
          <cell r="CQ70">
            <v>0</v>
          </cell>
          <cell r="CR70">
            <v>270000</v>
          </cell>
          <cell r="CS70">
            <v>0</v>
          </cell>
          <cell r="CT70">
            <v>0</v>
          </cell>
          <cell r="CU70">
            <v>337500</v>
          </cell>
          <cell r="CV70">
            <v>0</v>
          </cell>
          <cell r="CW70">
            <v>0</v>
          </cell>
          <cell r="CX70">
            <v>472500</v>
          </cell>
          <cell r="CY70">
            <v>0</v>
          </cell>
          <cell r="CZ70">
            <v>0</v>
          </cell>
          <cell r="DA70">
            <v>351000</v>
          </cell>
          <cell r="DB70">
            <v>0</v>
          </cell>
          <cell r="DC70">
            <v>0</v>
          </cell>
          <cell r="DD70">
            <v>351000</v>
          </cell>
          <cell r="DE70">
            <v>0</v>
          </cell>
          <cell r="DF70">
            <v>0</v>
          </cell>
          <cell r="DG70">
            <v>438750</v>
          </cell>
          <cell r="DH70">
            <v>0</v>
          </cell>
          <cell r="DI70">
            <v>0</v>
          </cell>
          <cell r="DJ70">
            <v>614250</v>
          </cell>
          <cell r="DK70">
            <v>0</v>
          </cell>
          <cell r="DL70">
            <v>0</v>
          </cell>
        </row>
        <row r="71">
          <cell r="H71" t="str">
            <v>Wholesale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1350</v>
          </cell>
          <cell r="BE71">
            <v>0</v>
          </cell>
          <cell r="BF71">
            <v>11340</v>
          </cell>
          <cell r="BG71">
            <v>0</v>
          </cell>
          <cell r="BH71">
            <v>0</v>
          </cell>
          <cell r="BI71">
            <v>0</v>
          </cell>
          <cell r="BJ71">
            <v>18900</v>
          </cell>
          <cell r="BK71">
            <v>0</v>
          </cell>
          <cell r="BL71">
            <v>0</v>
          </cell>
          <cell r="BM71">
            <v>30600</v>
          </cell>
          <cell r="BN71">
            <v>0</v>
          </cell>
          <cell r="BO71">
            <v>0</v>
          </cell>
          <cell r="BP71">
            <v>36840</v>
          </cell>
          <cell r="BQ71">
            <v>23040</v>
          </cell>
          <cell r="BR71">
            <v>37440</v>
          </cell>
          <cell r="BS71">
            <v>0</v>
          </cell>
          <cell r="BT71">
            <v>0</v>
          </cell>
          <cell r="BU71">
            <v>0</v>
          </cell>
          <cell r="BV71">
            <v>60480</v>
          </cell>
          <cell r="BW71">
            <v>0</v>
          </cell>
          <cell r="BX71">
            <v>0</v>
          </cell>
          <cell r="BY71">
            <v>62400</v>
          </cell>
          <cell r="BZ71">
            <v>0</v>
          </cell>
          <cell r="CA71">
            <v>4608</v>
          </cell>
          <cell r="CB71">
            <v>62400</v>
          </cell>
          <cell r="CC71">
            <v>57600</v>
          </cell>
          <cell r="CD71">
            <v>93600</v>
          </cell>
          <cell r="CE71">
            <v>0</v>
          </cell>
          <cell r="CF71">
            <v>0</v>
          </cell>
          <cell r="CG71">
            <v>0</v>
          </cell>
          <cell r="CH71">
            <v>151200</v>
          </cell>
          <cell r="CI71">
            <v>0</v>
          </cell>
          <cell r="CJ71">
            <v>0</v>
          </cell>
          <cell r="CK71">
            <v>156000</v>
          </cell>
          <cell r="CL71">
            <v>0</v>
          </cell>
          <cell r="CM71">
            <v>11520</v>
          </cell>
          <cell r="CN71">
            <v>156000</v>
          </cell>
          <cell r="CO71">
            <v>129600</v>
          </cell>
          <cell r="CP71">
            <v>210600</v>
          </cell>
          <cell r="CQ71">
            <v>0</v>
          </cell>
          <cell r="CR71">
            <v>0</v>
          </cell>
          <cell r="CS71">
            <v>0</v>
          </cell>
          <cell r="CT71">
            <v>340200</v>
          </cell>
          <cell r="CU71">
            <v>0</v>
          </cell>
          <cell r="CV71">
            <v>0</v>
          </cell>
          <cell r="CW71">
            <v>351000</v>
          </cell>
          <cell r="CX71">
            <v>0</v>
          </cell>
          <cell r="CY71">
            <v>25920</v>
          </cell>
          <cell r="CZ71">
            <v>351000</v>
          </cell>
          <cell r="DA71">
            <v>226800</v>
          </cell>
          <cell r="DB71">
            <v>368550</v>
          </cell>
          <cell r="DC71">
            <v>0</v>
          </cell>
          <cell r="DD71">
            <v>0</v>
          </cell>
          <cell r="DE71">
            <v>0</v>
          </cell>
          <cell r="DF71">
            <v>595350</v>
          </cell>
          <cell r="DG71">
            <v>0</v>
          </cell>
          <cell r="DH71">
            <v>0</v>
          </cell>
          <cell r="DI71">
            <v>614250</v>
          </cell>
          <cell r="DJ71">
            <v>0</v>
          </cell>
          <cell r="DK71">
            <v>45360</v>
          </cell>
          <cell r="DL71">
            <v>614250</v>
          </cell>
        </row>
        <row r="72">
          <cell r="H72" t="str">
            <v>Wholesale</v>
          </cell>
          <cell r="AS72">
            <v>0</v>
          </cell>
          <cell r="AT72">
            <v>0</v>
          </cell>
          <cell r="AU72">
            <v>43200</v>
          </cell>
          <cell r="AV72">
            <v>4500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4500</v>
          </cell>
          <cell r="BD72">
            <v>6750</v>
          </cell>
          <cell r="BE72">
            <v>0</v>
          </cell>
          <cell r="BF72">
            <v>15000</v>
          </cell>
          <cell r="BG72">
            <v>4500</v>
          </cell>
          <cell r="BH72">
            <v>0</v>
          </cell>
          <cell r="BI72">
            <v>18750</v>
          </cell>
          <cell r="BJ72">
            <v>10125</v>
          </cell>
          <cell r="BK72">
            <v>5850</v>
          </cell>
          <cell r="BL72">
            <v>22200</v>
          </cell>
          <cell r="BM72">
            <v>0</v>
          </cell>
          <cell r="BN72">
            <v>3000</v>
          </cell>
          <cell r="BO72">
            <v>24300</v>
          </cell>
          <cell r="BP72">
            <v>13725</v>
          </cell>
          <cell r="BQ72">
            <v>4500</v>
          </cell>
          <cell r="BR72">
            <v>33450</v>
          </cell>
          <cell r="BS72">
            <v>12600</v>
          </cell>
          <cell r="BT72">
            <v>1125</v>
          </cell>
          <cell r="BU72">
            <v>26250</v>
          </cell>
          <cell r="BV72">
            <v>19800</v>
          </cell>
          <cell r="BW72">
            <v>4500</v>
          </cell>
          <cell r="BX72">
            <v>35700</v>
          </cell>
          <cell r="BY72">
            <v>12600</v>
          </cell>
          <cell r="BZ72">
            <v>1125</v>
          </cell>
          <cell r="CA72">
            <v>23700</v>
          </cell>
          <cell r="CB72">
            <v>12600</v>
          </cell>
          <cell r="CC72">
            <v>11250</v>
          </cell>
          <cell r="CD72">
            <v>83625</v>
          </cell>
          <cell r="CE72">
            <v>31500</v>
          </cell>
          <cell r="CF72">
            <v>2812.5</v>
          </cell>
          <cell r="CG72">
            <v>65625</v>
          </cell>
          <cell r="CH72">
            <v>49500</v>
          </cell>
          <cell r="CI72">
            <v>11250</v>
          </cell>
          <cell r="CJ72">
            <v>89250</v>
          </cell>
          <cell r="CK72">
            <v>31500</v>
          </cell>
          <cell r="CL72">
            <v>2812.5</v>
          </cell>
          <cell r="CM72">
            <v>59250</v>
          </cell>
          <cell r="CN72">
            <v>31500</v>
          </cell>
          <cell r="CO72">
            <v>19687.5</v>
          </cell>
          <cell r="CP72">
            <v>146343.75</v>
          </cell>
          <cell r="CQ72">
            <v>55125</v>
          </cell>
          <cell r="CR72">
            <v>4921.875</v>
          </cell>
          <cell r="CS72">
            <v>114843.75</v>
          </cell>
          <cell r="CT72">
            <v>86625</v>
          </cell>
          <cell r="CU72">
            <v>19687.5</v>
          </cell>
          <cell r="CV72">
            <v>156187.5</v>
          </cell>
          <cell r="CW72">
            <v>55125</v>
          </cell>
          <cell r="CX72">
            <v>4921.875</v>
          </cell>
          <cell r="CY72">
            <v>103687.5</v>
          </cell>
          <cell r="CZ72">
            <v>55125</v>
          </cell>
          <cell r="DA72">
            <v>29531.25</v>
          </cell>
          <cell r="DB72">
            <v>219515.625</v>
          </cell>
          <cell r="DC72">
            <v>82687.5</v>
          </cell>
          <cell r="DD72">
            <v>7382.8125</v>
          </cell>
          <cell r="DE72">
            <v>172265.625</v>
          </cell>
          <cell r="DF72">
            <v>129937.5</v>
          </cell>
          <cell r="DG72">
            <v>29531.25</v>
          </cell>
          <cell r="DH72">
            <v>234281.25</v>
          </cell>
          <cell r="DI72">
            <v>82687.5</v>
          </cell>
          <cell r="DJ72">
            <v>7382.8125</v>
          </cell>
          <cell r="DK72">
            <v>155531.25</v>
          </cell>
          <cell r="DL72">
            <v>82687.5</v>
          </cell>
        </row>
        <row r="73">
          <cell r="H73" t="str">
            <v>Wholesale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6480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13500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19440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40500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48600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101250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85050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177187.5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</row>
        <row r="74">
          <cell r="H74" t="str">
            <v>Wholesale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19500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46800</v>
          </cell>
          <cell r="BX74">
            <v>0</v>
          </cell>
          <cell r="BY74">
            <v>0</v>
          </cell>
          <cell r="BZ74">
            <v>0</v>
          </cell>
          <cell r="CA74">
            <v>9360</v>
          </cell>
          <cell r="CB74">
            <v>0</v>
          </cell>
          <cell r="CC74">
            <v>58500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140400</v>
          </cell>
          <cell r="CJ74">
            <v>0</v>
          </cell>
          <cell r="CK74">
            <v>0</v>
          </cell>
          <cell r="CL74">
            <v>0</v>
          </cell>
          <cell r="CM74">
            <v>28080</v>
          </cell>
          <cell r="CN74">
            <v>0</v>
          </cell>
          <cell r="CO74">
            <v>146250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351000</v>
          </cell>
          <cell r="CV74">
            <v>0</v>
          </cell>
          <cell r="CW74">
            <v>0</v>
          </cell>
          <cell r="CX74">
            <v>0</v>
          </cell>
          <cell r="CY74">
            <v>70200</v>
          </cell>
          <cell r="CZ74">
            <v>0</v>
          </cell>
          <cell r="DA74">
            <v>255937.5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614250</v>
          </cell>
          <cell r="DH74">
            <v>0</v>
          </cell>
          <cell r="DI74">
            <v>0</v>
          </cell>
          <cell r="DJ74">
            <v>0</v>
          </cell>
          <cell r="DK74">
            <v>122850</v>
          </cell>
          <cell r="DL74">
            <v>0</v>
          </cell>
        </row>
        <row r="75">
          <cell r="H75" t="str">
            <v>Wholesale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6480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</row>
        <row r="76">
          <cell r="H76" t="str">
            <v>Wholesale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46800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93600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140400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280800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421200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842400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1053000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2106000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</row>
        <row r="77">
          <cell r="H77" t="str">
            <v>Wholesale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3240</v>
          </cell>
          <cell r="BP77">
            <v>8100</v>
          </cell>
          <cell r="BQ77">
            <v>0</v>
          </cell>
          <cell r="BR77">
            <v>39744</v>
          </cell>
          <cell r="BS77">
            <v>0</v>
          </cell>
          <cell r="BT77">
            <v>0</v>
          </cell>
          <cell r="BU77">
            <v>44928</v>
          </cell>
          <cell r="BV77">
            <v>0</v>
          </cell>
          <cell r="BW77">
            <v>51840</v>
          </cell>
          <cell r="BX77">
            <v>0</v>
          </cell>
          <cell r="BY77">
            <v>5184</v>
          </cell>
          <cell r="BZ77">
            <v>0</v>
          </cell>
          <cell r="CA77">
            <v>69120</v>
          </cell>
          <cell r="CB77">
            <v>12960</v>
          </cell>
          <cell r="CC77">
            <v>0</v>
          </cell>
          <cell r="CD77">
            <v>119232</v>
          </cell>
          <cell r="CE77">
            <v>0</v>
          </cell>
          <cell r="CF77">
            <v>0</v>
          </cell>
          <cell r="CG77">
            <v>134784</v>
          </cell>
          <cell r="CH77">
            <v>0</v>
          </cell>
          <cell r="CI77">
            <v>155520</v>
          </cell>
          <cell r="CJ77">
            <v>0</v>
          </cell>
          <cell r="CK77">
            <v>15552</v>
          </cell>
          <cell r="CL77">
            <v>0</v>
          </cell>
          <cell r="CM77">
            <v>207360</v>
          </cell>
          <cell r="CN77">
            <v>38880</v>
          </cell>
          <cell r="CO77">
            <v>0</v>
          </cell>
          <cell r="CP77">
            <v>298080</v>
          </cell>
          <cell r="CQ77">
            <v>0</v>
          </cell>
          <cell r="CR77">
            <v>0</v>
          </cell>
          <cell r="CS77">
            <v>336960</v>
          </cell>
          <cell r="CT77">
            <v>0</v>
          </cell>
          <cell r="CU77">
            <v>388800</v>
          </cell>
          <cell r="CV77">
            <v>0</v>
          </cell>
          <cell r="CW77">
            <v>38880</v>
          </cell>
          <cell r="CX77">
            <v>0</v>
          </cell>
          <cell r="CY77">
            <v>518400</v>
          </cell>
          <cell r="CZ77">
            <v>97200</v>
          </cell>
          <cell r="DA77">
            <v>0</v>
          </cell>
          <cell r="DB77">
            <v>521640</v>
          </cell>
          <cell r="DC77">
            <v>0</v>
          </cell>
          <cell r="DD77">
            <v>0</v>
          </cell>
          <cell r="DE77">
            <v>589680</v>
          </cell>
          <cell r="DF77">
            <v>0</v>
          </cell>
          <cell r="DG77">
            <v>680400</v>
          </cell>
          <cell r="DH77">
            <v>0</v>
          </cell>
          <cell r="DI77">
            <v>68040</v>
          </cell>
          <cell r="DJ77">
            <v>0</v>
          </cell>
          <cell r="DK77">
            <v>907200</v>
          </cell>
          <cell r="DL77">
            <v>170100</v>
          </cell>
        </row>
        <row r="78">
          <cell r="H78" t="str">
            <v>Wholesale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</row>
        <row r="79">
          <cell r="H79" t="str">
            <v>DTC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20000</v>
          </cell>
          <cell r="BC79">
            <v>20000</v>
          </cell>
          <cell r="BD79">
            <v>48000</v>
          </cell>
          <cell r="BE79">
            <v>36000</v>
          </cell>
          <cell r="BF79">
            <v>0</v>
          </cell>
          <cell r="BG79">
            <v>36000</v>
          </cell>
          <cell r="BH79">
            <v>0</v>
          </cell>
          <cell r="BI79">
            <v>0</v>
          </cell>
          <cell r="BJ79">
            <v>72000</v>
          </cell>
          <cell r="BK79">
            <v>0</v>
          </cell>
          <cell r="BL79">
            <v>36000</v>
          </cell>
          <cell r="BM79">
            <v>72000</v>
          </cell>
          <cell r="BN79">
            <v>72000</v>
          </cell>
          <cell r="BO79">
            <v>15000</v>
          </cell>
          <cell r="BP79">
            <v>72000</v>
          </cell>
          <cell r="BQ79">
            <v>108000</v>
          </cell>
          <cell r="BR79">
            <v>0</v>
          </cell>
          <cell r="BS79">
            <v>72000</v>
          </cell>
          <cell r="BT79">
            <v>0</v>
          </cell>
          <cell r="BU79">
            <v>0</v>
          </cell>
          <cell r="BV79">
            <v>180000</v>
          </cell>
          <cell r="BW79">
            <v>0</v>
          </cell>
          <cell r="BX79">
            <v>0</v>
          </cell>
          <cell r="BY79">
            <v>72000</v>
          </cell>
          <cell r="BZ79">
            <v>144000</v>
          </cell>
          <cell r="CA79">
            <v>0</v>
          </cell>
          <cell r="CB79">
            <v>87000</v>
          </cell>
          <cell r="CC79">
            <v>280800</v>
          </cell>
          <cell r="CD79">
            <v>0</v>
          </cell>
          <cell r="CE79">
            <v>187200</v>
          </cell>
          <cell r="CF79">
            <v>0</v>
          </cell>
          <cell r="CG79">
            <v>0</v>
          </cell>
          <cell r="CH79">
            <v>468000</v>
          </cell>
          <cell r="CI79">
            <v>0</v>
          </cell>
          <cell r="CJ79">
            <v>0</v>
          </cell>
          <cell r="CK79">
            <v>187200</v>
          </cell>
          <cell r="CL79">
            <v>374400</v>
          </cell>
          <cell r="CM79">
            <v>0</v>
          </cell>
          <cell r="CN79">
            <v>226200</v>
          </cell>
          <cell r="CO79">
            <v>421200</v>
          </cell>
          <cell r="CP79">
            <v>0</v>
          </cell>
          <cell r="CQ79">
            <v>280800</v>
          </cell>
          <cell r="CR79">
            <v>0</v>
          </cell>
          <cell r="CS79">
            <v>0</v>
          </cell>
          <cell r="CT79">
            <v>702000</v>
          </cell>
          <cell r="CU79">
            <v>0</v>
          </cell>
          <cell r="CV79">
            <v>0</v>
          </cell>
          <cell r="CW79">
            <v>280800</v>
          </cell>
          <cell r="CX79">
            <v>561600</v>
          </cell>
          <cell r="CY79">
            <v>0</v>
          </cell>
          <cell r="CZ79">
            <v>339300</v>
          </cell>
          <cell r="DA79">
            <v>547560</v>
          </cell>
          <cell r="DB79">
            <v>0</v>
          </cell>
          <cell r="DC79">
            <v>365040</v>
          </cell>
          <cell r="DD79">
            <v>0</v>
          </cell>
          <cell r="DE79">
            <v>0</v>
          </cell>
          <cell r="DF79">
            <v>912600</v>
          </cell>
          <cell r="DG79">
            <v>0</v>
          </cell>
          <cell r="DH79">
            <v>0</v>
          </cell>
          <cell r="DI79">
            <v>365040</v>
          </cell>
          <cell r="DJ79">
            <v>730080</v>
          </cell>
          <cell r="DK79">
            <v>0</v>
          </cell>
          <cell r="DL79">
            <v>441090</v>
          </cell>
        </row>
        <row r="80">
          <cell r="H80" t="str">
            <v>DTC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</row>
        <row r="81">
          <cell r="H81" t="str">
            <v>DTC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112000</v>
          </cell>
          <cell r="BO81">
            <v>0</v>
          </cell>
          <cell r="BP81">
            <v>0</v>
          </cell>
          <cell r="BQ81">
            <v>240000</v>
          </cell>
          <cell r="BR81">
            <v>0</v>
          </cell>
          <cell r="BS81">
            <v>0</v>
          </cell>
          <cell r="BT81">
            <v>240000</v>
          </cell>
          <cell r="BU81">
            <v>0</v>
          </cell>
          <cell r="BV81">
            <v>0</v>
          </cell>
          <cell r="BW81">
            <v>300000</v>
          </cell>
          <cell r="BX81">
            <v>0</v>
          </cell>
          <cell r="BY81">
            <v>0</v>
          </cell>
          <cell r="BZ81">
            <v>420000</v>
          </cell>
          <cell r="CA81">
            <v>0</v>
          </cell>
          <cell r="CB81">
            <v>0</v>
          </cell>
          <cell r="CC81">
            <v>624000</v>
          </cell>
          <cell r="CD81">
            <v>0</v>
          </cell>
          <cell r="CE81">
            <v>0</v>
          </cell>
          <cell r="CF81">
            <v>624000</v>
          </cell>
          <cell r="CG81">
            <v>0</v>
          </cell>
          <cell r="CH81">
            <v>0</v>
          </cell>
          <cell r="CI81">
            <v>780000</v>
          </cell>
          <cell r="CJ81">
            <v>0</v>
          </cell>
          <cell r="CK81">
            <v>0</v>
          </cell>
          <cell r="CL81">
            <v>1092000</v>
          </cell>
          <cell r="CM81">
            <v>0</v>
          </cell>
          <cell r="CN81">
            <v>0</v>
          </cell>
          <cell r="CO81">
            <v>936000</v>
          </cell>
          <cell r="CP81">
            <v>0</v>
          </cell>
          <cell r="CQ81">
            <v>0</v>
          </cell>
          <cell r="CR81">
            <v>936000</v>
          </cell>
          <cell r="CS81">
            <v>0</v>
          </cell>
          <cell r="CT81">
            <v>0</v>
          </cell>
          <cell r="CU81">
            <v>1170000</v>
          </cell>
          <cell r="CV81">
            <v>0</v>
          </cell>
          <cell r="CW81">
            <v>0</v>
          </cell>
          <cell r="CX81">
            <v>1638000</v>
          </cell>
          <cell r="CY81">
            <v>0</v>
          </cell>
          <cell r="CZ81">
            <v>0</v>
          </cell>
          <cell r="DA81">
            <v>1216800</v>
          </cell>
          <cell r="DB81">
            <v>0</v>
          </cell>
          <cell r="DC81">
            <v>0</v>
          </cell>
          <cell r="DD81">
            <v>1216800</v>
          </cell>
          <cell r="DE81">
            <v>0</v>
          </cell>
          <cell r="DF81">
            <v>0</v>
          </cell>
          <cell r="DG81">
            <v>1521000</v>
          </cell>
          <cell r="DH81">
            <v>0</v>
          </cell>
          <cell r="DI81">
            <v>0</v>
          </cell>
          <cell r="DJ81">
            <v>2129400</v>
          </cell>
          <cell r="DK81">
            <v>0</v>
          </cell>
          <cell r="DL81">
            <v>0</v>
          </cell>
        </row>
        <row r="82">
          <cell r="H82" t="str">
            <v>DTC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58800</v>
          </cell>
          <cell r="BE82">
            <v>0</v>
          </cell>
          <cell r="BF82">
            <v>90720</v>
          </cell>
          <cell r="BG82">
            <v>0</v>
          </cell>
          <cell r="BH82">
            <v>0</v>
          </cell>
          <cell r="BI82">
            <v>0</v>
          </cell>
          <cell r="BJ82">
            <v>151200</v>
          </cell>
          <cell r="BK82">
            <v>0</v>
          </cell>
          <cell r="BL82">
            <v>0</v>
          </cell>
          <cell r="BM82">
            <v>244800</v>
          </cell>
          <cell r="BN82">
            <v>0</v>
          </cell>
          <cell r="BO82">
            <v>0</v>
          </cell>
          <cell r="BP82">
            <v>294720</v>
          </cell>
          <cell r="BQ82">
            <v>92160</v>
          </cell>
          <cell r="BR82">
            <v>149760</v>
          </cell>
          <cell r="BS82">
            <v>0</v>
          </cell>
          <cell r="BT82">
            <v>0</v>
          </cell>
          <cell r="BU82">
            <v>0</v>
          </cell>
          <cell r="BV82">
            <v>241920</v>
          </cell>
          <cell r="BW82">
            <v>0</v>
          </cell>
          <cell r="BX82">
            <v>0</v>
          </cell>
          <cell r="BY82">
            <v>249600</v>
          </cell>
          <cell r="BZ82">
            <v>0</v>
          </cell>
          <cell r="CA82">
            <v>18432</v>
          </cell>
          <cell r="CB82">
            <v>249600</v>
          </cell>
          <cell r="CC82">
            <v>299520</v>
          </cell>
          <cell r="CD82">
            <v>486720</v>
          </cell>
          <cell r="CE82">
            <v>0</v>
          </cell>
          <cell r="CF82">
            <v>0</v>
          </cell>
          <cell r="CG82">
            <v>0</v>
          </cell>
          <cell r="CH82">
            <v>786240</v>
          </cell>
          <cell r="CI82">
            <v>0</v>
          </cell>
          <cell r="CJ82">
            <v>0</v>
          </cell>
          <cell r="CK82">
            <v>811200</v>
          </cell>
          <cell r="CL82">
            <v>0</v>
          </cell>
          <cell r="CM82">
            <v>59904</v>
          </cell>
          <cell r="CN82">
            <v>811200</v>
          </cell>
          <cell r="CO82">
            <v>673920</v>
          </cell>
          <cell r="CP82">
            <v>1095120</v>
          </cell>
          <cell r="CQ82">
            <v>0</v>
          </cell>
          <cell r="CR82">
            <v>0</v>
          </cell>
          <cell r="CS82">
            <v>0</v>
          </cell>
          <cell r="CT82">
            <v>1769040</v>
          </cell>
          <cell r="CU82">
            <v>0</v>
          </cell>
          <cell r="CV82">
            <v>0</v>
          </cell>
          <cell r="CW82">
            <v>1825200</v>
          </cell>
          <cell r="CX82">
            <v>0</v>
          </cell>
          <cell r="CY82">
            <v>134784</v>
          </cell>
          <cell r="CZ82">
            <v>1825200</v>
          </cell>
          <cell r="DA82">
            <v>1179360</v>
          </cell>
          <cell r="DB82">
            <v>1916460</v>
          </cell>
          <cell r="DC82">
            <v>0</v>
          </cell>
          <cell r="DD82">
            <v>0</v>
          </cell>
          <cell r="DE82">
            <v>0</v>
          </cell>
          <cell r="DF82">
            <v>3095820</v>
          </cell>
          <cell r="DG82">
            <v>0</v>
          </cell>
          <cell r="DH82">
            <v>0</v>
          </cell>
          <cell r="DI82">
            <v>3194100</v>
          </cell>
          <cell r="DJ82">
            <v>0</v>
          </cell>
          <cell r="DK82">
            <v>235872</v>
          </cell>
          <cell r="DL82">
            <v>3194100</v>
          </cell>
        </row>
        <row r="83">
          <cell r="H83" t="str">
            <v>DTC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12000</v>
          </cell>
          <cell r="AY83">
            <v>288000</v>
          </cell>
          <cell r="AZ83">
            <v>0</v>
          </cell>
          <cell r="BA83">
            <v>24000</v>
          </cell>
          <cell r="BB83">
            <v>0</v>
          </cell>
          <cell r="BC83">
            <v>36000</v>
          </cell>
          <cell r="BD83">
            <v>54000</v>
          </cell>
          <cell r="BE83">
            <v>0</v>
          </cell>
          <cell r="BF83">
            <v>120000</v>
          </cell>
          <cell r="BG83">
            <v>36000</v>
          </cell>
          <cell r="BH83">
            <v>0</v>
          </cell>
          <cell r="BI83">
            <v>150000</v>
          </cell>
          <cell r="BJ83">
            <v>81000</v>
          </cell>
          <cell r="BK83">
            <v>46800</v>
          </cell>
          <cell r="BL83">
            <v>177600</v>
          </cell>
          <cell r="BM83">
            <v>0</v>
          </cell>
          <cell r="BN83">
            <v>24000</v>
          </cell>
          <cell r="BO83">
            <v>194400</v>
          </cell>
          <cell r="BP83">
            <v>109800</v>
          </cell>
          <cell r="BQ83">
            <v>36000</v>
          </cell>
          <cell r="BR83">
            <v>267600</v>
          </cell>
          <cell r="BS83">
            <v>100800</v>
          </cell>
          <cell r="BT83">
            <v>9000</v>
          </cell>
          <cell r="BU83">
            <v>210000</v>
          </cell>
          <cell r="BV83">
            <v>158400</v>
          </cell>
          <cell r="BW83">
            <v>36000</v>
          </cell>
          <cell r="BX83">
            <v>285600</v>
          </cell>
          <cell r="BY83">
            <v>100800</v>
          </cell>
          <cell r="BZ83">
            <v>9000</v>
          </cell>
          <cell r="CA83">
            <v>189600</v>
          </cell>
          <cell r="CB83">
            <v>100800</v>
          </cell>
          <cell r="CC83">
            <v>117000</v>
          </cell>
          <cell r="CD83">
            <v>869700</v>
          </cell>
          <cell r="CE83">
            <v>327600</v>
          </cell>
          <cell r="CF83">
            <v>29250</v>
          </cell>
          <cell r="CG83">
            <v>682500</v>
          </cell>
          <cell r="CH83">
            <v>514800</v>
          </cell>
          <cell r="CI83">
            <v>117000</v>
          </cell>
          <cell r="CJ83">
            <v>928200</v>
          </cell>
          <cell r="CK83">
            <v>327600</v>
          </cell>
          <cell r="CL83">
            <v>29250</v>
          </cell>
          <cell r="CM83">
            <v>616200</v>
          </cell>
          <cell r="CN83">
            <v>327600</v>
          </cell>
          <cell r="CO83">
            <v>204750</v>
          </cell>
          <cell r="CP83">
            <v>1521975</v>
          </cell>
          <cell r="CQ83">
            <v>573300</v>
          </cell>
          <cell r="CR83">
            <v>51187.5</v>
          </cell>
          <cell r="CS83">
            <v>1194375</v>
          </cell>
          <cell r="CT83">
            <v>900900</v>
          </cell>
          <cell r="CU83">
            <v>204750</v>
          </cell>
          <cell r="CV83">
            <v>1624350</v>
          </cell>
          <cell r="CW83">
            <v>573300</v>
          </cell>
          <cell r="CX83">
            <v>51187.5</v>
          </cell>
          <cell r="CY83">
            <v>1078350</v>
          </cell>
          <cell r="CZ83">
            <v>573300</v>
          </cell>
          <cell r="DA83">
            <v>307125</v>
          </cell>
          <cell r="DB83">
            <v>2282962.5</v>
          </cell>
          <cell r="DC83">
            <v>859950</v>
          </cell>
          <cell r="DD83">
            <v>76781.25</v>
          </cell>
          <cell r="DE83">
            <v>1791562.5</v>
          </cell>
          <cell r="DF83">
            <v>1351350</v>
          </cell>
          <cell r="DG83">
            <v>307125</v>
          </cell>
          <cell r="DH83">
            <v>2436525</v>
          </cell>
          <cell r="DI83">
            <v>859950</v>
          </cell>
          <cell r="DJ83">
            <v>76781.25</v>
          </cell>
          <cell r="DK83">
            <v>1617525</v>
          </cell>
          <cell r="DL83">
            <v>859950</v>
          </cell>
        </row>
        <row r="84">
          <cell r="H84" t="str">
            <v>DTC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51840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108000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202176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421200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505440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1053000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884520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1842750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</row>
        <row r="85">
          <cell r="H85" t="str">
            <v>DTC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52000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124800</v>
          </cell>
          <cell r="BX85">
            <v>0</v>
          </cell>
          <cell r="BY85">
            <v>0</v>
          </cell>
          <cell r="BZ85">
            <v>0</v>
          </cell>
          <cell r="CA85">
            <v>24960</v>
          </cell>
          <cell r="CB85">
            <v>0</v>
          </cell>
          <cell r="CC85">
            <v>202800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486720</v>
          </cell>
          <cell r="CJ85">
            <v>0</v>
          </cell>
          <cell r="CK85">
            <v>0</v>
          </cell>
          <cell r="CL85">
            <v>0</v>
          </cell>
          <cell r="CM85">
            <v>97344</v>
          </cell>
          <cell r="CN85">
            <v>0</v>
          </cell>
          <cell r="CO85">
            <v>507000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1216800</v>
          </cell>
          <cell r="CV85">
            <v>0</v>
          </cell>
          <cell r="CW85">
            <v>0</v>
          </cell>
          <cell r="CX85">
            <v>0</v>
          </cell>
          <cell r="CY85">
            <v>243360</v>
          </cell>
          <cell r="CZ85">
            <v>0</v>
          </cell>
          <cell r="DA85">
            <v>887250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2129400</v>
          </cell>
          <cell r="DH85">
            <v>0</v>
          </cell>
          <cell r="DI85">
            <v>0</v>
          </cell>
          <cell r="DJ85">
            <v>0</v>
          </cell>
          <cell r="DK85">
            <v>425880</v>
          </cell>
          <cell r="DL85">
            <v>0</v>
          </cell>
        </row>
        <row r="86">
          <cell r="H86" t="str">
            <v>DTC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17280</v>
          </cell>
          <cell r="BJ86">
            <v>0</v>
          </cell>
          <cell r="BK86">
            <v>34560</v>
          </cell>
          <cell r="BL86">
            <v>0</v>
          </cell>
          <cell r="BM86">
            <v>0</v>
          </cell>
          <cell r="BN86">
            <v>0</v>
          </cell>
          <cell r="BO86">
            <v>51840</v>
          </cell>
          <cell r="BP86">
            <v>0</v>
          </cell>
          <cell r="BQ86">
            <v>0</v>
          </cell>
          <cell r="BR86">
            <v>69120</v>
          </cell>
          <cell r="BS86">
            <v>0</v>
          </cell>
          <cell r="BT86">
            <v>0</v>
          </cell>
          <cell r="BU86">
            <v>69120</v>
          </cell>
          <cell r="BV86">
            <v>0</v>
          </cell>
          <cell r="BW86">
            <v>0</v>
          </cell>
          <cell r="BX86">
            <v>69120</v>
          </cell>
          <cell r="BY86">
            <v>0</v>
          </cell>
          <cell r="BZ86">
            <v>0</v>
          </cell>
          <cell r="CA86">
            <v>69120</v>
          </cell>
          <cell r="CB86">
            <v>0</v>
          </cell>
          <cell r="CC86">
            <v>0</v>
          </cell>
          <cell r="CD86">
            <v>179712</v>
          </cell>
          <cell r="CE86">
            <v>0</v>
          </cell>
          <cell r="CF86">
            <v>0</v>
          </cell>
          <cell r="CG86">
            <v>179712</v>
          </cell>
          <cell r="CH86">
            <v>0</v>
          </cell>
          <cell r="CI86">
            <v>0</v>
          </cell>
          <cell r="CJ86">
            <v>179712</v>
          </cell>
          <cell r="CK86">
            <v>0</v>
          </cell>
          <cell r="CL86">
            <v>0</v>
          </cell>
          <cell r="CM86">
            <v>179712</v>
          </cell>
          <cell r="CN86">
            <v>0</v>
          </cell>
          <cell r="CO86">
            <v>0</v>
          </cell>
          <cell r="CP86">
            <v>269568</v>
          </cell>
          <cell r="CQ86">
            <v>0</v>
          </cell>
          <cell r="CR86">
            <v>0</v>
          </cell>
          <cell r="CS86">
            <v>269568</v>
          </cell>
          <cell r="CT86">
            <v>0</v>
          </cell>
          <cell r="CU86">
            <v>0</v>
          </cell>
          <cell r="CV86">
            <v>269568</v>
          </cell>
          <cell r="CW86">
            <v>0</v>
          </cell>
          <cell r="CX86">
            <v>0</v>
          </cell>
          <cell r="CY86">
            <v>269568</v>
          </cell>
          <cell r="CZ86">
            <v>0</v>
          </cell>
          <cell r="DA86">
            <v>0</v>
          </cell>
          <cell r="DB86">
            <v>350438.40000000002</v>
          </cell>
          <cell r="DC86">
            <v>0</v>
          </cell>
          <cell r="DD86">
            <v>0</v>
          </cell>
          <cell r="DE86">
            <v>350438.40000000002</v>
          </cell>
          <cell r="DF86">
            <v>0</v>
          </cell>
          <cell r="DG86">
            <v>0</v>
          </cell>
          <cell r="DH86">
            <v>350438.40000000002</v>
          </cell>
          <cell r="DI86">
            <v>0</v>
          </cell>
          <cell r="DJ86">
            <v>0</v>
          </cell>
          <cell r="DK86">
            <v>350438.40000000002</v>
          </cell>
          <cell r="DL86">
            <v>0</v>
          </cell>
        </row>
        <row r="87">
          <cell r="H87" t="str">
            <v>DTC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124800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249600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486720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973440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1460160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2920320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3650400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7300800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</row>
        <row r="88">
          <cell r="H88" t="str">
            <v>DTC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34560</v>
          </cell>
          <cell r="BN88">
            <v>0</v>
          </cell>
          <cell r="BO88">
            <v>25920</v>
          </cell>
          <cell r="BP88">
            <v>64800</v>
          </cell>
          <cell r="BQ88">
            <v>0</v>
          </cell>
          <cell r="BR88">
            <v>158976</v>
          </cell>
          <cell r="BS88">
            <v>0</v>
          </cell>
          <cell r="BT88">
            <v>0</v>
          </cell>
          <cell r="BU88">
            <v>179712</v>
          </cell>
          <cell r="BV88">
            <v>0</v>
          </cell>
          <cell r="BW88">
            <v>207360</v>
          </cell>
          <cell r="BX88">
            <v>0</v>
          </cell>
          <cell r="BY88">
            <v>20736</v>
          </cell>
          <cell r="BZ88">
            <v>0</v>
          </cell>
          <cell r="CA88">
            <v>276480</v>
          </cell>
          <cell r="CB88">
            <v>51840</v>
          </cell>
          <cell r="CC88">
            <v>0</v>
          </cell>
          <cell r="CD88">
            <v>620006.40000000002</v>
          </cell>
          <cell r="CE88">
            <v>0</v>
          </cell>
          <cell r="CF88">
            <v>0</v>
          </cell>
          <cell r="CG88">
            <v>700876.80000000005</v>
          </cell>
          <cell r="CH88">
            <v>0</v>
          </cell>
          <cell r="CI88">
            <v>808704</v>
          </cell>
          <cell r="CJ88">
            <v>0</v>
          </cell>
          <cell r="CK88">
            <v>80870.399999999994</v>
          </cell>
          <cell r="CL88">
            <v>0</v>
          </cell>
          <cell r="CM88">
            <v>1078272</v>
          </cell>
          <cell r="CN88">
            <v>202176</v>
          </cell>
          <cell r="CO88">
            <v>0</v>
          </cell>
          <cell r="CP88">
            <v>1550016</v>
          </cell>
          <cell r="CQ88">
            <v>0</v>
          </cell>
          <cell r="CR88">
            <v>0</v>
          </cell>
          <cell r="CS88">
            <v>1752192</v>
          </cell>
          <cell r="CT88">
            <v>0</v>
          </cell>
          <cell r="CU88">
            <v>2021760</v>
          </cell>
          <cell r="CV88">
            <v>0</v>
          </cell>
          <cell r="CW88">
            <v>202176</v>
          </cell>
          <cell r="CX88">
            <v>0</v>
          </cell>
          <cell r="CY88">
            <v>2695680</v>
          </cell>
          <cell r="CZ88">
            <v>505440</v>
          </cell>
          <cell r="DA88">
            <v>0</v>
          </cell>
          <cell r="DB88">
            <v>2712528</v>
          </cell>
          <cell r="DC88">
            <v>0</v>
          </cell>
          <cell r="DD88">
            <v>0</v>
          </cell>
          <cell r="DE88">
            <v>3066336</v>
          </cell>
          <cell r="DF88">
            <v>0</v>
          </cell>
          <cell r="DG88">
            <v>3538080</v>
          </cell>
          <cell r="DH88">
            <v>0</v>
          </cell>
          <cell r="DI88">
            <v>353808</v>
          </cell>
          <cell r="DJ88">
            <v>0</v>
          </cell>
          <cell r="DK88">
            <v>4717440</v>
          </cell>
          <cell r="DL88">
            <v>884520</v>
          </cell>
        </row>
        <row r="89">
          <cell r="H89" t="str">
            <v>DTC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</row>
        <row r="96">
          <cell r="H96" t="str">
            <v>Wholesale</v>
          </cell>
        </row>
        <row r="97">
          <cell r="H97" t="str">
            <v>Wholesale</v>
          </cell>
        </row>
        <row r="98">
          <cell r="H98" t="str">
            <v>Wholesale</v>
          </cell>
        </row>
        <row r="99">
          <cell r="H99" t="str">
            <v>Wholesale</v>
          </cell>
        </row>
        <row r="100">
          <cell r="H100" t="str">
            <v>Wholesale</v>
          </cell>
        </row>
        <row r="101">
          <cell r="H101" t="str">
            <v>Wholesale</v>
          </cell>
        </row>
        <row r="102">
          <cell r="H102" t="str">
            <v>Wholesale</v>
          </cell>
        </row>
        <row r="103">
          <cell r="H103" t="str">
            <v>Wholesale</v>
          </cell>
        </row>
        <row r="104">
          <cell r="H104" t="str">
            <v>Wholesale</v>
          </cell>
        </row>
        <row r="105">
          <cell r="H105" t="str">
            <v>Wholesale</v>
          </cell>
        </row>
        <row r="106">
          <cell r="H106" t="str">
            <v>Wholesale</v>
          </cell>
        </row>
        <row r="107">
          <cell r="H107" t="str">
            <v>DTC</v>
          </cell>
        </row>
        <row r="108">
          <cell r="H108" t="str">
            <v>DTC</v>
          </cell>
        </row>
        <row r="109">
          <cell r="H109" t="str">
            <v>DTC</v>
          </cell>
        </row>
        <row r="110">
          <cell r="H110" t="str">
            <v>DTC</v>
          </cell>
        </row>
        <row r="111">
          <cell r="H111" t="str">
            <v>DTC</v>
          </cell>
        </row>
        <row r="112">
          <cell r="H112" t="str">
            <v>DTC</v>
          </cell>
        </row>
        <row r="113">
          <cell r="H113" t="str">
            <v>DTC</v>
          </cell>
        </row>
        <row r="114">
          <cell r="H114" t="str">
            <v>DTC</v>
          </cell>
        </row>
        <row r="115">
          <cell r="H115" t="str">
            <v>DTC</v>
          </cell>
        </row>
        <row r="116">
          <cell r="H116" t="str">
            <v>DTC</v>
          </cell>
        </row>
        <row r="117">
          <cell r="H117" t="str">
            <v>DTC</v>
          </cell>
        </row>
        <row r="124">
          <cell r="H124" t="str">
            <v>Wholesale</v>
          </cell>
        </row>
        <row r="125">
          <cell r="H125" t="str">
            <v>Wholesale</v>
          </cell>
        </row>
        <row r="126">
          <cell r="H126" t="str">
            <v>Wholesale</v>
          </cell>
        </row>
        <row r="127">
          <cell r="H127" t="str">
            <v>Wholesale</v>
          </cell>
        </row>
        <row r="128">
          <cell r="H128" t="str">
            <v>Wholesale</v>
          </cell>
        </row>
        <row r="129">
          <cell r="H129" t="str">
            <v>Wholesale</v>
          </cell>
        </row>
        <row r="130">
          <cell r="H130" t="str">
            <v>Wholesale</v>
          </cell>
        </row>
        <row r="131">
          <cell r="H131" t="str">
            <v>Wholesale</v>
          </cell>
        </row>
        <row r="132">
          <cell r="H132" t="str">
            <v>Wholesale</v>
          </cell>
        </row>
        <row r="133">
          <cell r="H133" t="str">
            <v>Wholesale</v>
          </cell>
        </row>
        <row r="134">
          <cell r="H134" t="str">
            <v>Wholesale</v>
          </cell>
        </row>
        <row r="135">
          <cell r="H135" t="str">
            <v>DTC</v>
          </cell>
        </row>
        <row r="136">
          <cell r="H136" t="str">
            <v>DTC</v>
          </cell>
        </row>
        <row r="137">
          <cell r="H137" t="str">
            <v>DTC</v>
          </cell>
        </row>
        <row r="138">
          <cell r="H138" t="str">
            <v>DTC</v>
          </cell>
        </row>
        <row r="139">
          <cell r="H139" t="str">
            <v>DTC</v>
          </cell>
        </row>
        <row r="140">
          <cell r="H140" t="str">
            <v>DTC</v>
          </cell>
        </row>
        <row r="141">
          <cell r="H141" t="str">
            <v>DTC</v>
          </cell>
        </row>
        <row r="142">
          <cell r="H142" t="str">
            <v>DTC</v>
          </cell>
        </row>
        <row r="143">
          <cell r="H143" t="str">
            <v>DTC</v>
          </cell>
        </row>
        <row r="144">
          <cell r="H144" t="str">
            <v>DTC</v>
          </cell>
        </row>
        <row r="145">
          <cell r="H145" t="str">
            <v>DTC</v>
          </cell>
        </row>
        <row r="152">
          <cell r="H152" t="str">
            <v>Wholesale</v>
          </cell>
        </row>
        <row r="153">
          <cell r="H153" t="str">
            <v>Wholesale</v>
          </cell>
        </row>
        <row r="154">
          <cell r="H154" t="str">
            <v>Wholesale</v>
          </cell>
        </row>
        <row r="155">
          <cell r="H155" t="str">
            <v>Wholesale</v>
          </cell>
        </row>
        <row r="156">
          <cell r="H156" t="str">
            <v>Wholesale</v>
          </cell>
        </row>
        <row r="157">
          <cell r="H157" t="str">
            <v>Wholesale</v>
          </cell>
        </row>
        <row r="158">
          <cell r="H158" t="str">
            <v>Wholesale</v>
          </cell>
        </row>
        <row r="159">
          <cell r="H159" t="str">
            <v>Wholesale</v>
          </cell>
        </row>
        <row r="160">
          <cell r="H160" t="str">
            <v>Wholesale</v>
          </cell>
        </row>
        <row r="161">
          <cell r="H161" t="str">
            <v>Wholesale</v>
          </cell>
        </row>
        <row r="162">
          <cell r="H162" t="str">
            <v>Wholesale</v>
          </cell>
        </row>
        <row r="163">
          <cell r="H163" t="str">
            <v>DTC</v>
          </cell>
        </row>
        <row r="164">
          <cell r="H164" t="str">
            <v>DTC</v>
          </cell>
        </row>
        <row r="165">
          <cell r="H165" t="str">
            <v>DTC</v>
          </cell>
        </row>
        <row r="166">
          <cell r="H166" t="str">
            <v>DTC</v>
          </cell>
        </row>
        <row r="167">
          <cell r="H167" t="str">
            <v>DTC</v>
          </cell>
        </row>
        <row r="168">
          <cell r="H168" t="str">
            <v>DTC</v>
          </cell>
        </row>
        <row r="169">
          <cell r="H169" t="str">
            <v>DTC</v>
          </cell>
        </row>
        <row r="170">
          <cell r="H170" t="str">
            <v>DTC</v>
          </cell>
        </row>
        <row r="171">
          <cell r="H171" t="str">
            <v>DTC</v>
          </cell>
        </row>
        <row r="172">
          <cell r="H172" t="str">
            <v>DTC</v>
          </cell>
        </row>
        <row r="173">
          <cell r="H173" t="str">
            <v>DTC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16"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2000000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</row>
      </sheetData>
      <sheetData sheetId="49" refreshError="1"/>
      <sheetData sheetId="50">
        <row r="43">
          <cell r="AV43">
            <v>0</v>
          </cell>
          <cell r="AW43">
            <v>0</v>
          </cell>
          <cell r="AX43">
            <v>415000</v>
          </cell>
          <cell r="AY43">
            <v>415000</v>
          </cell>
          <cell r="AZ43">
            <v>415000</v>
          </cell>
          <cell r="BA43">
            <v>415000</v>
          </cell>
          <cell r="BB43">
            <v>415000</v>
          </cell>
          <cell r="BC43">
            <v>415000</v>
          </cell>
          <cell r="BD43">
            <v>415000</v>
          </cell>
          <cell r="BE43">
            <v>850000</v>
          </cell>
          <cell r="BF43">
            <v>1000605</v>
          </cell>
          <cell r="BG43">
            <v>1547145</v>
          </cell>
          <cell r="BH43">
            <v>1547145</v>
          </cell>
          <cell r="BI43">
            <v>1547145</v>
          </cell>
          <cell r="BJ43">
            <v>1547145</v>
          </cell>
          <cell r="BK43">
            <v>1547145</v>
          </cell>
          <cell r="BL43">
            <v>1777145</v>
          </cell>
          <cell r="BM43">
            <v>1777145</v>
          </cell>
          <cell r="BN43">
            <v>1777145</v>
          </cell>
          <cell r="BO43">
            <v>1777145</v>
          </cell>
          <cell r="BP43">
            <v>2077145</v>
          </cell>
          <cell r="BQ43">
            <v>2077145</v>
          </cell>
          <cell r="BR43">
            <v>2077145</v>
          </cell>
          <cell r="BS43">
            <v>2077145</v>
          </cell>
          <cell r="BT43">
            <v>3052145</v>
          </cell>
          <cell r="BU43">
            <v>3052145</v>
          </cell>
          <cell r="BV43">
            <v>3052145</v>
          </cell>
          <cell r="BW43">
            <v>3052145</v>
          </cell>
          <cell r="BX43">
            <v>3052145</v>
          </cell>
          <cell r="BY43">
            <v>3052145</v>
          </cell>
          <cell r="BZ43">
            <v>3052145</v>
          </cell>
          <cell r="CA43">
            <v>3052145</v>
          </cell>
          <cell r="CB43">
            <v>3052145</v>
          </cell>
          <cell r="CC43">
            <v>3052145</v>
          </cell>
          <cell r="CD43">
            <v>3052145</v>
          </cell>
          <cell r="CE43">
            <v>3052145</v>
          </cell>
          <cell r="CF43">
            <v>3402145</v>
          </cell>
          <cell r="CG43">
            <v>3402145</v>
          </cell>
          <cell r="CH43">
            <v>3402145</v>
          </cell>
          <cell r="CI43">
            <v>3402145</v>
          </cell>
          <cell r="CJ43">
            <v>3402145</v>
          </cell>
          <cell r="CK43">
            <v>3402145</v>
          </cell>
          <cell r="CL43">
            <v>3402145</v>
          </cell>
          <cell r="CM43">
            <v>3402145</v>
          </cell>
          <cell r="CN43">
            <v>3402145</v>
          </cell>
          <cell r="CO43">
            <v>3402145</v>
          </cell>
          <cell r="CP43">
            <v>3402145</v>
          </cell>
          <cell r="CQ43">
            <v>3402145</v>
          </cell>
          <cell r="CR43">
            <v>3752145</v>
          </cell>
          <cell r="CS43">
            <v>3752145</v>
          </cell>
          <cell r="CT43">
            <v>3752145</v>
          </cell>
          <cell r="CU43">
            <v>3752145</v>
          </cell>
          <cell r="CV43">
            <v>3752145</v>
          </cell>
          <cell r="CW43">
            <v>4102145</v>
          </cell>
          <cell r="CX43">
            <v>4102145</v>
          </cell>
          <cell r="CY43">
            <v>4102145</v>
          </cell>
          <cell r="CZ43">
            <v>4102145</v>
          </cell>
          <cell r="DA43">
            <v>4102145</v>
          </cell>
          <cell r="DB43">
            <v>4102145</v>
          </cell>
          <cell r="DC43">
            <v>4102145</v>
          </cell>
          <cell r="DD43">
            <v>4452145</v>
          </cell>
          <cell r="DE43">
            <v>4452145</v>
          </cell>
          <cell r="DF43">
            <v>4452145</v>
          </cell>
          <cell r="DG43">
            <v>4452145</v>
          </cell>
          <cell r="DH43">
            <v>4452145</v>
          </cell>
          <cell r="DI43">
            <v>4452145</v>
          </cell>
          <cell r="DJ43">
            <v>4452145</v>
          </cell>
          <cell r="DK43">
            <v>4452145</v>
          </cell>
          <cell r="DL43">
            <v>4452145</v>
          </cell>
          <cell r="DM43">
            <v>4452145</v>
          </cell>
          <cell r="DN43">
            <v>4452145</v>
          </cell>
          <cell r="DO43">
            <v>4452145</v>
          </cell>
        </row>
        <row r="46">
          <cell r="AV46">
            <v>0</v>
          </cell>
          <cell r="AW46">
            <v>0</v>
          </cell>
          <cell r="AX46">
            <v>17291.666666666668</v>
          </cell>
          <cell r="AY46">
            <v>34583.333333333336</v>
          </cell>
          <cell r="AZ46">
            <v>51875</v>
          </cell>
          <cell r="BA46">
            <v>69166.666666666672</v>
          </cell>
          <cell r="BB46">
            <v>86458.333333333343</v>
          </cell>
          <cell r="BC46">
            <v>103750.00000000001</v>
          </cell>
          <cell r="BD46">
            <v>121041.66666666669</v>
          </cell>
          <cell r="BE46">
            <v>156458.33333333334</v>
          </cell>
          <cell r="BF46">
            <v>198150.20833333334</v>
          </cell>
          <cell r="BG46">
            <v>262614.58333333337</v>
          </cell>
          <cell r="BH46">
            <v>327078.95833333337</v>
          </cell>
          <cell r="BI46">
            <v>391543.33333333337</v>
          </cell>
          <cell r="BJ46">
            <v>456007.70833333337</v>
          </cell>
          <cell r="BK46">
            <v>520472.08333333337</v>
          </cell>
          <cell r="BL46">
            <v>594519.79166666674</v>
          </cell>
          <cell r="BM46">
            <v>668567.50000000012</v>
          </cell>
          <cell r="BN46">
            <v>742615.20833333349</v>
          </cell>
          <cell r="BO46">
            <v>816662.91666666686</v>
          </cell>
          <cell r="BP46">
            <v>903210.62500000023</v>
          </cell>
          <cell r="BQ46">
            <v>989758.33333333349</v>
          </cell>
          <cell r="BR46">
            <v>1076306.0416666667</v>
          </cell>
          <cell r="BS46">
            <v>1162853.75</v>
          </cell>
          <cell r="BT46">
            <v>1290026.4583333333</v>
          </cell>
          <cell r="BU46">
            <v>1417199.1666666665</v>
          </cell>
          <cell r="BV46">
            <v>1544371.8749999998</v>
          </cell>
          <cell r="BW46">
            <v>1671544.583333333</v>
          </cell>
          <cell r="BX46">
            <v>1798717.2916666663</v>
          </cell>
          <cell r="BY46">
            <v>1925889.9999999995</v>
          </cell>
          <cell r="BZ46">
            <v>2053062.7083333328</v>
          </cell>
          <cell r="CA46">
            <v>2180235.416666666</v>
          </cell>
          <cell r="CB46">
            <v>2307408.1249999995</v>
          </cell>
          <cell r="CC46">
            <v>2416455.833333333</v>
          </cell>
          <cell r="CD46">
            <v>2519228.333333333</v>
          </cell>
          <cell r="CE46">
            <v>2599228.333333333</v>
          </cell>
          <cell r="CF46">
            <v>2693811.6666666665</v>
          </cell>
          <cell r="CG46">
            <v>2788395</v>
          </cell>
          <cell r="CH46">
            <v>2882978.3333333335</v>
          </cell>
          <cell r="CI46">
            <v>2977561.666666667</v>
          </cell>
          <cell r="CJ46">
            <v>3062561.666666667</v>
          </cell>
          <cell r="CK46">
            <v>3147561.666666667</v>
          </cell>
          <cell r="CL46">
            <v>3232561.666666667</v>
          </cell>
          <cell r="CM46">
            <v>3317561.666666667</v>
          </cell>
          <cell r="CN46">
            <v>3390061.666666667</v>
          </cell>
          <cell r="CO46">
            <v>3462561.666666667</v>
          </cell>
          <cell r="CP46">
            <v>3535061.666666667</v>
          </cell>
          <cell r="CQ46">
            <v>3607561.666666667</v>
          </cell>
          <cell r="CR46">
            <v>3666520.0000000005</v>
          </cell>
          <cell r="CS46">
            <v>3725478.333333334</v>
          </cell>
          <cell r="CT46">
            <v>3784436.6666666674</v>
          </cell>
          <cell r="CU46">
            <v>3843395.0000000009</v>
          </cell>
          <cell r="CV46">
            <v>3902353.3333333344</v>
          </cell>
          <cell r="CW46">
            <v>3975895.0000000009</v>
          </cell>
          <cell r="CX46">
            <v>4049436.6666666674</v>
          </cell>
          <cell r="CY46">
            <v>4122978.333333334</v>
          </cell>
          <cell r="CZ46">
            <v>4196520.0000000009</v>
          </cell>
          <cell r="DA46">
            <v>4270061.6666666679</v>
          </cell>
          <cell r="DB46">
            <v>4343603.3333333349</v>
          </cell>
          <cell r="DC46">
            <v>4417145.0000000019</v>
          </cell>
          <cell r="DD46">
            <v>4490686.6666666688</v>
          </cell>
          <cell r="DE46">
            <v>4564228.3333333358</v>
          </cell>
          <cell r="DF46">
            <v>4637770.0000000028</v>
          </cell>
          <cell r="DG46">
            <v>4711311.6666666698</v>
          </cell>
          <cell r="DH46">
            <v>4784853.3333333367</v>
          </cell>
          <cell r="DI46">
            <v>4858395.0000000037</v>
          </cell>
          <cell r="DJ46">
            <v>4931936.6666666707</v>
          </cell>
          <cell r="DK46">
            <v>5005478.3333333377</v>
          </cell>
          <cell r="DL46">
            <v>5079020.0000000047</v>
          </cell>
          <cell r="DM46">
            <v>5152561.6666666716</v>
          </cell>
          <cell r="DN46">
            <v>5226103.3333333386</v>
          </cell>
          <cell r="DO46">
            <v>5299645.0000000056</v>
          </cell>
        </row>
        <row r="51">
          <cell r="AV51">
            <v>0</v>
          </cell>
          <cell r="AW51">
            <v>1000000</v>
          </cell>
          <cell r="AX51">
            <v>958333.33333333337</v>
          </cell>
          <cell r="AY51">
            <v>916666.66666666674</v>
          </cell>
          <cell r="AZ51">
            <v>875000.00000000012</v>
          </cell>
          <cell r="BA51">
            <v>833333.33333333349</v>
          </cell>
          <cell r="BB51">
            <v>791666.66666666686</v>
          </cell>
          <cell r="BC51">
            <v>750000.00000000023</v>
          </cell>
          <cell r="BD51">
            <v>708333.3333333336</v>
          </cell>
          <cell r="BE51">
            <v>666666.66666666698</v>
          </cell>
          <cell r="BF51">
            <v>625000.00000000035</v>
          </cell>
          <cell r="BG51">
            <v>583333.33333333372</v>
          </cell>
          <cell r="BH51">
            <v>541666.66666666709</v>
          </cell>
          <cell r="BI51">
            <v>500000.00000000041</v>
          </cell>
          <cell r="BJ51">
            <v>458333.33333333372</v>
          </cell>
          <cell r="BK51">
            <v>416666.66666666704</v>
          </cell>
          <cell r="BL51">
            <v>375000.00000000035</v>
          </cell>
          <cell r="BM51">
            <v>333333.33333333366</v>
          </cell>
          <cell r="BN51">
            <v>291666.66666666698</v>
          </cell>
          <cell r="BO51">
            <v>250000.00000000032</v>
          </cell>
          <cell r="BP51">
            <v>208333.33333333366</v>
          </cell>
          <cell r="BQ51">
            <v>166666.66666666701</v>
          </cell>
          <cell r="BR51">
            <v>125000.00000000035</v>
          </cell>
          <cell r="BS51">
            <v>83333.333333333692</v>
          </cell>
          <cell r="BT51">
            <v>41666.666666667028</v>
          </cell>
          <cell r="BU51">
            <v>3.637978807091713E-10</v>
          </cell>
          <cell r="BV51">
            <v>3.637978807091713E-10</v>
          </cell>
          <cell r="BW51">
            <v>3.637978807091713E-10</v>
          </cell>
          <cell r="BX51">
            <v>3.637978807091713E-10</v>
          </cell>
          <cell r="BY51">
            <v>3.637978807091713E-10</v>
          </cell>
          <cell r="BZ51">
            <v>3.637978807091713E-10</v>
          </cell>
          <cell r="CA51">
            <v>3.637978807091713E-10</v>
          </cell>
          <cell r="CB51">
            <v>3.637978807091713E-10</v>
          </cell>
          <cell r="CC51">
            <v>3.637978807091713E-10</v>
          </cell>
          <cell r="CD51">
            <v>3.637978807091713E-10</v>
          </cell>
          <cell r="CE51">
            <v>3.637978807091713E-10</v>
          </cell>
          <cell r="CF51">
            <v>3.637978807091713E-10</v>
          </cell>
          <cell r="CG51">
            <v>3.637978807091713E-10</v>
          </cell>
          <cell r="CH51">
            <v>3.637978807091713E-10</v>
          </cell>
          <cell r="CI51">
            <v>3.637978807091713E-10</v>
          </cell>
          <cell r="CJ51">
            <v>3.637978807091713E-10</v>
          </cell>
          <cell r="CK51">
            <v>3.637978807091713E-10</v>
          </cell>
          <cell r="CL51">
            <v>3.637978807091713E-10</v>
          </cell>
          <cell r="CM51">
            <v>3.637978807091713E-10</v>
          </cell>
          <cell r="CN51">
            <v>3.637978807091713E-10</v>
          </cell>
          <cell r="CO51">
            <v>3.637978807091713E-10</v>
          </cell>
          <cell r="CP51">
            <v>3.637978807091713E-10</v>
          </cell>
          <cell r="CQ51">
            <v>3.637978807091713E-10</v>
          </cell>
          <cell r="CR51">
            <v>3.637978807091713E-10</v>
          </cell>
          <cell r="CS51">
            <v>3.637978807091713E-10</v>
          </cell>
          <cell r="CT51">
            <v>3.637978807091713E-10</v>
          </cell>
          <cell r="CU51">
            <v>3.637978807091713E-10</v>
          </cell>
          <cell r="CV51">
            <v>3.637978807091713E-10</v>
          </cell>
          <cell r="CW51">
            <v>3.637978807091713E-10</v>
          </cell>
          <cell r="CX51">
            <v>3.637978807091713E-10</v>
          </cell>
          <cell r="CY51">
            <v>3.637978807091713E-10</v>
          </cell>
          <cell r="CZ51">
            <v>3.637978807091713E-10</v>
          </cell>
          <cell r="DA51">
            <v>3.637978807091713E-10</v>
          </cell>
          <cell r="DB51">
            <v>3.637978807091713E-10</v>
          </cell>
          <cell r="DC51">
            <v>3.637978807091713E-10</v>
          </cell>
          <cell r="DD51">
            <v>3.637978807091713E-10</v>
          </cell>
          <cell r="DE51">
            <v>3.637978807091713E-10</v>
          </cell>
          <cell r="DF51">
            <v>3.637978807091713E-10</v>
          </cell>
          <cell r="DG51">
            <v>3.637978807091713E-10</v>
          </cell>
          <cell r="DH51">
            <v>3.637978807091713E-10</v>
          </cell>
          <cell r="DI51">
            <v>3.637978807091713E-10</v>
          </cell>
          <cell r="DJ51">
            <v>3.637978807091713E-10</v>
          </cell>
          <cell r="DK51">
            <v>3.637978807091713E-10</v>
          </cell>
          <cell r="DL51">
            <v>3.637978807091713E-10</v>
          </cell>
          <cell r="DM51">
            <v>3.637978807091713E-10</v>
          </cell>
          <cell r="DN51">
            <v>3.637978807091713E-10</v>
          </cell>
          <cell r="DO51">
            <v>3.637978807091713E-10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0B6D-2CEB-47B2-AA40-490FFB54F5A8}">
  <dimension ref="D2:AI2220"/>
  <sheetViews>
    <sheetView showGridLines="0" zoomScale="85" zoomScaleNormal="85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H32" sqref="H32"/>
    </sheetView>
  </sheetViews>
  <sheetFormatPr defaultRowHeight="15" x14ac:dyDescent="0.25"/>
  <cols>
    <col min="4" max="4" width="33" style="62" customWidth="1"/>
    <col min="5" max="5" width="3.42578125" style="62" customWidth="1"/>
    <col min="6" max="12" width="12.140625" customWidth="1"/>
    <col min="13" max="14" width="9.140625" customWidth="1"/>
    <col min="15" max="15" width="33" style="62" customWidth="1"/>
    <col min="16" max="16" width="3.42578125" customWidth="1"/>
    <col min="17" max="20" width="12.140625" customWidth="1"/>
    <col min="23" max="23" width="12.85546875" bestFit="1" customWidth="1"/>
  </cols>
  <sheetData>
    <row r="2" spans="4:35" ht="15.75" thickBot="1" x14ac:dyDescent="0.3"/>
    <row r="3" spans="4:35" ht="15.75" thickBot="1" x14ac:dyDescent="0.3">
      <c r="D3" s="114" t="s">
        <v>209</v>
      </c>
      <c r="O3" s="114" t="s">
        <v>209</v>
      </c>
    </row>
    <row r="4" spans="4:35" x14ac:dyDescent="0.25">
      <c r="D4" t="s">
        <v>212</v>
      </c>
      <c r="O4" t="s">
        <v>212</v>
      </c>
    </row>
    <row r="5" spans="4:35" x14ac:dyDescent="0.25">
      <c r="D5" t="s">
        <v>213</v>
      </c>
      <c r="O5" t="s">
        <v>213</v>
      </c>
    </row>
    <row r="6" spans="4:35" x14ac:dyDescent="0.25">
      <c r="D6" s="124" t="s">
        <v>210</v>
      </c>
      <c r="O6" s="124" t="s">
        <v>210</v>
      </c>
    </row>
    <row r="7" spans="4:35" x14ac:dyDescent="0.25">
      <c r="G7" s="20"/>
      <c r="H7" s="20"/>
    </row>
    <row r="10" spans="4:35" ht="15.75" x14ac:dyDescent="0.25">
      <c r="D10" s="61"/>
      <c r="E10" s="61"/>
      <c r="F10" s="18"/>
      <c r="G10" s="17"/>
      <c r="H10" s="17"/>
      <c r="I10" s="17"/>
      <c r="J10" s="17"/>
      <c r="K10" s="17"/>
      <c r="L10" s="17"/>
      <c r="O10" s="61"/>
      <c r="Q10" s="17">
        <v>2024</v>
      </c>
      <c r="R10" s="17">
        <v>2024</v>
      </c>
      <c r="S10" s="17">
        <v>2024</v>
      </c>
      <c r="T10" s="17">
        <v>2024</v>
      </c>
      <c r="W10" s="18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4:35" ht="15.75" x14ac:dyDescent="0.25">
      <c r="D11" s="61" t="s">
        <v>216</v>
      </c>
      <c r="E11" s="61"/>
      <c r="F11" s="17">
        <v>2023</v>
      </c>
      <c r="G11" s="17">
        <v>2024</v>
      </c>
      <c r="H11" s="17">
        <v>2025</v>
      </c>
      <c r="I11" s="17">
        <v>2026</v>
      </c>
      <c r="J11" s="17">
        <v>2027</v>
      </c>
      <c r="K11" s="17">
        <v>2028</v>
      </c>
      <c r="L11" s="17">
        <v>2029</v>
      </c>
      <c r="O11" s="61" t="s">
        <v>216</v>
      </c>
      <c r="Q11" s="18" t="s">
        <v>218</v>
      </c>
      <c r="R11" s="18" t="s">
        <v>219</v>
      </c>
      <c r="S11" s="18" t="s">
        <v>220</v>
      </c>
      <c r="T11" s="18" t="s">
        <v>221</v>
      </c>
      <c r="W11" s="18" t="s">
        <v>223</v>
      </c>
      <c r="X11" s="19" t="s">
        <v>224</v>
      </c>
      <c r="Y11" s="19" t="s">
        <v>225</v>
      </c>
      <c r="Z11" s="19" t="s">
        <v>226</v>
      </c>
      <c r="AA11" s="19" t="s">
        <v>227</v>
      </c>
      <c r="AB11" s="19" t="s">
        <v>228</v>
      </c>
      <c r="AC11" s="19" t="s">
        <v>229</v>
      </c>
      <c r="AD11" s="19" t="s">
        <v>230</v>
      </c>
      <c r="AE11" s="19" t="s">
        <v>231</v>
      </c>
      <c r="AF11" s="19" t="s">
        <v>232</v>
      </c>
      <c r="AG11" s="19" t="s">
        <v>233</v>
      </c>
      <c r="AH11" s="19" t="s">
        <v>234</v>
      </c>
      <c r="AI11" s="19" t="s">
        <v>235</v>
      </c>
    </row>
    <row r="12" spans="4:35" ht="15.75" x14ac:dyDescent="0.25">
      <c r="D12" s="61"/>
      <c r="E12" s="61"/>
      <c r="F12" s="131"/>
      <c r="G12" s="131"/>
      <c r="H12" s="131"/>
      <c r="I12" s="131"/>
      <c r="J12" s="131"/>
      <c r="K12" s="131"/>
      <c r="L12" s="131"/>
      <c r="O12" s="61"/>
      <c r="Q12" s="132"/>
      <c r="R12" s="132"/>
      <c r="S12" s="132"/>
      <c r="T12" s="132"/>
      <c r="W12" s="130">
        <v>2024</v>
      </c>
      <c r="X12" s="128">
        <f ca="1">CFS!AG39</f>
        <v>5140932.7566666678</v>
      </c>
      <c r="Y12" s="128">
        <f ca="1">CFS!AH39</f>
        <v>2788558.0933333347</v>
      </c>
      <c r="Z12" s="128">
        <f ca="1">CFS!AI39</f>
        <v>1405842.060000001</v>
      </c>
      <c r="AA12" s="128">
        <f ca="1">CFS!AJ39</f>
        <v>615898.72666666785</v>
      </c>
      <c r="AB12" s="128">
        <f ca="1">CFS!AK39</f>
        <v>259924.89333333459</v>
      </c>
      <c r="AC12" s="128">
        <f ca="1">CFS!AL39</f>
        <v>-359624.48082601349</v>
      </c>
      <c r="AD12" s="128">
        <f ca="1">CFS!AM39</f>
        <v>-589963.80407152313</v>
      </c>
      <c r="AE12" s="128">
        <f ca="1">CFS!AN39</f>
        <v>-1339462.6374048565</v>
      </c>
      <c r="AF12" s="128">
        <f ca="1">CFS!AO39</f>
        <v>-1957362.5523902192</v>
      </c>
      <c r="AG12" s="128">
        <f ca="1">CFS!AP39</f>
        <v>-3063834.3857235527</v>
      </c>
      <c r="AH12" s="128">
        <f ca="1">CFS!AQ39</f>
        <v>-3999563.2190568857</v>
      </c>
      <c r="AI12" s="128">
        <f ca="1">CFS!AR39</f>
        <v>-5193407.7523902189</v>
      </c>
    </row>
    <row r="13" spans="4:35" x14ac:dyDescent="0.25">
      <c r="D13" s="66" t="s">
        <v>180</v>
      </c>
      <c r="E13" s="65"/>
      <c r="F13" s="100"/>
      <c r="G13" s="127">
        <f>CFS!G13</f>
        <v>-8434183.4873902202</v>
      </c>
      <c r="H13" s="127">
        <f>CFS!H13</f>
        <v>-6671615.0897044856</v>
      </c>
      <c r="I13" s="127">
        <f>CFS!I13</f>
        <v>-1328310.8911978817</v>
      </c>
      <c r="J13" s="127">
        <f>CFS!J13</f>
        <v>1807692.5642968174</v>
      </c>
      <c r="K13" s="127">
        <f>CFS!K13</f>
        <v>2454037.9271464623</v>
      </c>
      <c r="L13" s="127">
        <f>CFS!L13</f>
        <v>15795749.553398496</v>
      </c>
      <c r="M13" s="21"/>
      <c r="N13" s="21"/>
      <c r="O13" s="66" t="s">
        <v>180</v>
      </c>
      <c r="P13" s="21"/>
      <c r="Q13" s="127">
        <f>CFS!P13</f>
        <v>-1999280.4645833333</v>
      </c>
      <c r="R13" s="127">
        <f>CFS!Q13</f>
        <v>-2349699.9720760146</v>
      </c>
      <c r="S13" s="127">
        <f>CFS!R13</f>
        <v>-1821971.5028142056</v>
      </c>
      <c r="T13" s="127">
        <f>CFS!S13</f>
        <v>-2263231.5479166666</v>
      </c>
      <c r="W13" s="130">
        <v>2025</v>
      </c>
      <c r="X13" s="128">
        <f ca="1">CFS!AS39</f>
        <v>-5777953.6190568861</v>
      </c>
      <c r="Y13" s="128">
        <f ca="1">CFS!AT39</f>
        <v>-6862940.8106938824</v>
      </c>
      <c r="Z13" s="128">
        <f ca="1">CFS!AU39</f>
        <v>-7604997.1773605496</v>
      </c>
      <c r="AA13" s="128">
        <f ca="1">CFS!AV39</f>
        <v>-7466948.3440272156</v>
      </c>
      <c r="AB13" s="128">
        <f ca="1">CFS!AW39</f>
        <v>-8435124.8009858355</v>
      </c>
      <c r="AC13" s="128">
        <f ca="1">CFS!AX39</f>
        <v>-9033018.2108758576</v>
      </c>
      <c r="AD13" s="128">
        <f ca="1">CFS!AY39</f>
        <v>-9654373.8551594242</v>
      </c>
      <c r="AE13" s="128">
        <f ca="1">CFS!AZ39</f>
        <v>-10732056.815480653</v>
      </c>
      <c r="AF13" s="128">
        <f ca="1">CFS!BA39</f>
        <v>-11699829.463411661</v>
      </c>
      <c r="AG13" s="128">
        <f ca="1">CFS!BB39</f>
        <v>-11341931.835838277</v>
      </c>
      <c r="AH13" s="128">
        <f ca="1">CFS!BC39</f>
        <v>-11453459.604324708</v>
      </c>
      <c r="AI13" s="128">
        <f ca="1">CFS!BD39</f>
        <v>-11471749.950428039</v>
      </c>
    </row>
    <row r="14" spans="4:35" x14ac:dyDescent="0.25">
      <c r="D14" s="130" t="s">
        <v>190</v>
      </c>
      <c r="E14" s="65"/>
      <c r="F14" s="128"/>
      <c r="G14" s="128">
        <f ca="1">CFS!G24</f>
        <v>-8869468.6423902195</v>
      </c>
      <c r="H14" s="128">
        <f ca="1">CFS!H24</f>
        <v>-5748342.1980378181</v>
      </c>
      <c r="I14" s="128">
        <f ca="1">CFS!I24</f>
        <v>-659127.97453121562</v>
      </c>
      <c r="J14" s="128">
        <f ca="1">CFS!J24</f>
        <v>-89949.102369848639</v>
      </c>
      <c r="K14" s="128">
        <f ca="1">CFS!K24</f>
        <v>-2568191.2395202033</v>
      </c>
      <c r="L14" s="128">
        <f ca="1">CFS!L24</f>
        <v>9292968.3033984974</v>
      </c>
      <c r="M14" s="21"/>
      <c r="N14" s="21"/>
      <c r="O14" s="130" t="s">
        <v>190</v>
      </c>
      <c r="P14" s="21"/>
      <c r="Q14" s="128">
        <f ca="1">CFS!P24</f>
        <v>-3402363.8300000005</v>
      </c>
      <c r="R14" s="128">
        <f ca="1">CFS!Q24</f>
        <v>-1765466.5408260147</v>
      </c>
      <c r="S14" s="128">
        <f ca="1">CFS!R24</f>
        <v>-1597738.0715642059</v>
      </c>
      <c r="T14" s="128">
        <f ca="1">CFS!S24</f>
        <v>-2103900.2000000002</v>
      </c>
      <c r="W14" s="130">
        <v>2026</v>
      </c>
      <c r="X14" s="128">
        <f ca="1">CFS!BE39</f>
        <v>-14001594.756348208</v>
      </c>
      <c r="Y14" s="128">
        <f ca="1">CFS!BF39</f>
        <v>-14993796.185513886</v>
      </c>
      <c r="Z14" s="128">
        <f ca="1">CFS!BG39</f>
        <v>-14220877.446390932</v>
      </c>
      <c r="AA14" s="128">
        <f ca="1">CFS!BH39</f>
        <v>-13070140.995257536</v>
      </c>
      <c r="AB14" s="128">
        <f ca="1">CFS!BI39</f>
        <v>-13800764.073224543</v>
      </c>
      <c r="AC14" s="128">
        <f ca="1">CFS!BJ39</f>
        <v>-13763691.730446238</v>
      </c>
      <c r="AD14" s="128">
        <f ca="1">CFS!BK39</f>
        <v>-15367164.637608593</v>
      </c>
      <c r="AE14" s="128">
        <f ca="1">CFS!BL39</f>
        <v>-16103197.744011395</v>
      </c>
      <c r="AF14" s="128">
        <f ca="1">CFS!BM39</f>
        <v>-14853225.742636681</v>
      </c>
      <c r="AG14" s="128">
        <f ca="1">CFS!BN39</f>
        <v>-14240529.041546801</v>
      </c>
      <c r="AH14" s="128">
        <f ca="1">CFS!BO39</f>
        <v>-13688401.7385343</v>
      </c>
      <c r="AI14" s="128">
        <f ca="1">CFS!BP39</f>
        <v>-13105877.924959254</v>
      </c>
    </row>
    <row r="15" spans="4:35" x14ac:dyDescent="0.25">
      <c r="D15" s="65"/>
      <c r="E15" s="65"/>
      <c r="F15" s="105"/>
      <c r="G15" s="105"/>
      <c r="H15" s="105"/>
      <c r="I15" s="105"/>
      <c r="J15" s="105"/>
      <c r="K15" s="105"/>
      <c r="L15" s="105"/>
      <c r="M15" s="21"/>
      <c r="N15" s="21"/>
      <c r="O15" s="65"/>
      <c r="P15" s="21"/>
      <c r="Q15" s="105"/>
      <c r="R15" s="105"/>
      <c r="S15" s="105"/>
      <c r="T15" s="105"/>
    </row>
    <row r="16" spans="4:35" x14ac:dyDescent="0.25">
      <c r="D16" s="130" t="s">
        <v>194</v>
      </c>
      <c r="E16" s="70"/>
      <c r="F16" s="128"/>
      <c r="G16" s="128">
        <f>CFS!G29</f>
        <v>-1547145</v>
      </c>
      <c r="H16" s="128">
        <f>CFS!H29</f>
        <v>-529999.99999999977</v>
      </c>
      <c r="I16" s="128">
        <f>CFS!I29</f>
        <v>-975000.00000000012</v>
      </c>
      <c r="J16" s="128">
        <f>CFS!J29</f>
        <v>-349999.9999999993</v>
      </c>
      <c r="K16" s="128">
        <f>CFS!K29</f>
        <v>-699999.99999999814</v>
      </c>
      <c r="L16" s="128">
        <f>CFS!L29</f>
        <v>-349999.99999999651</v>
      </c>
      <c r="M16" s="21"/>
      <c r="N16" s="21"/>
      <c r="O16" s="130" t="s">
        <v>194</v>
      </c>
      <c r="P16" s="21"/>
      <c r="Q16" s="128">
        <f>CFS!P29</f>
        <v>-415000.00000000006</v>
      </c>
      <c r="R16" s="128">
        <f>CFS!Q29</f>
        <v>1.4551915228366852E-11</v>
      </c>
      <c r="S16" s="128">
        <f>CFS!R29</f>
        <v>1.2369127944111824E-10</v>
      </c>
      <c r="T16" s="128">
        <f>CFS!S29</f>
        <v>-1132145</v>
      </c>
    </row>
    <row r="17" spans="4:20" x14ac:dyDescent="0.25">
      <c r="D17" s="63"/>
      <c r="E17" s="65"/>
      <c r="F17" s="106"/>
      <c r="G17" s="105"/>
      <c r="H17" s="105"/>
      <c r="I17" s="105"/>
      <c r="J17" s="105"/>
      <c r="K17" s="105"/>
      <c r="L17" s="105"/>
      <c r="M17" s="21"/>
      <c r="N17" s="21"/>
      <c r="O17" s="63"/>
      <c r="P17" s="21"/>
      <c r="Q17" s="105"/>
      <c r="R17" s="105"/>
      <c r="S17" s="105"/>
      <c r="T17" s="105"/>
    </row>
    <row r="18" spans="4:20" x14ac:dyDescent="0.25">
      <c r="D18" s="130" t="s">
        <v>198</v>
      </c>
      <c r="E18" s="65"/>
      <c r="F18" s="128"/>
      <c r="G18" s="128">
        <f>CFS!G34</f>
        <v>0</v>
      </c>
      <c r="H18" s="128">
        <f>CFS!H34</f>
        <v>0</v>
      </c>
      <c r="I18" s="128">
        <f>CFS!I34</f>
        <v>0</v>
      </c>
      <c r="J18" s="128">
        <f>CFS!J34</f>
        <v>0</v>
      </c>
      <c r="K18" s="128">
        <f>CFS!K34</f>
        <v>2000000</v>
      </c>
      <c r="L18" s="128">
        <f>CFS!L34</f>
        <v>0</v>
      </c>
      <c r="M18" s="21"/>
      <c r="N18" s="21"/>
      <c r="O18" s="130" t="s">
        <v>198</v>
      </c>
      <c r="P18" s="21"/>
      <c r="Q18" s="128">
        <f>CFS!P34</f>
        <v>0</v>
      </c>
      <c r="R18" s="128">
        <f>CFS!Q34</f>
        <v>0</v>
      </c>
      <c r="S18" s="128">
        <f>CFS!R34</f>
        <v>0</v>
      </c>
      <c r="T18" s="128">
        <f>CFS!S34</f>
        <v>0</v>
      </c>
    </row>
    <row r="19" spans="4:20" x14ac:dyDescent="0.25">
      <c r="D19" s="63"/>
      <c r="E19" s="65"/>
      <c r="F19" s="105"/>
      <c r="G19" s="105"/>
      <c r="H19" s="105"/>
      <c r="I19" s="105"/>
      <c r="J19" s="105"/>
      <c r="K19" s="105"/>
      <c r="L19" s="105"/>
      <c r="M19" s="21"/>
      <c r="N19" s="21"/>
      <c r="O19" s="63"/>
      <c r="P19" s="21"/>
      <c r="Q19" s="105"/>
      <c r="R19" s="105"/>
      <c r="S19" s="105"/>
      <c r="T19" s="105"/>
    </row>
    <row r="20" spans="4:20" x14ac:dyDescent="0.25">
      <c r="D20" s="66" t="s">
        <v>199</v>
      </c>
      <c r="E20" s="65"/>
      <c r="F20" s="102"/>
      <c r="G20" s="127">
        <f ca="1">CFS!G37</f>
        <v>-10416613.642390219</v>
      </c>
      <c r="H20" s="127">
        <f ca="1">CFS!H37</f>
        <v>-6278342.1980378181</v>
      </c>
      <c r="I20" s="127">
        <f ca="1">CFS!I37</f>
        <v>-1634127.9745312156</v>
      </c>
      <c r="J20" s="127">
        <f ca="1">CFS!J37</f>
        <v>-439949.10236984794</v>
      </c>
      <c r="K20" s="127">
        <f ca="1">CFS!K37</f>
        <v>-1268191.2395202015</v>
      </c>
      <c r="L20" s="127">
        <f ca="1">CFS!L37</f>
        <v>8942968.3033985011</v>
      </c>
      <c r="M20" s="21"/>
      <c r="N20" s="21"/>
      <c r="O20" s="66" t="s">
        <v>199</v>
      </c>
      <c r="P20" s="21"/>
      <c r="Q20" s="127">
        <f ca="1">CFS!P37</f>
        <v>-3817363.83</v>
      </c>
      <c r="R20" s="127">
        <f ca="1">CFS!Q37</f>
        <v>-1765466.5408260147</v>
      </c>
      <c r="S20" s="127">
        <f ca="1">CFS!R37</f>
        <v>-1597738.0715642057</v>
      </c>
      <c r="T20" s="127">
        <f ca="1">CFS!S37</f>
        <v>-3236045.2</v>
      </c>
    </row>
    <row r="21" spans="4:20" x14ac:dyDescent="0.25">
      <c r="D21" s="71" t="s">
        <v>200</v>
      </c>
      <c r="E21" s="65"/>
      <c r="F21" s="102"/>
      <c r="G21" s="127">
        <f>CFS!G38</f>
        <v>5223205.8900000006</v>
      </c>
      <c r="H21" s="127">
        <f ca="1">CFS!H38</f>
        <v>-5193407.7523902189</v>
      </c>
      <c r="I21" s="127">
        <f ca="1">CFS!I38</f>
        <v>-11471749.950428037</v>
      </c>
      <c r="J21" s="127">
        <f ca="1">CFS!J38</f>
        <v>-13105877.924959254</v>
      </c>
      <c r="K21" s="127">
        <f ca="1">CFS!K38</f>
        <v>-13545827.027329102</v>
      </c>
      <c r="L21" s="127">
        <f ca="1">CFS!L38</f>
        <v>-14814018.266849304</v>
      </c>
      <c r="M21" s="21"/>
      <c r="N21" s="21"/>
      <c r="O21" s="71" t="s">
        <v>200</v>
      </c>
      <c r="P21" s="21"/>
      <c r="Q21" s="127">
        <f>CFS!P38</f>
        <v>5223205.8900000006</v>
      </c>
      <c r="R21" s="127">
        <f>CFS!Q38</f>
        <v>0</v>
      </c>
      <c r="S21" s="127">
        <f>CFS!R38</f>
        <v>0</v>
      </c>
      <c r="T21" s="127">
        <f>CFS!S38</f>
        <v>0</v>
      </c>
    </row>
    <row r="22" spans="4:20" x14ac:dyDescent="0.25">
      <c r="D22" s="130" t="s">
        <v>201</v>
      </c>
      <c r="E22" s="65"/>
      <c r="F22" s="128">
        <f>CFS!F39</f>
        <v>5223205.8900000006</v>
      </c>
      <c r="G22" s="128">
        <f ca="1">CFS!G39</f>
        <v>-5193407.7523902189</v>
      </c>
      <c r="H22" s="128">
        <f ca="1">CFS!H39</f>
        <v>-11471749.950428037</v>
      </c>
      <c r="I22" s="128">
        <f ca="1">CFS!I39</f>
        <v>-13105877.924959254</v>
      </c>
      <c r="J22" s="128">
        <f ca="1">CFS!J39</f>
        <v>-13545827.027329102</v>
      </c>
      <c r="K22" s="128">
        <f ca="1">CFS!K39</f>
        <v>-14814018.266849304</v>
      </c>
      <c r="L22" s="128">
        <f ca="1">CFS!L39</f>
        <v>-5871049.9634508025</v>
      </c>
      <c r="M22" s="21"/>
      <c r="N22" s="21"/>
      <c r="O22" s="130" t="s">
        <v>201</v>
      </c>
      <c r="P22" s="21"/>
      <c r="Q22" s="128">
        <f ca="1">CFS!P39</f>
        <v>1405842.0600000005</v>
      </c>
      <c r="R22" s="128">
        <f ca="1">CFS!Q39</f>
        <v>-359624.48082601419</v>
      </c>
      <c r="S22" s="128">
        <f ca="1">CFS!R39</f>
        <v>-1957362.5523902199</v>
      </c>
      <c r="T22" s="128">
        <f ca="1">CFS!S39</f>
        <v>-5193407.7523902198</v>
      </c>
    </row>
    <row r="23" spans="4:20" x14ac:dyDescent="0.25">
      <c r="D23" s="72" t="s">
        <v>202</v>
      </c>
      <c r="E23" s="73"/>
      <c r="F23" s="82">
        <f>BS!F14-F22</f>
        <v>0</v>
      </c>
      <c r="G23" s="100">
        <f ca="1">CFS!G40</f>
        <v>0</v>
      </c>
      <c r="H23" s="100">
        <f ca="1">CFS!H40</f>
        <v>0</v>
      </c>
      <c r="I23" s="100">
        <f ca="1">CFS!I40</f>
        <v>0</v>
      </c>
      <c r="J23" s="100">
        <f ca="1">CFS!J40</f>
        <v>0</v>
      </c>
      <c r="K23" s="100">
        <f ca="1">CFS!K40</f>
        <v>0</v>
      </c>
      <c r="L23" s="100">
        <f ca="1">CFS!L40</f>
        <v>0</v>
      </c>
      <c r="M23" s="21"/>
      <c r="N23" s="21"/>
      <c r="O23" s="72" t="s">
        <v>202</v>
      </c>
      <c r="P23" s="21"/>
      <c r="Q23" s="100">
        <f ca="1">CFS!P40</f>
        <v>0</v>
      </c>
      <c r="R23" s="100">
        <f ca="1">CFS!Q40</f>
        <v>6.9849193096160889E-10</v>
      </c>
      <c r="S23" s="100">
        <f ca="1">CFS!R40</f>
        <v>0</v>
      </c>
      <c r="T23" s="100">
        <f ca="1">CFS!S40</f>
        <v>0</v>
      </c>
    </row>
    <row r="24" spans="4:20" x14ac:dyDescent="0.25">
      <c r="D24" s="74"/>
      <c r="E24" s="73"/>
      <c r="F24" s="83"/>
      <c r="G24" s="83"/>
      <c r="H24" s="83"/>
      <c r="I24" s="83"/>
      <c r="J24" s="83"/>
      <c r="K24" s="83"/>
      <c r="L24" s="83"/>
      <c r="M24" s="21"/>
      <c r="N24" s="21"/>
      <c r="O24" s="74"/>
      <c r="P24" s="21"/>
      <c r="Q24" s="83"/>
    </row>
    <row r="25" spans="4:20" x14ac:dyDescent="0.25">
      <c r="D25" s="63"/>
      <c r="E25" s="75"/>
      <c r="F25" s="63"/>
      <c r="G25" s="63"/>
      <c r="H25" s="63"/>
      <c r="I25" s="63"/>
      <c r="J25" s="63"/>
      <c r="K25" s="63"/>
      <c r="L25" s="63"/>
      <c r="M25" s="21"/>
      <c r="N25" s="21"/>
      <c r="O25" s="63"/>
      <c r="P25" s="21"/>
      <c r="Q25" s="63"/>
    </row>
    <row r="26" spans="4:20" x14ac:dyDescent="0.25">
      <c r="E26" s="80"/>
      <c r="F26" s="21"/>
      <c r="G26" s="21"/>
      <c r="H26" s="21"/>
      <c r="I26" s="21"/>
      <c r="J26" s="21"/>
      <c r="K26" s="21"/>
      <c r="L26" s="21"/>
      <c r="M26" s="21"/>
      <c r="N26" s="21"/>
      <c r="P26" s="21"/>
      <c r="Q26" s="21"/>
    </row>
    <row r="27" spans="4:20" x14ac:dyDescent="0.25">
      <c r="E27" s="80"/>
      <c r="F27" s="21"/>
      <c r="G27" s="21"/>
      <c r="H27" s="21"/>
      <c r="I27" s="21"/>
      <c r="J27" s="21"/>
      <c r="K27" s="21"/>
      <c r="L27" s="21"/>
      <c r="M27" s="21"/>
      <c r="N27" s="21"/>
      <c r="P27" s="21"/>
      <c r="Q27" s="21"/>
    </row>
    <row r="28" spans="4:20" x14ac:dyDescent="0.25">
      <c r="E28" s="80"/>
      <c r="F28" s="21"/>
      <c r="G28" s="21"/>
      <c r="H28" s="21"/>
      <c r="I28" s="21"/>
      <c r="J28" s="21"/>
      <c r="K28" s="21"/>
      <c r="L28" s="21"/>
      <c r="M28" s="21"/>
      <c r="N28" s="21"/>
      <c r="P28" s="21"/>
      <c r="Q28" s="21"/>
    </row>
    <row r="29" spans="4:20" x14ac:dyDescent="0.25">
      <c r="E29" s="80"/>
      <c r="F29" s="21"/>
      <c r="G29" s="21"/>
      <c r="H29" s="21"/>
      <c r="I29" s="21"/>
      <c r="J29" s="21"/>
      <c r="K29" s="21"/>
      <c r="L29" s="21"/>
      <c r="M29" s="21"/>
      <c r="N29" s="21"/>
      <c r="P29" s="21"/>
      <c r="Q29" s="21"/>
    </row>
    <row r="30" spans="4:20" x14ac:dyDescent="0.25">
      <c r="E30" s="80"/>
      <c r="F30" s="21"/>
      <c r="G30" s="21"/>
      <c r="H30" s="21"/>
      <c r="I30" s="21"/>
      <c r="J30" s="21"/>
      <c r="K30" s="21"/>
      <c r="L30" s="21"/>
      <c r="Q30" s="21"/>
    </row>
    <row r="31" spans="4:20" x14ac:dyDescent="0.25">
      <c r="E31" s="80"/>
      <c r="F31" s="21"/>
      <c r="G31" s="21"/>
      <c r="H31" s="21"/>
      <c r="I31" s="21"/>
      <c r="J31" s="21"/>
      <c r="K31" s="21"/>
      <c r="L31" s="21"/>
      <c r="Q31" s="21"/>
    </row>
    <row r="32" spans="4:20" x14ac:dyDescent="0.25">
      <c r="E32" s="80"/>
      <c r="F32" s="21"/>
      <c r="G32" s="21"/>
      <c r="H32" s="21"/>
      <c r="I32" s="21"/>
      <c r="J32" s="21"/>
      <c r="K32" s="21"/>
      <c r="L32" s="21"/>
      <c r="Q32" s="21"/>
    </row>
    <row r="33" spans="5:17" x14ac:dyDescent="0.25">
      <c r="E33" s="80"/>
      <c r="F33" s="21"/>
      <c r="G33" s="21"/>
      <c r="H33" s="21"/>
      <c r="I33" s="21"/>
      <c r="J33" s="21"/>
      <c r="K33" s="21"/>
      <c r="L33" s="21"/>
      <c r="Q33" s="21"/>
    </row>
    <row r="34" spans="5:17" x14ac:dyDescent="0.25">
      <c r="E34" s="80"/>
      <c r="F34" s="21"/>
      <c r="G34" s="21"/>
      <c r="H34" s="21"/>
      <c r="I34" s="21"/>
      <c r="J34" s="21"/>
      <c r="K34" s="21"/>
      <c r="L34" s="21"/>
      <c r="Q34" s="21"/>
    </row>
    <row r="35" spans="5:17" x14ac:dyDescent="0.25">
      <c r="E35" s="80"/>
      <c r="F35" s="21"/>
      <c r="G35" s="21"/>
      <c r="H35" s="21"/>
      <c r="I35" s="21"/>
      <c r="J35" s="21"/>
      <c r="K35" s="21"/>
      <c r="L35" s="21"/>
      <c r="Q35" s="21"/>
    </row>
    <row r="36" spans="5:17" x14ac:dyDescent="0.25">
      <c r="E36" s="80"/>
      <c r="F36" s="21"/>
      <c r="G36" s="21"/>
      <c r="H36" s="21"/>
      <c r="I36" s="21"/>
      <c r="J36" s="21"/>
      <c r="K36" s="21"/>
      <c r="L36" s="21"/>
      <c r="Q36" s="21"/>
    </row>
    <row r="37" spans="5:17" x14ac:dyDescent="0.25">
      <c r="E37" s="80"/>
      <c r="F37" s="21"/>
      <c r="G37" s="21"/>
      <c r="H37" s="21"/>
      <c r="I37" s="21"/>
      <c r="J37" s="21"/>
      <c r="K37" s="21"/>
      <c r="L37" s="21"/>
      <c r="Q37" s="21"/>
    </row>
    <row r="38" spans="5:17" x14ac:dyDescent="0.25">
      <c r="E38" s="80"/>
      <c r="F38" s="21"/>
      <c r="G38" s="21"/>
      <c r="H38" s="21"/>
      <c r="I38" s="21"/>
      <c r="J38" s="21"/>
      <c r="K38" s="21"/>
      <c r="L38" s="21"/>
      <c r="Q38" s="21"/>
    </row>
    <row r="39" spans="5:17" x14ac:dyDescent="0.25">
      <c r="E39" s="80"/>
      <c r="F39" s="21"/>
      <c r="G39" s="21"/>
      <c r="H39" s="21"/>
      <c r="I39" s="21"/>
      <c r="J39" s="21"/>
      <c r="K39" s="21"/>
      <c r="L39" s="21"/>
      <c r="Q39" s="21"/>
    </row>
    <row r="40" spans="5:17" x14ac:dyDescent="0.25">
      <c r="E40" s="80"/>
      <c r="F40" s="21"/>
      <c r="G40" s="21"/>
      <c r="H40" s="21"/>
      <c r="I40" s="21"/>
      <c r="J40" s="21"/>
      <c r="K40" s="21"/>
      <c r="L40" s="21"/>
      <c r="Q40" s="21"/>
    </row>
    <row r="41" spans="5:17" x14ac:dyDescent="0.25">
      <c r="E41" s="80"/>
      <c r="F41" s="21"/>
      <c r="G41" s="21"/>
      <c r="H41" s="21"/>
      <c r="I41" s="21"/>
      <c r="J41" s="21"/>
      <c r="K41" s="21"/>
      <c r="L41" s="21"/>
      <c r="Q41" s="21"/>
    </row>
    <row r="42" spans="5:17" x14ac:dyDescent="0.25">
      <c r="E42" s="80"/>
      <c r="F42" s="21"/>
      <c r="G42" s="21"/>
      <c r="H42" s="21"/>
      <c r="I42" s="21"/>
      <c r="J42" s="21"/>
      <c r="K42" s="21"/>
      <c r="L42" s="21"/>
      <c r="Q42" s="21"/>
    </row>
    <row r="43" spans="5:17" x14ac:dyDescent="0.25">
      <c r="E43" s="80"/>
      <c r="F43" s="21"/>
      <c r="G43" s="21"/>
      <c r="H43" s="21"/>
      <c r="I43" s="21"/>
      <c r="J43" s="21"/>
      <c r="K43" s="21"/>
      <c r="L43" s="21"/>
      <c r="Q43" s="21"/>
    </row>
    <row r="44" spans="5:17" x14ac:dyDescent="0.25">
      <c r="E44" s="80"/>
      <c r="F44" s="21"/>
      <c r="G44" s="21"/>
      <c r="H44" s="21"/>
      <c r="I44" s="21"/>
      <c r="J44" s="21"/>
      <c r="K44" s="21"/>
      <c r="L44" s="21"/>
      <c r="Q44" s="21"/>
    </row>
    <row r="45" spans="5:17" x14ac:dyDescent="0.25">
      <c r="E45" s="80"/>
      <c r="F45" s="21"/>
      <c r="G45" s="21"/>
      <c r="H45" s="21"/>
      <c r="I45" s="21"/>
      <c r="J45" s="21"/>
      <c r="K45" s="21"/>
      <c r="L45" s="21"/>
      <c r="Q45" s="21"/>
    </row>
    <row r="46" spans="5:17" x14ac:dyDescent="0.25">
      <c r="E46" s="80"/>
      <c r="F46" s="21"/>
      <c r="G46" s="21"/>
      <c r="H46" s="21"/>
      <c r="I46" s="21"/>
      <c r="J46" s="21"/>
      <c r="K46" s="21"/>
      <c r="L46" s="21"/>
      <c r="Q46" s="21"/>
    </row>
    <row r="47" spans="5:17" x14ac:dyDescent="0.25">
      <c r="E47" s="80"/>
      <c r="F47" s="21"/>
      <c r="G47" s="21"/>
      <c r="H47" s="21"/>
      <c r="I47" s="21"/>
      <c r="J47" s="21"/>
      <c r="K47" s="21"/>
      <c r="L47" s="21"/>
      <c r="Q47" s="21"/>
    </row>
    <row r="48" spans="5:17" x14ac:dyDescent="0.25">
      <c r="E48" s="80"/>
      <c r="F48" s="21"/>
      <c r="G48" s="21"/>
      <c r="H48" s="21"/>
      <c r="I48" s="21"/>
      <c r="J48" s="21"/>
      <c r="K48" s="21"/>
      <c r="L48" s="21"/>
      <c r="Q48" s="21"/>
    </row>
    <row r="49" spans="5:17" x14ac:dyDescent="0.25">
      <c r="E49" s="80"/>
      <c r="F49" s="21"/>
      <c r="G49" s="21"/>
      <c r="H49" s="21"/>
      <c r="I49" s="21"/>
      <c r="J49" s="21"/>
      <c r="K49" s="21"/>
      <c r="L49" s="21"/>
      <c r="Q49" s="21"/>
    </row>
    <row r="50" spans="5:17" x14ac:dyDescent="0.25">
      <c r="E50" s="80"/>
      <c r="F50" s="21"/>
      <c r="G50" s="21"/>
      <c r="H50" s="21"/>
      <c r="I50" s="21"/>
      <c r="J50" s="21"/>
      <c r="K50" s="21"/>
      <c r="L50" s="21"/>
      <c r="Q50" s="21"/>
    </row>
    <row r="51" spans="5:17" x14ac:dyDescent="0.25">
      <c r="E51" s="80"/>
      <c r="F51" s="21"/>
      <c r="G51" s="21"/>
      <c r="H51" s="21"/>
      <c r="I51" s="21"/>
      <c r="J51" s="21"/>
      <c r="K51" s="21"/>
      <c r="L51" s="21"/>
      <c r="Q51" s="21"/>
    </row>
    <row r="52" spans="5:17" x14ac:dyDescent="0.25">
      <c r="E52" s="80"/>
      <c r="F52" s="21"/>
      <c r="G52" s="21"/>
      <c r="H52" s="21"/>
      <c r="I52" s="21"/>
      <c r="J52" s="21"/>
      <c r="K52" s="21"/>
      <c r="L52" s="21"/>
      <c r="Q52" s="21"/>
    </row>
    <row r="53" spans="5:17" x14ac:dyDescent="0.25">
      <c r="E53" s="80"/>
      <c r="F53" s="21"/>
      <c r="G53" s="21"/>
      <c r="H53" s="21"/>
      <c r="I53" s="21"/>
      <c r="J53" s="21"/>
      <c r="K53" s="21"/>
      <c r="L53" s="21"/>
      <c r="Q53" s="21"/>
    </row>
    <row r="54" spans="5:17" x14ac:dyDescent="0.25">
      <c r="E54" s="80"/>
      <c r="F54" s="21"/>
      <c r="G54" s="21"/>
      <c r="H54" s="21"/>
      <c r="I54" s="21"/>
      <c r="J54" s="21"/>
      <c r="K54" s="21"/>
      <c r="L54" s="21"/>
      <c r="Q54" s="21"/>
    </row>
    <row r="55" spans="5:17" x14ac:dyDescent="0.25">
      <c r="E55" s="80"/>
      <c r="F55" s="21"/>
      <c r="G55" s="21"/>
      <c r="H55" s="21"/>
      <c r="I55" s="21"/>
      <c r="J55" s="21"/>
      <c r="K55" s="21"/>
      <c r="L55" s="21"/>
      <c r="Q55" s="21"/>
    </row>
    <row r="56" spans="5:17" x14ac:dyDescent="0.25">
      <c r="E56" s="80"/>
      <c r="F56" s="21"/>
      <c r="G56" s="21"/>
      <c r="H56" s="21"/>
      <c r="I56" s="21"/>
      <c r="J56" s="21"/>
      <c r="K56" s="21"/>
      <c r="L56" s="21"/>
      <c r="Q56" s="21"/>
    </row>
    <row r="57" spans="5:17" x14ac:dyDescent="0.25">
      <c r="E57" s="80"/>
      <c r="F57" s="21"/>
      <c r="G57" s="21"/>
      <c r="H57" s="21"/>
      <c r="I57" s="21"/>
      <c r="J57" s="21"/>
      <c r="K57" s="21"/>
      <c r="L57" s="21"/>
      <c r="Q57" s="21"/>
    </row>
    <row r="58" spans="5:17" x14ac:dyDescent="0.25">
      <c r="E58" s="80"/>
      <c r="F58" s="21"/>
      <c r="G58" s="21"/>
      <c r="H58" s="21"/>
      <c r="I58" s="21"/>
      <c r="J58" s="21"/>
      <c r="K58" s="21"/>
      <c r="L58" s="21"/>
      <c r="Q58" s="21"/>
    </row>
    <row r="59" spans="5:17" x14ac:dyDescent="0.25">
      <c r="E59" s="80"/>
      <c r="F59" s="21"/>
      <c r="G59" s="21"/>
      <c r="H59" s="21"/>
      <c r="I59" s="21"/>
      <c r="J59" s="21"/>
      <c r="K59" s="21"/>
      <c r="L59" s="21"/>
      <c r="Q59" s="21"/>
    </row>
    <row r="60" spans="5:17" x14ac:dyDescent="0.25">
      <c r="E60" s="80"/>
      <c r="F60" s="21"/>
      <c r="G60" s="21"/>
      <c r="H60" s="21"/>
      <c r="I60" s="21"/>
      <c r="J60" s="21"/>
      <c r="K60" s="21"/>
      <c r="L60" s="21"/>
      <c r="Q60" s="21"/>
    </row>
    <row r="61" spans="5:17" x14ac:dyDescent="0.25">
      <c r="E61" s="80"/>
      <c r="F61" s="21"/>
      <c r="G61" s="21"/>
      <c r="H61" s="21"/>
      <c r="I61" s="21"/>
      <c r="J61" s="21"/>
      <c r="K61" s="21"/>
      <c r="L61" s="21"/>
      <c r="Q61" s="21"/>
    </row>
    <row r="62" spans="5:17" x14ac:dyDescent="0.25">
      <c r="E62" s="80"/>
      <c r="F62" s="21"/>
      <c r="G62" s="21"/>
      <c r="H62" s="21"/>
      <c r="I62" s="21"/>
      <c r="J62" s="21"/>
      <c r="K62" s="21"/>
      <c r="L62" s="21"/>
      <c r="Q62" s="21"/>
    </row>
    <row r="63" spans="5:17" x14ac:dyDescent="0.25">
      <c r="E63" s="80"/>
      <c r="F63" s="21"/>
      <c r="G63" s="21"/>
      <c r="H63" s="21"/>
      <c r="I63" s="21"/>
      <c r="J63" s="21"/>
      <c r="K63" s="21"/>
      <c r="L63" s="21"/>
      <c r="Q63" s="21"/>
    </row>
    <row r="64" spans="5:17" x14ac:dyDescent="0.25">
      <c r="E64" s="80"/>
      <c r="F64" s="21"/>
      <c r="G64" s="21"/>
      <c r="H64" s="21"/>
      <c r="I64" s="21"/>
      <c r="J64" s="21"/>
      <c r="K64" s="21"/>
      <c r="L64" s="21"/>
      <c r="Q64" s="21"/>
    </row>
    <row r="65" spans="5:17" x14ac:dyDescent="0.25">
      <c r="E65" s="80"/>
      <c r="F65" s="21"/>
      <c r="G65" s="21"/>
      <c r="H65" s="21"/>
      <c r="I65" s="21"/>
      <c r="J65" s="21"/>
      <c r="K65" s="21"/>
      <c r="L65" s="21"/>
      <c r="Q65" s="21"/>
    </row>
    <row r="66" spans="5:17" x14ac:dyDescent="0.25">
      <c r="E66" s="80"/>
      <c r="F66" s="21"/>
      <c r="G66" s="21"/>
      <c r="H66" s="21"/>
      <c r="I66" s="21"/>
      <c r="J66" s="21"/>
      <c r="K66" s="21"/>
      <c r="L66" s="21"/>
      <c r="Q66" s="21"/>
    </row>
    <row r="67" spans="5:17" x14ac:dyDescent="0.25">
      <c r="E67" s="80"/>
      <c r="F67" s="21"/>
      <c r="G67" s="21"/>
      <c r="H67" s="21"/>
      <c r="I67" s="21"/>
      <c r="J67" s="21"/>
      <c r="K67" s="21"/>
      <c r="L67" s="21"/>
      <c r="Q67" s="21"/>
    </row>
    <row r="68" spans="5:17" x14ac:dyDescent="0.25">
      <c r="E68" s="80"/>
      <c r="F68" s="21"/>
      <c r="G68" s="21"/>
      <c r="H68" s="21"/>
      <c r="I68" s="21"/>
      <c r="J68" s="21"/>
      <c r="K68" s="21"/>
      <c r="L68" s="21"/>
      <c r="Q68" s="21"/>
    </row>
    <row r="69" spans="5:17" x14ac:dyDescent="0.25">
      <c r="E69" s="80"/>
      <c r="F69" s="21"/>
      <c r="G69" s="21"/>
      <c r="H69" s="21"/>
      <c r="I69" s="21"/>
      <c r="J69" s="21"/>
      <c r="K69" s="21"/>
      <c r="L69" s="21"/>
      <c r="Q69" s="21"/>
    </row>
    <row r="70" spans="5:17" x14ac:dyDescent="0.25">
      <c r="E70" s="80"/>
      <c r="F70" s="21"/>
      <c r="G70" s="21"/>
      <c r="H70" s="21"/>
      <c r="I70" s="21"/>
      <c r="J70" s="21"/>
      <c r="K70" s="21"/>
      <c r="L70" s="21"/>
      <c r="Q70" s="21"/>
    </row>
    <row r="71" spans="5:17" x14ac:dyDescent="0.25">
      <c r="E71" s="80"/>
      <c r="F71" s="21"/>
      <c r="G71" s="21"/>
      <c r="H71" s="21"/>
      <c r="I71" s="21"/>
      <c r="J71" s="21"/>
      <c r="K71" s="21"/>
      <c r="L71" s="21"/>
      <c r="Q71" s="21"/>
    </row>
    <row r="72" spans="5:17" x14ac:dyDescent="0.25">
      <c r="E72" s="80"/>
      <c r="F72" s="21"/>
      <c r="G72" s="21"/>
      <c r="H72" s="21"/>
      <c r="I72" s="21"/>
      <c r="J72" s="21"/>
      <c r="K72" s="21"/>
      <c r="L72" s="21"/>
      <c r="Q72" s="21"/>
    </row>
    <row r="73" spans="5:17" x14ac:dyDescent="0.25">
      <c r="E73" s="80"/>
      <c r="F73" s="21"/>
      <c r="G73" s="21"/>
      <c r="H73" s="21"/>
      <c r="I73" s="21"/>
      <c r="J73" s="21"/>
      <c r="K73" s="21"/>
      <c r="L73" s="21"/>
      <c r="Q73" s="21"/>
    </row>
    <row r="74" spans="5:17" x14ac:dyDescent="0.25">
      <c r="E74" s="80"/>
      <c r="F74" s="21"/>
      <c r="G74" s="21"/>
      <c r="H74" s="21"/>
      <c r="I74" s="21"/>
      <c r="J74" s="21"/>
      <c r="K74" s="21"/>
      <c r="L74" s="21"/>
      <c r="Q74" s="21"/>
    </row>
    <row r="75" spans="5:17" x14ac:dyDescent="0.25">
      <c r="E75" s="80"/>
      <c r="F75" s="21"/>
      <c r="G75" s="21"/>
      <c r="H75" s="21"/>
      <c r="I75" s="21"/>
      <c r="J75" s="21"/>
      <c r="K75" s="21"/>
      <c r="L75" s="21"/>
      <c r="Q75" s="21"/>
    </row>
    <row r="76" spans="5:17" x14ac:dyDescent="0.25">
      <c r="E76" s="80"/>
      <c r="F76" s="21"/>
      <c r="G76" s="21"/>
      <c r="H76" s="21"/>
      <c r="I76" s="21"/>
      <c r="J76" s="21"/>
      <c r="K76" s="21"/>
      <c r="L76" s="21"/>
      <c r="Q76" s="21"/>
    </row>
    <row r="77" spans="5:17" x14ac:dyDescent="0.25">
      <c r="E77" s="80"/>
      <c r="F77" s="21"/>
      <c r="G77" s="21"/>
      <c r="H77" s="21"/>
      <c r="I77" s="21"/>
      <c r="J77" s="21"/>
      <c r="K77" s="21"/>
      <c r="L77" s="21"/>
      <c r="Q77" s="21"/>
    </row>
    <row r="78" spans="5:17" x14ac:dyDescent="0.25">
      <c r="E78" s="80"/>
      <c r="F78" s="21"/>
      <c r="G78" s="21"/>
      <c r="H78" s="21"/>
      <c r="I78" s="21"/>
      <c r="J78" s="21"/>
      <c r="K78" s="21"/>
      <c r="L78" s="21"/>
      <c r="Q78" s="21"/>
    </row>
    <row r="79" spans="5:17" x14ac:dyDescent="0.25">
      <c r="E79" s="80"/>
      <c r="F79" s="21"/>
      <c r="G79" s="21"/>
      <c r="H79" s="21"/>
      <c r="I79" s="21"/>
      <c r="J79" s="21"/>
      <c r="K79" s="21"/>
      <c r="L79" s="21"/>
      <c r="Q79" s="21"/>
    </row>
    <row r="80" spans="5:17" x14ac:dyDescent="0.25">
      <c r="E80" s="80"/>
      <c r="F80" s="21"/>
      <c r="G80" s="21"/>
      <c r="H80" s="21"/>
      <c r="I80" s="21"/>
      <c r="J80" s="21"/>
      <c r="K80" s="21"/>
      <c r="L80" s="21"/>
      <c r="Q80" s="21"/>
    </row>
    <row r="81" spans="5:17" x14ac:dyDescent="0.25">
      <c r="E81" s="80"/>
      <c r="F81" s="21"/>
      <c r="G81" s="21"/>
      <c r="H81" s="21"/>
      <c r="I81" s="21"/>
      <c r="J81" s="21"/>
      <c r="K81" s="21"/>
      <c r="L81" s="21"/>
      <c r="Q81" s="21"/>
    </row>
    <row r="82" spans="5:17" x14ac:dyDescent="0.25">
      <c r="E82" s="80"/>
      <c r="F82" s="21"/>
      <c r="G82" s="21"/>
      <c r="H82" s="21"/>
      <c r="I82" s="21"/>
      <c r="J82" s="21"/>
      <c r="K82" s="21"/>
      <c r="L82" s="21"/>
      <c r="Q82" s="21"/>
    </row>
    <row r="83" spans="5:17" x14ac:dyDescent="0.25">
      <c r="E83" s="80"/>
      <c r="F83" s="21"/>
      <c r="G83" s="21"/>
      <c r="H83" s="21"/>
      <c r="I83" s="21"/>
      <c r="J83" s="21"/>
      <c r="K83" s="21"/>
      <c r="L83" s="21"/>
      <c r="Q83" s="21"/>
    </row>
    <row r="84" spans="5:17" x14ac:dyDescent="0.25">
      <c r="E84" s="80"/>
      <c r="F84" s="21"/>
      <c r="G84" s="21"/>
      <c r="H84" s="21"/>
      <c r="I84" s="21"/>
      <c r="J84" s="21"/>
      <c r="K84" s="21"/>
      <c r="L84" s="21"/>
      <c r="Q84" s="21"/>
    </row>
    <row r="85" spans="5:17" x14ac:dyDescent="0.25">
      <c r="E85" s="80"/>
      <c r="F85" s="21"/>
      <c r="G85" s="21"/>
      <c r="H85" s="21"/>
      <c r="I85" s="21"/>
      <c r="J85" s="21"/>
      <c r="K85" s="21"/>
      <c r="L85" s="21"/>
      <c r="Q85" s="21"/>
    </row>
    <row r="86" spans="5:17" x14ac:dyDescent="0.25">
      <c r="E86" s="80"/>
      <c r="F86" s="21"/>
      <c r="G86" s="21"/>
      <c r="H86" s="21"/>
      <c r="I86" s="21"/>
      <c r="J86" s="21"/>
      <c r="K86" s="21"/>
      <c r="L86" s="21"/>
      <c r="Q86" s="21"/>
    </row>
    <row r="87" spans="5:17" x14ac:dyDescent="0.25">
      <c r="E87" s="80"/>
    </row>
    <row r="88" spans="5:17" x14ac:dyDescent="0.25">
      <c r="E88" s="80"/>
    </row>
    <row r="89" spans="5:17" x14ac:dyDescent="0.25">
      <c r="E89" s="80"/>
    </row>
    <row r="90" spans="5:17" x14ac:dyDescent="0.25">
      <c r="E90" s="80"/>
    </row>
    <row r="91" spans="5:17" x14ac:dyDescent="0.25">
      <c r="E91" s="80"/>
    </row>
    <row r="92" spans="5:17" x14ac:dyDescent="0.25">
      <c r="E92" s="80"/>
    </row>
    <row r="93" spans="5:17" x14ac:dyDescent="0.25">
      <c r="E93" s="80"/>
    </row>
    <row r="94" spans="5:17" x14ac:dyDescent="0.25">
      <c r="E94" s="80"/>
    </row>
    <row r="95" spans="5:17" x14ac:dyDescent="0.25">
      <c r="E95" s="80"/>
    </row>
    <row r="96" spans="5:17" x14ac:dyDescent="0.25">
      <c r="E96" s="80"/>
    </row>
    <row r="97" spans="5:5" x14ac:dyDescent="0.25">
      <c r="E97" s="80"/>
    </row>
    <row r="98" spans="5:5" x14ac:dyDescent="0.25">
      <c r="E98" s="80"/>
    </row>
    <row r="99" spans="5:5" x14ac:dyDescent="0.25">
      <c r="E99" s="80"/>
    </row>
    <row r="100" spans="5:5" x14ac:dyDescent="0.25">
      <c r="E100" s="80"/>
    </row>
    <row r="101" spans="5:5" x14ac:dyDescent="0.25">
      <c r="E101" s="80"/>
    </row>
    <row r="102" spans="5:5" x14ac:dyDescent="0.25">
      <c r="E102" s="80"/>
    </row>
    <row r="103" spans="5:5" x14ac:dyDescent="0.25">
      <c r="E103" s="80"/>
    </row>
    <row r="104" spans="5:5" x14ac:dyDescent="0.25">
      <c r="E104" s="80"/>
    </row>
    <row r="105" spans="5:5" x14ac:dyDescent="0.25">
      <c r="E105" s="80"/>
    </row>
    <row r="106" spans="5:5" x14ac:dyDescent="0.25">
      <c r="E106" s="80"/>
    </row>
    <row r="107" spans="5:5" x14ac:dyDescent="0.25">
      <c r="E107" s="80"/>
    </row>
    <row r="108" spans="5:5" x14ac:dyDescent="0.25">
      <c r="E108" s="80"/>
    </row>
    <row r="109" spans="5:5" x14ac:dyDescent="0.25">
      <c r="E109" s="80"/>
    </row>
    <row r="110" spans="5:5" x14ac:dyDescent="0.25">
      <c r="E110" s="80"/>
    </row>
    <row r="111" spans="5:5" x14ac:dyDescent="0.25">
      <c r="E111" s="80"/>
    </row>
    <row r="112" spans="5:5" x14ac:dyDescent="0.25">
      <c r="E112" s="80"/>
    </row>
    <row r="113" spans="5:5" x14ac:dyDescent="0.25">
      <c r="E113" s="80"/>
    </row>
    <row r="114" spans="5:5" x14ac:dyDescent="0.25">
      <c r="E114" s="80"/>
    </row>
    <row r="115" spans="5:5" x14ac:dyDescent="0.25">
      <c r="E115" s="80"/>
    </row>
    <row r="116" spans="5:5" x14ac:dyDescent="0.25">
      <c r="E116" s="80"/>
    </row>
    <row r="117" spans="5:5" x14ac:dyDescent="0.25">
      <c r="E117" s="80"/>
    </row>
    <row r="118" spans="5:5" x14ac:dyDescent="0.25">
      <c r="E118" s="80"/>
    </row>
    <row r="119" spans="5:5" x14ac:dyDescent="0.25">
      <c r="E119" s="80"/>
    </row>
    <row r="120" spans="5:5" x14ac:dyDescent="0.25">
      <c r="E120" s="80"/>
    </row>
    <row r="121" spans="5:5" x14ac:dyDescent="0.25">
      <c r="E121" s="80"/>
    </row>
    <row r="122" spans="5:5" x14ac:dyDescent="0.25">
      <c r="E122" s="80"/>
    </row>
    <row r="123" spans="5:5" x14ac:dyDescent="0.25">
      <c r="E123" s="80"/>
    </row>
    <row r="124" spans="5:5" x14ac:dyDescent="0.25">
      <c r="E124" s="80"/>
    </row>
    <row r="125" spans="5:5" x14ac:dyDescent="0.25">
      <c r="E125" s="80"/>
    </row>
    <row r="126" spans="5:5" x14ac:dyDescent="0.25">
      <c r="E126" s="80"/>
    </row>
    <row r="127" spans="5:5" x14ac:dyDescent="0.25">
      <c r="E127" s="80"/>
    </row>
    <row r="128" spans="5:5" x14ac:dyDescent="0.25">
      <c r="E128" s="80"/>
    </row>
    <row r="129" spans="5:5" x14ac:dyDescent="0.25">
      <c r="E129" s="80"/>
    </row>
    <row r="130" spans="5:5" x14ac:dyDescent="0.25">
      <c r="E130" s="80"/>
    </row>
    <row r="131" spans="5:5" x14ac:dyDescent="0.25">
      <c r="E131" s="80"/>
    </row>
    <row r="132" spans="5:5" x14ac:dyDescent="0.25">
      <c r="E132" s="80"/>
    </row>
    <row r="133" spans="5:5" x14ac:dyDescent="0.25">
      <c r="E133" s="80"/>
    </row>
    <row r="134" spans="5:5" x14ac:dyDescent="0.25">
      <c r="E134" s="80"/>
    </row>
    <row r="135" spans="5:5" x14ac:dyDescent="0.25">
      <c r="E135" s="80"/>
    </row>
    <row r="136" spans="5:5" x14ac:dyDescent="0.25">
      <c r="E136" s="80"/>
    </row>
    <row r="137" spans="5:5" x14ac:dyDescent="0.25">
      <c r="E137" s="80"/>
    </row>
    <row r="138" spans="5:5" x14ac:dyDescent="0.25">
      <c r="E138" s="80"/>
    </row>
    <row r="139" spans="5:5" x14ac:dyDescent="0.25">
      <c r="E139" s="80"/>
    </row>
    <row r="140" spans="5:5" x14ac:dyDescent="0.25">
      <c r="E140" s="80"/>
    </row>
    <row r="141" spans="5:5" x14ac:dyDescent="0.25">
      <c r="E141" s="80"/>
    </row>
    <row r="142" spans="5:5" x14ac:dyDescent="0.25">
      <c r="E142" s="80"/>
    </row>
    <row r="143" spans="5:5" x14ac:dyDescent="0.25">
      <c r="E143" s="80"/>
    </row>
    <row r="144" spans="5:5" x14ac:dyDescent="0.25">
      <c r="E144" s="80"/>
    </row>
    <row r="145" spans="5:5" x14ac:dyDescent="0.25">
      <c r="E145" s="80"/>
    </row>
    <row r="146" spans="5:5" x14ac:dyDescent="0.25">
      <c r="E146" s="80"/>
    </row>
    <row r="147" spans="5:5" x14ac:dyDescent="0.25">
      <c r="E147" s="80"/>
    </row>
    <row r="148" spans="5:5" x14ac:dyDescent="0.25">
      <c r="E148" s="80"/>
    </row>
    <row r="149" spans="5:5" x14ac:dyDescent="0.25">
      <c r="E149" s="80"/>
    </row>
    <row r="150" spans="5:5" x14ac:dyDescent="0.25">
      <c r="E150" s="80"/>
    </row>
    <row r="151" spans="5:5" x14ac:dyDescent="0.25">
      <c r="E151" s="80"/>
    </row>
    <row r="152" spans="5:5" x14ac:dyDescent="0.25">
      <c r="E152" s="80"/>
    </row>
    <row r="153" spans="5:5" x14ac:dyDescent="0.25">
      <c r="E153" s="80"/>
    </row>
    <row r="154" spans="5:5" x14ac:dyDescent="0.25">
      <c r="E154" s="80"/>
    </row>
    <row r="155" spans="5:5" x14ac:dyDescent="0.25">
      <c r="E155" s="80"/>
    </row>
    <row r="156" spans="5:5" x14ac:dyDescent="0.25">
      <c r="E156" s="80"/>
    </row>
    <row r="157" spans="5:5" x14ac:dyDescent="0.25">
      <c r="E157" s="80"/>
    </row>
    <row r="158" spans="5:5" x14ac:dyDescent="0.25">
      <c r="E158" s="80"/>
    </row>
    <row r="159" spans="5:5" x14ac:dyDescent="0.25">
      <c r="E159" s="80"/>
    </row>
    <row r="160" spans="5:5" x14ac:dyDescent="0.25">
      <c r="E160" s="80"/>
    </row>
    <row r="161" spans="5:5" x14ac:dyDescent="0.25">
      <c r="E161" s="80"/>
    </row>
    <row r="162" spans="5:5" x14ac:dyDescent="0.25">
      <c r="E162" s="80"/>
    </row>
    <row r="163" spans="5:5" x14ac:dyDescent="0.25">
      <c r="E163" s="80"/>
    </row>
    <row r="164" spans="5:5" x14ac:dyDescent="0.25">
      <c r="E164" s="80"/>
    </row>
    <row r="165" spans="5:5" x14ac:dyDescent="0.25">
      <c r="E165" s="80"/>
    </row>
    <row r="166" spans="5:5" x14ac:dyDescent="0.25">
      <c r="E166" s="80"/>
    </row>
    <row r="167" spans="5:5" x14ac:dyDescent="0.25">
      <c r="E167" s="80"/>
    </row>
    <row r="168" spans="5:5" x14ac:dyDescent="0.25">
      <c r="E168" s="80"/>
    </row>
    <row r="169" spans="5:5" x14ac:dyDescent="0.25">
      <c r="E169" s="80"/>
    </row>
    <row r="170" spans="5:5" x14ac:dyDescent="0.25">
      <c r="E170" s="80"/>
    </row>
    <row r="171" spans="5:5" x14ac:dyDescent="0.25">
      <c r="E171" s="80"/>
    </row>
    <row r="172" spans="5:5" x14ac:dyDescent="0.25">
      <c r="E172" s="80"/>
    </row>
    <row r="173" spans="5:5" x14ac:dyDescent="0.25">
      <c r="E173" s="80"/>
    </row>
    <row r="174" spans="5:5" x14ac:dyDescent="0.25">
      <c r="E174" s="80"/>
    </row>
    <row r="175" spans="5:5" x14ac:dyDescent="0.25">
      <c r="E175" s="80"/>
    </row>
    <row r="176" spans="5:5" x14ac:dyDescent="0.25">
      <c r="E176" s="80"/>
    </row>
    <row r="177" spans="5:5" x14ac:dyDescent="0.25">
      <c r="E177" s="80"/>
    </row>
    <row r="178" spans="5:5" x14ac:dyDescent="0.25">
      <c r="E178" s="80"/>
    </row>
    <row r="179" spans="5:5" x14ac:dyDescent="0.25">
      <c r="E179" s="80"/>
    </row>
    <row r="180" spans="5:5" x14ac:dyDescent="0.25">
      <c r="E180" s="80"/>
    </row>
    <row r="181" spans="5:5" x14ac:dyDescent="0.25">
      <c r="E181" s="80"/>
    </row>
    <row r="182" spans="5:5" x14ac:dyDescent="0.25">
      <c r="E182" s="80"/>
    </row>
    <row r="183" spans="5:5" x14ac:dyDescent="0.25">
      <c r="E183" s="80"/>
    </row>
    <row r="184" spans="5:5" x14ac:dyDescent="0.25">
      <c r="E184" s="80"/>
    </row>
    <row r="185" spans="5:5" x14ac:dyDescent="0.25">
      <c r="E185" s="80"/>
    </row>
    <row r="186" spans="5:5" x14ac:dyDescent="0.25">
      <c r="E186" s="80"/>
    </row>
    <row r="187" spans="5:5" x14ac:dyDescent="0.25">
      <c r="E187" s="80"/>
    </row>
    <row r="188" spans="5:5" x14ac:dyDescent="0.25">
      <c r="E188" s="80"/>
    </row>
    <row r="189" spans="5:5" x14ac:dyDescent="0.25">
      <c r="E189" s="80"/>
    </row>
    <row r="190" spans="5:5" x14ac:dyDescent="0.25">
      <c r="E190" s="80"/>
    </row>
    <row r="191" spans="5:5" x14ac:dyDescent="0.25">
      <c r="E191" s="80"/>
    </row>
    <row r="192" spans="5:5" x14ac:dyDescent="0.25">
      <c r="E192" s="80"/>
    </row>
    <row r="193" spans="5:5" x14ac:dyDescent="0.25">
      <c r="E193" s="80"/>
    </row>
    <row r="194" spans="5:5" x14ac:dyDescent="0.25">
      <c r="E194" s="80"/>
    </row>
    <row r="195" spans="5:5" x14ac:dyDescent="0.25">
      <c r="E195" s="80"/>
    </row>
    <row r="196" spans="5:5" x14ac:dyDescent="0.25">
      <c r="E196" s="80"/>
    </row>
    <row r="197" spans="5:5" x14ac:dyDescent="0.25">
      <c r="E197" s="80"/>
    </row>
    <row r="198" spans="5:5" x14ac:dyDescent="0.25">
      <c r="E198" s="80"/>
    </row>
    <row r="199" spans="5:5" x14ac:dyDescent="0.25">
      <c r="E199" s="80"/>
    </row>
    <row r="200" spans="5:5" x14ac:dyDescent="0.25">
      <c r="E200" s="80"/>
    </row>
    <row r="201" spans="5:5" x14ac:dyDescent="0.25">
      <c r="E201" s="80"/>
    </row>
    <row r="202" spans="5:5" x14ac:dyDescent="0.25">
      <c r="E202" s="80"/>
    </row>
    <row r="203" spans="5:5" x14ac:dyDescent="0.25">
      <c r="E203" s="80"/>
    </row>
    <row r="204" spans="5:5" x14ac:dyDescent="0.25">
      <c r="E204" s="80"/>
    </row>
    <row r="205" spans="5:5" x14ac:dyDescent="0.25">
      <c r="E205" s="80"/>
    </row>
    <row r="206" spans="5:5" x14ac:dyDescent="0.25">
      <c r="E206" s="80"/>
    </row>
    <row r="207" spans="5:5" x14ac:dyDescent="0.25">
      <c r="E207" s="80"/>
    </row>
    <row r="208" spans="5:5" x14ac:dyDescent="0.25">
      <c r="E208" s="80"/>
    </row>
    <row r="209" spans="5:5" x14ac:dyDescent="0.25">
      <c r="E209" s="80"/>
    </row>
    <row r="210" spans="5:5" x14ac:dyDescent="0.25">
      <c r="E210" s="80"/>
    </row>
    <row r="211" spans="5:5" x14ac:dyDescent="0.25">
      <c r="E211" s="80"/>
    </row>
    <row r="212" spans="5:5" x14ac:dyDescent="0.25">
      <c r="E212" s="80"/>
    </row>
    <row r="213" spans="5:5" x14ac:dyDescent="0.25">
      <c r="E213" s="80"/>
    </row>
    <row r="214" spans="5:5" x14ac:dyDescent="0.25">
      <c r="E214" s="80"/>
    </row>
    <row r="215" spans="5:5" x14ac:dyDescent="0.25">
      <c r="E215" s="80"/>
    </row>
    <row r="216" spans="5:5" x14ac:dyDescent="0.25">
      <c r="E216" s="80"/>
    </row>
    <row r="217" spans="5:5" x14ac:dyDescent="0.25">
      <c r="E217" s="80"/>
    </row>
    <row r="218" spans="5:5" x14ac:dyDescent="0.25">
      <c r="E218" s="80"/>
    </row>
    <row r="219" spans="5:5" x14ac:dyDescent="0.25">
      <c r="E219" s="80"/>
    </row>
    <row r="220" spans="5:5" x14ac:dyDescent="0.25">
      <c r="E220" s="80"/>
    </row>
    <row r="221" spans="5:5" x14ac:dyDescent="0.25">
      <c r="E221" s="80"/>
    </row>
    <row r="222" spans="5:5" x14ac:dyDescent="0.25">
      <c r="E222" s="80"/>
    </row>
    <row r="223" spans="5:5" x14ac:dyDescent="0.25">
      <c r="E223" s="80"/>
    </row>
    <row r="224" spans="5:5" x14ac:dyDescent="0.25">
      <c r="E224" s="80"/>
    </row>
    <row r="225" spans="5:5" x14ac:dyDescent="0.25">
      <c r="E225" s="80"/>
    </row>
    <row r="226" spans="5:5" x14ac:dyDescent="0.25">
      <c r="E226" s="80"/>
    </row>
    <row r="227" spans="5:5" x14ac:dyDescent="0.25">
      <c r="E227" s="80"/>
    </row>
    <row r="228" spans="5:5" x14ac:dyDescent="0.25">
      <c r="E228" s="80"/>
    </row>
    <row r="229" spans="5:5" x14ac:dyDescent="0.25">
      <c r="E229" s="80"/>
    </row>
    <row r="230" spans="5:5" x14ac:dyDescent="0.25">
      <c r="E230" s="80"/>
    </row>
    <row r="231" spans="5:5" x14ac:dyDescent="0.25">
      <c r="E231" s="80"/>
    </row>
    <row r="232" spans="5:5" x14ac:dyDescent="0.25">
      <c r="E232" s="80"/>
    </row>
    <row r="233" spans="5:5" x14ac:dyDescent="0.25">
      <c r="E233" s="80"/>
    </row>
    <row r="234" spans="5:5" x14ac:dyDescent="0.25">
      <c r="E234" s="80"/>
    </row>
    <row r="235" spans="5:5" x14ac:dyDescent="0.25">
      <c r="E235" s="80"/>
    </row>
    <row r="236" spans="5:5" x14ac:dyDescent="0.25">
      <c r="E236" s="80"/>
    </row>
    <row r="237" spans="5:5" x14ac:dyDescent="0.25">
      <c r="E237" s="80"/>
    </row>
    <row r="238" spans="5:5" x14ac:dyDescent="0.25">
      <c r="E238" s="80"/>
    </row>
    <row r="239" spans="5:5" x14ac:dyDescent="0.25">
      <c r="E239" s="80"/>
    </row>
    <row r="240" spans="5:5" x14ac:dyDescent="0.25">
      <c r="E240" s="80"/>
    </row>
    <row r="241" spans="5:5" x14ac:dyDescent="0.25">
      <c r="E241" s="80"/>
    </row>
    <row r="242" spans="5:5" x14ac:dyDescent="0.25">
      <c r="E242" s="80"/>
    </row>
    <row r="243" spans="5:5" x14ac:dyDescent="0.25">
      <c r="E243" s="80"/>
    </row>
    <row r="244" spans="5:5" x14ac:dyDescent="0.25">
      <c r="E244" s="80"/>
    </row>
    <row r="245" spans="5:5" x14ac:dyDescent="0.25">
      <c r="E245" s="80"/>
    </row>
    <row r="246" spans="5:5" x14ac:dyDescent="0.25">
      <c r="E246" s="80"/>
    </row>
    <row r="247" spans="5:5" x14ac:dyDescent="0.25">
      <c r="E247" s="80"/>
    </row>
    <row r="248" spans="5:5" x14ac:dyDescent="0.25">
      <c r="E248" s="80"/>
    </row>
    <row r="249" spans="5:5" x14ac:dyDescent="0.25">
      <c r="E249" s="80"/>
    </row>
    <row r="250" spans="5:5" x14ac:dyDescent="0.25">
      <c r="E250" s="80"/>
    </row>
    <row r="251" spans="5:5" x14ac:dyDescent="0.25">
      <c r="E251" s="80"/>
    </row>
    <row r="252" spans="5:5" x14ac:dyDescent="0.25">
      <c r="E252" s="80"/>
    </row>
    <row r="253" spans="5:5" x14ac:dyDescent="0.25">
      <c r="E253" s="80"/>
    </row>
    <row r="254" spans="5:5" x14ac:dyDescent="0.25">
      <c r="E254" s="80"/>
    </row>
    <row r="255" spans="5:5" x14ac:dyDescent="0.25">
      <c r="E255" s="80"/>
    </row>
    <row r="256" spans="5:5" x14ac:dyDescent="0.25">
      <c r="E256" s="80"/>
    </row>
    <row r="257" spans="5:5" x14ac:dyDescent="0.25">
      <c r="E257" s="80"/>
    </row>
    <row r="258" spans="5:5" x14ac:dyDescent="0.25">
      <c r="E258" s="80"/>
    </row>
    <row r="259" spans="5:5" x14ac:dyDescent="0.25">
      <c r="E259" s="80"/>
    </row>
    <row r="260" spans="5:5" x14ac:dyDescent="0.25">
      <c r="E260" s="80"/>
    </row>
    <row r="261" spans="5:5" x14ac:dyDescent="0.25">
      <c r="E261" s="80"/>
    </row>
    <row r="262" spans="5:5" x14ac:dyDescent="0.25">
      <c r="E262" s="80"/>
    </row>
    <row r="263" spans="5:5" x14ac:dyDescent="0.25">
      <c r="E263" s="80"/>
    </row>
    <row r="264" spans="5:5" x14ac:dyDescent="0.25">
      <c r="E264" s="80"/>
    </row>
    <row r="265" spans="5:5" x14ac:dyDescent="0.25">
      <c r="E265" s="80"/>
    </row>
    <row r="266" spans="5:5" x14ac:dyDescent="0.25">
      <c r="E266" s="80"/>
    </row>
    <row r="267" spans="5:5" x14ac:dyDescent="0.25">
      <c r="E267" s="80"/>
    </row>
    <row r="268" spans="5:5" x14ac:dyDescent="0.25">
      <c r="E268" s="80"/>
    </row>
    <row r="269" spans="5:5" x14ac:dyDescent="0.25">
      <c r="E269" s="80"/>
    </row>
    <row r="270" spans="5:5" x14ac:dyDescent="0.25">
      <c r="E270" s="80"/>
    </row>
    <row r="271" spans="5:5" x14ac:dyDescent="0.25">
      <c r="E271" s="80"/>
    </row>
    <row r="272" spans="5:5" x14ac:dyDescent="0.25">
      <c r="E272" s="80"/>
    </row>
    <row r="273" spans="5:5" x14ac:dyDescent="0.25">
      <c r="E273" s="80"/>
    </row>
    <row r="274" spans="5:5" x14ac:dyDescent="0.25">
      <c r="E274" s="80"/>
    </row>
    <row r="275" spans="5:5" x14ac:dyDescent="0.25">
      <c r="E275" s="80"/>
    </row>
    <row r="276" spans="5:5" x14ac:dyDescent="0.25">
      <c r="E276" s="80"/>
    </row>
    <row r="277" spans="5:5" x14ac:dyDescent="0.25">
      <c r="E277" s="80"/>
    </row>
    <row r="278" spans="5:5" x14ac:dyDescent="0.25">
      <c r="E278" s="80"/>
    </row>
    <row r="279" spans="5:5" x14ac:dyDescent="0.25">
      <c r="E279" s="80"/>
    </row>
    <row r="280" spans="5:5" x14ac:dyDescent="0.25">
      <c r="E280" s="80"/>
    </row>
    <row r="281" spans="5:5" x14ac:dyDescent="0.25">
      <c r="E281" s="80"/>
    </row>
    <row r="282" spans="5:5" x14ac:dyDescent="0.25">
      <c r="E282" s="80"/>
    </row>
    <row r="283" spans="5:5" x14ac:dyDescent="0.25">
      <c r="E283" s="80"/>
    </row>
    <row r="284" spans="5:5" x14ac:dyDescent="0.25">
      <c r="E284" s="80"/>
    </row>
    <row r="285" spans="5:5" x14ac:dyDescent="0.25">
      <c r="E285" s="80"/>
    </row>
    <row r="286" spans="5:5" x14ac:dyDescent="0.25">
      <c r="E286" s="80"/>
    </row>
    <row r="287" spans="5:5" x14ac:dyDescent="0.25">
      <c r="E287" s="80"/>
    </row>
    <row r="288" spans="5:5" x14ac:dyDescent="0.25">
      <c r="E288" s="80"/>
    </row>
    <row r="289" spans="5:5" x14ac:dyDescent="0.25">
      <c r="E289" s="80"/>
    </row>
    <row r="290" spans="5:5" x14ac:dyDescent="0.25">
      <c r="E290" s="80"/>
    </row>
    <row r="291" spans="5:5" x14ac:dyDescent="0.25">
      <c r="E291" s="80"/>
    </row>
    <row r="292" spans="5:5" x14ac:dyDescent="0.25">
      <c r="E292" s="80"/>
    </row>
    <row r="293" spans="5:5" x14ac:dyDescent="0.25">
      <c r="E293" s="80"/>
    </row>
    <row r="294" spans="5:5" x14ac:dyDescent="0.25">
      <c r="E294" s="80"/>
    </row>
    <row r="295" spans="5:5" x14ac:dyDescent="0.25">
      <c r="E295" s="80"/>
    </row>
    <row r="296" spans="5:5" x14ac:dyDescent="0.25">
      <c r="E296" s="80"/>
    </row>
    <row r="297" spans="5:5" x14ac:dyDescent="0.25">
      <c r="E297" s="80"/>
    </row>
    <row r="298" spans="5:5" x14ac:dyDescent="0.25">
      <c r="E298" s="80"/>
    </row>
    <row r="299" spans="5:5" x14ac:dyDescent="0.25">
      <c r="E299" s="80"/>
    </row>
    <row r="300" spans="5:5" x14ac:dyDescent="0.25">
      <c r="E300" s="80"/>
    </row>
    <row r="301" spans="5:5" x14ac:dyDescent="0.25">
      <c r="E301" s="80"/>
    </row>
    <row r="302" spans="5:5" x14ac:dyDescent="0.25">
      <c r="E302" s="80"/>
    </row>
    <row r="303" spans="5:5" x14ac:dyDescent="0.25">
      <c r="E303" s="80"/>
    </row>
    <row r="304" spans="5:5" x14ac:dyDescent="0.25">
      <c r="E304" s="80"/>
    </row>
    <row r="305" spans="5:5" x14ac:dyDescent="0.25">
      <c r="E305" s="80"/>
    </row>
    <row r="306" spans="5:5" x14ac:dyDescent="0.25">
      <c r="E306" s="80"/>
    </row>
    <row r="307" spans="5:5" x14ac:dyDescent="0.25">
      <c r="E307" s="80"/>
    </row>
    <row r="308" spans="5:5" x14ac:dyDescent="0.25">
      <c r="E308" s="80"/>
    </row>
    <row r="309" spans="5:5" x14ac:dyDescent="0.25">
      <c r="E309" s="80"/>
    </row>
    <row r="310" spans="5:5" x14ac:dyDescent="0.25">
      <c r="E310" s="80"/>
    </row>
    <row r="311" spans="5:5" x14ac:dyDescent="0.25">
      <c r="E311" s="80"/>
    </row>
    <row r="312" spans="5:5" x14ac:dyDescent="0.25">
      <c r="E312" s="80"/>
    </row>
    <row r="313" spans="5:5" x14ac:dyDescent="0.25">
      <c r="E313" s="80"/>
    </row>
    <row r="314" spans="5:5" x14ac:dyDescent="0.25">
      <c r="E314" s="80"/>
    </row>
    <row r="315" spans="5:5" x14ac:dyDescent="0.25">
      <c r="E315" s="80"/>
    </row>
    <row r="316" spans="5:5" x14ac:dyDescent="0.25">
      <c r="E316" s="80"/>
    </row>
    <row r="317" spans="5:5" x14ac:dyDescent="0.25">
      <c r="E317" s="80"/>
    </row>
    <row r="318" spans="5:5" x14ac:dyDescent="0.25">
      <c r="E318" s="80"/>
    </row>
    <row r="319" spans="5:5" x14ac:dyDescent="0.25">
      <c r="E319" s="80"/>
    </row>
    <row r="320" spans="5:5" x14ac:dyDescent="0.25">
      <c r="E320" s="80"/>
    </row>
    <row r="321" spans="5:5" x14ac:dyDescent="0.25">
      <c r="E321" s="80"/>
    </row>
    <row r="322" spans="5:5" x14ac:dyDescent="0.25">
      <c r="E322" s="80"/>
    </row>
    <row r="323" spans="5:5" x14ac:dyDescent="0.25">
      <c r="E323" s="80"/>
    </row>
    <row r="324" spans="5:5" x14ac:dyDescent="0.25">
      <c r="E324" s="80"/>
    </row>
    <row r="325" spans="5:5" x14ac:dyDescent="0.25">
      <c r="E325" s="80"/>
    </row>
    <row r="326" spans="5:5" x14ac:dyDescent="0.25">
      <c r="E326" s="80"/>
    </row>
    <row r="327" spans="5:5" x14ac:dyDescent="0.25">
      <c r="E327" s="80"/>
    </row>
    <row r="328" spans="5:5" x14ac:dyDescent="0.25">
      <c r="E328" s="80"/>
    </row>
    <row r="329" spans="5:5" x14ac:dyDescent="0.25">
      <c r="E329" s="80"/>
    </row>
    <row r="330" spans="5:5" x14ac:dyDescent="0.25">
      <c r="E330" s="80"/>
    </row>
    <row r="331" spans="5:5" x14ac:dyDescent="0.25">
      <c r="E331" s="80"/>
    </row>
    <row r="332" spans="5:5" x14ac:dyDescent="0.25">
      <c r="E332" s="80"/>
    </row>
    <row r="333" spans="5:5" x14ac:dyDescent="0.25">
      <c r="E333" s="80"/>
    </row>
    <row r="334" spans="5:5" x14ac:dyDescent="0.25">
      <c r="E334" s="80"/>
    </row>
    <row r="335" spans="5:5" x14ac:dyDescent="0.25">
      <c r="E335" s="80"/>
    </row>
    <row r="336" spans="5:5" x14ac:dyDescent="0.25">
      <c r="E336" s="80"/>
    </row>
    <row r="337" spans="5:5" x14ac:dyDescent="0.25">
      <c r="E337" s="80"/>
    </row>
    <row r="338" spans="5:5" x14ac:dyDescent="0.25">
      <c r="E338" s="80"/>
    </row>
    <row r="339" spans="5:5" x14ac:dyDescent="0.25">
      <c r="E339" s="80"/>
    </row>
    <row r="340" spans="5:5" x14ac:dyDescent="0.25">
      <c r="E340" s="80"/>
    </row>
    <row r="341" spans="5:5" x14ac:dyDescent="0.25">
      <c r="E341" s="80"/>
    </row>
    <row r="342" spans="5:5" x14ac:dyDescent="0.25">
      <c r="E342" s="80"/>
    </row>
    <row r="343" spans="5:5" x14ac:dyDescent="0.25">
      <c r="E343" s="80"/>
    </row>
    <row r="344" spans="5:5" x14ac:dyDescent="0.25">
      <c r="E344" s="80"/>
    </row>
    <row r="345" spans="5:5" x14ac:dyDescent="0.25">
      <c r="E345" s="80"/>
    </row>
    <row r="346" spans="5:5" x14ac:dyDescent="0.25">
      <c r="E346" s="80"/>
    </row>
    <row r="347" spans="5:5" x14ac:dyDescent="0.25">
      <c r="E347" s="80"/>
    </row>
    <row r="348" spans="5:5" x14ac:dyDescent="0.25">
      <c r="E348" s="80"/>
    </row>
    <row r="349" spans="5:5" x14ac:dyDescent="0.25">
      <c r="E349" s="80"/>
    </row>
    <row r="350" spans="5:5" x14ac:dyDescent="0.25">
      <c r="E350" s="80"/>
    </row>
    <row r="351" spans="5:5" x14ac:dyDescent="0.25">
      <c r="E351" s="80"/>
    </row>
    <row r="352" spans="5:5" x14ac:dyDescent="0.25">
      <c r="E352" s="80"/>
    </row>
    <row r="353" spans="5:5" x14ac:dyDescent="0.25">
      <c r="E353" s="80"/>
    </row>
    <row r="354" spans="5:5" x14ac:dyDescent="0.25">
      <c r="E354" s="80"/>
    </row>
    <row r="355" spans="5:5" x14ac:dyDescent="0.25">
      <c r="E355" s="80"/>
    </row>
    <row r="356" spans="5:5" x14ac:dyDescent="0.25">
      <c r="E356" s="80"/>
    </row>
    <row r="357" spans="5:5" x14ac:dyDescent="0.25">
      <c r="E357" s="80"/>
    </row>
    <row r="358" spans="5:5" x14ac:dyDescent="0.25">
      <c r="E358" s="80"/>
    </row>
    <row r="359" spans="5:5" x14ac:dyDescent="0.25">
      <c r="E359" s="80"/>
    </row>
    <row r="360" spans="5:5" x14ac:dyDescent="0.25">
      <c r="E360" s="80"/>
    </row>
    <row r="361" spans="5:5" x14ac:dyDescent="0.25">
      <c r="E361" s="80"/>
    </row>
    <row r="362" spans="5:5" x14ac:dyDescent="0.25">
      <c r="E362" s="80"/>
    </row>
    <row r="363" spans="5:5" x14ac:dyDescent="0.25">
      <c r="E363" s="80"/>
    </row>
    <row r="364" spans="5:5" x14ac:dyDescent="0.25">
      <c r="E364" s="80"/>
    </row>
    <row r="365" spans="5:5" x14ac:dyDescent="0.25">
      <c r="E365" s="80"/>
    </row>
    <row r="366" spans="5:5" x14ac:dyDescent="0.25">
      <c r="E366" s="80"/>
    </row>
    <row r="367" spans="5:5" x14ac:dyDescent="0.25">
      <c r="E367" s="80"/>
    </row>
    <row r="368" spans="5:5" x14ac:dyDescent="0.25">
      <c r="E368" s="80"/>
    </row>
    <row r="369" spans="5:5" x14ac:dyDescent="0.25">
      <c r="E369" s="80"/>
    </row>
    <row r="370" spans="5:5" x14ac:dyDescent="0.25">
      <c r="E370" s="80"/>
    </row>
    <row r="371" spans="5:5" x14ac:dyDescent="0.25">
      <c r="E371" s="80"/>
    </row>
    <row r="372" spans="5:5" x14ac:dyDescent="0.25">
      <c r="E372" s="80"/>
    </row>
    <row r="373" spans="5:5" x14ac:dyDescent="0.25">
      <c r="E373" s="80"/>
    </row>
    <row r="374" spans="5:5" x14ac:dyDescent="0.25">
      <c r="E374" s="80"/>
    </row>
    <row r="375" spans="5:5" x14ac:dyDescent="0.25">
      <c r="E375" s="80"/>
    </row>
    <row r="376" spans="5:5" x14ac:dyDescent="0.25">
      <c r="E376" s="80"/>
    </row>
    <row r="377" spans="5:5" x14ac:dyDescent="0.25">
      <c r="E377" s="80"/>
    </row>
    <row r="378" spans="5:5" x14ac:dyDescent="0.25">
      <c r="E378" s="80"/>
    </row>
    <row r="379" spans="5:5" x14ac:dyDescent="0.25">
      <c r="E379" s="80"/>
    </row>
    <row r="380" spans="5:5" x14ac:dyDescent="0.25">
      <c r="E380" s="80"/>
    </row>
    <row r="381" spans="5:5" x14ac:dyDescent="0.25">
      <c r="E381" s="80"/>
    </row>
    <row r="382" spans="5:5" x14ac:dyDescent="0.25">
      <c r="E382" s="80"/>
    </row>
    <row r="383" spans="5:5" x14ac:dyDescent="0.25">
      <c r="E383" s="80"/>
    </row>
    <row r="384" spans="5:5" x14ac:dyDescent="0.25">
      <c r="E384" s="80"/>
    </row>
    <row r="385" spans="5:5" x14ac:dyDescent="0.25">
      <c r="E385" s="80"/>
    </row>
    <row r="386" spans="5:5" x14ac:dyDescent="0.25">
      <c r="E386" s="80"/>
    </row>
    <row r="387" spans="5:5" x14ac:dyDescent="0.25">
      <c r="E387" s="80"/>
    </row>
    <row r="388" spans="5:5" x14ac:dyDescent="0.25">
      <c r="E388" s="80"/>
    </row>
    <row r="389" spans="5:5" x14ac:dyDescent="0.25">
      <c r="E389" s="80"/>
    </row>
    <row r="390" spans="5:5" x14ac:dyDescent="0.25">
      <c r="E390" s="80"/>
    </row>
    <row r="391" spans="5:5" x14ac:dyDescent="0.25">
      <c r="E391" s="80"/>
    </row>
    <row r="392" spans="5:5" x14ac:dyDescent="0.25">
      <c r="E392" s="80"/>
    </row>
    <row r="393" spans="5:5" x14ac:dyDescent="0.25">
      <c r="E393" s="80"/>
    </row>
    <row r="394" spans="5:5" x14ac:dyDescent="0.25">
      <c r="E394" s="80"/>
    </row>
    <row r="395" spans="5:5" x14ac:dyDescent="0.25">
      <c r="E395" s="80"/>
    </row>
    <row r="396" spans="5:5" x14ac:dyDescent="0.25">
      <c r="E396" s="80"/>
    </row>
    <row r="397" spans="5:5" x14ac:dyDescent="0.25">
      <c r="E397" s="80"/>
    </row>
    <row r="398" spans="5:5" x14ac:dyDescent="0.25">
      <c r="E398" s="80"/>
    </row>
    <row r="399" spans="5:5" x14ac:dyDescent="0.25">
      <c r="E399" s="80"/>
    </row>
    <row r="400" spans="5:5" x14ac:dyDescent="0.25">
      <c r="E400" s="80"/>
    </row>
    <row r="401" spans="5:5" x14ac:dyDescent="0.25">
      <c r="E401" s="80"/>
    </row>
    <row r="402" spans="5:5" x14ac:dyDescent="0.25">
      <c r="E402" s="80"/>
    </row>
    <row r="403" spans="5:5" x14ac:dyDescent="0.25">
      <c r="E403" s="80"/>
    </row>
    <row r="404" spans="5:5" x14ac:dyDescent="0.25">
      <c r="E404" s="80"/>
    </row>
    <row r="405" spans="5:5" x14ac:dyDescent="0.25">
      <c r="E405" s="80"/>
    </row>
    <row r="406" spans="5:5" x14ac:dyDescent="0.25">
      <c r="E406" s="80"/>
    </row>
    <row r="407" spans="5:5" x14ac:dyDescent="0.25">
      <c r="E407" s="80"/>
    </row>
    <row r="408" spans="5:5" x14ac:dyDescent="0.25">
      <c r="E408" s="80"/>
    </row>
    <row r="409" spans="5:5" x14ac:dyDescent="0.25">
      <c r="E409" s="80"/>
    </row>
    <row r="410" spans="5:5" x14ac:dyDescent="0.25">
      <c r="E410" s="80"/>
    </row>
    <row r="411" spans="5:5" x14ac:dyDescent="0.25">
      <c r="E411" s="80"/>
    </row>
    <row r="412" spans="5:5" x14ac:dyDescent="0.25">
      <c r="E412" s="80"/>
    </row>
    <row r="413" spans="5:5" x14ac:dyDescent="0.25">
      <c r="E413" s="80"/>
    </row>
    <row r="414" spans="5:5" x14ac:dyDescent="0.25">
      <c r="E414" s="80"/>
    </row>
    <row r="415" spans="5:5" x14ac:dyDescent="0.25">
      <c r="E415" s="80"/>
    </row>
    <row r="416" spans="5:5" x14ac:dyDescent="0.25">
      <c r="E416" s="80"/>
    </row>
    <row r="417" spans="5:5" x14ac:dyDescent="0.25">
      <c r="E417" s="80"/>
    </row>
    <row r="418" spans="5:5" x14ac:dyDescent="0.25">
      <c r="E418" s="80"/>
    </row>
    <row r="419" spans="5:5" x14ac:dyDescent="0.25">
      <c r="E419" s="80"/>
    </row>
    <row r="420" spans="5:5" x14ac:dyDescent="0.25">
      <c r="E420" s="80"/>
    </row>
    <row r="421" spans="5:5" x14ac:dyDescent="0.25">
      <c r="E421" s="80"/>
    </row>
    <row r="422" spans="5:5" x14ac:dyDescent="0.25">
      <c r="E422" s="80"/>
    </row>
    <row r="423" spans="5:5" x14ac:dyDescent="0.25">
      <c r="E423" s="80"/>
    </row>
    <row r="424" spans="5:5" x14ac:dyDescent="0.25">
      <c r="E424" s="80"/>
    </row>
    <row r="425" spans="5:5" x14ac:dyDescent="0.25">
      <c r="E425" s="80"/>
    </row>
    <row r="426" spans="5:5" x14ac:dyDescent="0.25">
      <c r="E426" s="80"/>
    </row>
    <row r="427" spans="5:5" x14ac:dyDescent="0.25">
      <c r="E427" s="80"/>
    </row>
    <row r="428" spans="5:5" x14ac:dyDescent="0.25">
      <c r="E428" s="80"/>
    </row>
    <row r="429" spans="5:5" x14ac:dyDescent="0.25">
      <c r="E429" s="80"/>
    </row>
    <row r="430" spans="5:5" x14ac:dyDescent="0.25">
      <c r="E430" s="80"/>
    </row>
    <row r="431" spans="5:5" x14ac:dyDescent="0.25">
      <c r="E431" s="80"/>
    </row>
    <row r="432" spans="5:5" x14ac:dyDescent="0.25">
      <c r="E432" s="80"/>
    </row>
    <row r="433" spans="5:5" x14ac:dyDescent="0.25">
      <c r="E433" s="80"/>
    </row>
    <row r="434" spans="5:5" x14ac:dyDescent="0.25">
      <c r="E434" s="80"/>
    </row>
    <row r="435" spans="5:5" x14ac:dyDescent="0.25">
      <c r="E435" s="80"/>
    </row>
    <row r="436" spans="5:5" x14ac:dyDescent="0.25">
      <c r="E436" s="80"/>
    </row>
    <row r="437" spans="5:5" x14ac:dyDescent="0.25">
      <c r="E437" s="80"/>
    </row>
    <row r="438" spans="5:5" x14ac:dyDescent="0.25">
      <c r="E438" s="80"/>
    </row>
    <row r="439" spans="5:5" x14ac:dyDescent="0.25">
      <c r="E439" s="80"/>
    </row>
    <row r="440" spans="5:5" x14ac:dyDescent="0.25">
      <c r="E440" s="80"/>
    </row>
    <row r="441" spans="5:5" x14ac:dyDescent="0.25">
      <c r="E441" s="80"/>
    </row>
    <row r="442" spans="5:5" x14ac:dyDescent="0.25">
      <c r="E442" s="80"/>
    </row>
    <row r="443" spans="5:5" x14ac:dyDescent="0.25">
      <c r="E443" s="80"/>
    </row>
    <row r="444" spans="5:5" x14ac:dyDescent="0.25">
      <c r="E444" s="80"/>
    </row>
    <row r="445" spans="5:5" x14ac:dyDescent="0.25">
      <c r="E445" s="80"/>
    </row>
    <row r="446" spans="5:5" x14ac:dyDescent="0.25">
      <c r="E446" s="80"/>
    </row>
    <row r="447" spans="5:5" x14ac:dyDescent="0.25">
      <c r="E447" s="80"/>
    </row>
    <row r="448" spans="5:5" x14ac:dyDescent="0.25">
      <c r="E448" s="80"/>
    </row>
    <row r="449" spans="5:5" x14ac:dyDescent="0.25">
      <c r="E449" s="80"/>
    </row>
    <row r="450" spans="5:5" x14ac:dyDescent="0.25">
      <c r="E450" s="80"/>
    </row>
    <row r="451" spans="5:5" x14ac:dyDescent="0.25">
      <c r="E451" s="80"/>
    </row>
    <row r="452" spans="5:5" x14ac:dyDescent="0.25">
      <c r="E452" s="80"/>
    </row>
    <row r="453" spans="5:5" x14ac:dyDescent="0.25">
      <c r="E453" s="80"/>
    </row>
    <row r="454" spans="5:5" x14ac:dyDescent="0.25">
      <c r="E454" s="80"/>
    </row>
    <row r="455" spans="5:5" x14ac:dyDescent="0.25">
      <c r="E455" s="80"/>
    </row>
    <row r="456" spans="5:5" x14ac:dyDescent="0.25">
      <c r="E456" s="80"/>
    </row>
    <row r="457" spans="5:5" x14ac:dyDescent="0.25">
      <c r="E457" s="80"/>
    </row>
    <row r="458" spans="5:5" x14ac:dyDescent="0.25">
      <c r="E458" s="80"/>
    </row>
    <row r="459" spans="5:5" x14ac:dyDescent="0.25">
      <c r="E459" s="80"/>
    </row>
    <row r="460" spans="5:5" x14ac:dyDescent="0.25">
      <c r="E460" s="80"/>
    </row>
    <row r="461" spans="5:5" x14ac:dyDescent="0.25">
      <c r="E461" s="80"/>
    </row>
    <row r="462" spans="5:5" x14ac:dyDescent="0.25">
      <c r="E462" s="80"/>
    </row>
    <row r="463" spans="5:5" x14ac:dyDescent="0.25">
      <c r="E463" s="80"/>
    </row>
    <row r="464" spans="5:5" x14ac:dyDescent="0.25">
      <c r="E464" s="80"/>
    </row>
    <row r="465" spans="5:5" x14ac:dyDescent="0.25">
      <c r="E465" s="80"/>
    </row>
    <row r="466" spans="5:5" x14ac:dyDescent="0.25">
      <c r="E466" s="80"/>
    </row>
    <row r="467" spans="5:5" x14ac:dyDescent="0.25">
      <c r="E467" s="80"/>
    </row>
    <row r="468" spans="5:5" x14ac:dyDescent="0.25">
      <c r="E468" s="80"/>
    </row>
    <row r="469" spans="5:5" x14ac:dyDescent="0.25">
      <c r="E469" s="80"/>
    </row>
    <row r="470" spans="5:5" x14ac:dyDescent="0.25">
      <c r="E470" s="80"/>
    </row>
    <row r="471" spans="5:5" x14ac:dyDescent="0.25">
      <c r="E471" s="80"/>
    </row>
    <row r="472" spans="5:5" x14ac:dyDescent="0.25">
      <c r="E472" s="80"/>
    </row>
    <row r="473" spans="5:5" x14ac:dyDescent="0.25">
      <c r="E473" s="80"/>
    </row>
    <row r="474" spans="5:5" x14ac:dyDescent="0.25">
      <c r="E474" s="80"/>
    </row>
    <row r="475" spans="5:5" x14ac:dyDescent="0.25">
      <c r="E475" s="80"/>
    </row>
    <row r="476" spans="5:5" x14ac:dyDescent="0.25">
      <c r="E476" s="80"/>
    </row>
    <row r="477" spans="5:5" x14ac:dyDescent="0.25">
      <c r="E477" s="80"/>
    </row>
    <row r="478" spans="5:5" x14ac:dyDescent="0.25">
      <c r="E478" s="80"/>
    </row>
    <row r="479" spans="5:5" x14ac:dyDescent="0.25">
      <c r="E479" s="80"/>
    </row>
    <row r="480" spans="5:5" x14ac:dyDescent="0.25">
      <c r="E480" s="80"/>
    </row>
    <row r="481" spans="5:5" x14ac:dyDescent="0.25">
      <c r="E481" s="80"/>
    </row>
    <row r="482" spans="5:5" x14ac:dyDescent="0.25">
      <c r="E482" s="80"/>
    </row>
    <row r="483" spans="5:5" x14ac:dyDescent="0.25">
      <c r="E483" s="80"/>
    </row>
    <row r="484" spans="5:5" x14ac:dyDescent="0.25">
      <c r="E484" s="80"/>
    </row>
    <row r="485" spans="5:5" x14ac:dyDescent="0.25">
      <c r="E485" s="80"/>
    </row>
    <row r="486" spans="5:5" x14ac:dyDescent="0.25">
      <c r="E486" s="80"/>
    </row>
    <row r="487" spans="5:5" x14ac:dyDescent="0.25">
      <c r="E487" s="80"/>
    </row>
    <row r="488" spans="5:5" x14ac:dyDescent="0.25">
      <c r="E488" s="80"/>
    </row>
    <row r="489" spans="5:5" x14ac:dyDescent="0.25">
      <c r="E489" s="80"/>
    </row>
    <row r="490" spans="5:5" x14ac:dyDescent="0.25">
      <c r="E490" s="80"/>
    </row>
    <row r="491" spans="5:5" x14ac:dyDescent="0.25">
      <c r="E491" s="80"/>
    </row>
    <row r="492" spans="5:5" x14ac:dyDescent="0.25">
      <c r="E492" s="80"/>
    </row>
    <row r="493" spans="5:5" x14ac:dyDescent="0.25">
      <c r="E493" s="80"/>
    </row>
    <row r="494" spans="5:5" x14ac:dyDescent="0.25">
      <c r="E494" s="80"/>
    </row>
    <row r="495" spans="5:5" x14ac:dyDescent="0.25">
      <c r="E495" s="80"/>
    </row>
    <row r="496" spans="5:5" x14ac:dyDescent="0.25">
      <c r="E496" s="80"/>
    </row>
    <row r="497" spans="5:5" x14ac:dyDescent="0.25">
      <c r="E497" s="80"/>
    </row>
    <row r="498" spans="5:5" x14ac:dyDescent="0.25">
      <c r="E498" s="80"/>
    </row>
    <row r="499" spans="5:5" x14ac:dyDescent="0.25">
      <c r="E499" s="80"/>
    </row>
    <row r="500" spans="5:5" x14ac:dyDescent="0.25">
      <c r="E500" s="80"/>
    </row>
    <row r="501" spans="5:5" x14ac:dyDescent="0.25">
      <c r="E501" s="80"/>
    </row>
    <row r="502" spans="5:5" x14ac:dyDescent="0.25">
      <c r="E502" s="80"/>
    </row>
    <row r="503" spans="5:5" x14ac:dyDescent="0.25">
      <c r="E503" s="80"/>
    </row>
    <row r="504" spans="5:5" x14ac:dyDescent="0.25">
      <c r="E504" s="80"/>
    </row>
    <row r="505" spans="5:5" x14ac:dyDescent="0.25">
      <c r="E505" s="80"/>
    </row>
    <row r="506" spans="5:5" x14ac:dyDescent="0.25">
      <c r="E506" s="80"/>
    </row>
    <row r="507" spans="5:5" x14ac:dyDescent="0.25">
      <c r="E507" s="80"/>
    </row>
    <row r="508" spans="5:5" x14ac:dyDescent="0.25">
      <c r="E508" s="80"/>
    </row>
    <row r="509" spans="5:5" x14ac:dyDescent="0.25">
      <c r="E509" s="80"/>
    </row>
    <row r="510" spans="5:5" x14ac:dyDescent="0.25">
      <c r="E510" s="80"/>
    </row>
    <row r="511" spans="5:5" x14ac:dyDescent="0.25">
      <c r="E511" s="80"/>
    </row>
    <row r="512" spans="5:5" x14ac:dyDescent="0.25">
      <c r="E512" s="80"/>
    </row>
    <row r="513" spans="5:5" x14ac:dyDescent="0.25">
      <c r="E513" s="80"/>
    </row>
    <row r="514" spans="5:5" x14ac:dyDescent="0.25">
      <c r="E514" s="80"/>
    </row>
    <row r="515" spans="5:5" x14ac:dyDescent="0.25">
      <c r="E515" s="80"/>
    </row>
    <row r="516" spans="5:5" x14ac:dyDescent="0.25">
      <c r="E516" s="80"/>
    </row>
    <row r="517" spans="5:5" x14ac:dyDescent="0.25">
      <c r="E517" s="80"/>
    </row>
    <row r="518" spans="5:5" x14ac:dyDescent="0.25">
      <c r="E518" s="80"/>
    </row>
    <row r="519" spans="5:5" x14ac:dyDescent="0.25">
      <c r="E519" s="80"/>
    </row>
    <row r="520" spans="5:5" x14ac:dyDescent="0.25">
      <c r="E520" s="80"/>
    </row>
    <row r="521" spans="5:5" x14ac:dyDescent="0.25">
      <c r="E521" s="80"/>
    </row>
    <row r="522" spans="5:5" x14ac:dyDescent="0.25">
      <c r="E522" s="80"/>
    </row>
    <row r="523" spans="5:5" x14ac:dyDescent="0.25">
      <c r="E523" s="80"/>
    </row>
    <row r="524" spans="5:5" x14ac:dyDescent="0.25">
      <c r="E524" s="80"/>
    </row>
    <row r="525" spans="5:5" x14ac:dyDescent="0.25">
      <c r="E525" s="80"/>
    </row>
    <row r="526" spans="5:5" x14ac:dyDescent="0.25">
      <c r="E526" s="80"/>
    </row>
    <row r="527" spans="5:5" x14ac:dyDescent="0.25">
      <c r="E527" s="80"/>
    </row>
    <row r="528" spans="5:5" x14ac:dyDescent="0.25">
      <c r="E528" s="80"/>
    </row>
    <row r="529" spans="5:5" x14ac:dyDescent="0.25">
      <c r="E529" s="80"/>
    </row>
    <row r="530" spans="5:5" x14ac:dyDescent="0.25">
      <c r="E530" s="80"/>
    </row>
    <row r="531" spans="5:5" x14ac:dyDescent="0.25">
      <c r="E531" s="80"/>
    </row>
    <row r="532" spans="5:5" x14ac:dyDescent="0.25">
      <c r="E532" s="80"/>
    </row>
    <row r="533" spans="5:5" x14ac:dyDescent="0.25">
      <c r="E533" s="80"/>
    </row>
    <row r="534" spans="5:5" x14ac:dyDescent="0.25">
      <c r="E534" s="80"/>
    </row>
    <row r="535" spans="5:5" x14ac:dyDescent="0.25">
      <c r="E535" s="80"/>
    </row>
    <row r="536" spans="5:5" x14ac:dyDescent="0.25">
      <c r="E536" s="80"/>
    </row>
    <row r="537" spans="5:5" x14ac:dyDescent="0.25">
      <c r="E537" s="80"/>
    </row>
    <row r="538" spans="5:5" x14ac:dyDescent="0.25">
      <c r="E538" s="80"/>
    </row>
    <row r="539" spans="5:5" x14ac:dyDescent="0.25">
      <c r="E539" s="80"/>
    </row>
    <row r="540" spans="5:5" x14ac:dyDescent="0.25">
      <c r="E540" s="80"/>
    </row>
    <row r="541" spans="5:5" x14ac:dyDescent="0.25">
      <c r="E541" s="80"/>
    </row>
    <row r="542" spans="5:5" x14ac:dyDescent="0.25">
      <c r="E542" s="80"/>
    </row>
    <row r="543" spans="5:5" x14ac:dyDescent="0.25">
      <c r="E543" s="80"/>
    </row>
    <row r="544" spans="5:5" x14ac:dyDescent="0.25">
      <c r="E544" s="80"/>
    </row>
    <row r="545" spans="5:5" x14ac:dyDescent="0.25">
      <c r="E545" s="80"/>
    </row>
    <row r="546" spans="5:5" x14ac:dyDescent="0.25">
      <c r="E546" s="80"/>
    </row>
    <row r="547" spans="5:5" x14ac:dyDescent="0.25">
      <c r="E547" s="80"/>
    </row>
    <row r="548" spans="5:5" x14ac:dyDescent="0.25">
      <c r="E548" s="80"/>
    </row>
    <row r="549" spans="5:5" x14ac:dyDescent="0.25">
      <c r="E549" s="80"/>
    </row>
    <row r="550" spans="5:5" x14ac:dyDescent="0.25">
      <c r="E550" s="80"/>
    </row>
    <row r="551" spans="5:5" x14ac:dyDescent="0.25">
      <c r="E551" s="80"/>
    </row>
    <row r="552" spans="5:5" x14ac:dyDescent="0.25">
      <c r="E552" s="80"/>
    </row>
    <row r="553" spans="5:5" x14ac:dyDescent="0.25">
      <c r="E553" s="80"/>
    </row>
    <row r="554" spans="5:5" x14ac:dyDescent="0.25">
      <c r="E554" s="80"/>
    </row>
    <row r="555" spans="5:5" x14ac:dyDescent="0.25">
      <c r="E555" s="80"/>
    </row>
    <row r="556" spans="5:5" x14ac:dyDescent="0.25">
      <c r="E556" s="80"/>
    </row>
    <row r="557" spans="5:5" x14ac:dyDescent="0.25">
      <c r="E557" s="80"/>
    </row>
    <row r="558" spans="5:5" x14ac:dyDescent="0.25">
      <c r="E558" s="80"/>
    </row>
    <row r="559" spans="5:5" x14ac:dyDescent="0.25">
      <c r="E559" s="80"/>
    </row>
    <row r="560" spans="5:5" x14ac:dyDescent="0.25">
      <c r="E560" s="80"/>
    </row>
    <row r="561" spans="5:5" x14ac:dyDescent="0.25">
      <c r="E561" s="80"/>
    </row>
    <row r="562" spans="5:5" x14ac:dyDescent="0.25">
      <c r="E562" s="80"/>
    </row>
    <row r="563" spans="5:5" x14ac:dyDescent="0.25">
      <c r="E563" s="80"/>
    </row>
    <row r="564" spans="5:5" x14ac:dyDescent="0.25">
      <c r="E564" s="80"/>
    </row>
    <row r="565" spans="5:5" x14ac:dyDescent="0.25">
      <c r="E565" s="80"/>
    </row>
    <row r="566" spans="5:5" x14ac:dyDescent="0.25">
      <c r="E566" s="80"/>
    </row>
    <row r="567" spans="5:5" x14ac:dyDescent="0.25">
      <c r="E567" s="80"/>
    </row>
    <row r="568" spans="5:5" x14ac:dyDescent="0.25">
      <c r="E568" s="80"/>
    </row>
    <row r="569" spans="5:5" x14ac:dyDescent="0.25">
      <c r="E569" s="80"/>
    </row>
    <row r="570" spans="5:5" x14ac:dyDescent="0.25">
      <c r="E570" s="80"/>
    </row>
    <row r="571" spans="5:5" x14ac:dyDescent="0.25">
      <c r="E571" s="80"/>
    </row>
    <row r="572" spans="5:5" x14ac:dyDescent="0.25">
      <c r="E572" s="80"/>
    </row>
    <row r="573" spans="5:5" x14ac:dyDescent="0.25">
      <c r="E573" s="80"/>
    </row>
    <row r="574" spans="5:5" x14ac:dyDescent="0.25">
      <c r="E574" s="80"/>
    </row>
    <row r="575" spans="5:5" x14ac:dyDescent="0.25">
      <c r="E575" s="80"/>
    </row>
    <row r="576" spans="5:5" x14ac:dyDescent="0.25">
      <c r="E576" s="80"/>
    </row>
    <row r="577" spans="5:5" x14ac:dyDescent="0.25">
      <c r="E577" s="80"/>
    </row>
    <row r="578" spans="5:5" x14ac:dyDescent="0.25">
      <c r="E578" s="80"/>
    </row>
    <row r="579" spans="5:5" x14ac:dyDescent="0.25">
      <c r="E579" s="80"/>
    </row>
    <row r="580" spans="5:5" x14ac:dyDescent="0.25">
      <c r="E580" s="80"/>
    </row>
    <row r="581" spans="5:5" x14ac:dyDescent="0.25">
      <c r="E581" s="80"/>
    </row>
    <row r="582" spans="5:5" x14ac:dyDescent="0.25">
      <c r="E582" s="80"/>
    </row>
    <row r="583" spans="5:5" x14ac:dyDescent="0.25">
      <c r="E583" s="80"/>
    </row>
    <row r="584" spans="5:5" x14ac:dyDescent="0.25">
      <c r="E584" s="80"/>
    </row>
    <row r="585" spans="5:5" x14ac:dyDescent="0.25">
      <c r="E585" s="80"/>
    </row>
    <row r="586" spans="5:5" x14ac:dyDescent="0.25">
      <c r="E586" s="80"/>
    </row>
    <row r="587" spans="5:5" x14ac:dyDescent="0.25">
      <c r="E587" s="80"/>
    </row>
    <row r="588" spans="5:5" x14ac:dyDescent="0.25">
      <c r="E588" s="80"/>
    </row>
    <row r="589" spans="5:5" x14ac:dyDescent="0.25">
      <c r="E589" s="80"/>
    </row>
    <row r="590" spans="5:5" x14ac:dyDescent="0.25">
      <c r="E590" s="80"/>
    </row>
    <row r="591" spans="5:5" x14ac:dyDescent="0.25">
      <c r="E591" s="80"/>
    </row>
    <row r="592" spans="5:5" x14ac:dyDescent="0.25">
      <c r="E592" s="80"/>
    </row>
    <row r="593" spans="5:5" x14ac:dyDescent="0.25">
      <c r="E593" s="80"/>
    </row>
    <row r="594" spans="5:5" x14ac:dyDescent="0.25">
      <c r="E594" s="80"/>
    </row>
    <row r="595" spans="5:5" x14ac:dyDescent="0.25">
      <c r="E595" s="80"/>
    </row>
    <row r="596" spans="5:5" x14ac:dyDescent="0.25">
      <c r="E596" s="80"/>
    </row>
    <row r="597" spans="5:5" x14ac:dyDescent="0.25">
      <c r="E597" s="80"/>
    </row>
    <row r="598" spans="5:5" x14ac:dyDescent="0.25">
      <c r="E598" s="80"/>
    </row>
    <row r="599" spans="5:5" x14ac:dyDescent="0.25">
      <c r="E599" s="80"/>
    </row>
    <row r="600" spans="5:5" x14ac:dyDescent="0.25">
      <c r="E600" s="80"/>
    </row>
    <row r="601" spans="5:5" x14ac:dyDescent="0.25">
      <c r="E601" s="80"/>
    </row>
    <row r="602" spans="5:5" x14ac:dyDescent="0.25">
      <c r="E602" s="80"/>
    </row>
    <row r="603" spans="5:5" x14ac:dyDescent="0.25">
      <c r="E603" s="80"/>
    </row>
    <row r="604" spans="5:5" x14ac:dyDescent="0.25">
      <c r="E604" s="80"/>
    </row>
    <row r="605" spans="5:5" x14ac:dyDescent="0.25">
      <c r="E605" s="80"/>
    </row>
    <row r="606" spans="5:5" x14ac:dyDescent="0.25">
      <c r="E606" s="80"/>
    </row>
    <row r="607" spans="5:5" x14ac:dyDescent="0.25">
      <c r="E607" s="80"/>
    </row>
    <row r="608" spans="5:5" x14ac:dyDescent="0.25">
      <c r="E608" s="80"/>
    </row>
    <row r="609" spans="5:5" x14ac:dyDescent="0.25">
      <c r="E609" s="80"/>
    </row>
    <row r="610" spans="5:5" x14ac:dyDescent="0.25">
      <c r="E610" s="80"/>
    </row>
    <row r="611" spans="5:5" x14ac:dyDescent="0.25">
      <c r="E611" s="80"/>
    </row>
    <row r="612" spans="5:5" x14ac:dyDescent="0.25">
      <c r="E612" s="80"/>
    </row>
    <row r="613" spans="5:5" x14ac:dyDescent="0.25">
      <c r="E613" s="80"/>
    </row>
    <row r="614" spans="5:5" x14ac:dyDescent="0.25">
      <c r="E614" s="80"/>
    </row>
    <row r="615" spans="5:5" x14ac:dyDescent="0.25">
      <c r="E615" s="80"/>
    </row>
    <row r="616" spans="5:5" x14ac:dyDescent="0.25">
      <c r="E616" s="80"/>
    </row>
    <row r="617" spans="5:5" x14ac:dyDescent="0.25">
      <c r="E617" s="80"/>
    </row>
    <row r="618" spans="5:5" x14ac:dyDescent="0.25">
      <c r="E618" s="80"/>
    </row>
    <row r="619" spans="5:5" x14ac:dyDescent="0.25">
      <c r="E619" s="80"/>
    </row>
    <row r="620" spans="5:5" x14ac:dyDescent="0.25">
      <c r="E620" s="80"/>
    </row>
    <row r="621" spans="5:5" x14ac:dyDescent="0.25">
      <c r="E621" s="80"/>
    </row>
    <row r="622" spans="5:5" x14ac:dyDescent="0.25">
      <c r="E622" s="80"/>
    </row>
    <row r="623" spans="5:5" x14ac:dyDescent="0.25">
      <c r="E623" s="80"/>
    </row>
    <row r="624" spans="5:5" x14ac:dyDescent="0.25">
      <c r="E624" s="80"/>
    </row>
    <row r="625" spans="5:5" x14ac:dyDescent="0.25">
      <c r="E625" s="80"/>
    </row>
    <row r="626" spans="5:5" x14ac:dyDescent="0.25">
      <c r="E626" s="80"/>
    </row>
    <row r="627" spans="5:5" x14ac:dyDescent="0.25">
      <c r="E627" s="80"/>
    </row>
    <row r="628" spans="5:5" x14ac:dyDescent="0.25">
      <c r="E628" s="80"/>
    </row>
    <row r="629" spans="5:5" x14ac:dyDescent="0.25">
      <c r="E629" s="80"/>
    </row>
    <row r="630" spans="5:5" x14ac:dyDescent="0.25">
      <c r="E630" s="80"/>
    </row>
    <row r="631" spans="5:5" x14ac:dyDescent="0.25">
      <c r="E631" s="80"/>
    </row>
    <row r="632" spans="5:5" x14ac:dyDescent="0.25">
      <c r="E632" s="80"/>
    </row>
    <row r="633" spans="5:5" x14ac:dyDescent="0.25">
      <c r="E633" s="80"/>
    </row>
    <row r="634" spans="5:5" x14ac:dyDescent="0.25">
      <c r="E634" s="80"/>
    </row>
    <row r="635" spans="5:5" x14ac:dyDescent="0.25">
      <c r="E635" s="80"/>
    </row>
    <row r="636" spans="5:5" x14ac:dyDescent="0.25">
      <c r="E636" s="80"/>
    </row>
    <row r="637" spans="5:5" x14ac:dyDescent="0.25">
      <c r="E637" s="80"/>
    </row>
    <row r="638" spans="5:5" x14ac:dyDescent="0.25">
      <c r="E638" s="80"/>
    </row>
    <row r="639" spans="5:5" x14ac:dyDescent="0.25">
      <c r="E639" s="80"/>
    </row>
    <row r="640" spans="5:5" x14ac:dyDescent="0.25">
      <c r="E640" s="80"/>
    </row>
    <row r="641" spans="5:5" x14ac:dyDescent="0.25">
      <c r="E641" s="80"/>
    </row>
    <row r="642" spans="5:5" x14ac:dyDescent="0.25">
      <c r="E642" s="80"/>
    </row>
    <row r="643" spans="5:5" x14ac:dyDescent="0.25">
      <c r="E643" s="80"/>
    </row>
    <row r="644" spans="5:5" x14ac:dyDescent="0.25">
      <c r="E644" s="80"/>
    </row>
    <row r="645" spans="5:5" x14ac:dyDescent="0.25">
      <c r="E645" s="80"/>
    </row>
    <row r="646" spans="5:5" x14ac:dyDescent="0.25">
      <c r="E646" s="80"/>
    </row>
    <row r="647" spans="5:5" x14ac:dyDescent="0.25">
      <c r="E647" s="80"/>
    </row>
    <row r="648" spans="5:5" x14ac:dyDescent="0.25">
      <c r="E648" s="80"/>
    </row>
    <row r="649" spans="5:5" x14ac:dyDescent="0.25">
      <c r="E649" s="80"/>
    </row>
    <row r="650" spans="5:5" x14ac:dyDescent="0.25">
      <c r="E650" s="80"/>
    </row>
    <row r="651" spans="5:5" x14ac:dyDescent="0.25">
      <c r="E651" s="80"/>
    </row>
    <row r="652" spans="5:5" x14ac:dyDescent="0.25">
      <c r="E652" s="80"/>
    </row>
    <row r="653" spans="5:5" x14ac:dyDescent="0.25">
      <c r="E653" s="80"/>
    </row>
    <row r="654" spans="5:5" x14ac:dyDescent="0.25">
      <c r="E654" s="80"/>
    </row>
    <row r="655" spans="5:5" x14ac:dyDescent="0.25">
      <c r="E655" s="80"/>
    </row>
    <row r="656" spans="5:5" x14ac:dyDescent="0.25">
      <c r="E656" s="80"/>
    </row>
    <row r="657" spans="5:5" x14ac:dyDescent="0.25">
      <c r="E657" s="80"/>
    </row>
    <row r="658" spans="5:5" x14ac:dyDescent="0.25">
      <c r="E658" s="80"/>
    </row>
    <row r="659" spans="5:5" x14ac:dyDescent="0.25">
      <c r="E659" s="80"/>
    </row>
    <row r="660" spans="5:5" x14ac:dyDescent="0.25">
      <c r="E660" s="80"/>
    </row>
    <row r="661" spans="5:5" x14ac:dyDescent="0.25">
      <c r="E661" s="80"/>
    </row>
    <row r="662" spans="5:5" x14ac:dyDescent="0.25">
      <c r="E662" s="80"/>
    </row>
    <row r="663" spans="5:5" x14ac:dyDescent="0.25">
      <c r="E663" s="80"/>
    </row>
    <row r="664" spans="5:5" x14ac:dyDescent="0.25">
      <c r="E664" s="80"/>
    </row>
    <row r="665" spans="5:5" x14ac:dyDescent="0.25">
      <c r="E665" s="80"/>
    </row>
    <row r="666" spans="5:5" x14ac:dyDescent="0.25">
      <c r="E666" s="80"/>
    </row>
    <row r="667" spans="5:5" x14ac:dyDescent="0.25">
      <c r="E667" s="80"/>
    </row>
    <row r="668" spans="5:5" x14ac:dyDescent="0.25">
      <c r="E668" s="80"/>
    </row>
    <row r="669" spans="5:5" x14ac:dyDescent="0.25">
      <c r="E669" s="80"/>
    </row>
    <row r="670" spans="5:5" x14ac:dyDescent="0.25">
      <c r="E670" s="80"/>
    </row>
    <row r="671" spans="5:5" x14ac:dyDescent="0.25">
      <c r="E671" s="80"/>
    </row>
    <row r="672" spans="5:5" x14ac:dyDescent="0.25">
      <c r="E672" s="80"/>
    </row>
    <row r="673" spans="5:5" x14ac:dyDescent="0.25">
      <c r="E673" s="80"/>
    </row>
    <row r="674" spans="5:5" x14ac:dyDescent="0.25">
      <c r="E674" s="80"/>
    </row>
    <row r="675" spans="5:5" x14ac:dyDescent="0.25">
      <c r="E675" s="80"/>
    </row>
    <row r="676" spans="5:5" x14ac:dyDescent="0.25">
      <c r="E676" s="80"/>
    </row>
    <row r="677" spans="5:5" x14ac:dyDescent="0.25">
      <c r="E677" s="80"/>
    </row>
    <row r="678" spans="5:5" x14ac:dyDescent="0.25">
      <c r="E678" s="80"/>
    </row>
    <row r="679" spans="5:5" x14ac:dyDescent="0.25">
      <c r="E679" s="80"/>
    </row>
    <row r="680" spans="5:5" x14ac:dyDescent="0.25">
      <c r="E680" s="80"/>
    </row>
    <row r="681" spans="5:5" x14ac:dyDescent="0.25">
      <c r="E681" s="80"/>
    </row>
    <row r="682" spans="5:5" x14ac:dyDescent="0.25">
      <c r="E682" s="80"/>
    </row>
    <row r="683" spans="5:5" x14ac:dyDescent="0.25">
      <c r="E683" s="80"/>
    </row>
    <row r="684" spans="5:5" x14ac:dyDescent="0.25">
      <c r="E684" s="80"/>
    </row>
    <row r="685" spans="5:5" x14ac:dyDescent="0.25">
      <c r="E685" s="80"/>
    </row>
    <row r="686" spans="5:5" x14ac:dyDescent="0.25">
      <c r="E686" s="80"/>
    </row>
    <row r="687" spans="5:5" x14ac:dyDescent="0.25">
      <c r="E687" s="80"/>
    </row>
    <row r="688" spans="5:5" x14ac:dyDescent="0.25">
      <c r="E688" s="80"/>
    </row>
    <row r="689" spans="5:5" x14ac:dyDescent="0.25">
      <c r="E689" s="80"/>
    </row>
    <row r="690" spans="5:5" x14ac:dyDescent="0.25">
      <c r="E690" s="80"/>
    </row>
    <row r="691" spans="5:5" x14ac:dyDescent="0.25">
      <c r="E691" s="80"/>
    </row>
    <row r="692" spans="5:5" x14ac:dyDescent="0.25">
      <c r="E692" s="80"/>
    </row>
    <row r="693" spans="5:5" x14ac:dyDescent="0.25">
      <c r="E693" s="80"/>
    </row>
    <row r="694" spans="5:5" x14ac:dyDescent="0.25">
      <c r="E694" s="80"/>
    </row>
    <row r="695" spans="5:5" x14ac:dyDescent="0.25">
      <c r="E695" s="80"/>
    </row>
    <row r="696" spans="5:5" x14ac:dyDescent="0.25">
      <c r="E696" s="80"/>
    </row>
    <row r="697" spans="5:5" x14ac:dyDescent="0.25">
      <c r="E697" s="80"/>
    </row>
    <row r="698" spans="5:5" x14ac:dyDescent="0.25">
      <c r="E698" s="80"/>
    </row>
    <row r="699" spans="5:5" x14ac:dyDescent="0.25">
      <c r="E699" s="80"/>
    </row>
    <row r="700" spans="5:5" x14ac:dyDescent="0.25">
      <c r="E700" s="80"/>
    </row>
    <row r="701" spans="5:5" x14ac:dyDescent="0.25">
      <c r="E701" s="80"/>
    </row>
    <row r="702" spans="5:5" x14ac:dyDescent="0.25">
      <c r="E702" s="80"/>
    </row>
    <row r="703" spans="5:5" x14ac:dyDescent="0.25">
      <c r="E703" s="80"/>
    </row>
    <row r="704" spans="5:5" x14ac:dyDescent="0.25">
      <c r="E704" s="80"/>
    </row>
    <row r="705" spans="5:5" x14ac:dyDescent="0.25">
      <c r="E705" s="80"/>
    </row>
    <row r="706" spans="5:5" x14ac:dyDescent="0.25">
      <c r="E706" s="80"/>
    </row>
    <row r="707" spans="5:5" x14ac:dyDescent="0.25">
      <c r="E707" s="80"/>
    </row>
    <row r="708" spans="5:5" x14ac:dyDescent="0.25">
      <c r="E708" s="80"/>
    </row>
    <row r="709" spans="5:5" x14ac:dyDescent="0.25">
      <c r="E709" s="80"/>
    </row>
    <row r="710" spans="5:5" x14ac:dyDescent="0.25">
      <c r="E710" s="80"/>
    </row>
    <row r="711" spans="5:5" x14ac:dyDescent="0.25">
      <c r="E711" s="80"/>
    </row>
    <row r="712" spans="5:5" x14ac:dyDescent="0.25">
      <c r="E712" s="80"/>
    </row>
    <row r="713" spans="5:5" x14ac:dyDescent="0.25">
      <c r="E713" s="80"/>
    </row>
    <row r="714" spans="5:5" x14ac:dyDescent="0.25">
      <c r="E714" s="80"/>
    </row>
    <row r="715" spans="5:5" x14ac:dyDescent="0.25">
      <c r="E715" s="80"/>
    </row>
    <row r="716" spans="5:5" x14ac:dyDescent="0.25">
      <c r="E716" s="80"/>
    </row>
    <row r="717" spans="5:5" x14ac:dyDescent="0.25">
      <c r="E717" s="80"/>
    </row>
    <row r="718" spans="5:5" x14ac:dyDescent="0.25">
      <c r="E718" s="80"/>
    </row>
    <row r="719" spans="5:5" x14ac:dyDescent="0.25">
      <c r="E719" s="80"/>
    </row>
    <row r="720" spans="5:5" x14ac:dyDescent="0.25">
      <c r="E720" s="80"/>
    </row>
    <row r="721" spans="5:5" x14ac:dyDescent="0.25">
      <c r="E721" s="80"/>
    </row>
    <row r="722" spans="5:5" x14ac:dyDescent="0.25">
      <c r="E722" s="80"/>
    </row>
    <row r="723" spans="5:5" x14ac:dyDescent="0.25">
      <c r="E723" s="80"/>
    </row>
    <row r="724" spans="5:5" x14ac:dyDescent="0.25">
      <c r="E724" s="80"/>
    </row>
    <row r="725" spans="5:5" x14ac:dyDescent="0.25">
      <c r="E725" s="80"/>
    </row>
    <row r="726" spans="5:5" x14ac:dyDescent="0.25">
      <c r="E726" s="80"/>
    </row>
    <row r="727" spans="5:5" x14ac:dyDescent="0.25">
      <c r="E727" s="80"/>
    </row>
    <row r="728" spans="5:5" x14ac:dyDescent="0.25">
      <c r="E728" s="80"/>
    </row>
    <row r="729" spans="5:5" x14ac:dyDescent="0.25">
      <c r="E729" s="80"/>
    </row>
    <row r="730" spans="5:5" x14ac:dyDescent="0.25">
      <c r="E730" s="80"/>
    </row>
    <row r="731" spans="5:5" x14ac:dyDescent="0.25">
      <c r="E731" s="80"/>
    </row>
    <row r="732" spans="5:5" x14ac:dyDescent="0.25">
      <c r="E732" s="80"/>
    </row>
    <row r="733" spans="5:5" x14ac:dyDescent="0.25">
      <c r="E733" s="80"/>
    </row>
    <row r="734" spans="5:5" x14ac:dyDescent="0.25">
      <c r="E734" s="80"/>
    </row>
    <row r="735" spans="5:5" x14ac:dyDescent="0.25">
      <c r="E735" s="80"/>
    </row>
    <row r="736" spans="5:5" x14ac:dyDescent="0.25">
      <c r="E736" s="80"/>
    </row>
    <row r="737" spans="5:5" x14ac:dyDescent="0.25">
      <c r="E737" s="80"/>
    </row>
    <row r="738" spans="5:5" x14ac:dyDescent="0.25">
      <c r="E738" s="80"/>
    </row>
    <row r="739" spans="5:5" x14ac:dyDescent="0.25">
      <c r="E739" s="80"/>
    </row>
    <row r="740" spans="5:5" x14ac:dyDescent="0.25">
      <c r="E740" s="80"/>
    </row>
    <row r="741" spans="5:5" x14ac:dyDescent="0.25">
      <c r="E741" s="80"/>
    </row>
    <row r="742" spans="5:5" x14ac:dyDescent="0.25">
      <c r="E742" s="80"/>
    </row>
    <row r="743" spans="5:5" x14ac:dyDescent="0.25">
      <c r="E743" s="80"/>
    </row>
    <row r="744" spans="5:5" x14ac:dyDescent="0.25">
      <c r="E744" s="80"/>
    </row>
    <row r="745" spans="5:5" x14ac:dyDescent="0.25">
      <c r="E745" s="80"/>
    </row>
    <row r="746" spans="5:5" x14ac:dyDescent="0.25">
      <c r="E746" s="80"/>
    </row>
    <row r="747" spans="5:5" x14ac:dyDescent="0.25">
      <c r="E747" s="80"/>
    </row>
    <row r="748" spans="5:5" x14ac:dyDescent="0.25">
      <c r="E748" s="80"/>
    </row>
    <row r="749" spans="5:5" x14ac:dyDescent="0.25">
      <c r="E749" s="80"/>
    </row>
    <row r="750" spans="5:5" x14ac:dyDescent="0.25">
      <c r="E750" s="80"/>
    </row>
    <row r="751" spans="5:5" x14ac:dyDescent="0.25">
      <c r="E751" s="80"/>
    </row>
    <row r="752" spans="5:5" x14ac:dyDescent="0.25">
      <c r="E752" s="80"/>
    </row>
    <row r="753" spans="5:5" x14ac:dyDescent="0.25">
      <c r="E753" s="80"/>
    </row>
    <row r="754" spans="5:5" x14ac:dyDescent="0.25">
      <c r="E754" s="80"/>
    </row>
    <row r="755" spans="5:5" x14ac:dyDescent="0.25">
      <c r="E755" s="80"/>
    </row>
    <row r="756" spans="5:5" x14ac:dyDescent="0.25">
      <c r="E756" s="80"/>
    </row>
    <row r="757" spans="5:5" x14ac:dyDescent="0.25">
      <c r="E757" s="80"/>
    </row>
    <row r="758" spans="5:5" x14ac:dyDescent="0.25">
      <c r="E758" s="80"/>
    </row>
    <row r="759" spans="5:5" x14ac:dyDescent="0.25">
      <c r="E759" s="80"/>
    </row>
    <row r="760" spans="5:5" x14ac:dyDescent="0.25">
      <c r="E760" s="80"/>
    </row>
    <row r="761" spans="5:5" x14ac:dyDescent="0.25">
      <c r="E761" s="80"/>
    </row>
    <row r="762" spans="5:5" x14ac:dyDescent="0.25">
      <c r="E762" s="80"/>
    </row>
    <row r="763" spans="5:5" x14ac:dyDescent="0.25">
      <c r="E763" s="80"/>
    </row>
    <row r="764" spans="5:5" x14ac:dyDescent="0.25">
      <c r="E764" s="80"/>
    </row>
    <row r="765" spans="5:5" x14ac:dyDescent="0.25">
      <c r="E765" s="80"/>
    </row>
    <row r="766" spans="5:5" x14ac:dyDescent="0.25">
      <c r="E766" s="80"/>
    </row>
    <row r="767" spans="5:5" x14ac:dyDescent="0.25">
      <c r="E767" s="80"/>
    </row>
    <row r="768" spans="5:5" x14ac:dyDescent="0.25">
      <c r="E768" s="80"/>
    </row>
    <row r="769" spans="5:5" x14ac:dyDescent="0.25">
      <c r="E769" s="80"/>
    </row>
    <row r="770" spans="5:5" x14ac:dyDescent="0.25">
      <c r="E770" s="80"/>
    </row>
    <row r="771" spans="5:5" x14ac:dyDescent="0.25">
      <c r="E771" s="80"/>
    </row>
    <row r="772" spans="5:5" x14ac:dyDescent="0.25">
      <c r="E772" s="80"/>
    </row>
    <row r="773" spans="5:5" x14ac:dyDescent="0.25">
      <c r="E773" s="80"/>
    </row>
    <row r="774" spans="5:5" x14ac:dyDescent="0.25">
      <c r="E774" s="80"/>
    </row>
    <row r="775" spans="5:5" x14ac:dyDescent="0.25">
      <c r="E775" s="80"/>
    </row>
    <row r="776" spans="5:5" x14ac:dyDescent="0.25">
      <c r="E776" s="80"/>
    </row>
    <row r="777" spans="5:5" x14ac:dyDescent="0.25">
      <c r="E777" s="80"/>
    </row>
    <row r="778" spans="5:5" x14ac:dyDescent="0.25">
      <c r="E778" s="80"/>
    </row>
    <row r="779" spans="5:5" x14ac:dyDescent="0.25">
      <c r="E779" s="80"/>
    </row>
    <row r="780" spans="5:5" x14ac:dyDescent="0.25">
      <c r="E780" s="80"/>
    </row>
    <row r="781" spans="5:5" x14ac:dyDescent="0.25">
      <c r="E781" s="80"/>
    </row>
    <row r="782" spans="5:5" x14ac:dyDescent="0.25">
      <c r="E782" s="80"/>
    </row>
    <row r="783" spans="5:5" x14ac:dyDescent="0.25">
      <c r="E783" s="80"/>
    </row>
    <row r="784" spans="5:5" x14ac:dyDescent="0.25">
      <c r="E784" s="80"/>
    </row>
    <row r="785" spans="5:5" x14ac:dyDescent="0.25">
      <c r="E785" s="80"/>
    </row>
    <row r="786" spans="5:5" x14ac:dyDescent="0.25">
      <c r="E786" s="80"/>
    </row>
    <row r="787" spans="5:5" x14ac:dyDescent="0.25">
      <c r="E787" s="80"/>
    </row>
    <row r="788" spans="5:5" x14ac:dyDescent="0.25">
      <c r="E788" s="80"/>
    </row>
    <row r="789" spans="5:5" x14ac:dyDescent="0.25">
      <c r="E789" s="80"/>
    </row>
    <row r="790" spans="5:5" x14ac:dyDescent="0.25">
      <c r="E790" s="80"/>
    </row>
    <row r="791" spans="5:5" x14ac:dyDescent="0.25">
      <c r="E791" s="80"/>
    </row>
    <row r="792" spans="5:5" x14ac:dyDescent="0.25">
      <c r="E792" s="80"/>
    </row>
    <row r="793" spans="5:5" x14ac:dyDescent="0.25">
      <c r="E793" s="80"/>
    </row>
    <row r="794" spans="5:5" x14ac:dyDescent="0.25">
      <c r="E794" s="80"/>
    </row>
    <row r="795" spans="5:5" x14ac:dyDescent="0.25">
      <c r="E795" s="80"/>
    </row>
    <row r="796" spans="5:5" x14ac:dyDescent="0.25">
      <c r="E796" s="80"/>
    </row>
    <row r="797" spans="5:5" x14ac:dyDescent="0.25">
      <c r="E797" s="80"/>
    </row>
    <row r="798" spans="5:5" x14ac:dyDescent="0.25">
      <c r="E798" s="80"/>
    </row>
    <row r="799" spans="5:5" x14ac:dyDescent="0.25">
      <c r="E799" s="80"/>
    </row>
    <row r="800" spans="5:5" x14ac:dyDescent="0.25">
      <c r="E800" s="80"/>
    </row>
    <row r="801" spans="5:5" x14ac:dyDescent="0.25">
      <c r="E801" s="80"/>
    </row>
    <row r="802" spans="5:5" x14ac:dyDescent="0.25">
      <c r="E802" s="80"/>
    </row>
    <row r="803" spans="5:5" x14ac:dyDescent="0.25">
      <c r="E803" s="80"/>
    </row>
    <row r="804" spans="5:5" x14ac:dyDescent="0.25">
      <c r="E804" s="80"/>
    </row>
    <row r="805" spans="5:5" x14ac:dyDescent="0.25">
      <c r="E805" s="80"/>
    </row>
    <row r="806" spans="5:5" x14ac:dyDescent="0.25">
      <c r="E806" s="80"/>
    </row>
    <row r="807" spans="5:5" x14ac:dyDescent="0.25">
      <c r="E807" s="80"/>
    </row>
    <row r="808" spans="5:5" x14ac:dyDescent="0.25">
      <c r="E808" s="80"/>
    </row>
    <row r="809" spans="5:5" x14ac:dyDescent="0.25">
      <c r="E809" s="80"/>
    </row>
    <row r="810" spans="5:5" x14ac:dyDescent="0.25">
      <c r="E810" s="80"/>
    </row>
    <row r="811" spans="5:5" x14ac:dyDescent="0.25">
      <c r="E811" s="80"/>
    </row>
    <row r="812" spans="5:5" x14ac:dyDescent="0.25">
      <c r="E812" s="80"/>
    </row>
    <row r="813" spans="5:5" x14ac:dyDescent="0.25">
      <c r="E813" s="80"/>
    </row>
    <row r="814" spans="5:5" x14ac:dyDescent="0.25">
      <c r="E814" s="80"/>
    </row>
    <row r="815" spans="5:5" x14ac:dyDescent="0.25">
      <c r="E815" s="80"/>
    </row>
    <row r="816" spans="5:5" x14ac:dyDescent="0.25">
      <c r="E816" s="80"/>
    </row>
    <row r="817" spans="5:5" x14ac:dyDescent="0.25">
      <c r="E817" s="80"/>
    </row>
    <row r="818" spans="5:5" x14ac:dyDescent="0.25">
      <c r="E818" s="80"/>
    </row>
    <row r="819" spans="5:5" x14ac:dyDescent="0.25">
      <c r="E819" s="80"/>
    </row>
    <row r="820" spans="5:5" x14ac:dyDescent="0.25">
      <c r="E820" s="80"/>
    </row>
    <row r="821" spans="5:5" x14ac:dyDescent="0.25">
      <c r="E821" s="80"/>
    </row>
    <row r="822" spans="5:5" x14ac:dyDescent="0.25">
      <c r="E822" s="80"/>
    </row>
    <row r="823" spans="5:5" x14ac:dyDescent="0.25">
      <c r="E823" s="80"/>
    </row>
    <row r="824" spans="5:5" x14ac:dyDescent="0.25">
      <c r="E824" s="80"/>
    </row>
    <row r="825" spans="5:5" x14ac:dyDescent="0.25">
      <c r="E825" s="80"/>
    </row>
    <row r="826" spans="5:5" x14ac:dyDescent="0.25">
      <c r="E826" s="80"/>
    </row>
    <row r="827" spans="5:5" x14ac:dyDescent="0.25">
      <c r="E827" s="80"/>
    </row>
    <row r="828" spans="5:5" x14ac:dyDescent="0.25">
      <c r="E828" s="80"/>
    </row>
    <row r="829" spans="5:5" x14ac:dyDescent="0.25">
      <c r="E829" s="80"/>
    </row>
    <row r="830" spans="5:5" x14ac:dyDescent="0.25">
      <c r="E830" s="80"/>
    </row>
    <row r="831" spans="5:5" x14ac:dyDescent="0.25">
      <c r="E831" s="80"/>
    </row>
    <row r="832" spans="5:5" x14ac:dyDescent="0.25">
      <c r="E832" s="80"/>
    </row>
    <row r="833" spans="5:5" x14ac:dyDescent="0.25">
      <c r="E833" s="80"/>
    </row>
    <row r="834" spans="5:5" x14ac:dyDescent="0.25">
      <c r="E834" s="80"/>
    </row>
    <row r="835" spans="5:5" x14ac:dyDescent="0.25">
      <c r="E835" s="80"/>
    </row>
    <row r="836" spans="5:5" x14ac:dyDescent="0.25">
      <c r="E836" s="80"/>
    </row>
    <row r="837" spans="5:5" x14ac:dyDescent="0.25">
      <c r="E837" s="80"/>
    </row>
    <row r="838" spans="5:5" x14ac:dyDescent="0.25">
      <c r="E838" s="80"/>
    </row>
    <row r="839" spans="5:5" x14ac:dyDescent="0.25">
      <c r="E839" s="80"/>
    </row>
    <row r="840" spans="5:5" x14ac:dyDescent="0.25">
      <c r="E840" s="80"/>
    </row>
    <row r="841" spans="5:5" x14ac:dyDescent="0.25">
      <c r="E841" s="80"/>
    </row>
    <row r="842" spans="5:5" x14ac:dyDescent="0.25">
      <c r="E842" s="80"/>
    </row>
    <row r="843" spans="5:5" x14ac:dyDescent="0.25">
      <c r="E843" s="80"/>
    </row>
    <row r="844" spans="5:5" x14ac:dyDescent="0.25">
      <c r="E844" s="80"/>
    </row>
    <row r="845" spans="5:5" x14ac:dyDescent="0.25">
      <c r="E845" s="80"/>
    </row>
    <row r="846" spans="5:5" x14ac:dyDescent="0.25">
      <c r="E846" s="80"/>
    </row>
    <row r="847" spans="5:5" x14ac:dyDescent="0.25">
      <c r="E847" s="80"/>
    </row>
    <row r="848" spans="5:5" x14ac:dyDescent="0.25">
      <c r="E848" s="80"/>
    </row>
    <row r="849" spans="5:5" x14ac:dyDescent="0.25">
      <c r="E849" s="80"/>
    </row>
    <row r="850" spans="5:5" x14ac:dyDescent="0.25">
      <c r="E850" s="80"/>
    </row>
    <row r="851" spans="5:5" x14ac:dyDescent="0.25">
      <c r="E851" s="80"/>
    </row>
    <row r="852" spans="5:5" x14ac:dyDescent="0.25">
      <c r="E852" s="80"/>
    </row>
    <row r="853" spans="5:5" x14ac:dyDescent="0.25">
      <c r="E853" s="80"/>
    </row>
    <row r="854" spans="5:5" x14ac:dyDescent="0.25">
      <c r="E854" s="80"/>
    </row>
    <row r="855" spans="5:5" x14ac:dyDescent="0.25">
      <c r="E855" s="80"/>
    </row>
    <row r="856" spans="5:5" x14ac:dyDescent="0.25">
      <c r="E856" s="80"/>
    </row>
    <row r="857" spans="5:5" x14ac:dyDescent="0.25">
      <c r="E857" s="80"/>
    </row>
    <row r="858" spans="5:5" x14ac:dyDescent="0.25">
      <c r="E858" s="80"/>
    </row>
    <row r="859" spans="5:5" x14ac:dyDescent="0.25">
      <c r="E859" s="80"/>
    </row>
    <row r="860" spans="5:5" x14ac:dyDescent="0.25">
      <c r="E860" s="80"/>
    </row>
    <row r="861" spans="5:5" x14ac:dyDescent="0.25">
      <c r="E861" s="80"/>
    </row>
    <row r="862" spans="5:5" x14ac:dyDescent="0.25">
      <c r="E862" s="80"/>
    </row>
    <row r="863" spans="5:5" x14ac:dyDescent="0.25">
      <c r="E863" s="80"/>
    </row>
    <row r="864" spans="5:5" x14ac:dyDescent="0.25">
      <c r="E864" s="80"/>
    </row>
    <row r="865" spans="5:5" x14ac:dyDescent="0.25">
      <c r="E865" s="80"/>
    </row>
    <row r="866" spans="5:5" x14ac:dyDescent="0.25">
      <c r="E866" s="80"/>
    </row>
    <row r="867" spans="5:5" x14ac:dyDescent="0.25">
      <c r="E867" s="80"/>
    </row>
    <row r="868" spans="5:5" x14ac:dyDescent="0.25">
      <c r="E868" s="80"/>
    </row>
    <row r="869" spans="5:5" x14ac:dyDescent="0.25">
      <c r="E869" s="80"/>
    </row>
    <row r="870" spans="5:5" x14ac:dyDescent="0.25">
      <c r="E870" s="80"/>
    </row>
    <row r="871" spans="5:5" x14ac:dyDescent="0.25">
      <c r="E871" s="80"/>
    </row>
    <row r="872" spans="5:5" x14ac:dyDescent="0.25">
      <c r="E872" s="80"/>
    </row>
    <row r="873" spans="5:5" x14ac:dyDescent="0.25">
      <c r="E873" s="80"/>
    </row>
    <row r="874" spans="5:5" x14ac:dyDescent="0.25">
      <c r="E874" s="80"/>
    </row>
    <row r="875" spans="5:5" x14ac:dyDescent="0.25">
      <c r="E875" s="80"/>
    </row>
    <row r="876" spans="5:5" x14ac:dyDescent="0.25">
      <c r="E876" s="80"/>
    </row>
    <row r="877" spans="5:5" x14ac:dyDescent="0.25">
      <c r="E877" s="80"/>
    </row>
    <row r="878" spans="5:5" x14ac:dyDescent="0.25">
      <c r="E878" s="80"/>
    </row>
    <row r="879" spans="5:5" x14ac:dyDescent="0.25">
      <c r="E879" s="80"/>
    </row>
    <row r="880" spans="5:5" x14ac:dyDescent="0.25">
      <c r="E880" s="80"/>
    </row>
    <row r="881" spans="5:5" x14ac:dyDescent="0.25">
      <c r="E881" s="80"/>
    </row>
    <row r="882" spans="5:5" x14ac:dyDescent="0.25">
      <c r="E882" s="80"/>
    </row>
    <row r="883" spans="5:5" x14ac:dyDescent="0.25">
      <c r="E883" s="80"/>
    </row>
    <row r="884" spans="5:5" x14ac:dyDescent="0.25">
      <c r="E884" s="80"/>
    </row>
    <row r="885" spans="5:5" x14ac:dyDescent="0.25">
      <c r="E885" s="80"/>
    </row>
    <row r="886" spans="5:5" x14ac:dyDescent="0.25">
      <c r="E886" s="80"/>
    </row>
    <row r="887" spans="5:5" x14ac:dyDescent="0.25">
      <c r="E887" s="80"/>
    </row>
    <row r="888" spans="5:5" x14ac:dyDescent="0.25">
      <c r="E888" s="80"/>
    </row>
    <row r="889" spans="5:5" x14ac:dyDescent="0.25">
      <c r="E889" s="80"/>
    </row>
    <row r="890" spans="5:5" x14ac:dyDescent="0.25">
      <c r="E890" s="80"/>
    </row>
    <row r="891" spans="5:5" x14ac:dyDescent="0.25">
      <c r="E891" s="80"/>
    </row>
    <row r="892" spans="5:5" x14ac:dyDescent="0.25">
      <c r="E892" s="80"/>
    </row>
    <row r="893" spans="5:5" x14ac:dyDescent="0.25">
      <c r="E893" s="80"/>
    </row>
    <row r="894" spans="5:5" x14ac:dyDescent="0.25">
      <c r="E894" s="80"/>
    </row>
    <row r="895" spans="5:5" x14ac:dyDescent="0.25">
      <c r="E895" s="80"/>
    </row>
    <row r="896" spans="5:5" x14ac:dyDescent="0.25">
      <c r="E896" s="80"/>
    </row>
    <row r="897" spans="5:5" x14ac:dyDescent="0.25">
      <c r="E897" s="80"/>
    </row>
    <row r="898" spans="5:5" x14ac:dyDescent="0.25">
      <c r="E898" s="80"/>
    </row>
    <row r="899" spans="5:5" x14ac:dyDescent="0.25">
      <c r="E899" s="80"/>
    </row>
    <row r="900" spans="5:5" x14ac:dyDescent="0.25">
      <c r="E900" s="80"/>
    </row>
    <row r="901" spans="5:5" x14ac:dyDescent="0.25">
      <c r="E901" s="80"/>
    </row>
    <row r="902" spans="5:5" x14ac:dyDescent="0.25">
      <c r="E902" s="80"/>
    </row>
    <row r="903" spans="5:5" x14ac:dyDescent="0.25">
      <c r="E903" s="80"/>
    </row>
    <row r="904" spans="5:5" x14ac:dyDescent="0.25">
      <c r="E904" s="80"/>
    </row>
    <row r="905" spans="5:5" x14ac:dyDescent="0.25">
      <c r="E905" s="80"/>
    </row>
    <row r="906" spans="5:5" x14ac:dyDescent="0.25">
      <c r="E906" s="80"/>
    </row>
    <row r="907" spans="5:5" x14ac:dyDescent="0.25">
      <c r="E907" s="80"/>
    </row>
    <row r="908" spans="5:5" x14ac:dyDescent="0.25">
      <c r="E908" s="80"/>
    </row>
    <row r="909" spans="5:5" x14ac:dyDescent="0.25">
      <c r="E909" s="80"/>
    </row>
    <row r="910" spans="5:5" x14ac:dyDescent="0.25">
      <c r="E910" s="80"/>
    </row>
    <row r="911" spans="5:5" x14ac:dyDescent="0.25">
      <c r="E911" s="80"/>
    </row>
    <row r="912" spans="5:5" x14ac:dyDescent="0.25">
      <c r="E912" s="80"/>
    </row>
    <row r="913" spans="5:5" x14ac:dyDescent="0.25">
      <c r="E913" s="80"/>
    </row>
    <row r="914" spans="5:5" x14ac:dyDescent="0.25">
      <c r="E914" s="80"/>
    </row>
    <row r="915" spans="5:5" x14ac:dyDescent="0.25">
      <c r="E915" s="80"/>
    </row>
    <row r="916" spans="5:5" x14ac:dyDescent="0.25">
      <c r="E916" s="80"/>
    </row>
    <row r="917" spans="5:5" x14ac:dyDescent="0.25">
      <c r="E917" s="80"/>
    </row>
    <row r="918" spans="5:5" x14ac:dyDescent="0.25">
      <c r="E918" s="80"/>
    </row>
    <row r="919" spans="5:5" x14ac:dyDescent="0.25">
      <c r="E919" s="80"/>
    </row>
    <row r="920" spans="5:5" x14ac:dyDescent="0.25">
      <c r="E920" s="80"/>
    </row>
    <row r="921" spans="5:5" x14ac:dyDescent="0.25">
      <c r="E921" s="80"/>
    </row>
    <row r="922" spans="5:5" x14ac:dyDescent="0.25">
      <c r="E922" s="80"/>
    </row>
    <row r="923" spans="5:5" x14ac:dyDescent="0.25">
      <c r="E923" s="80"/>
    </row>
    <row r="924" spans="5:5" x14ac:dyDescent="0.25">
      <c r="E924" s="80"/>
    </row>
    <row r="925" spans="5:5" x14ac:dyDescent="0.25">
      <c r="E925" s="80"/>
    </row>
    <row r="926" spans="5:5" x14ac:dyDescent="0.25">
      <c r="E926" s="80"/>
    </row>
    <row r="927" spans="5:5" x14ac:dyDescent="0.25">
      <c r="E927" s="80"/>
    </row>
    <row r="928" spans="5:5" x14ac:dyDescent="0.25">
      <c r="E928" s="80"/>
    </row>
    <row r="929" spans="5:5" x14ac:dyDescent="0.25">
      <c r="E929" s="80"/>
    </row>
    <row r="930" spans="5:5" x14ac:dyDescent="0.25">
      <c r="E930" s="80"/>
    </row>
    <row r="931" spans="5:5" x14ac:dyDescent="0.25">
      <c r="E931" s="80"/>
    </row>
    <row r="932" spans="5:5" x14ac:dyDescent="0.25">
      <c r="E932" s="80"/>
    </row>
    <row r="933" spans="5:5" x14ac:dyDescent="0.25">
      <c r="E933" s="80"/>
    </row>
    <row r="934" spans="5:5" x14ac:dyDescent="0.25">
      <c r="E934" s="80"/>
    </row>
    <row r="935" spans="5:5" x14ac:dyDescent="0.25">
      <c r="E935" s="80"/>
    </row>
    <row r="936" spans="5:5" x14ac:dyDescent="0.25">
      <c r="E936" s="80"/>
    </row>
    <row r="937" spans="5:5" x14ac:dyDescent="0.25">
      <c r="E937" s="80"/>
    </row>
    <row r="938" spans="5:5" x14ac:dyDescent="0.25">
      <c r="E938" s="80"/>
    </row>
    <row r="939" spans="5:5" x14ac:dyDescent="0.25">
      <c r="E939" s="80"/>
    </row>
    <row r="940" spans="5:5" x14ac:dyDescent="0.25">
      <c r="E940" s="80"/>
    </row>
    <row r="941" spans="5:5" x14ac:dyDescent="0.25">
      <c r="E941" s="80"/>
    </row>
    <row r="942" spans="5:5" x14ac:dyDescent="0.25">
      <c r="E942" s="80"/>
    </row>
    <row r="943" spans="5:5" x14ac:dyDescent="0.25">
      <c r="E943" s="80"/>
    </row>
    <row r="944" spans="5:5" x14ac:dyDescent="0.25">
      <c r="E944" s="80"/>
    </row>
    <row r="945" spans="5:5" x14ac:dyDescent="0.25">
      <c r="E945" s="80"/>
    </row>
    <row r="946" spans="5:5" x14ac:dyDescent="0.25">
      <c r="E946" s="80"/>
    </row>
    <row r="947" spans="5:5" x14ac:dyDescent="0.25">
      <c r="E947" s="80"/>
    </row>
    <row r="948" spans="5:5" x14ac:dyDescent="0.25">
      <c r="E948" s="80"/>
    </row>
    <row r="949" spans="5:5" x14ac:dyDescent="0.25">
      <c r="E949" s="80"/>
    </row>
    <row r="950" spans="5:5" x14ac:dyDescent="0.25">
      <c r="E950" s="80"/>
    </row>
    <row r="951" spans="5:5" x14ac:dyDescent="0.25">
      <c r="E951" s="80"/>
    </row>
    <row r="952" spans="5:5" x14ac:dyDescent="0.25">
      <c r="E952" s="80"/>
    </row>
    <row r="953" spans="5:5" x14ac:dyDescent="0.25">
      <c r="E953" s="80"/>
    </row>
    <row r="954" spans="5:5" x14ac:dyDescent="0.25">
      <c r="E954" s="80"/>
    </row>
    <row r="955" spans="5:5" x14ac:dyDescent="0.25">
      <c r="E955" s="80"/>
    </row>
    <row r="956" spans="5:5" x14ac:dyDescent="0.25">
      <c r="E956" s="80"/>
    </row>
    <row r="957" spans="5:5" x14ac:dyDescent="0.25">
      <c r="E957" s="80"/>
    </row>
    <row r="958" spans="5:5" x14ac:dyDescent="0.25">
      <c r="E958" s="80"/>
    </row>
    <row r="959" spans="5:5" x14ac:dyDescent="0.25">
      <c r="E959" s="80"/>
    </row>
    <row r="960" spans="5:5" x14ac:dyDescent="0.25">
      <c r="E960" s="80"/>
    </row>
    <row r="961" spans="5:5" x14ac:dyDescent="0.25">
      <c r="E961" s="80"/>
    </row>
    <row r="962" spans="5:5" x14ac:dyDescent="0.25">
      <c r="E962" s="80"/>
    </row>
    <row r="963" spans="5:5" x14ac:dyDescent="0.25">
      <c r="E963" s="80"/>
    </row>
    <row r="964" spans="5:5" x14ac:dyDescent="0.25">
      <c r="E964" s="80"/>
    </row>
    <row r="965" spans="5:5" x14ac:dyDescent="0.25">
      <c r="E965" s="80"/>
    </row>
    <row r="966" spans="5:5" x14ac:dyDescent="0.25">
      <c r="E966" s="80"/>
    </row>
    <row r="967" spans="5:5" x14ac:dyDescent="0.25">
      <c r="E967" s="80"/>
    </row>
    <row r="968" spans="5:5" x14ac:dyDescent="0.25">
      <c r="E968" s="80"/>
    </row>
    <row r="969" spans="5:5" x14ac:dyDescent="0.25">
      <c r="E969" s="80"/>
    </row>
    <row r="970" spans="5:5" x14ac:dyDescent="0.25">
      <c r="E970" s="80"/>
    </row>
    <row r="971" spans="5:5" x14ac:dyDescent="0.25">
      <c r="E971" s="80"/>
    </row>
    <row r="972" spans="5:5" x14ac:dyDescent="0.25">
      <c r="E972" s="80"/>
    </row>
    <row r="973" spans="5:5" x14ac:dyDescent="0.25">
      <c r="E973" s="80"/>
    </row>
    <row r="974" spans="5:5" x14ac:dyDescent="0.25">
      <c r="E974" s="80"/>
    </row>
    <row r="975" spans="5:5" x14ac:dyDescent="0.25">
      <c r="E975" s="80"/>
    </row>
    <row r="976" spans="5:5" x14ac:dyDescent="0.25">
      <c r="E976" s="80"/>
    </row>
    <row r="977" spans="5:5" x14ac:dyDescent="0.25">
      <c r="E977" s="80"/>
    </row>
    <row r="978" spans="5:5" x14ac:dyDescent="0.25">
      <c r="E978" s="80"/>
    </row>
    <row r="979" spans="5:5" x14ac:dyDescent="0.25">
      <c r="E979" s="80"/>
    </row>
    <row r="980" spans="5:5" x14ac:dyDescent="0.25">
      <c r="E980" s="80"/>
    </row>
    <row r="981" spans="5:5" x14ac:dyDescent="0.25">
      <c r="E981" s="80"/>
    </row>
    <row r="982" spans="5:5" x14ac:dyDescent="0.25">
      <c r="E982" s="80"/>
    </row>
    <row r="983" spans="5:5" x14ac:dyDescent="0.25">
      <c r="E983" s="80"/>
    </row>
    <row r="984" spans="5:5" x14ac:dyDescent="0.25">
      <c r="E984" s="80"/>
    </row>
    <row r="985" spans="5:5" x14ac:dyDescent="0.25">
      <c r="E985" s="80"/>
    </row>
    <row r="986" spans="5:5" x14ac:dyDescent="0.25">
      <c r="E986" s="80"/>
    </row>
    <row r="987" spans="5:5" x14ac:dyDescent="0.25">
      <c r="E987" s="80"/>
    </row>
    <row r="988" spans="5:5" x14ac:dyDescent="0.25">
      <c r="E988" s="80"/>
    </row>
    <row r="989" spans="5:5" x14ac:dyDescent="0.25">
      <c r="E989" s="80"/>
    </row>
    <row r="990" spans="5:5" x14ac:dyDescent="0.25">
      <c r="E990" s="80"/>
    </row>
    <row r="991" spans="5:5" x14ac:dyDescent="0.25">
      <c r="E991" s="80"/>
    </row>
    <row r="992" spans="5:5" x14ac:dyDescent="0.25">
      <c r="E992" s="80"/>
    </row>
    <row r="993" spans="5:5" x14ac:dyDescent="0.25">
      <c r="E993" s="80"/>
    </row>
    <row r="994" spans="5:5" x14ac:dyDescent="0.25">
      <c r="E994" s="80"/>
    </row>
    <row r="995" spans="5:5" x14ac:dyDescent="0.25">
      <c r="E995" s="80"/>
    </row>
    <row r="996" spans="5:5" x14ac:dyDescent="0.25">
      <c r="E996" s="80"/>
    </row>
    <row r="997" spans="5:5" x14ac:dyDescent="0.25">
      <c r="E997" s="80"/>
    </row>
    <row r="998" spans="5:5" x14ac:dyDescent="0.25">
      <c r="E998" s="80"/>
    </row>
    <row r="999" spans="5:5" x14ac:dyDescent="0.25">
      <c r="E999" s="80"/>
    </row>
    <row r="1000" spans="5:5" x14ac:dyDescent="0.25">
      <c r="E1000" s="80"/>
    </row>
    <row r="1001" spans="5:5" x14ac:dyDescent="0.25">
      <c r="E1001" s="80"/>
    </row>
    <row r="1002" spans="5:5" x14ac:dyDescent="0.25">
      <c r="E1002" s="80"/>
    </row>
    <row r="1003" spans="5:5" x14ac:dyDescent="0.25">
      <c r="E1003" s="80"/>
    </row>
    <row r="1004" spans="5:5" x14ac:dyDescent="0.25">
      <c r="E1004" s="80"/>
    </row>
    <row r="1005" spans="5:5" x14ac:dyDescent="0.25">
      <c r="E1005" s="80"/>
    </row>
    <row r="1006" spans="5:5" x14ac:dyDescent="0.25">
      <c r="E1006" s="80"/>
    </row>
    <row r="1007" spans="5:5" x14ac:dyDescent="0.25">
      <c r="E1007" s="80"/>
    </row>
    <row r="1008" spans="5:5" x14ac:dyDescent="0.25">
      <c r="E1008" s="80"/>
    </row>
    <row r="1009" spans="5:5" x14ac:dyDescent="0.25">
      <c r="E1009" s="80"/>
    </row>
    <row r="1010" spans="5:5" x14ac:dyDescent="0.25">
      <c r="E1010" s="80"/>
    </row>
    <row r="1011" spans="5:5" x14ac:dyDescent="0.25">
      <c r="E1011" s="80"/>
    </row>
    <row r="1012" spans="5:5" x14ac:dyDescent="0.25">
      <c r="E1012" s="80"/>
    </row>
    <row r="1013" spans="5:5" x14ac:dyDescent="0.25">
      <c r="E1013" s="80"/>
    </row>
    <row r="1014" spans="5:5" x14ac:dyDescent="0.25">
      <c r="E1014" s="80"/>
    </row>
    <row r="1015" spans="5:5" x14ac:dyDescent="0.25">
      <c r="E1015" s="80"/>
    </row>
    <row r="1016" spans="5:5" x14ac:dyDescent="0.25">
      <c r="E1016" s="80"/>
    </row>
    <row r="1017" spans="5:5" x14ac:dyDescent="0.25">
      <c r="E1017" s="80"/>
    </row>
    <row r="1018" spans="5:5" x14ac:dyDescent="0.25">
      <c r="E1018" s="80"/>
    </row>
    <row r="1019" spans="5:5" x14ac:dyDescent="0.25">
      <c r="E1019" s="80"/>
    </row>
    <row r="1020" spans="5:5" x14ac:dyDescent="0.25">
      <c r="E1020" s="80"/>
    </row>
    <row r="1021" spans="5:5" x14ac:dyDescent="0.25">
      <c r="E1021" s="80"/>
    </row>
    <row r="1022" spans="5:5" x14ac:dyDescent="0.25">
      <c r="E1022" s="80"/>
    </row>
    <row r="1023" spans="5:5" x14ac:dyDescent="0.25">
      <c r="E1023" s="80"/>
    </row>
    <row r="1024" spans="5:5" x14ac:dyDescent="0.25">
      <c r="E1024" s="80"/>
    </row>
    <row r="1025" spans="5:5" x14ac:dyDescent="0.25">
      <c r="E1025" s="80"/>
    </row>
    <row r="1026" spans="5:5" x14ac:dyDescent="0.25">
      <c r="E1026" s="80"/>
    </row>
    <row r="1027" spans="5:5" x14ac:dyDescent="0.25">
      <c r="E1027" s="80"/>
    </row>
    <row r="1028" spans="5:5" x14ac:dyDescent="0.25">
      <c r="E1028" s="80"/>
    </row>
    <row r="1029" spans="5:5" x14ac:dyDescent="0.25">
      <c r="E1029" s="80"/>
    </row>
    <row r="1030" spans="5:5" x14ac:dyDescent="0.25">
      <c r="E1030" s="80"/>
    </row>
    <row r="1031" spans="5:5" x14ac:dyDescent="0.25">
      <c r="E1031" s="80"/>
    </row>
    <row r="1032" spans="5:5" x14ac:dyDescent="0.25">
      <c r="E1032" s="80"/>
    </row>
    <row r="1033" spans="5:5" x14ac:dyDescent="0.25">
      <c r="E1033" s="80"/>
    </row>
    <row r="1034" spans="5:5" x14ac:dyDescent="0.25">
      <c r="E1034" s="80"/>
    </row>
    <row r="1035" spans="5:5" x14ac:dyDescent="0.25">
      <c r="E1035" s="80"/>
    </row>
    <row r="1036" spans="5:5" x14ac:dyDescent="0.25">
      <c r="E1036" s="80"/>
    </row>
    <row r="1037" spans="5:5" x14ac:dyDescent="0.25">
      <c r="E1037" s="80"/>
    </row>
    <row r="1038" spans="5:5" x14ac:dyDescent="0.25">
      <c r="E1038" s="80"/>
    </row>
    <row r="1039" spans="5:5" x14ac:dyDescent="0.25">
      <c r="E1039" s="80"/>
    </row>
    <row r="1040" spans="5:5" x14ac:dyDescent="0.25">
      <c r="E1040" s="80"/>
    </row>
    <row r="1041" spans="5:5" x14ac:dyDescent="0.25">
      <c r="E1041" s="80"/>
    </row>
    <row r="1042" spans="5:5" x14ac:dyDescent="0.25">
      <c r="E1042" s="80"/>
    </row>
    <row r="1043" spans="5:5" x14ac:dyDescent="0.25">
      <c r="E1043" s="80"/>
    </row>
    <row r="1044" spans="5:5" x14ac:dyDescent="0.25">
      <c r="E1044" s="80"/>
    </row>
    <row r="1045" spans="5:5" x14ac:dyDescent="0.25">
      <c r="E1045" s="80"/>
    </row>
    <row r="1046" spans="5:5" x14ac:dyDescent="0.25">
      <c r="E1046" s="80"/>
    </row>
    <row r="1047" spans="5:5" x14ac:dyDescent="0.25">
      <c r="E1047" s="80"/>
    </row>
    <row r="1048" spans="5:5" x14ac:dyDescent="0.25">
      <c r="E1048" s="80"/>
    </row>
    <row r="1049" spans="5:5" x14ac:dyDescent="0.25">
      <c r="E1049" s="80"/>
    </row>
    <row r="1050" spans="5:5" x14ac:dyDescent="0.25">
      <c r="E1050" s="80"/>
    </row>
    <row r="1051" spans="5:5" x14ac:dyDescent="0.25">
      <c r="E1051" s="80"/>
    </row>
    <row r="1052" spans="5:5" x14ac:dyDescent="0.25">
      <c r="E1052" s="80"/>
    </row>
    <row r="1053" spans="5:5" x14ac:dyDescent="0.25">
      <c r="E1053" s="80"/>
    </row>
    <row r="1054" spans="5:5" x14ac:dyDescent="0.25">
      <c r="E1054" s="80"/>
    </row>
    <row r="1055" spans="5:5" x14ac:dyDescent="0.25">
      <c r="E1055" s="80"/>
    </row>
    <row r="1056" spans="5:5" x14ac:dyDescent="0.25">
      <c r="E1056" s="80"/>
    </row>
    <row r="1057" spans="5:5" x14ac:dyDescent="0.25">
      <c r="E1057" s="80"/>
    </row>
    <row r="1058" spans="5:5" x14ac:dyDescent="0.25">
      <c r="E1058" s="80"/>
    </row>
    <row r="1059" spans="5:5" x14ac:dyDescent="0.25">
      <c r="E1059" s="80"/>
    </row>
    <row r="1060" spans="5:5" x14ac:dyDescent="0.25">
      <c r="E1060" s="80"/>
    </row>
    <row r="1061" spans="5:5" x14ac:dyDescent="0.25">
      <c r="E1061" s="80"/>
    </row>
    <row r="1062" spans="5:5" x14ac:dyDescent="0.25">
      <c r="E1062" s="80"/>
    </row>
    <row r="1063" spans="5:5" x14ac:dyDescent="0.25">
      <c r="E1063" s="80"/>
    </row>
    <row r="1064" spans="5:5" x14ac:dyDescent="0.25">
      <c r="E1064" s="80"/>
    </row>
    <row r="1065" spans="5:5" x14ac:dyDescent="0.25">
      <c r="E1065" s="80"/>
    </row>
    <row r="1066" spans="5:5" x14ac:dyDescent="0.25">
      <c r="E1066" s="80"/>
    </row>
    <row r="1067" spans="5:5" x14ac:dyDescent="0.25">
      <c r="E1067" s="80"/>
    </row>
    <row r="1068" spans="5:5" x14ac:dyDescent="0.25">
      <c r="E1068" s="80"/>
    </row>
    <row r="1069" spans="5:5" x14ac:dyDescent="0.25">
      <c r="E1069" s="80"/>
    </row>
    <row r="1070" spans="5:5" x14ac:dyDescent="0.25">
      <c r="E1070" s="80"/>
    </row>
    <row r="1071" spans="5:5" x14ac:dyDescent="0.25">
      <c r="E1071" s="80"/>
    </row>
    <row r="1072" spans="5:5" x14ac:dyDescent="0.25">
      <c r="E1072" s="80"/>
    </row>
    <row r="1073" spans="5:5" x14ac:dyDescent="0.25">
      <c r="E1073" s="80"/>
    </row>
    <row r="1074" spans="5:5" x14ac:dyDescent="0.25">
      <c r="E1074" s="80"/>
    </row>
    <row r="1075" spans="5:5" x14ac:dyDescent="0.25">
      <c r="E1075" s="80"/>
    </row>
    <row r="1076" spans="5:5" x14ac:dyDescent="0.25">
      <c r="E1076" s="80"/>
    </row>
    <row r="1077" spans="5:5" x14ac:dyDescent="0.25">
      <c r="E1077" s="80"/>
    </row>
    <row r="1078" spans="5:5" x14ac:dyDescent="0.25">
      <c r="E1078" s="80"/>
    </row>
    <row r="1079" spans="5:5" x14ac:dyDescent="0.25">
      <c r="E1079" s="80"/>
    </row>
    <row r="1080" spans="5:5" x14ac:dyDescent="0.25">
      <c r="E1080" s="80"/>
    </row>
    <row r="1081" spans="5:5" x14ac:dyDescent="0.25">
      <c r="E1081" s="80"/>
    </row>
    <row r="1082" spans="5:5" x14ac:dyDescent="0.25">
      <c r="E1082" s="80"/>
    </row>
    <row r="1083" spans="5:5" x14ac:dyDescent="0.25">
      <c r="E1083" s="80"/>
    </row>
    <row r="1084" spans="5:5" x14ac:dyDescent="0.25">
      <c r="E1084" s="80"/>
    </row>
    <row r="1085" spans="5:5" x14ac:dyDescent="0.25">
      <c r="E1085" s="80"/>
    </row>
    <row r="1086" spans="5:5" x14ac:dyDescent="0.25">
      <c r="E1086" s="80"/>
    </row>
    <row r="1087" spans="5:5" x14ac:dyDescent="0.25">
      <c r="E1087" s="80"/>
    </row>
    <row r="1088" spans="5:5" x14ac:dyDescent="0.25">
      <c r="E1088" s="80"/>
    </row>
    <row r="1089" spans="5:5" x14ac:dyDescent="0.25">
      <c r="E1089" s="80"/>
    </row>
    <row r="1090" spans="5:5" x14ac:dyDescent="0.25">
      <c r="E1090" s="80"/>
    </row>
    <row r="1091" spans="5:5" x14ac:dyDescent="0.25">
      <c r="E1091" s="80"/>
    </row>
    <row r="1092" spans="5:5" x14ac:dyDescent="0.25">
      <c r="E1092" s="80"/>
    </row>
    <row r="1093" spans="5:5" x14ac:dyDescent="0.25">
      <c r="E1093" s="80"/>
    </row>
    <row r="1094" spans="5:5" x14ac:dyDescent="0.25">
      <c r="E1094" s="80"/>
    </row>
    <row r="1095" spans="5:5" x14ac:dyDescent="0.25">
      <c r="E1095" s="80"/>
    </row>
    <row r="1096" spans="5:5" x14ac:dyDescent="0.25">
      <c r="E1096" s="80"/>
    </row>
    <row r="1097" spans="5:5" x14ac:dyDescent="0.25">
      <c r="E1097" s="80"/>
    </row>
    <row r="1098" spans="5:5" x14ac:dyDescent="0.25">
      <c r="E1098" s="80"/>
    </row>
    <row r="1099" spans="5:5" x14ac:dyDescent="0.25">
      <c r="E1099" s="80"/>
    </row>
    <row r="1100" spans="5:5" x14ac:dyDescent="0.25">
      <c r="E1100" s="80"/>
    </row>
    <row r="1101" spans="5:5" x14ac:dyDescent="0.25">
      <c r="E1101" s="80"/>
    </row>
    <row r="1102" spans="5:5" x14ac:dyDescent="0.25">
      <c r="E1102" s="80"/>
    </row>
    <row r="1103" spans="5:5" x14ac:dyDescent="0.25">
      <c r="E1103" s="80"/>
    </row>
    <row r="1104" spans="5:5" x14ac:dyDescent="0.25">
      <c r="E1104" s="80"/>
    </row>
    <row r="1105" spans="5:5" x14ac:dyDescent="0.25">
      <c r="E1105" s="80"/>
    </row>
    <row r="1106" spans="5:5" x14ac:dyDescent="0.25">
      <c r="E1106" s="80"/>
    </row>
    <row r="1107" spans="5:5" x14ac:dyDescent="0.25">
      <c r="E1107" s="80"/>
    </row>
    <row r="1108" spans="5:5" x14ac:dyDescent="0.25">
      <c r="E1108" s="80"/>
    </row>
    <row r="1109" spans="5:5" x14ac:dyDescent="0.25">
      <c r="E1109" s="80"/>
    </row>
    <row r="1110" spans="5:5" x14ac:dyDescent="0.25">
      <c r="E1110" s="80"/>
    </row>
    <row r="1111" spans="5:5" x14ac:dyDescent="0.25">
      <c r="E1111" s="80"/>
    </row>
    <row r="1112" spans="5:5" x14ac:dyDescent="0.25">
      <c r="E1112" s="80"/>
    </row>
    <row r="1113" spans="5:5" x14ac:dyDescent="0.25">
      <c r="E1113" s="80"/>
    </row>
    <row r="1114" spans="5:5" x14ac:dyDescent="0.25">
      <c r="E1114" s="80"/>
    </row>
    <row r="1115" spans="5:5" x14ac:dyDescent="0.25">
      <c r="E1115" s="80"/>
    </row>
    <row r="1116" spans="5:5" x14ac:dyDescent="0.25">
      <c r="E1116" s="80"/>
    </row>
    <row r="1117" spans="5:5" x14ac:dyDescent="0.25">
      <c r="E1117" s="80"/>
    </row>
    <row r="1118" spans="5:5" x14ac:dyDescent="0.25">
      <c r="E1118" s="80"/>
    </row>
    <row r="1119" spans="5:5" x14ac:dyDescent="0.25">
      <c r="E1119" s="80"/>
    </row>
    <row r="1120" spans="5:5" x14ac:dyDescent="0.25">
      <c r="E1120" s="80"/>
    </row>
    <row r="1121" spans="5:5" x14ac:dyDescent="0.25">
      <c r="E1121" s="80"/>
    </row>
    <row r="1122" spans="5:5" x14ac:dyDescent="0.25">
      <c r="E1122" s="80"/>
    </row>
    <row r="1123" spans="5:5" x14ac:dyDescent="0.25">
      <c r="E1123" s="80"/>
    </row>
    <row r="1124" spans="5:5" x14ac:dyDescent="0.25">
      <c r="E1124" s="80"/>
    </row>
    <row r="1125" spans="5:5" x14ac:dyDescent="0.25">
      <c r="E1125" s="80"/>
    </row>
    <row r="1126" spans="5:5" x14ac:dyDescent="0.25">
      <c r="E1126" s="80"/>
    </row>
    <row r="1127" spans="5:5" x14ac:dyDescent="0.25">
      <c r="E1127" s="80"/>
    </row>
    <row r="1128" spans="5:5" x14ac:dyDescent="0.25">
      <c r="E1128" s="80"/>
    </row>
    <row r="1129" spans="5:5" x14ac:dyDescent="0.25">
      <c r="E1129" s="80"/>
    </row>
    <row r="1130" spans="5:5" x14ac:dyDescent="0.25">
      <c r="E1130" s="80"/>
    </row>
    <row r="1131" spans="5:5" x14ac:dyDescent="0.25">
      <c r="E1131" s="80"/>
    </row>
    <row r="1132" spans="5:5" x14ac:dyDescent="0.25">
      <c r="E1132" s="80"/>
    </row>
    <row r="1133" spans="5:5" x14ac:dyDescent="0.25">
      <c r="E1133" s="80"/>
    </row>
    <row r="1134" spans="5:5" x14ac:dyDescent="0.25">
      <c r="E1134" s="80"/>
    </row>
    <row r="1135" spans="5:5" x14ac:dyDescent="0.25">
      <c r="E1135" s="80"/>
    </row>
    <row r="1136" spans="5:5" x14ac:dyDescent="0.25">
      <c r="E1136" s="80"/>
    </row>
    <row r="1137" spans="5:5" x14ac:dyDescent="0.25">
      <c r="E1137" s="80"/>
    </row>
    <row r="1138" spans="5:5" x14ac:dyDescent="0.25">
      <c r="E1138" s="80"/>
    </row>
    <row r="1139" spans="5:5" x14ac:dyDescent="0.25">
      <c r="E1139" s="80"/>
    </row>
    <row r="1140" spans="5:5" x14ac:dyDescent="0.25">
      <c r="E1140" s="80"/>
    </row>
    <row r="1141" spans="5:5" x14ac:dyDescent="0.25">
      <c r="E1141" s="80"/>
    </row>
    <row r="1142" spans="5:5" x14ac:dyDescent="0.25">
      <c r="E1142" s="80"/>
    </row>
    <row r="1143" spans="5:5" x14ac:dyDescent="0.25">
      <c r="E1143" s="80"/>
    </row>
    <row r="1144" spans="5:5" x14ac:dyDescent="0.25">
      <c r="E1144" s="80"/>
    </row>
    <row r="1145" spans="5:5" x14ac:dyDescent="0.25">
      <c r="E1145" s="80"/>
    </row>
    <row r="1146" spans="5:5" x14ac:dyDescent="0.25">
      <c r="E1146" s="80"/>
    </row>
    <row r="1147" spans="5:5" x14ac:dyDescent="0.25">
      <c r="E1147" s="80"/>
    </row>
    <row r="1148" spans="5:5" x14ac:dyDescent="0.25">
      <c r="E1148" s="80"/>
    </row>
    <row r="1149" spans="5:5" x14ac:dyDescent="0.25">
      <c r="E1149" s="80"/>
    </row>
    <row r="1150" spans="5:5" x14ac:dyDescent="0.25">
      <c r="E1150" s="80"/>
    </row>
    <row r="1151" spans="5:5" x14ac:dyDescent="0.25">
      <c r="E1151" s="80"/>
    </row>
    <row r="1152" spans="5:5" x14ac:dyDescent="0.25">
      <c r="E1152" s="80"/>
    </row>
    <row r="1153" spans="5:5" x14ac:dyDescent="0.25">
      <c r="E1153" s="80"/>
    </row>
    <row r="1154" spans="5:5" x14ac:dyDescent="0.25">
      <c r="E1154" s="80"/>
    </row>
    <row r="1155" spans="5:5" x14ac:dyDescent="0.25">
      <c r="E1155" s="80"/>
    </row>
    <row r="1156" spans="5:5" x14ac:dyDescent="0.25">
      <c r="E1156" s="80"/>
    </row>
    <row r="1157" spans="5:5" x14ac:dyDescent="0.25">
      <c r="E1157" s="80"/>
    </row>
    <row r="1158" spans="5:5" x14ac:dyDescent="0.25">
      <c r="E1158" s="80"/>
    </row>
    <row r="1159" spans="5:5" x14ac:dyDescent="0.25">
      <c r="E1159" s="80"/>
    </row>
    <row r="1160" spans="5:5" x14ac:dyDescent="0.25">
      <c r="E1160" s="80"/>
    </row>
    <row r="1161" spans="5:5" x14ac:dyDescent="0.25">
      <c r="E1161" s="80"/>
    </row>
    <row r="1162" spans="5:5" x14ac:dyDescent="0.25">
      <c r="E1162" s="80"/>
    </row>
    <row r="1163" spans="5:5" x14ac:dyDescent="0.25">
      <c r="E1163" s="80"/>
    </row>
    <row r="1164" spans="5:5" x14ac:dyDescent="0.25">
      <c r="E1164" s="80"/>
    </row>
    <row r="1165" spans="5:5" x14ac:dyDescent="0.25">
      <c r="E1165" s="80"/>
    </row>
    <row r="1166" spans="5:5" x14ac:dyDescent="0.25">
      <c r="E1166" s="80"/>
    </row>
    <row r="1167" spans="5:5" x14ac:dyDescent="0.25">
      <c r="E1167" s="80"/>
    </row>
    <row r="1168" spans="5:5" x14ac:dyDescent="0.25">
      <c r="E1168" s="80"/>
    </row>
    <row r="1169" spans="5:5" x14ac:dyDescent="0.25">
      <c r="E1169" s="80"/>
    </row>
    <row r="1170" spans="5:5" x14ac:dyDescent="0.25">
      <c r="E1170" s="80"/>
    </row>
    <row r="1171" spans="5:5" x14ac:dyDescent="0.25">
      <c r="E1171" s="80"/>
    </row>
    <row r="1172" spans="5:5" x14ac:dyDescent="0.25">
      <c r="E1172" s="80"/>
    </row>
    <row r="1173" spans="5:5" x14ac:dyDescent="0.25">
      <c r="E1173" s="80"/>
    </row>
    <row r="1174" spans="5:5" x14ac:dyDescent="0.25">
      <c r="E1174" s="80"/>
    </row>
    <row r="1175" spans="5:5" x14ac:dyDescent="0.25">
      <c r="E1175" s="80"/>
    </row>
    <row r="1176" spans="5:5" x14ac:dyDescent="0.25">
      <c r="E1176" s="80"/>
    </row>
    <row r="1177" spans="5:5" x14ac:dyDescent="0.25">
      <c r="E1177" s="80"/>
    </row>
    <row r="1178" spans="5:5" x14ac:dyDescent="0.25">
      <c r="E1178" s="80"/>
    </row>
    <row r="1179" spans="5:5" x14ac:dyDescent="0.25">
      <c r="E1179" s="80"/>
    </row>
    <row r="1180" spans="5:5" x14ac:dyDescent="0.25">
      <c r="E1180" s="80"/>
    </row>
    <row r="1181" spans="5:5" x14ac:dyDescent="0.25">
      <c r="E1181" s="80"/>
    </row>
    <row r="1182" spans="5:5" x14ac:dyDescent="0.25">
      <c r="E1182" s="80"/>
    </row>
    <row r="1183" spans="5:5" x14ac:dyDescent="0.25">
      <c r="E1183" s="80"/>
    </row>
    <row r="1184" spans="5:5" x14ac:dyDescent="0.25">
      <c r="E1184" s="80"/>
    </row>
    <row r="1185" spans="5:5" x14ac:dyDescent="0.25">
      <c r="E1185" s="80"/>
    </row>
    <row r="1186" spans="5:5" x14ac:dyDescent="0.25">
      <c r="E1186" s="80"/>
    </row>
    <row r="1187" spans="5:5" x14ac:dyDescent="0.25">
      <c r="E1187" s="80"/>
    </row>
    <row r="1188" spans="5:5" x14ac:dyDescent="0.25">
      <c r="E1188" s="80"/>
    </row>
    <row r="1189" spans="5:5" x14ac:dyDescent="0.25">
      <c r="E1189" s="80"/>
    </row>
    <row r="1190" spans="5:5" x14ac:dyDescent="0.25">
      <c r="E1190" s="80"/>
    </row>
    <row r="1191" spans="5:5" x14ac:dyDescent="0.25">
      <c r="E1191" s="80"/>
    </row>
    <row r="1192" spans="5:5" x14ac:dyDescent="0.25">
      <c r="E1192" s="80"/>
    </row>
    <row r="1193" spans="5:5" x14ac:dyDescent="0.25">
      <c r="E1193" s="80"/>
    </row>
    <row r="1194" spans="5:5" x14ac:dyDescent="0.25">
      <c r="E1194" s="80"/>
    </row>
    <row r="1195" spans="5:5" x14ac:dyDescent="0.25">
      <c r="E1195" s="80"/>
    </row>
    <row r="1196" spans="5:5" x14ac:dyDescent="0.25">
      <c r="E1196" s="80"/>
    </row>
    <row r="1197" spans="5:5" x14ac:dyDescent="0.25">
      <c r="E1197" s="80"/>
    </row>
    <row r="1198" spans="5:5" x14ac:dyDescent="0.25">
      <c r="E1198" s="80"/>
    </row>
    <row r="1199" spans="5:5" x14ac:dyDescent="0.25">
      <c r="E1199" s="80"/>
    </row>
    <row r="1200" spans="5:5" x14ac:dyDescent="0.25">
      <c r="E1200" s="80"/>
    </row>
    <row r="1201" spans="5:5" x14ac:dyDescent="0.25">
      <c r="E1201" s="80"/>
    </row>
    <row r="1202" spans="5:5" x14ac:dyDescent="0.25">
      <c r="E1202" s="80"/>
    </row>
    <row r="1203" spans="5:5" x14ac:dyDescent="0.25">
      <c r="E1203" s="80"/>
    </row>
    <row r="1204" spans="5:5" x14ac:dyDescent="0.25">
      <c r="E1204" s="80"/>
    </row>
    <row r="1205" spans="5:5" x14ac:dyDescent="0.25">
      <c r="E1205" s="80"/>
    </row>
    <row r="1206" spans="5:5" x14ac:dyDescent="0.25">
      <c r="E1206" s="80"/>
    </row>
    <row r="1207" spans="5:5" x14ac:dyDescent="0.25">
      <c r="E1207" s="80"/>
    </row>
    <row r="1208" spans="5:5" x14ac:dyDescent="0.25">
      <c r="E1208" s="80"/>
    </row>
    <row r="1209" spans="5:5" x14ac:dyDescent="0.25">
      <c r="E1209" s="80"/>
    </row>
    <row r="1210" spans="5:5" x14ac:dyDescent="0.25">
      <c r="E1210" s="80"/>
    </row>
    <row r="1211" spans="5:5" x14ac:dyDescent="0.25">
      <c r="E1211" s="80"/>
    </row>
    <row r="1212" spans="5:5" x14ac:dyDescent="0.25">
      <c r="E1212" s="80"/>
    </row>
    <row r="1213" spans="5:5" x14ac:dyDescent="0.25">
      <c r="E1213" s="80"/>
    </row>
    <row r="1214" spans="5:5" x14ac:dyDescent="0.25">
      <c r="E1214" s="80"/>
    </row>
    <row r="1215" spans="5:5" x14ac:dyDescent="0.25">
      <c r="E1215" s="80"/>
    </row>
    <row r="1216" spans="5:5" x14ac:dyDescent="0.25">
      <c r="E1216" s="80"/>
    </row>
    <row r="1217" spans="5:5" x14ac:dyDescent="0.25">
      <c r="E1217" s="80"/>
    </row>
    <row r="1218" spans="5:5" x14ac:dyDescent="0.25">
      <c r="E1218" s="80"/>
    </row>
    <row r="1219" spans="5:5" x14ac:dyDescent="0.25">
      <c r="E1219" s="80"/>
    </row>
    <row r="1220" spans="5:5" x14ac:dyDescent="0.25">
      <c r="E1220" s="80"/>
    </row>
    <row r="1221" spans="5:5" x14ac:dyDescent="0.25">
      <c r="E1221" s="80"/>
    </row>
    <row r="1222" spans="5:5" x14ac:dyDescent="0.25">
      <c r="E1222" s="80"/>
    </row>
    <row r="1223" spans="5:5" x14ac:dyDescent="0.25">
      <c r="E1223" s="80"/>
    </row>
    <row r="1224" spans="5:5" x14ac:dyDescent="0.25">
      <c r="E1224" s="80"/>
    </row>
    <row r="1225" spans="5:5" x14ac:dyDescent="0.25">
      <c r="E1225" s="80"/>
    </row>
    <row r="1226" spans="5:5" x14ac:dyDescent="0.25">
      <c r="E1226" s="80"/>
    </row>
    <row r="1227" spans="5:5" x14ac:dyDescent="0.25">
      <c r="E1227" s="80"/>
    </row>
    <row r="1228" spans="5:5" x14ac:dyDescent="0.25">
      <c r="E1228" s="80"/>
    </row>
    <row r="1229" spans="5:5" x14ac:dyDescent="0.25">
      <c r="E1229" s="80"/>
    </row>
    <row r="1230" spans="5:5" x14ac:dyDescent="0.25">
      <c r="E1230" s="80"/>
    </row>
    <row r="1231" spans="5:5" x14ac:dyDescent="0.25">
      <c r="E1231" s="80"/>
    </row>
    <row r="1232" spans="5:5" x14ac:dyDescent="0.25">
      <c r="E1232" s="80"/>
    </row>
    <row r="1233" spans="5:5" x14ac:dyDescent="0.25">
      <c r="E1233" s="80"/>
    </row>
    <row r="1234" spans="5:5" x14ac:dyDescent="0.25">
      <c r="E1234" s="80"/>
    </row>
    <row r="1235" spans="5:5" x14ac:dyDescent="0.25">
      <c r="E1235" s="80"/>
    </row>
    <row r="1236" spans="5:5" x14ac:dyDescent="0.25">
      <c r="E1236" s="80"/>
    </row>
    <row r="1237" spans="5:5" x14ac:dyDescent="0.25">
      <c r="E1237" s="80"/>
    </row>
    <row r="1238" spans="5:5" x14ac:dyDescent="0.25">
      <c r="E1238" s="80"/>
    </row>
    <row r="1239" spans="5:5" x14ac:dyDescent="0.25">
      <c r="E1239" s="80"/>
    </row>
    <row r="1240" spans="5:5" x14ac:dyDescent="0.25">
      <c r="E1240" s="80"/>
    </row>
    <row r="1241" spans="5:5" x14ac:dyDescent="0.25">
      <c r="E1241" s="80"/>
    </row>
    <row r="1242" spans="5:5" x14ac:dyDescent="0.25">
      <c r="E1242" s="80"/>
    </row>
    <row r="1243" spans="5:5" x14ac:dyDescent="0.25">
      <c r="E1243" s="80"/>
    </row>
    <row r="1244" spans="5:5" x14ac:dyDescent="0.25">
      <c r="E1244" s="80"/>
    </row>
    <row r="1245" spans="5:5" x14ac:dyDescent="0.25">
      <c r="E1245" s="80"/>
    </row>
    <row r="1246" spans="5:5" x14ac:dyDescent="0.25">
      <c r="E1246" s="80"/>
    </row>
    <row r="1247" spans="5:5" x14ac:dyDescent="0.25">
      <c r="E1247" s="80"/>
    </row>
    <row r="1248" spans="5:5" x14ac:dyDescent="0.25">
      <c r="E1248" s="80"/>
    </row>
    <row r="1249" spans="5:5" x14ac:dyDescent="0.25">
      <c r="E1249" s="80"/>
    </row>
    <row r="1250" spans="5:5" x14ac:dyDescent="0.25">
      <c r="E1250" s="80"/>
    </row>
    <row r="1251" spans="5:5" x14ac:dyDescent="0.25">
      <c r="E1251" s="80"/>
    </row>
    <row r="1252" spans="5:5" x14ac:dyDescent="0.25">
      <c r="E1252" s="80"/>
    </row>
    <row r="1253" spans="5:5" x14ac:dyDescent="0.25">
      <c r="E1253" s="80"/>
    </row>
    <row r="1254" spans="5:5" x14ac:dyDescent="0.25">
      <c r="E1254" s="80"/>
    </row>
    <row r="1255" spans="5:5" x14ac:dyDescent="0.25">
      <c r="E1255" s="80"/>
    </row>
    <row r="1256" spans="5:5" x14ac:dyDescent="0.25">
      <c r="E1256" s="80"/>
    </row>
    <row r="1257" spans="5:5" x14ac:dyDescent="0.25">
      <c r="E1257" s="80"/>
    </row>
    <row r="1258" spans="5:5" x14ac:dyDescent="0.25">
      <c r="E1258" s="80"/>
    </row>
    <row r="1259" spans="5:5" x14ac:dyDescent="0.25">
      <c r="E1259" s="80"/>
    </row>
    <row r="1260" spans="5:5" x14ac:dyDescent="0.25">
      <c r="E1260" s="80"/>
    </row>
    <row r="1261" spans="5:5" x14ac:dyDescent="0.25">
      <c r="E1261" s="80"/>
    </row>
    <row r="1262" spans="5:5" x14ac:dyDescent="0.25">
      <c r="E1262" s="80"/>
    </row>
    <row r="1263" spans="5:5" x14ac:dyDescent="0.25">
      <c r="E1263" s="80"/>
    </row>
    <row r="1264" spans="5:5" x14ac:dyDescent="0.25">
      <c r="E1264" s="80"/>
    </row>
    <row r="1265" spans="5:5" x14ac:dyDescent="0.25">
      <c r="E1265" s="80"/>
    </row>
    <row r="1266" spans="5:5" x14ac:dyDescent="0.25">
      <c r="E1266" s="80"/>
    </row>
    <row r="1267" spans="5:5" x14ac:dyDescent="0.25">
      <c r="E1267" s="80"/>
    </row>
    <row r="1268" spans="5:5" x14ac:dyDescent="0.25">
      <c r="E1268" s="80"/>
    </row>
    <row r="1269" spans="5:5" x14ac:dyDescent="0.25">
      <c r="E1269" s="80"/>
    </row>
    <row r="1270" spans="5:5" x14ac:dyDescent="0.25">
      <c r="E1270" s="80"/>
    </row>
    <row r="1271" spans="5:5" x14ac:dyDescent="0.25">
      <c r="E1271" s="80"/>
    </row>
    <row r="1272" spans="5:5" x14ac:dyDescent="0.25">
      <c r="E1272" s="80"/>
    </row>
    <row r="1273" spans="5:5" x14ac:dyDescent="0.25">
      <c r="E1273" s="80"/>
    </row>
    <row r="1274" spans="5:5" x14ac:dyDescent="0.25">
      <c r="E1274" s="80"/>
    </row>
    <row r="1275" spans="5:5" x14ac:dyDescent="0.25">
      <c r="E1275" s="80"/>
    </row>
    <row r="1276" spans="5:5" x14ac:dyDescent="0.25">
      <c r="E1276" s="80"/>
    </row>
    <row r="1277" spans="5:5" x14ac:dyDescent="0.25">
      <c r="E1277" s="80"/>
    </row>
    <row r="1278" spans="5:5" x14ac:dyDescent="0.25">
      <c r="E1278" s="80"/>
    </row>
    <row r="1279" spans="5:5" x14ac:dyDescent="0.25">
      <c r="E1279" s="80"/>
    </row>
    <row r="1280" spans="5:5" x14ac:dyDescent="0.25">
      <c r="E1280" s="80"/>
    </row>
    <row r="1281" spans="5:5" x14ac:dyDescent="0.25">
      <c r="E1281" s="80"/>
    </row>
    <row r="1282" spans="5:5" x14ac:dyDescent="0.25">
      <c r="E1282" s="80"/>
    </row>
    <row r="1283" spans="5:5" x14ac:dyDescent="0.25">
      <c r="E1283" s="80"/>
    </row>
    <row r="1284" spans="5:5" x14ac:dyDescent="0.25">
      <c r="E1284" s="80"/>
    </row>
    <row r="1285" spans="5:5" x14ac:dyDescent="0.25">
      <c r="E1285" s="80"/>
    </row>
    <row r="1286" spans="5:5" x14ac:dyDescent="0.25">
      <c r="E1286" s="80"/>
    </row>
    <row r="1287" spans="5:5" x14ac:dyDescent="0.25">
      <c r="E1287" s="80"/>
    </row>
    <row r="1288" spans="5:5" x14ac:dyDescent="0.25">
      <c r="E1288" s="80"/>
    </row>
    <row r="1289" spans="5:5" x14ac:dyDescent="0.25">
      <c r="E1289" s="80"/>
    </row>
    <row r="1290" spans="5:5" x14ac:dyDescent="0.25">
      <c r="E1290" s="80"/>
    </row>
    <row r="1291" spans="5:5" x14ac:dyDescent="0.25">
      <c r="E1291" s="80"/>
    </row>
    <row r="1292" spans="5:5" x14ac:dyDescent="0.25">
      <c r="E1292" s="80"/>
    </row>
    <row r="1293" spans="5:5" x14ac:dyDescent="0.25">
      <c r="E1293" s="80"/>
    </row>
    <row r="1294" spans="5:5" x14ac:dyDescent="0.25">
      <c r="E1294" s="80"/>
    </row>
    <row r="1295" spans="5:5" x14ac:dyDescent="0.25">
      <c r="E1295" s="80"/>
    </row>
    <row r="1296" spans="5:5" x14ac:dyDescent="0.25">
      <c r="E1296" s="80"/>
    </row>
    <row r="1297" spans="5:5" x14ac:dyDescent="0.25">
      <c r="E1297" s="80"/>
    </row>
    <row r="1298" spans="5:5" x14ac:dyDescent="0.25">
      <c r="E1298" s="80"/>
    </row>
    <row r="1299" spans="5:5" x14ac:dyDescent="0.25">
      <c r="E1299" s="80"/>
    </row>
    <row r="1300" spans="5:5" x14ac:dyDescent="0.25">
      <c r="E1300" s="80"/>
    </row>
    <row r="1301" spans="5:5" x14ac:dyDescent="0.25">
      <c r="E1301" s="80"/>
    </row>
    <row r="1302" spans="5:5" x14ac:dyDescent="0.25">
      <c r="E1302" s="80"/>
    </row>
    <row r="1303" spans="5:5" x14ac:dyDescent="0.25">
      <c r="E1303" s="80"/>
    </row>
    <row r="1304" spans="5:5" x14ac:dyDescent="0.25">
      <c r="E1304" s="80"/>
    </row>
    <row r="1305" spans="5:5" x14ac:dyDescent="0.25">
      <c r="E1305" s="80"/>
    </row>
    <row r="1306" spans="5:5" x14ac:dyDescent="0.25">
      <c r="E1306" s="80"/>
    </row>
    <row r="1307" spans="5:5" x14ac:dyDescent="0.25">
      <c r="E1307" s="80"/>
    </row>
    <row r="1308" spans="5:5" x14ac:dyDescent="0.25">
      <c r="E1308" s="80"/>
    </row>
    <row r="1309" spans="5:5" x14ac:dyDescent="0.25">
      <c r="E1309" s="80"/>
    </row>
    <row r="1310" spans="5:5" x14ac:dyDescent="0.25">
      <c r="E1310" s="80"/>
    </row>
    <row r="1311" spans="5:5" x14ac:dyDescent="0.25">
      <c r="E1311" s="80"/>
    </row>
    <row r="1312" spans="5:5" x14ac:dyDescent="0.25">
      <c r="E1312" s="80"/>
    </row>
    <row r="1313" spans="5:5" x14ac:dyDescent="0.25">
      <c r="E1313" s="80"/>
    </row>
    <row r="1314" spans="5:5" x14ac:dyDescent="0.25">
      <c r="E1314" s="80"/>
    </row>
    <row r="1315" spans="5:5" x14ac:dyDescent="0.25">
      <c r="E1315" s="80"/>
    </row>
    <row r="1316" spans="5:5" x14ac:dyDescent="0.25">
      <c r="E1316" s="80"/>
    </row>
    <row r="1317" spans="5:5" x14ac:dyDescent="0.25">
      <c r="E1317" s="80"/>
    </row>
    <row r="1318" spans="5:5" x14ac:dyDescent="0.25">
      <c r="E1318" s="80"/>
    </row>
    <row r="1319" spans="5:5" x14ac:dyDescent="0.25">
      <c r="E1319" s="80"/>
    </row>
    <row r="1320" spans="5:5" x14ac:dyDescent="0.25">
      <c r="E1320" s="80"/>
    </row>
    <row r="1321" spans="5:5" x14ac:dyDescent="0.25">
      <c r="E1321" s="80"/>
    </row>
    <row r="1322" spans="5:5" x14ac:dyDescent="0.25">
      <c r="E1322" s="80"/>
    </row>
    <row r="1323" spans="5:5" x14ac:dyDescent="0.25">
      <c r="E1323" s="80"/>
    </row>
    <row r="1324" spans="5:5" x14ac:dyDescent="0.25">
      <c r="E1324" s="80"/>
    </row>
    <row r="1325" spans="5:5" x14ac:dyDescent="0.25">
      <c r="E1325" s="80"/>
    </row>
    <row r="1326" spans="5:5" x14ac:dyDescent="0.25">
      <c r="E1326" s="80"/>
    </row>
    <row r="1327" spans="5:5" x14ac:dyDescent="0.25">
      <c r="E1327" s="80"/>
    </row>
    <row r="1328" spans="5:5" x14ac:dyDescent="0.25">
      <c r="E1328" s="80"/>
    </row>
    <row r="1329" spans="5:5" x14ac:dyDescent="0.25">
      <c r="E1329" s="80"/>
    </row>
    <row r="1330" spans="5:5" x14ac:dyDescent="0.25">
      <c r="E1330" s="80"/>
    </row>
    <row r="1331" spans="5:5" x14ac:dyDescent="0.25">
      <c r="E1331" s="80"/>
    </row>
    <row r="1332" spans="5:5" x14ac:dyDescent="0.25">
      <c r="E1332" s="80"/>
    </row>
    <row r="1333" spans="5:5" x14ac:dyDescent="0.25">
      <c r="E1333" s="80"/>
    </row>
    <row r="1334" spans="5:5" x14ac:dyDescent="0.25">
      <c r="E1334" s="80"/>
    </row>
    <row r="1335" spans="5:5" x14ac:dyDescent="0.25">
      <c r="E1335" s="80"/>
    </row>
    <row r="1336" spans="5:5" x14ac:dyDescent="0.25">
      <c r="E1336" s="80"/>
    </row>
    <row r="1337" spans="5:5" x14ac:dyDescent="0.25">
      <c r="E1337" s="80"/>
    </row>
    <row r="1338" spans="5:5" x14ac:dyDescent="0.25">
      <c r="E1338" s="80"/>
    </row>
    <row r="1339" spans="5:5" x14ac:dyDescent="0.25">
      <c r="E1339" s="80"/>
    </row>
    <row r="1340" spans="5:5" x14ac:dyDescent="0.25">
      <c r="E1340" s="80"/>
    </row>
    <row r="1341" spans="5:5" x14ac:dyDescent="0.25">
      <c r="E1341" s="80"/>
    </row>
    <row r="1342" spans="5:5" x14ac:dyDescent="0.25">
      <c r="E1342" s="80"/>
    </row>
    <row r="1343" spans="5:5" x14ac:dyDescent="0.25">
      <c r="E1343" s="80"/>
    </row>
    <row r="1344" spans="5:5" x14ac:dyDescent="0.25">
      <c r="E1344" s="80"/>
    </row>
    <row r="1345" spans="5:5" x14ac:dyDescent="0.25">
      <c r="E1345" s="80"/>
    </row>
    <row r="1346" spans="5:5" x14ac:dyDescent="0.25">
      <c r="E1346" s="80"/>
    </row>
    <row r="1347" spans="5:5" x14ac:dyDescent="0.25">
      <c r="E1347" s="80"/>
    </row>
    <row r="1348" spans="5:5" x14ac:dyDescent="0.25">
      <c r="E1348" s="80"/>
    </row>
    <row r="1349" spans="5:5" x14ac:dyDescent="0.25">
      <c r="E1349" s="80"/>
    </row>
    <row r="1350" spans="5:5" x14ac:dyDescent="0.25">
      <c r="E1350" s="80"/>
    </row>
    <row r="1351" spans="5:5" x14ac:dyDescent="0.25">
      <c r="E1351" s="80"/>
    </row>
    <row r="1352" spans="5:5" x14ac:dyDescent="0.25">
      <c r="E1352" s="80"/>
    </row>
    <row r="1353" spans="5:5" x14ac:dyDescent="0.25">
      <c r="E1353" s="80"/>
    </row>
    <row r="1354" spans="5:5" x14ac:dyDescent="0.25">
      <c r="E1354" s="80"/>
    </row>
    <row r="1355" spans="5:5" x14ac:dyDescent="0.25">
      <c r="E1355" s="80"/>
    </row>
    <row r="1356" spans="5:5" x14ac:dyDescent="0.25">
      <c r="E1356" s="80"/>
    </row>
    <row r="1357" spans="5:5" x14ac:dyDescent="0.25">
      <c r="E1357" s="80"/>
    </row>
    <row r="1358" spans="5:5" x14ac:dyDescent="0.25">
      <c r="E1358" s="80"/>
    </row>
    <row r="1359" spans="5:5" x14ac:dyDescent="0.25">
      <c r="E1359" s="80"/>
    </row>
    <row r="1360" spans="5:5" x14ac:dyDescent="0.25">
      <c r="E1360" s="80"/>
    </row>
    <row r="1361" spans="5:5" x14ac:dyDescent="0.25">
      <c r="E1361" s="80"/>
    </row>
    <row r="1362" spans="5:5" x14ac:dyDescent="0.25">
      <c r="E1362" s="80"/>
    </row>
    <row r="1363" spans="5:5" x14ac:dyDescent="0.25">
      <c r="E1363" s="80"/>
    </row>
    <row r="1364" spans="5:5" x14ac:dyDescent="0.25">
      <c r="E1364" s="80"/>
    </row>
    <row r="1365" spans="5:5" x14ac:dyDescent="0.25">
      <c r="E1365" s="80"/>
    </row>
    <row r="1366" spans="5:5" x14ac:dyDescent="0.25">
      <c r="E1366" s="80"/>
    </row>
    <row r="1367" spans="5:5" x14ac:dyDescent="0.25">
      <c r="E1367" s="80"/>
    </row>
    <row r="1368" spans="5:5" x14ac:dyDescent="0.25">
      <c r="E1368" s="80"/>
    </row>
    <row r="1369" spans="5:5" x14ac:dyDescent="0.25">
      <c r="E1369" s="80"/>
    </row>
    <row r="1370" spans="5:5" x14ac:dyDescent="0.25">
      <c r="E1370" s="80"/>
    </row>
    <row r="1371" spans="5:5" x14ac:dyDescent="0.25">
      <c r="E1371" s="80"/>
    </row>
    <row r="1372" spans="5:5" x14ac:dyDescent="0.25">
      <c r="E1372" s="80"/>
    </row>
    <row r="1373" spans="5:5" x14ac:dyDescent="0.25">
      <c r="E1373" s="80"/>
    </row>
    <row r="1374" spans="5:5" x14ac:dyDescent="0.25">
      <c r="E1374" s="80"/>
    </row>
    <row r="1375" spans="5:5" x14ac:dyDescent="0.25">
      <c r="E1375" s="80"/>
    </row>
    <row r="1376" spans="5:5" x14ac:dyDescent="0.25">
      <c r="E1376" s="80"/>
    </row>
    <row r="1377" spans="5:5" x14ac:dyDescent="0.25">
      <c r="E1377" s="80"/>
    </row>
    <row r="1378" spans="5:5" x14ac:dyDescent="0.25">
      <c r="E1378" s="80"/>
    </row>
    <row r="1379" spans="5:5" x14ac:dyDescent="0.25">
      <c r="E1379" s="80"/>
    </row>
    <row r="1380" spans="5:5" x14ac:dyDescent="0.25">
      <c r="E1380" s="80"/>
    </row>
    <row r="1381" spans="5:5" x14ac:dyDescent="0.25">
      <c r="E1381" s="80"/>
    </row>
    <row r="1382" spans="5:5" x14ac:dyDescent="0.25">
      <c r="E1382" s="80"/>
    </row>
    <row r="1383" spans="5:5" x14ac:dyDescent="0.25">
      <c r="E1383" s="80"/>
    </row>
    <row r="1384" spans="5:5" x14ac:dyDescent="0.25">
      <c r="E1384" s="80"/>
    </row>
    <row r="1385" spans="5:5" x14ac:dyDescent="0.25">
      <c r="E1385" s="80"/>
    </row>
    <row r="1386" spans="5:5" x14ac:dyDescent="0.25">
      <c r="E1386" s="80"/>
    </row>
    <row r="1387" spans="5:5" x14ac:dyDescent="0.25">
      <c r="E1387" s="80"/>
    </row>
    <row r="1388" spans="5:5" x14ac:dyDescent="0.25">
      <c r="E1388" s="80"/>
    </row>
    <row r="1389" spans="5:5" x14ac:dyDescent="0.25">
      <c r="E1389" s="80"/>
    </row>
    <row r="1390" spans="5:5" x14ac:dyDescent="0.25">
      <c r="E1390" s="80"/>
    </row>
    <row r="1391" spans="5:5" x14ac:dyDescent="0.25">
      <c r="E1391" s="80"/>
    </row>
    <row r="1392" spans="5:5" x14ac:dyDescent="0.25">
      <c r="E1392" s="80"/>
    </row>
    <row r="1393" spans="5:5" x14ac:dyDescent="0.25">
      <c r="E1393" s="80"/>
    </row>
    <row r="1394" spans="5:5" x14ac:dyDescent="0.25">
      <c r="E1394" s="80"/>
    </row>
    <row r="1395" spans="5:5" x14ac:dyDescent="0.25">
      <c r="E1395" s="80"/>
    </row>
    <row r="1396" spans="5:5" x14ac:dyDescent="0.25">
      <c r="E1396" s="80"/>
    </row>
    <row r="1397" spans="5:5" x14ac:dyDescent="0.25">
      <c r="E1397" s="80"/>
    </row>
    <row r="1398" spans="5:5" x14ac:dyDescent="0.25">
      <c r="E1398" s="80"/>
    </row>
    <row r="1399" spans="5:5" x14ac:dyDescent="0.25">
      <c r="E1399" s="80"/>
    </row>
    <row r="1400" spans="5:5" x14ac:dyDescent="0.25">
      <c r="E1400" s="80"/>
    </row>
    <row r="1401" spans="5:5" x14ac:dyDescent="0.25">
      <c r="E1401" s="80"/>
    </row>
    <row r="1402" spans="5:5" x14ac:dyDescent="0.25">
      <c r="E1402" s="80"/>
    </row>
    <row r="1403" spans="5:5" x14ac:dyDescent="0.25">
      <c r="E1403" s="80"/>
    </row>
    <row r="1404" spans="5:5" x14ac:dyDescent="0.25">
      <c r="E1404" s="80"/>
    </row>
    <row r="1405" spans="5:5" x14ac:dyDescent="0.25">
      <c r="E1405" s="80"/>
    </row>
    <row r="1406" spans="5:5" x14ac:dyDescent="0.25">
      <c r="E1406" s="80"/>
    </row>
    <row r="1407" spans="5:5" x14ac:dyDescent="0.25">
      <c r="E1407" s="80"/>
    </row>
    <row r="1408" spans="5:5" x14ac:dyDescent="0.25">
      <c r="E1408" s="80"/>
    </row>
    <row r="1409" spans="5:5" x14ac:dyDescent="0.25">
      <c r="E1409" s="80"/>
    </row>
    <row r="1410" spans="5:5" x14ac:dyDescent="0.25">
      <c r="E1410" s="80"/>
    </row>
    <row r="1411" spans="5:5" x14ac:dyDescent="0.25">
      <c r="E1411" s="80"/>
    </row>
    <row r="1412" spans="5:5" x14ac:dyDescent="0.25">
      <c r="E1412" s="80"/>
    </row>
    <row r="1413" spans="5:5" x14ac:dyDescent="0.25">
      <c r="E1413" s="80"/>
    </row>
    <row r="1414" spans="5:5" x14ac:dyDescent="0.25">
      <c r="E1414" s="80"/>
    </row>
    <row r="1415" spans="5:5" x14ac:dyDescent="0.25">
      <c r="E1415" s="80"/>
    </row>
    <row r="1416" spans="5:5" x14ac:dyDescent="0.25">
      <c r="E1416" s="80"/>
    </row>
    <row r="1417" spans="5:5" x14ac:dyDescent="0.25">
      <c r="E1417" s="80"/>
    </row>
    <row r="1418" spans="5:5" x14ac:dyDescent="0.25">
      <c r="E1418" s="80"/>
    </row>
    <row r="1419" spans="5:5" x14ac:dyDescent="0.25">
      <c r="E1419" s="80"/>
    </row>
    <row r="1420" spans="5:5" x14ac:dyDescent="0.25">
      <c r="E1420" s="80"/>
    </row>
    <row r="1421" spans="5:5" x14ac:dyDescent="0.25">
      <c r="E1421" s="80"/>
    </row>
    <row r="1422" spans="5:5" x14ac:dyDescent="0.25">
      <c r="E1422" s="80"/>
    </row>
    <row r="1423" spans="5:5" x14ac:dyDescent="0.25">
      <c r="E1423" s="80"/>
    </row>
    <row r="1424" spans="5:5" x14ac:dyDescent="0.25">
      <c r="E1424" s="80"/>
    </row>
    <row r="1425" spans="5:5" x14ac:dyDescent="0.25">
      <c r="E1425" s="80"/>
    </row>
    <row r="1426" spans="5:5" x14ac:dyDescent="0.25">
      <c r="E1426" s="80"/>
    </row>
    <row r="1427" spans="5:5" x14ac:dyDescent="0.25">
      <c r="E1427" s="80"/>
    </row>
    <row r="1428" spans="5:5" x14ac:dyDescent="0.25">
      <c r="E1428" s="80"/>
    </row>
    <row r="1429" spans="5:5" x14ac:dyDescent="0.25">
      <c r="E1429" s="80"/>
    </row>
    <row r="1430" spans="5:5" x14ac:dyDescent="0.25">
      <c r="E1430" s="80"/>
    </row>
    <row r="1431" spans="5:5" x14ac:dyDescent="0.25">
      <c r="E1431" s="80"/>
    </row>
    <row r="1432" spans="5:5" x14ac:dyDescent="0.25">
      <c r="E1432" s="80"/>
    </row>
    <row r="1433" spans="5:5" x14ac:dyDescent="0.25">
      <c r="E1433" s="80"/>
    </row>
    <row r="1434" spans="5:5" x14ac:dyDescent="0.25">
      <c r="E1434" s="80"/>
    </row>
    <row r="1435" spans="5:5" x14ac:dyDescent="0.25">
      <c r="E1435" s="80"/>
    </row>
    <row r="1436" spans="5:5" x14ac:dyDescent="0.25">
      <c r="E1436" s="80"/>
    </row>
    <row r="1437" spans="5:5" x14ac:dyDescent="0.25">
      <c r="E1437" s="80"/>
    </row>
    <row r="1438" spans="5:5" x14ac:dyDescent="0.25">
      <c r="E1438" s="80"/>
    </row>
    <row r="1439" spans="5:5" x14ac:dyDescent="0.25">
      <c r="E1439" s="80"/>
    </row>
    <row r="1440" spans="5:5" x14ac:dyDescent="0.25">
      <c r="E1440" s="80"/>
    </row>
    <row r="1441" spans="5:5" x14ac:dyDescent="0.25">
      <c r="E1441" s="80"/>
    </row>
    <row r="1442" spans="5:5" x14ac:dyDescent="0.25">
      <c r="E1442" s="80"/>
    </row>
    <row r="1443" spans="5:5" x14ac:dyDescent="0.25">
      <c r="E1443" s="80"/>
    </row>
    <row r="1444" spans="5:5" x14ac:dyDescent="0.25">
      <c r="E1444" s="80"/>
    </row>
    <row r="1445" spans="5:5" x14ac:dyDescent="0.25">
      <c r="E1445" s="80"/>
    </row>
    <row r="1446" spans="5:5" x14ac:dyDescent="0.25">
      <c r="E1446" s="80"/>
    </row>
    <row r="1447" spans="5:5" x14ac:dyDescent="0.25">
      <c r="E1447" s="80"/>
    </row>
    <row r="1448" spans="5:5" x14ac:dyDescent="0.25">
      <c r="E1448" s="80"/>
    </row>
    <row r="1449" spans="5:5" x14ac:dyDescent="0.25">
      <c r="E1449" s="80"/>
    </row>
    <row r="1450" spans="5:5" x14ac:dyDescent="0.25">
      <c r="E1450" s="80"/>
    </row>
    <row r="1451" spans="5:5" x14ac:dyDescent="0.25">
      <c r="E1451" s="80"/>
    </row>
    <row r="1452" spans="5:5" x14ac:dyDescent="0.25">
      <c r="E1452" s="80"/>
    </row>
    <row r="1453" spans="5:5" x14ac:dyDescent="0.25">
      <c r="E1453" s="80"/>
    </row>
    <row r="1454" spans="5:5" x14ac:dyDescent="0.25">
      <c r="E1454" s="80"/>
    </row>
    <row r="1455" spans="5:5" x14ac:dyDescent="0.25">
      <c r="E1455" s="80"/>
    </row>
    <row r="1456" spans="5:5" x14ac:dyDescent="0.25">
      <c r="E1456" s="80"/>
    </row>
    <row r="1457" spans="5:5" x14ac:dyDescent="0.25">
      <c r="E1457" s="80"/>
    </row>
    <row r="1458" spans="5:5" x14ac:dyDescent="0.25">
      <c r="E1458" s="80"/>
    </row>
    <row r="1459" spans="5:5" x14ac:dyDescent="0.25">
      <c r="E1459" s="80"/>
    </row>
    <row r="1460" spans="5:5" x14ac:dyDescent="0.25">
      <c r="E1460" s="80"/>
    </row>
    <row r="1461" spans="5:5" x14ac:dyDescent="0.25">
      <c r="E1461" s="80"/>
    </row>
    <row r="1462" spans="5:5" x14ac:dyDescent="0.25">
      <c r="E1462" s="80"/>
    </row>
    <row r="1463" spans="5:5" x14ac:dyDescent="0.25">
      <c r="E1463" s="80"/>
    </row>
    <row r="1464" spans="5:5" x14ac:dyDescent="0.25">
      <c r="E1464" s="80"/>
    </row>
    <row r="1465" spans="5:5" x14ac:dyDescent="0.25">
      <c r="E1465" s="80"/>
    </row>
    <row r="1466" spans="5:5" x14ac:dyDescent="0.25">
      <c r="E1466" s="80"/>
    </row>
    <row r="1467" spans="5:5" x14ac:dyDescent="0.25">
      <c r="E1467" s="80"/>
    </row>
    <row r="1468" spans="5:5" x14ac:dyDescent="0.25">
      <c r="E1468" s="80"/>
    </row>
    <row r="1469" spans="5:5" x14ac:dyDescent="0.25">
      <c r="E1469" s="80"/>
    </row>
    <row r="1470" spans="5:5" x14ac:dyDescent="0.25">
      <c r="E1470" s="80"/>
    </row>
    <row r="1471" spans="5:5" x14ac:dyDescent="0.25">
      <c r="E1471" s="80"/>
    </row>
    <row r="1472" spans="5:5" x14ac:dyDescent="0.25">
      <c r="E1472" s="80"/>
    </row>
    <row r="1473" spans="5:5" x14ac:dyDescent="0.25">
      <c r="E1473" s="80"/>
    </row>
    <row r="1474" spans="5:5" x14ac:dyDescent="0.25">
      <c r="E1474" s="80"/>
    </row>
    <row r="1475" spans="5:5" x14ac:dyDescent="0.25">
      <c r="E1475" s="80"/>
    </row>
    <row r="1476" spans="5:5" x14ac:dyDescent="0.25">
      <c r="E1476" s="80"/>
    </row>
    <row r="1477" spans="5:5" x14ac:dyDescent="0.25">
      <c r="E1477" s="80"/>
    </row>
    <row r="1478" spans="5:5" x14ac:dyDescent="0.25">
      <c r="E1478" s="80"/>
    </row>
    <row r="1479" spans="5:5" x14ac:dyDescent="0.25">
      <c r="E1479" s="80"/>
    </row>
    <row r="1480" spans="5:5" x14ac:dyDescent="0.25">
      <c r="E1480" s="80"/>
    </row>
    <row r="1481" spans="5:5" x14ac:dyDescent="0.25">
      <c r="E1481" s="80"/>
    </row>
    <row r="1482" spans="5:5" x14ac:dyDescent="0.25">
      <c r="E1482" s="80"/>
    </row>
    <row r="1483" spans="5:5" x14ac:dyDescent="0.25">
      <c r="E1483" s="80"/>
    </row>
    <row r="1484" spans="5:5" x14ac:dyDescent="0.25">
      <c r="E1484" s="80"/>
    </row>
    <row r="1485" spans="5:5" x14ac:dyDescent="0.25">
      <c r="E1485" s="80"/>
    </row>
    <row r="1486" spans="5:5" x14ac:dyDescent="0.25">
      <c r="E1486" s="80"/>
    </row>
    <row r="1487" spans="5:5" x14ac:dyDescent="0.25">
      <c r="E1487" s="80"/>
    </row>
    <row r="1488" spans="5:5" x14ac:dyDescent="0.25">
      <c r="E1488" s="80"/>
    </row>
    <row r="1489" spans="5:5" x14ac:dyDescent="0.25">
      <c r="E1489" s="80"/>
    </row>
    <row r="1490" spans="5:5" x14ac:dyDescent="0.25">
      <c r="E1490" s="80"/>
    </row>
    <row r="1491" spans="5:5" x14ac:dyDescent="0.25">
      <c r="E1491" s="80"/>
    </row>
    <row r="1492" spans="5:5" x14ac:dyDescent="0.25">
      <c r="E1492" s="80"/>
    </row>
    <row r="1493" spans="5:5" x14ac:dyDescent="0.25">
      <c r="E1493" s="80"/>
    </row>
    <row r="1494" spans="5:5" x14ac:dyDescent="0.25">
      <c r="E1494" s="80"/>
    </row>
    <row r="1495" spans="5:5" x14ac:dyDescent="0.25">
      <c r="E1495" s="80"/>
    </row>
    <row r="1496" spans="5:5" x14ac:dyDescent="0.25">
      <c r="E1496" s="80"/>
    </row>
    <row r="1497" spans="5:5" x14ac:dyDescent="0.25">
      <c r="E1497" s="80"/>
    </row>
    <row r="1498" spans="5:5" x14ac:dyDescent="0.25">
      <c r="E1498" s="80"/>
    </row>
    <row r="1499" spans="5:5" x14ac:dyDescent="0.25">
      <c r="E1499" s="80"/>
    </row>
    <row r="1500" spans="5:5" x14ac:dyDescent="0.25">
      <c r="E1500" s="80"/>
    </row>
    <row r="1501" spans="5:5" x14ac:dyDescent="0.25">
      <c r="E1501" s="80"/>
    </row>
    <row r="1502" spans="5:5" x14ac:dyDescent="0.25">
      <c r="E1502" s="80"/>
    </row>
    <row r="1503" spans="5:5" x14ac:dyDescent="0.25">
      <c r="E1503" s="80"/>
    </row>
    <row r="1504" spans="5:5" x14ac:dyDescent="0.25">
      <c r="E1504" s="80"/>
    </row>
    <row r="1505" spans="5:5" x14ac:dyDescent="0.25">
      <c r="E1505" s="80"/>
    </row>
    <row r="1506" spans="5:5" x14ac:dyDescent="0.25">
      <c r="E1506" s="80"/>
    </row>
    <row r="1507" spans="5:5" x14ac:dyDescent="0.25">
      <c r="E1507" s="80"/>
    </row>
    <row r="1508" spans="5:5" x14ac:dyDescent="0.25">
      <c r="E1508" s="80"/>
    </row>
    <row r="1509" spans="5:5" x14ac:dyDescent="0.25">
      <c r="E1509" s="80"/>
    </row>
    <row r="1510" spans="5:5" x14ac:dyDescent="0.25">
      <c r="E1510" s="80"/>
    </row>
    <row r="1511" spans="5:5" x14ac:dyDescent="0.25">
      <c r="E1511" s="80"/>
    </row>
    <row r="1512" spans="5:5" x14ac:dyDescent="0.25">
      <c r="E1512" s="80"/>
    </row>
    <row r="1513" spans="5:5" x14ac:dyDescent="0.25">
      <c r="E1513" s="80"/>
    </row>
    <row r="1514" spans="5:5" x14ac:dyDescent="0.25">
      <c r="E1514" s="80"/>
    </row>
    <row r="1515" spans="5:5" x14ac:dyDescent="0.25">
      <c r="E1515" s="80"/>
    </row>
    <row r="1516" spans="5:5" x14ac:dyDescent="0.25">
      <c r="E1516" s="80"/>
    </row>
    <row r="1517" spans="5:5" x14ac:dyDescent="0.25">
      <c r="E1517" s="80"/>
    </row>
    <row r="1518" spans="5:5" x14ac:dyDescent="0.25">
      <c r="E1518" s="80"/>
    </row>
    <row r="1519" spans="5:5" x14ac:dyDescent="0.25">
      <c r="E1519" s="80"/>
    </row>
    <row r="1520" spans="5:5" x14ac:dyDescent="0.25">
      <c r="E1520" s="80"/>
    </row>
    <row r="1521" spans="5:5" x14ac:dyDescent="0.25">
      <c r="E1521" s="80"/>
    </row>
    <row r="1522" spans="5:5" x14ac:dyDescent="0.25">
      <c r="E1522" s="80"/>
    </row>
    <row r="1523" spans="5:5" x14ac:dyDescent="0.25">
      <c r="E1523" s="80"/>
    </row>
    <row r="1524" spans="5:5" x14ac:dyDescent="0.25">
      <c r="E1524" s="80"/>
    </row>
    <row r="1525" spans="5:5" x14ac:dyDescent="0.25">
      <c r="E1525" s="80"/>
    </row>
    <row r="1526" spans="5:5" x14ac:dyDescent="0.25">
      <c r="E1526" s="80"/>
    </row>
    <row r="1527" spans="5:5" x14ac:dyDescent="0.25">
      <c r="E1527" s="80"/>
    </row>
    <row r="1528" spans="5:5" x14ac:dyDescent="0.25">
      <c r="E1528" s="80"/>
    </row>
    <row r="1529" spans="5:5" x14ac:dyDescent="0.25">
      <c r="E1529" s="80"/>
    </row>
    <row r="1530" spans="5:5" x14ac:dyDescent="0.25">
      <c r="E1530" s="80"/>
    </row>
    <row r="1531" spans="5:5" x14ac:dyDescent="0.25">
      <c r="E1531" s="80"/>
    </row>
    <row r="1532" spans="5:5" x14ac:dyDescent="0.25">
      <c r="E1532" s="80"/>
    </row>
    <row r="1533" spans="5:5" x14ac:dyDescent="0.25">
      <c r="E1533" s="80"/>
    </row>
    <row r="1534" spans="5:5" x14ac:dyDescent="0.25">
      <c r="E1534" s="80"/>
    </row>
    <row r="1535" spans="5:5" x14ac:dyDescent="0.25">
      <c r="E1535" s="80"/>
    </row>
    <row r="1536" spans="5:5" x14ac:dyDescent="0.25">
      <c r="E1536" s="80"/>
    </row>
    <row r="1537" spans="5:5" x14ac:dyDescent="0.25">
      <c r="E1537" s="80"/>
    </row>
    <row r="1538" spans="5:5" x14ac:dyDescent="0.25">
      <c r="E1538" s="80"/>
    </row>
    <row r="1539" spans="5:5" x14ac:dyDescent="0.25">
      <c r="E1539" s="80"/>
    </row>
    <row r="1540" spans="5:5" x14ac:dyDescent="0.25">
      <c r="E1540" s="80"/>
    </row>
    <row r="1541" spans="5:5" x14ac:dyDescent="0.25">
      <c r="E1541" s="80"/>
    </row>
    <row r="1542" spans="5:5" x14ac:dyDescent="0.25">
      <c r="E1542" s="80"/>
    </row>
    <row r="1543" spans="5:5" x14ac:dyDescent="0.25">
      <c r="E1543" s="80"/>
    </row>
    <row r="1544" spans="5:5" x14ac:dyDescent="0.25">
      <c r="E1544" s="80"/>
    </row>
    <row r="1545" spans="5:5" x14ac:dyDescent="0.25">
      <c r="E1545" s="80"/>
    </row>
    <row r="1546" spans="5:5" x14ac:dyDescent="0.25">
      <c r="E1546" s="80"/>
    </row>
    <row r="1547" spans="5:5" x14ac:dyDescent="0.25">
      <c r="E1547" s="80"/>
    </row>
    <row r="1548" spans="5:5" x14ac:dyDescent="0.25">
      <c r="E1548" s="80"/>
    </row>
    <row r="1549" spans="5:5" x14ac:dyDescent="0.25">
      <c r="E1549" s="80"/>
    </row>
    <row r="1550" spans="5:5" x14ac:dyDescent="0.25">
      <c r="E1550" s="80"/>
    </row>
    <row r="1551" spans="5:5" x14ac:dyDescent="0.25">
      <c r="E1551" s="80"/>
    </row>
    <row r="1552" spans="5:5" x14ac:dyDescent="0.25">
      <c r="E1552" s="80"/>
    </row>
    <row r="1553" spans="5:5" x14ac:dyDescent="0.25">
      <c r="E1553" s="80"/>
    </row>
    <row r="1554" spans="5:5" x14ac:dyDescent="0.25">
      <c r="E1554" s="80"/>
    </row>
    <row r="1555" spans="5:5" x14ac:dyDescent="0.25">
      <c r="E1555" s="80"/>
    </row>
    <row r="1556" spans="5:5" x14ac:dyDescent="0.25">
      <c r="E1556" s="80"/>
    </row>
    <row r="1557" spans="5:5" x14ac:dyDescent="0.25">
      <c r="E1557" s="80"/>
    </row>
    <row r="1558" spans="5:5" x14ac:dyDescent="0.25">
      <c r="E1558" s="80"/>
    </row>
    <row r="1559" spans="5:5" x14ac:dyDescent="0.25">
      <c r="E1559" s="80"/>
    </row>
    <row r="1560" spans="5:5" x14ac:dyDescent="0.25">
      <c r="E1560" s="80"/>
    </row>
    <row r="1561" spans="5:5" x14ac:dyDescent="0.25">
      <c r="E1561" s="80"/>
    </row>
    <row r="1562" spans="5:5" x14ac:dyDescent="0.25">
      <c r="E1562" s="80"/>
    </row>
    <row r="1563" spans="5:5" x14ac:dyDescent="0.25">
      <c r="E1563" s="80"/>
    </row>
    <row r="1564" spans="5:5" x14ac:dyDescent="0.25">
      <c r="E1564" s="80"/>
    </row>
    <row r="1565" spans="5:5" x14ac:dyDescent="0.25">
      <c r="E1565" s="80"/>
    </row>
    <row r="1566" spans="5:5" x14ac:dyDescent="0.25">
      <c r="E1566" s="80"/>
    </row>
    <row r="1567" spans="5:5" x14ac:dyDescent="0.25">
      <c r="E1567" s="80"/>
    </row>
    <row r="1568" spans="5:5" x14ac:dyDescent="0.25">
      <c r="E1568" s="80"/>
    </row>
    <row r="1569" spans="5:5" x14ac:dyDescent="0.25">
      <c r="E1569" s="80"/>
    </row>
    <row r="1570" spans="5:5" x14ac:dyDescent="0.25">
      <c r="E1570" s="80"/>
    </row>
    <row r="1571" spans="5:5" x14ac:dyDescent="0.25">
      <c r="E1571" s="80"/>
    </row>
    <row r="1572" spans="5:5" x14ac:dyDescent="0.25">
      <c r="E1572" s="80"/>
    </row>
    <row r="1573" spans="5:5" x14ac:dyDescent="0.25">
      <c r="E1573" s="80"/>
    </row>
    <row r="1574" spans="5:5" x14ac:dyDescent="0.25">
      <c r="E1574" s="80"/>
    </row>
    <row r="1575" spans="5:5" x14ac:dyDescent="0.25">
      <c r="E1575" s="80"/>
    </row>
    <row r="1576" spans="5:5" x14ac:dyDescent="0.25">
      <c r="E1576" s="80"/>
    </row>
    <row r="1577" spans="5:5" x14ac:dyDescent="0.25">
      <c r="E1577" s="80"/>
    </row>
    <row r="1578" spans="5:5" x14ac:dyDescent="0.25">
      <c r="E1578" s="80"/>
    </row>
    <row r="1579" spans="5:5" x14ac:dyDescent="0.25">
      <c r="E1579" s="80"/>
    </row>
    <row r="1580" spans="5:5" x14ac:dyDescent="0.25">
      <c r="E1580" s="80"/>
    </row>
    <row r="1581" spans="5:5" x14ac:dyDescent="0.25">
      <c r="E1581" s="80"/>
    </row>
    <row r="1582" spans="5:5" x14ac:dyDescent="0.25">
      <c r="E1582" s="80"/>
    </row>
    <row r="1583" spans="5:5" x14ac:dyDescent="0.25">
      <c r="E1583" s="80"/>
    </row>
    <row r="1584" spans="5:5" x14ac:dyDescent="0.25">
      <c r="E1584" s="80"/>
    </row>
    <row r="1585" spans="5:5" x14ac:dyDescent="0.25">
      <c r="E1585" s="80"/>
    </row>
    <row r="1586" spans="5:5" x14ac:dyDescent="0.25">
      <c r="E1586" s="80"/>
    </row>
    <row r="1587" spans="5:5" x14ac:dyDescent="0.25">
      <c r="E1587" s="80"/>
    </row>
    <row r="1588" spans="5:5" x14ac:dyDescent="0.25">
      <c r="E1588" s="80"/>
    </row>
    <row r="1589" spans="5:5" x14ac:dyDescent="0.25">
      <c r="E1589" s="80"/>
    </row>
    <row r="1590" spans="5:5" x14ac:dyDescent="0.25">
      <c r="E1590" s="80"/>
    </row>
    <row r="1591" spans="5:5" x14ac:dyDescent="0.25">
      <c r="E1591" s="80"/>
    </row>
    <row r="1592" spans="5:5" x14ac:dyDescent="0.25">
      <c r="E1592" s="80"/>
    </row>
    <row r="1593" spans="5:5" x14ac:dyDescent="0.25">
      <c r="E1593" s="80"/>
    </row>
    <row r="1594" spans="5:5" x14ac:dyDescent="0.25">
      <c r="E1594" s="80"/>
    </row>
    <row r="1595" spans="5:5" x14ac:dyDescent="0.25">
      <c r="E1595" s="80"/>
    </row>
    <row r="1596" spans="5:5" x14ac:dyDescent="0.25">
      <c r="E1596" s="80"/>
    </row>
    <row r="1597" spans="5:5" x14ac:dyDescent="0.25">
      <c r="E1597" s="80"/>
    </row>
    <row r="1598" spans="5:5" x14ac:dyDescent="0.25">
      <c r="E1598" s="80"/>
    </row>
    <row r="1599" spans="5:5" x14ac:dyDescent="0.25">
      <c r="E1599" s="80"/>
    </row>
    <row r="1600" spans="5:5" x14ac:dyDescent="0.25">
      <c r="E1600" s="80"/>
    </row>
    <row r="1601" spans="5:5" x14ac:dyDescent="0.25">
      <c r="E1601" s="80"/>
    </row>
    <row r="1602" spans="5:5" x14ac:dyDescent="0.25">
      <c r="E1602" s="80"/>
    </row>
    <row r="1603" spans="5:5" x14ac:dyDescent="0.25">
      <c r="E1603" s="80"/>
    </row>
    <row r="1604" spans="5:5" x14ac:dyDescent="0.25">
      <c r="E1604" s="80"/>
    </row>
    <row r="1605" spans="5:5" x14ac:dyDescent="0.25">
      <c r="E1605" s="80"/>
    </row>
    <row r="1606" spans="5:5" x14ac:dyDescent="0.25">
      <c r="E1606" s="80"/>
    </row>
    <row r="1607" spans="5:5" x14ac:dyDescent="0.25">
      <c r="E1607" s="80"/>
    </row>
    <row r="1608" spans="5:5" x14ac:dyDescent="0.25">
      <c r="E1608" s="80"/>
    </row>
    <row r="1609" spans="5:5" x14ac:dyDescent="0.25">
      <c r="E1609" s="80"/>
    </row>
    <row r="1610" spans="5:5" x14ac:dyDescent="0.25">
      <c r="E1610" s="80"/>
    </row>
    <row r="1611" spans="5:5" x14ac:dyDescent="0.25">
      <c r="E1611" s="80"/>
    </row>
    <row r="1612" spans="5:5" x14ac:dyDescent="0.25">
      <c r="E1612" s="80"/>
    </row>
    <row r="1613" spans="5:5" x14ac:dyDescent="0.25">
      <c r="E1613" s="80"/>
    </row>
    <row r="1614" spans="5:5" x14ac:dyDescent="0.25">
      <c r="E1614" s="80"/>
    </row>
    <row r="1615" spans="5:5" x14ac:dyDescent="0.25">
      <c r="E1615" s="80"/>
    </row>
    <row r="1616" spans="5:5" x14ac:dyDescent="0.25">
      <c r="E1616" s="80"/>
    </row>
    <row r="1617" spans="5:5" x14ac:dyDescent="0.25">
      <c r="E1617" s="80"/>
    </row>
    <row r="1618" spans="5:5" x14ac:dyDescent="0.25">
      <c r="E1618" s="80"/>
    </row>
    <row r="1619" spans="5:5" x14ac:dyDescent="0.25">
      <c r="E1619" s="80"/>
    </row>
    <row r="1620" spans="5:5" x14ac:dyDescent="0.25">
      <c r="E1620" s="80"/>
    </row>
    <row r="1621" spans="5:5" x14ac:dyDescent="0.25">
      <c r="E1621" s="80"/>
    </row>
    <row r="1622" spans="5:5" x14ac:dyDescent="0.25">
      <c r="E1622" s="80"/>
    </row>
    <row r="1623" spans="5:5" x14ac:dyDescent="0.25">
      <c r="E1623" s="80"/>
    </row>
    <row r="1624" spans="5:5" x14ac:dyDescent="0.25">
      <c r="E1624" s="80"/>
    </row>
    <row r="1625" spans="5:5" x14ac:dyDescent="0.25">
      <c r="E1625" s="80"/>
    </row>
    <row r="1626" spans="5:5" x14ac:dyDescent="0.25">
      <c r="E1626" s="80"/>
    </row>
    <row r="1627" spans="5:5" x14ac:dyDescent="0.25">
      <c r="E1627" s="80"/>
    </row>
    <row r="1628" spans="5:5" x14ac:dyDescent="0.25">
      <c r="E1628" s="80"/>
    </row>
    <row r="1629" spans="5:5" x14ac:dyDescent="0.25">
      <c r="E1629" s="80"/>
    </row>
    <row r="1630" spans="5:5" x14ac:dyDescent="0.25">
      <c r="E1630" s="80"/>
    </row>
    <row r="1631" spans="5:5" x14ac:dyDescent="0.25">
      <c r="E1631" s="80"/>
    </row>
    <row r="1632" spans="5:5" x14ac:dyDescent="0.25">
      <c r="E1632" s="80"/>
    </row>
    <row r="1633" spans="5:5" x14ac:dyDescent="0.25">
      <c r="E1633" s="80"/>
    </row>
    <row r="1634" spans="5:5" x14ac:dyDescent="0.25">
      <c r="E1634" s="80"/>
    </row>
    <row r="1635" spans="5:5" x14ac:dyDescent="0.25">
      <c r="E1635" s="80"/>
    </row>
    <row r="1636" spans="5:5" x14ac:dyDescent="0.25">
      <c r="E1636" s="80"/>
    </row>
    <row r="1637" spans="5:5" x14ac:dyDescent="0.25">
      <c r="E1637" s="80"/>
    </row>
    <row r="1638" spans="5:5" x14ac:dyDescent="0.25">
      <c r="E1638" s="80"/>
    </row>
    <row r="1639" spans="5:5" x14ac:dyDescent="0.25">
      <c r="E1639" s="80"/>
    </row>
    <row r="1640" spans="5:5" x14ac:dyDescent="0.25">
      <c r="E1640" s="80"/>
    </row>
    <row r="1641" spans="5:5" x14ac:dyDescent="0.25">
      <c r="E1641" s="80"/>
    </row>
    <row r="1642" spans="5:5" x14ac:dyDescent="0.25">
      <c r="E1642" s="80"/>
    </row>
    <row r="1643" spans="5:5" x14ac:dyDescent="0.25">
      <c r="E1643" s="80"/>
    </row>
    <row r="1644" spans="5:5" x14ac:dyDescent="0.25">
      <c r="E1644" s="80"/>
    </row>
    <row r="1645" spans="5:5" x14ac:dyDescent="0.25">
      <c r="E1645" s="80"/>
    </row>
    <row r="1646" spans="5:5" x14ac:dyDescent="0.25">
      <c r="E1646" s="80"/>
    </row>
    <row r="1647" spans="5:5" x14ac:dyDescent="0.25">
      <c r="E1647" s="80"/>
    </row>
    <row r="1648" spans="5:5" x14ac:dyDescent="0.25">
      <c r="E1648" s="80"/>
    </row>
    <row r="1649" spans="5:5" x14ac:dyDescent="0.25">
      <c r="E1649" s="80"/>
    </row>
    <row r="1650" spans="5:5" x14ac:dyDescent="0.25">
      <c r="E1650" s="80"/>
    </row>
    <row r="1651" spans="5:5" x14ac:dyDescent="0.25">
      <c r="E1651" s="80"/>
    </row>
    <row r="1652" spans="5:5" x14ac:dyDescent="0.25">
      <c r="E1652" s="80"/>
    </row>
    <row r="1653" spans="5:5" x14ac:dyDescent="0.25">
      <c r="E1653" s="80"/>
    </row>
    <row r="1654" spans="5:5" x14ac:dyDescent="0.25">
      <c r="E1654" s="80"/>
    </row>
    <row r="1655" spans="5:5" x14ac:dyDescent="0.25">
      <c r="E1655" s="80"/>
    </row>
    <row r="1656" spans="5:5" x14ac:dyDescent="0.25">
      <c r="E1656" s="80"/>
    </row>
    <row r="1657" spans="5:5" x14ac:dyDescent="0.25">
      <c r="E1657" s="80"/>
    </row>
    <row r="1658" spans="5:5" x14ac:dyDescent="0.25">
      <c r="E1658" s="80"/>
    </row>
    <row r="1659" spans="5:5" x14ac:dyDescent="0.25">
      <c r="E1659" s="80"/>
    </row>
    <row r="1660" spans="5:5" x14ac:dyDescent="0.25">
      <c r="E1660" s="80"/>
    </row>
    <row r="1661" spans="5:5" x14ac:dyDescent="0.25">
      <c r="E1661" s="80"/>
    </row>
    <row r="1662" spans="5:5" x14ac:dyDescent="0.25">
      <c r="E1662" s="80"/>
    </row>
    <row r="1663" spans="5:5" x14ac:dyDescent="0.25">
      <c r="E1663" s="80"/>
    </row>
    <row r="1664" spans="5:5" x14ac:dyDescent="0.25">
      <c r="E1664" s="80"/>
    </row>
    <row r="1665" spans="5:5" x14ac:dyDescent="0.25">
      <c r="E1665" s="80"/>
    </row>
    <row r="1666" spans="5:5" x14ac:dyDescent="0.25">
      <c r="E1666" s="80"/>
    </row>
    <row r="1667" spans="5:5" x14ac:dyDescent="0.25">
      <c r="E1667" s="80"/>
    </row>
    <row r="1668" spans="5:5" x14ac:dyDescent="0.25">
      <c r="E1668" s="80"/>
    </row>
    <row r="1669" spans="5:5" x14ac:dyDescent="0.25">
      <c r="E1669" s="80"/>
    </row>
    <row r="1670" spans="5:5" x14ac:dyDescent="0.25">
      <c r="E1670" s="80"/>
    </row>
    <row r="1671" spans="5:5" x14ac:dyDescent="0.25">
      <c r="E1671" s="80"/>
    </row>
    <row r="1672" spans="5:5" x14ac:dyDescent="0.25">
      <c r="E1672" s="80"/>
    </row>
    <row r="1673" spans="5:5" x14ac:dyDescent="0.25">
      <c r="E1673" s="80"/>
    </row>
    <row r="1674" spans="5:5" x14ac:dyDescent="0.25">
      <c r="E1674" s="80"/>
    </row>
    <row r="1675" spans="5:5" x14ac:dyDescent="0.25">
      <c r="E1675" s="80"/>
    </row>
    <row r="1676" spans="5:5" x14ac:dyDescent="0.25">
      <c r="E1676" s="80"/>
    </row>
    <row r="1677" spans="5:5" x14ac:dyDescent="0.25">
      <c r="E1677" s="80"/>
    </row>
    <row r="1678" spans="5:5" x14ac:dyDescent="0.25">
      <c r="E1678" s="80"/>
    </row>
    <row r="1679" spans="5:5" x14ac:dyDescent="0.25">
      <c r="E1679" s="80"/>
    </row>
    <row r="1680" spans="5:5" x14ac:dyDescent="0.25">
      <c r="E1680" s="80"/>
    </row>
    <row r="1681" spans="5:5" x14ac:dyDescent="0.25">
      <c r="E1681" s="80"/>
    </row>
    <row r="1682" spans="5:5" x14ac:dyDescent="0.25">
      <c r="E1682" s="80"/>
    </row>
    <row r="1683" spans="5:5" x14ac:dyDescent="0.25">
      <c r="E1683" s="80"/>
    </row>
    <row r="1684" spans="5:5" x14ac:dyDescent="0.25">
      <c r="E1684" s="80"/>
    </row>
    <row r="1685" spans="5:5" x14ac:dyDescent="0.25">
      <c r="E1685" s="80"/>
    </row>
    <row r="1686" spans="5:5" x14ac:dyDescent="0.25">
      <c r="E1686" s="80"/>
    </row>
    <row r="1687" spans="5:5" x14ac:dyDescent="0.25">
      <c r="E1687" s="80"/>
    </row>
    <row r="1688" spans="5:5" x14ac:dyDescent="0.25">
      <c r="E1688" s="80"/>
    </row>
    <row r="1689" spans="5:5" x14ac:dyDescent="0.25">
      <c r="E1689" s="80"/>
    </row>
    <row r="1690" spans="5:5" x14ac:dyDescent="0.25">
      <c r="E1690" s="80"/>
    </row>
    <row r="1691" spans="5:5" x14ac:dyDescent="0.25">
      <c r="E1691" s="80"/>
    </row>
    <row r="1692" spans="5:5" x14ac:dyDescent="0.25">
      <c r="E1692" s="80"/>
    </row>
    <row r="1693" spans="5:5" x14ac:dyDescent="0.25">
      <c r="E1693" s="80"/>
    </row>
    <row r="1694" spans="5:5" x14ac:dyDescent="0.25">
      <c r="E1694" s="80"/>
    </row>
    <row r="1695" spans="5:5" x14ac:dyDescent="0.25">
      <c r="E1695" s="80"/>
    </row>
    <row r="1696" spans="5:5" x14ac:dyDescent="0.25">
      <c r="E1696" s="80"/>
    </row>
    <row r="1697" spans="5:5" x14ac:dyDescent="0.25">
      <c r="E1697" s="80"/>
    </row>
    <row r="1698" spans="5:5" x14ac:dyDescent="0.25">
      <c r="E1698" s="80"/>
    </row>
    <row r="1699" spans="5:5" x14ac:dyDescent="0.25">
      <c r="E1699" s="80"/>
    </row>
    <row r="1700" spans="5:5" x14ac:dyDescent="0.25">
      <c r="E1700" s="80"/>
    </row>
    <row r="1701" spans="5:5" x14ac:dyDescent="0.25">
      <c r="E1701" s="80"/>
    </row>
    <row r="1702" spans="5:5" x14ac:dyDescent="0.25">
      <c r="E1702" s="80"/>
    </row>
    <row r="1703" spans="5:5" x14ac:dyDescent="0.25">
      <c r="E1703" s="80"/>
    </row>
    <row r="1704" spans="5:5" x14ac:dyDescent="0.25">
      <c r="E1704" s="80"/>
    </row>
    <row r="1705" spans="5:5" x14ac:dyDescent="0.25">
      <c r="E1705" s="80"/>
    </row>
    <row r="1706" spans="5:5" x14ac:dyDescent="0.25">
      <c r="E1706" s="80"/>
    </row>
    <row r="1707" spans="5:5" x14ac:dyDescent="0.25">
      <c r="E1707" s="80"/>
    </row>
    <row r="1708" spans="5:5" x14ac:dyDescent="0.25">
      <c r="E1708" s="80"/>
    </row>
    <row r="1709" spans="5:5" x14ac:dyDescent="0.25">
      <c r="E1709" s="80"/>
    </row>
    <row r="1710" spans="5:5" x14ac:dyDescent="0.25">
      <c r="E1710" s="80"/>
    </row>
    <row r="1711" spans="5:5" x14ac:dyDescent="0.25">
      <c r="E1711" s="80"/>
    </row>
    <row r="1712" spans="5:5" x14ac:dyDescent="0.25">
      <c r="E1712" s="80"/>
    </row>
    <row r="1713" spans="5:5" x14ac:dyDescent="0.25">
      <c r="E1713" s="80"/>
    </row>
    <row r="1714" spans="5:5" x14ac:dyDescent="0.25">
      <c r="E1714" s="80"/>
    </row>
    <row r="1715" spans="5:5" x14ac:dyDescent="0.25">
      <c r="E1715" s="80"/>
    </row>
    <row r="1716" spans="5:5" x14ac:dyDescent="0.25">
      <c r="E1716" s="80"/>
    </row>
    <row r="1717" spans="5:5" x14ac:dyDescent="0.25">
      <c r="E1717" s="80"/>
    </row>
    <row r="1718" spans="5:5" x14ac:dyDescent="0.25">
      <c r="E1718" s="80"/>
    </row>
    <row r="1719" spans="5:5" x14ac:dyDescent="0.25">
      <c r="E1719" s="80"/>
    </row>
    <row r="1720" spans="5:5" x14ac:dyDescent="0.25">
      <c r="E1720" s="80"/>
    </row>
    <row r="1721" spans="5:5" x14ac:dyDescent="0.25">
      <c r="E1721" s="80"/>
    </row>
    <row r="1722" spans="5:5" x14ac:dyDescent="0.25">
      <c r="E1722" s="80"/>
    </row>
    <row r="1723" spans="5:5" x14ac:dyDescent="0.25">
      <c r="E1723" s="80"/>
    </row>
    <row r="1724" spans="5:5" x14ac:dyDescent="0.25">
      <c r="E1724" s="80"/>
    </row>
    <row r="1725" spans="5:5" x14ac:dyDescent="0.25">
      <c r="E1725" s="80"/>
    </row>
    <row r="1726" spans="5:5" x14ac:dyDescent="0.25">
      <c r="E1726" s="80"/>
    </row>
    <row r="1727" spans="5:5" x14ac:dyDescent="0.25">
      <c r="E1727" s="80"/>
    </row>
    <row r="1728" spans="5:5" x14ac:dyDescent="0.25">
      <c r="E1728" s="80"/>
    </row>
    <row r="1729" spans="5:5" x14ac:dyDescent="0.25">
      <c r="E1729" s="80"/>
    </row>
    <row r="1730" spans="5:5" x14ac:dyDescent="0.25">
      <c r="E1730" s="80"/>
    </row>
    <row r="1731" spans="5:5" x14ac:dyDescent="0.25">
      <c r="E1731" s="80"/>
    </row>
    <row r="1732" spans="5:5" x14ac:dyDescent="0.25">
      <c r="E1732" s="80"/>
    </row>
    <row r="1733" spans="5:5" x14ac:dyDescent="0.25">
      <c r="E1733" s="80"/>
    </row>
    <row r="1734" spans="5:5" x14ac:dyDescent="0.25">
      <c r="E1734" s="80"/>
    </row>
    <row r="1735" spans="5:5" x14ac:dyDescent="0.25">
      <c r="E1735" s="80"/>
    </row>
    <row r="1736" spans="5:5" x14ac:dyDescent="0.25">
      <c r="E1736" s="80"/>
    </row>
    <row r="1737" spans="5:5" x14ac:dyDescent="0.25">
      <c r="E1737" s="80"/>
    </row>
    <row r="1738" spans="5:5" x14ac:dyDescent="0.25">
      <c r="E1738" s="80"/>
    </row>
    <row r="1739" spans="5:5" x14ac:dyDescent="0.25">
      <c r="E1739" s="80"/>
    </row>
    <row r="1740" spans="5:5" x14ac:dyDescent="0.25">
      <c r="E1740" s="80"/>
    </row>
    <row r="1741" spans="5:5" x14ac:dyDescent="0.25">
      <c r="E1741" s="80"/>
    </row>
    <row r="1742" spans="5:5" x14ac:dyDescent="0.25">
      <c r="E1742" s="80"/>
    </row>
    <row r="1743" spans="5:5" x14ac:dyDescent="0.25">
      <c r="E1743" s="80"/>
    </row>
    <row r="1744" spans="5:5" x14ac:dyDescent="0.25">
      <c r="E1744" s="80"/>
    </row>
    <row r="1745" spans="5:5" x14ac:dyDescent="0.25">
      <c r="E1745" s="80"/>
    </row>
    <row r="1746" spans="5:5" x14ac:dyDescent="0.25">
      <c r="E1746" s="80"/>
    </row>
    <row r="1747" spans="5:5" x14ac:dyDescent="0.25">
      <c r="E1747" s="80"/>
    </row>
    <row r="1748" spans="5:5" x14ac:dyDescent="0.25">
      <c r="E1748" s="80"/>
    </row>
    <row r="1749" spans="5:5" x14ac:dyDescent="0.25">
      <c r="E1749" s="80"/>
    </row>
    <row r="1750" spans="5:5" x14ac:dyDescent="0.25">
      <c r="E1750" s="80"/>
    </row>
    <row r="1751" spans="5:5" x14ac:dyDescent="0.25">
      <c r="E1751" s="80"/>
    </row>
    <row r="1752" spans="5:5" x14ac:dyDescent="0.25">
      <c r="E1752" s="80"/>
    </row>
    <row r="1753" spans="5:5" x14ac:dyDescent="0.25">
      <c r="E1753" s="80"/>
    </row>
    <row r="1754" spans="5:5" x14ac:dyDescent="0.25">
      <c r="E1754" s="80"/>
    </row>
    <row r="1755" spans="5:5" x14ac:dyDescent="0.25">
      <c r="E1755" s="80"/>
    </row>
    <row r="1756" spans="5:5" x14ac:dyDescent="0.25">
      <c r="E1756" s="80"/>
    </row>
    <row r="1757" spans="5:5" x14ac:dyDescent="0.25">
      <c r="E1757" s="80"/>
    </row>
    <row r="1758" spans="5:5" x14ac:dyDescent="0.25">
      <c r="E1758" s="80"/>
    </row>
    <row r="1759" spans="5:5" x14ac:dyDescent="0.25">
      <c r="E1759" s="80"/>
    </row>
    <row r="1760" spans="5:5" x14ac:dyDescent="0.25">
      <c r="E1760" s="80"/>
    </row>
    <row r="1761" spans="5:5" x14ac:dyDescent="0.25">
      <c r="E1761" s="80"/>
    </row>
    <row r="1762" spans="5:5" x14ac:dyDescent="0.25">
      <c r="E1762" s="80"/>
    </row>
    <row r="1763" spans="5:5" x14ac:dyDescent="0.25">
      <c r="E1763" s="80"/>
    </row>
    <row r="1764" spans="5:5" x14ac:dyDescent="0.25">
      <c r="E1764" s="80"/>
    </row>
    <row r="1765" spans="5:5" x14ac:dyDescent="0.25">
      <c r="E1765" s="80"/>
    </row>
    <row r="1766" spans="5:5" x14ac:dyDescent="0.25">
      <c r="E1766" s="80"/>
    </row>
    <row r="1767" spans="5:5" x14ac:dyDescent="0.25">
      <c r="E1767" s="80"/>
    </row>
    <row r="1768" spans="5:5" x14ac:dyDescent="0.25">
      <c r="E1768" s="80"/>
    </row>
    <row r="1769" spans="5:5" x14ac:dyDescent="0.25">
      <c r="E1769" s="80"/>
    </row>
    <row r="1770" spans="5:5" x14ac:dyDescent="0.25">
      <c r="E1770" s="80"/>
    </row>
    <row r="1771" spans="5:5" x14ac:dyDescent="0.25">
      <c r="E1771" s="80"/>
    </row>
    <row r="1772" spans="5:5" x14ac:dyDescent="0.25">
      <c r="E1772" s="80"/>
    </row>
    <row r="1773" spans="5:5" x14ac:dyDescent="0.25">
      <c r="E1773" s="80"/>
    </row>
    <row r="1774" spans="5:5" x14ac:dyDescent="0.25">
      <c r="E1774" s="80"/>
    </row>
    <row r="1775" spans="5:5" x14ac:dyDescent="0.25">
      <c r="E1775" s="80"/>
    </row>
    <row r="1776" spans="5:5" x14ac:dyDescent="0.25">
      <c r="E1776" s="80"/>
    </row>
    <row r="1777" spans="5:5" x14ac:dyDescent="0.25">
      <c r="E1777" s="80"/>
    </row>
    <row r="1778" spans="5:5" x14ac:dyDescent="0.25">
      <c r="E1778" s="80"/>
    </row>
    <row r="1779" spans="5:5" x14ac:dyDescent="0.25">
      <c r="E1779" s="80"/>
    </row>
    <row r="1780" spans="5:5" x14ac:dyDescent="0.25">
      <c r="E1780" s="80"/>
    </row>
    <row r="1781" spans="5:5" x14ac:dyDescent="0.25">
      <c r="E1781" s="80"/>
    </row>
    <row r="1782" spans="5:5" x14ac:dyDescent="0.25">
      <c r="E1782" s="80"/>
    </row>
    <row r="1783" spans="5:5" x14ac:dyDescent="0.25">
      <c r="E1783" s="80"/>
    </row>
    <row r="1784" spans="5:5" x14ac:dyDescent="0.25">
      <c r="E1784" s="80"/>
    </row>
    <row r="1785" spans="5:5" x14ac:dyDescent="0.25">
      <c r="E1785" s="80"/>
    </row>
    <row r="1786" spans="5:5" x14ac:dyDescent="0.25">
      <c r="E1786" s="80"/>
    </row>
    <row r="1787" spans="5:5" x14ac:dyDescent="0.25">
      <c r="E1787" s="80"/>
    </row>
    <row r="1788" spans="5:5" x14ac:dyDescent="0.25">
      <c r="E1788" s="80"/>
    </row>
    <row r="1789" spans="5:5" x14ac:dyDescent="0.25">
      <c r="E1789" s="80"/>
    </row>
    <row r="1790" spans="5:5" x14ac:dyDescent="0.25">
      <c r="E1790" s="80"/>
    </row>
    <row r="1791" spans="5:5" x14ac:dyDescent="0.25">
      <c r="E1791" s="80"/>
    </row>
    <row r="1792" spans="5:5" x14ac:dyDescent="0.25">
      <c r="E1792" s="80"/>
    </row>
    <row r="1793" spans="5:5" x14ac:dyDescent="0.25">
      <c r="E1793" s="80"/>
    </row>
    <row r="1794" spans="5:5" x14ac:dyDescent="0.25">
      <c r="E1794" s="80"/>
    </row>
    <row r="1795" spans="5:5" x14ac:dyDescent="0.25">
      <c r="E1795" s="80"/>
    </row>
    <row r="1796" spans="5:5" x14ac:dyDescent="0.25">
      <c r="E1796" s="80"/>
    </row>
    <row r="1797" spans="5:5" x14ac:dyDescent="0.25">
      <c r="E1797" s="80"/>
    </row>
    <row r="1798" spans="5:5" x14ac:dyDescent="0.25">
      <c r="E1798" s="80"/>
    </row>
    <row r="1799" spans="5:5" x14ac:dyDescent="0.25">
      <c r="E1799" s="80"/>
    </row>
    <row r="1800" spans="5:5" x14ac:dyDescent="0.25">
      <c r="E1800" s="80"/>
    </row>
    <row r="1801" spans="5:5" x14ac:dyDescent="0.25">
      <c r="E1801" s="80"/>
    </row>
    <row r="1802" spans="5:5" x14ac:dyDescent="0.25">
      <c r="E1802" s="80"/>
    </row>
    <row r="1803" spans="5:5" x14ac:dyDescent="0.25">
      <c r="E1803" s="80"/>
    </row>
    <row r="1804" spans="5:5" x14ac:dyDescent="0.25">
      <c r="E1804" s="80"/>
    </row>
    <row r="1805" spans="5:5" x14ac:dyDescent="0.25">
      <c r="E1805" s="80"/>
    </row>
    <row r="1806" spans="5:5" x14ac:dyDescent="0.25">
      <c r="E1806" s="80"/>
    </row>
    <row r="1807" spans="5:5" x14ac:dyDescent="0.25">
      <c r="E1807" s="80"/>
    </row>
    <row r="1808" spans="5:5" x14ac:dyDescent="0.25">
      <c r="E1808" s="80"/>
    </row>
    <row r="1809" spans="5:5" x14ac:dyDescent="0.25">
      <c r="E1809" s="80"/>
    </row>
    <row r="1810" spans="5:5" x14ac:dyDescent="0.25">
      <c r="E1810" s="80"/>
    </row>
    <row r="1811" spans="5:5" x14ac:dyDescent="0.25">
      <c r="E1811" s="80"/>
    </row>
    <row r="1812" spans="5:5" x14ac:dyDescent="0.25">
      <c r="E1812" s="80"/>
    </row>
    <row r="1813" spans="5:5" x14ac:dyDescent="0.25">
      <c r="E1813" s="80"/>
    </row>
    <row r="1814" spans="5:5" x14ac:dyDescent="0.25">
      <c r="E1814" s="80"/>
    </row>
    <row r="1815" spans="5:5" x14ac:dyDescent="0.25">
      <c r="E1815" s="80"/>
    </row>
    <row r="1816" spans="5:5" x14ac:dyDescent="0.25">
      <c r="E1816" s="80"/>
    </row>
    <row r="1817" spans="5:5" x14ac:dyDescent="0.25">
      <c r="E1817" s="80"/>
    </row>
    <row r="1818" spans="5:5" x14ac:dyDescent="0.25">
      <c r="E1818" s="80"/>
    </row>
    <row r="1819" spans="5:5" x14ac:dyDescent="0.25">
      <c r="E1819" s="80"/>
    </row>
    <row r="1820" spans="5:5" x14ac:dyDescent="0.25">
      <c r="E1820" s="80"/>
    </row>
    <row r="1821" spans="5:5" x14ac:dyDescent="0.25">
      <c r="E1821" s="80"/>
    </row>
    <row r="1822" spans="5:5" x14ac:dyDescent="0.25">
      <c r="E1822" s="80"/>
    </row>
    <row r="1823" spans="5:5" x14ac:dyDescent="0.25">
      <c r="E1823" s="80"/>
    </row>
    <row r="1824" spans="5:5" x14ac:dyDescent="0.25">
      <c r="E1824" s="80"/>
    </row>
    <row r="1825" spans="5:5" x14ac:dyDescent="0.25">
      <c r="E1825" s="80"/>
    </row>
    <row r="1826" spans="5:5" x14ac:dyDescent="0.25">
      <c r="E1826" s="80"/>
    </row>
    <row r="1827" spans="5:5" x14ac:dyDescent="0.25">
      <c r="E1827" s="80"/>
    </row>
    <row r="1828" spans="5:5" x14ac:dyDescent="0.25">
      <c r="E1828" s="80"/>
    </row>
    <row r="1829" spans="5:5" x14ac:dyDescent="0.25">
      <c r="E1829" s="80"/>
    </row>
    <row r="1830" spans="5:5" x14ac:dyDescent="0.25">
      <c r="E1830" s="80"/>
    </row>
    <row r="1831" spans="5:5" x14ac:dyDescent="0.25">
      <c r="E1831" s="80"/>
    </row>
    <row r="1832" spans="5:5" x14ac:dyDescent="0.25">
      <c r="E1832" s="80"/>
    </row>
    <row r="1833" spans="5:5" x14ac:dyDescent="0.25">
      <c r="E1833" s="80"/>
    </row>
    <row r="1834" spans="5:5" x14ac:dyDescent="0.25">
      <c r="E1834" s="80"/>
    </row>
    <row r="1835" spans="5:5" x14ac:dyDescent="0.25">
      <c r="E1835" s="80"/>
    </row>
    <row r="1836" spans="5:5" x14ac:dyDescent="0.25">
      <c r="E1836" s="80"/>
    </row>
    <row r="1837" spans="5:5" x14ac:dyDescent="0.25">
      <c r="E1837" s="80"/>
    </row>
    <row r="1838" spans="5:5" x14ac:dyDescent="0.25">
      <c r="E1838" s="80"/>
    </row>
    <row r="1839" spans="5:5" x14ac:dyDescent="0.25">
      <c r="E1839" s="80"/>
    </row>
    <row r="1840" spans="5:5" x14ac:dyDescent="0.25">
      <c r="E1840" s="80"/>
    </row>
    <row r="1841" spans="5:5" x14ac:dyDescent="0.25">
      <c r="E1841" s="80"/>
    </row>
    <row r="1842" spans="5:5" x14ac:dyDescent="0.25">
      <c r="E1842" s="80"/>
    </row>
    <row r="1843" spans="5:5" x14ac:dyDescent="0.25">
      <c r="E1843" s="80"/>
    </row>
    <row r="1844" spans="5:5" x14ac:dyDescent="0.25">
      <c r="E1844" s="80"/>
    </row>
    <row r="1845" spans="5:5" x14ac:dyDescent="0.25">
      <c r="E1845" s="80"/>
    </row>
    <row r="1846" spans="5:5" x14ac:dyDescent="0.25">
      <c r="E1846" s="80"/>
    </row>
    <row r="1847" spans="5:5" x14ac:dyDescent="0.25">
      <c r="E1847" s="80"/>
    </row>
    <row r="1848" spans="5:5" x14ac:dyDescent="0.25">
      <c r="E1848" s="80"/>
    </row>
    <row r="1849" spans="5:5" x14ac:dyDescent="0.25">
      <c r="E1849" s="80"/>
    </row>
    <row r="1850" spans="5:5" x14ac:dyDescent="0.25">
      <c r="E1850" s="80"/>
    </row>
    <row r="1851" spans="5:5" x14ac:dyDescent="0.25">
      <c r="E1851" s="80"/>
    </row>
    <row r="1852" spans="5:5" x14ac:dyDescent="0.25">
      <c r="E1852" s="80"/>
    </row>
    <row r="1853" spans="5:5" x14ac:dyDescent="0.25">
      <c r="E1853" s="80"/>
    </row>
    <row r="1854" spans="5:5" x14ac:dyDescent="0.25">
      <c r="E1854" s="80"/>
    </row>
    <row r="1855" spans="5:5" x14ac:dyDescent="0.25">
      <c r="E1855" s="80"/>
    </row>
    <row r="1856" spans="5:5" x14ac:dyDescent="0.25">
      <c r="E1856" s="80"/>
    </row>
    <row r="1857" spans="5:5" x14ac:dyDescent="0.25">
      <c r="E1857" s="80"/>
    </row>
    <row r="1858" spans="5:5" x14ac:dyDescent="0.25">
      <c r="E1858" s="80"/>
    </row>
    <row r="1859" spans="5:5" x14ac:dyDescent="0.25">
      <c r="E1859" s="80"/>
    </row>
    <row r="1860" spans="5:5" x14ac:dyDescent="0.25">
      <c r="E1860" s="80"/>
    </row>
    <row r="1861" spans="5:5" x14ac:dyDescent="0.25">
      <c r="E1861" s="80"/>
    </row>
    <row r="1862" spans="5:5" x14ac:dyDescent="0.25">
      <c r="E1862" s="80"/>
    </row>
    <row r="1863" spans="5:5" x14ac:dyDescent="0.25">
      <c r="E1863" s="80"/>
    </row>
    <row r="1864" spans="5:5" x14ac:dyDescent="0.25">
      <c r="E1864" s="80"/>
    </row>
    <row r="1865" spans="5:5" x14ac:dyDescent="0.25">
      <c r="E1865" s="80"/>
    </row>
    <row r="1866" spans="5:5" x14ac:dyDescent="0.25">
      <c r="E1866" s="80"/>
    </row>
    <row r="1867" spans="5:5" x14ac:dyDescent="0.25">
      <c r="E1867" s="80"/>
    </row>
    <row r="1868" spans="5:5" x14ac:dyDescent="0.25">
      <c r="E1868" s="80"/>
    </row>
    <row r="1869" spans="5:5" x14ac:dyDescent="0.25">
      <c r="E1869" s="80"/>
    </row>
    <row r="1870" spans="5:5" x14ac:dyDescent="0.25">
      <c r="E1870" s="80"/>
    </row>
    <row r="1871" spans="5:5" x14ac:dyDescent="0.25">
      <c r="E1871" s="80"/>
    </row>
    <row r="1872" spans="5:5" x14ac:dyDescent="0.25">
      <c r="E1872" s="80"/>
    </row>
    <row r="1873" spans="5:5" x14ac:dyDescent="0.25">
      <c r="E1873" s="80"/>
    </row>
    <row r="1874" spans="5:5" x14ac:dyDescent="0.25">
      <c r="E1874" s="80"/>
    </row>
    <row r="1875" spans="5:5" x14ac:dyDescent="0.25">
      <c r="E1875" s="80"/>
    </row>
    <row r="1876" spans="5:5" x14ac:dyDescent="0.25">
      <c r="E1876" s="80"/>
    </row>
    <row r="1877" spans="5:5" x14ac:dyDescent="0.25">
      <c r="E1877" s="80"/>
    </row>
    <row r="1878" spans="5:5" x14ac:dyDescent="0.25">
      <c r="E1878" s="80"/>
    </row>
    <row r="1879" spans="5:5" x14ac:dyDescent="0.25">
      <c r="E1879" s="80"/>
    </row>
    <row r="1880" spans="5:5" x14ac:dyDescent="0.25">
      <c r="E1880" s="80"/>
    </row>
    <row r="1881" spans="5:5" x14ac:dyDescent="0.25">
      <c r="E1881" s="80"/>
    </row>
    <row r="1882" spans="5:5" x14ac:dyDescent="0.25">
      <c r="E1882" s="80"/>
    </row>
    <row r="1883" spans="5:5" x14ac:dyDescent="0.25">
      <c r="E1883" s="80"/>
    </row>
    <row r="1884" spans="5:5" x14ac:dyDescent="0.25">
      <c r="E1884" s="80"/>
    </row>
    <row r="1885" spans="5:5" x14ac:dyDescent="0.25">
      <c r="E1885" s="80"/>
    </row>
    <row r="1886" spans="5:5" x14ac:dyDescent="0.25">
      <c r="E1886" s="80"/>
    </row>
    <row r="1887" spans="5:5" x14ac:dyDescent="0.25">
      <c r="E1887" s="80"/>
    </row>
    <row r="1888" spans="5:5" x14ac:dyDescent="0.25">
      <c r="E1888" s="80"/>
    </row>
    <row r="1889" spans="5:5" x14ac:dyDescent="0.25">
      <c r="E1889" s="80"/>
    </row>
    <row r="1890" spans="5:5" x14ac:dyDescent="0.25">
      <c r="E1890" s="80"/>
    </row>
    <row r="1891" spans="5:5" x14ac:dyDescent="0.25">
      <c r="E1891" s="80"/>
    </row>
    <row r="1892" spans="5:5" x14ac:dyDescent="0.25">
      <c r="E1892" s="80"/>
    </row>
    <row r="1893" spans="5:5" x14ac:dyDescent="0.25">
      <c r="E1893" s="80"/>
    </row>
    <row r="1894" spans="5:5" x14ac:dyDescent="0.25">
      <c r="E1894" s="80"/>
    </row>
    <row r="1895" spans="5:5" x14ac:dyDescent="0.25">
      <c r="E1895" s="80"/>
    </row>
    <row r="1896" spans="5:5" x14ac:dyDescent="0.25">
      <c r="E1896" s="80"/>
    </row>
    <row r="1897" spans="5:5" x14ac:dyDescent="0.25">
      <c r="E1897" s="80"/>
    </row>
    <row r="1898" spans="5:5" x14ac:dyDescent="0.25">
      <c r="E1898" s="80"/>
    </row>
    <row r="1899" spans="5:5" x14ac:dyDescent="0.25">
      <c r="E1899" s="80"/>
    </row>
    <row r="1900" spans="5:5" x14ac:dyDescent="0.25">
      <c r="E1900" s="80"/>
    </row>
    <row r="1901" spans="5:5" x14ac:dyDescent="0.25">
      <c r="E1901" s="80"/>
    </row>
    <row r="1902" spans="5:5" x14ac:dyDescent="0.25">
      <c r="E1902" s="80"/>
    </row>
    <row r="1903" spans="5:5" x14ac:dyDescent="0.25">
      <c r="E1903" s="80"/>
    </row>
    <row r="1904" spans="5:5" x14ac:dyDescent="0.25">
      <c r="E1904" s="80"/>
    </row>
    <row r="1905" spans="5:5" x14ac:dyDescent="0.25">
      <c r="E1905" s="80"/>
    </row>
    <row r="1906" spans="5:5" x14ac:dyDescent="0.25">
      <c r="E1906" s="80"/>
    </row>
    <row r="1907" spans="5:5" x14ac:dyDescent="0.25">
      <c r="E1907" s="80"/>
    </row>
    <row r="1908" spans="5:5" x14ac:dyDescent="0.25">
      <c r="E1908" s="80"/>
    </row>
    <row r="1909" spans="5:5" x14ac:dyDescent="0.25">
      <c r="E1909" s="80"/>
    </row>
    <row r="1910" spans="5:5" x14ac:dyDescent="0.25">
      <c r="E1910" s="80"/>
    </row>
    <row r="1911" spans="5:5" x14ac:dyDescent="0.25">
      <c r="E1911" s="80"/>
    </row>
    <row r="1912" spans="5:5" x14ac:dyDescent="0.25">
      <c r="E1912" s="80"/>
    </row>
    <row r="1913" spans="5:5" x14ac:dyDescent="0.25">
      <c r="E1913" s="80"/>
    </row>
    <row r="1914" spans="5:5" x14ac:dyDescent="0.25">
      <c r="E1914" s="80"/>
    </row>
    <row r="1915" spans="5:5" x14ac:dyDescent="0.25">
      <c r="E1915" s="80"/>
    </row>
    <row r="1916" spans="5:5" x14ac:dyDescent="0.25">
      <c r="E1916" s="80"/>
    </row>
    <row r="1917" spans="5:5" x14ac:dyDescent="0.25">
      <c r="E1917" s="80"/>
    </row>
    <row r="1918" spans="5:5" x14ac:dyDescent="0.25">
      <c r="E1918" s="80"/>
    </row>
    <row r="1919" spans="5:5" x14ac:dyDescent="0.25">
      <c r="E1919" s="80"/>
    </row>
    <row r="1920" spans="5:5" x14ac:dyDescent="0.25">
      <c r="E1920" s="80"/>
    </row>
    <row r="1921" spans="5:5" x14ac:dyDescent="0.25">
      <c r="E1921" s="80"/>
    </row>
    <row r="1922" spans="5:5" x14ac:dyDescent="0.25">
      <c r="E1922" s="80"/>
    </row>
    <row r="1923" spans="5:5" x14ac:dyDescent="0.25">
      <c r="E1923" s="80"/>
    </row>
    <row r="1924" spans="5:5" x14ac:dyDescent="0.25">
      <c r="E1924" s="80"/>
    </row>
    <row r="1925" spans="5:5" x14ac:dyDescent="0.25">
      <c r="E1925" s="80"/>
    </row>
    <row r="1926" spans="5:5" x14ac:dyDescent="0.25">
      <c r="E1926" s="80"/>
    </row>
    <row r="1927" spans="5:5" x14ac:dyDescent="0.25">
      <c r="E1927" s="80"/>
    </row>
    <row r="1928" spans="5:5" x14ac:dyDescent="0.25">
      <c r="E1928" s="80"/>
    </row>
    <row r="1929" spans="5:5" x14ac:dyDescent="0.25">
      <c r="E1929" s="80"/>
    </row>
    <row r="1930" spans="5:5" x14ac:dyDescent="0.25">
      <c r="E1930" s="80"/>
    </row>
    <row r="1931" spans="5:5" x14ac:dyDescent="0.25">
      <c r="E1931" s="80"/>
    </row>
    <row r="1932" spans="5:5" x14ac:dyDescent="0.25">
      <c r="E1932" s="80"/>
    </row>
    <row r="1933" spans="5:5" x14ac:dyDescent="0.25">
      <c r="E1933" s="80"/>
    </row>
    <row r="1934" spans="5:5" x14ac:dyDescent="0.25">
      <c r="E1934" s="80"/>
    </row>
    <row r="1935" spans="5:5" x14ac:dyDescent="0.25">
      <c r="E1935" s="80"/>
    </row>
    <row r="1936" spans="5:5" x14ac:dyDescent="0.25">
      <c r="E1936" s="80"/>
    </row>
    <row r="1937" spans="5:5" x14ac:dyDescent="0.25">
      <c r="E1937" s="80"/>
    </row>
    <row r="1938" spans="5:5" x14ac:dyDescent="0.25">
      <c r="E1938" s="80"/>
    </row>
    <row r="1939" spans="5:5" x14ac:dyDescent="0.25">
      <c r="E1939" s="80"/>
    </row>
    <row r="1940" spans="5:5" x14ac:dyDescent="0.25">
      <c r="E1940" s="80"/>
    </row>
    <row r="1941" spans="5:5" x14ac:dyDescent="0.25">
      <c r="E1941" s="80"/>
    </row>
    <row r="1942" spans="5:5" x14ac:dyDescent="0.25">
      <c r="E1942" s="80"/>
    </row>
    <row r="1943" spans="5:5" x14ac:dyDescent="0.25">
      <c r="E1943" s="80"/>
    </row>
    <row r="1944" spans="5:5" x14ac:dyDescent="0.25">
      <c r="E1944" s="80"/>
    </row>
    <row r="1945" spans="5:5" x14ac:dyDescent="0.25">
      <c r="E1945" s="80"/>
    </row>
    <row r="1946" spans="5:5" x14ac:dyDescent="0.25">
      <c r="E1946" s="80"/>
    </row>
    <row r="1947" spans="5:5" x14ac:dyDescent="0.25">
      <c r="E1947" s="80"/>
    </row>
    <row r="1948" spans="5:5" x14ac:dyDescent="0.25">
      <c r="E1948" s="80"/>
    </row>
    <row r="1949" spans="5:5" x14ac:dyDescent="0.25">
      <c r="E1949" s="80"/>
    </row>
    <row r="1950" spans="5:5" x14ac:dyDescent="0.25">
      <c r="E1950" s="80"/>
    </row>
    <row r="1951" spans="5:5" x14ac:dyDescent="0.25">
      <c r="E1951" s="80"/>
    </row>
    <row r="1952" spans="5:5" x14ac:dyDescent="0.25">
      <c r="E1952" s="80"/>
    </row>
    <row r="1953" spans="5:5" x14ac:dyDescent="0.25">
      <c r="E1953" s="80"/>
    </row>
    <row r="1954" spans="5:5" x14ac:dyDescent="0.25">
      <c r="E1954" s="80"/>
    </row>
    <row r="1955" spans="5:5" x14ac:dyDescent="0.25">
      <c r="E1955" s="80"/>
    </row>
    <row r="1956" spans="5:5" x14ac:dyDescent="0.25">
      <c r="E1956" s="80"/>
    </row>
    <row r="1957" spans="5:5" x14ac:dyDescent="0.25">
      <c r="E1957" s="80"/>
    </row>
    <row r="1958" spans="5:5" x14ac:dyDescent="0.25">
      <c r="E1958" s="80"/>
    </row>
    <row r="1959" spans="5:5" x14ac:dyDescent="0.25">
      <c r="E1959" s="80"/>
    </row>
    <row r="1960" spans="5:5" x14ac:dyDescent="0.25">
      <c r="E1960" s="80"/>
    </row>
    <row r="1961" spans="5:5" x14ac:dyDescent="0.25">
      <c r="E1961" s="80"/>
    </row>
    <row r="1962" spans="5:5" x14ac:dyDescent="0.25">
      <c r="E1962" s="80"/>
    </row>
    <row r="1963" spans="5:5" x14ac:dyDescent="0.25">
      <c r="E1963" s="80"/>
    </row>
    <row r="1964" spans="5:5" x14ac:dyDescent="0.25">
      <c r="E1964" s="80"/>
    </row>
    <row r="1965" spans="5:5" x14ac:dyDescent="0.25">
      <c r="E1965" s="80"/>
    </row>
    <row r="1966" spans="5:5" x14ac:dyDescent="0.25">
      <c r="E1966" s="80"/>
    </row>
    <row r="1967" spans="5:5" x14ac:dyDescent="0.25">
      <c r="E1967" s="80"/>
    </row>
    <row r="1968" spans="5:5" x14ac:dyDescent="0.25">
      <c r="E1968" s="80"/>
    </row>
    <row r="1969" spans="5:5" x14ac:dyDescent="0.25">
      <c r="E1969" s="80"/>
    </row>
    <row r="1970" spans="5:5" x14ac:dyDescent="0.25">
      <c r="E1970" s="80"/>
    </row>
    <row r="1971" spans="5:5" x14ac:dyDescent="0.25">
      <c r="E1971" s="80"/>
    </row>
    <row r="1972" spans="5:5" x14ac:dyDescent="0.25">
      <c r="E1972" s="80"/>
    </row>
    <row r="1973" spans="5:5" x14ac:dyDescent="0.25">
      <c r="E1973" s="80"/>
    </row>
    <row r="1974" spans="5:5" x14ac:dyDescent="0.25">
      <c r="E1974" s="80"/>
    </row>
    <row r="1975" spans="5:5" x14ac:dyDescent="0.25">
      <c r="E1975" s="80"/>
    </row>
    <row r="1976" spans="5:5" x14ac:dyDescent="0.25">
      <c r="E1976" s="80"/>
    </row>
    <row r="1977" spans="5:5" x14ac:dyDescent="0.25">
      <c r="E1977" s="80"/>
    </row>
    <row r="1978" spans="5:5" x14ac:dyDescent="0.25">
      <c r="E1978" s="80"/>
    </row>
    <row r="1979" spans="5:5" x14ac:dyDescent="0.25">
      <c r="E1979" s="80"/>
    </row>
    <row r="1980" spans="5:5" x14ac:dyDescent="0.25">
      <c r="E1980" s="80"/>
    </row>
    <row r="1981" spans="5:5" x14ac:dyDescent="0.25">
      <c r="E1981" s="80"/>
    </row>
    <row r="1982" spans="5:5" x14ac:dyDescent="0.25">
      <c r="E1982" s="80"/>
    </row>
    <row r="1983" spans="5:5" x14ac:dyDescent="0.25">
      <c r="E1983" s="80"/>
    </row>
    <row r="1984" spans="5:5" x14ac:dyDescent="0.25">
      <c r="E1984" s="80"/>
    </row>
    <row r="1985" spans="5:5" x14ac:dyDescent="0.25">
      <c r="E1985" s="80"/>
    </row>
    <row r="1986" spans="5:5" x14ac:dyDescent="0.25">
      <c r="E1986" s="80"/>
    </row>
    <row r="1987" spans="5:5" x14ac:dyDescent="0.25">
      <c r="E1987" s="80"/>
    </row>
    <row r="1988" spans="5:5" x14ac:dyDescent="0.25">
      <c r="E1988" s="80"/>
    </row>
    <row r="1989" spans="5:5" x14ac:dyDescent="0.25">
      <c r="E1989" s="80"/>
    </row>
    <row r="1990" spans="5:5" x14ac:dyDescent="0.25">
      <c r="E1990" s="80"/>
    </row>
    <row r="1991" spans="5:5" x14ac:dyDescent="0.25">
      <c r="E1991" s="80"/>
    </row>
    <row r="1992" spans="5:5" x14ac:dyDescent="0.25">
      <c r="E1992" s="80"/>
    </row>
    <row r="1993" spans="5:5" x14ac:dyDescent="0.25">
      <c r="E1993" s="80"/>
    </row>
    <row r="1994" spans="5:5" x14ac:dyDescent="0.25">
      <c r="E1994" s="80"/>
    </row>
    <row r="1995" spans="5:5" x14ac:dyDescent="0.25">
      <c r="E1995" s="80"/>
    </row>
    <row r="1996" spans="5:5" x14ac:dyDescent="0.25">
      <c r="E1996" s="80"/>
    </row>
    <row r="1997" spans="5:5" x14ac:dyDescent="0.25">
      <c r="E1997" s="80"/>
    </row>
    <row r="1998" spans="5:5" x14ac:dyDescent="0.25">
      <c r="E1998" s="80"/>
    </row>
    <row r="1999" spans="5:5" x14ac:dyDescent="0.25">
      <c r="E1999" s="80"/>
    </row>
    <row r="2000" spans="5:5" x14ac:dyDescent="0.25">
      <c r="E2000" s="80"/>
    </row>
    <row r="2001" spans="5:5" x14ac:dyDescent="0.25">
      <c r="E2001" s="80"/>
    </row>
    <row r="2002" spans="5:5" x14ac:dyDescent="0.25">
      <c r="E2002" s="80"/>
    </row>
    <row r="2003" spans="5:5" x14ac:dyDescent="0.25">
      <c r="E2003" s="80"/>
    </row>
    <row r="2004" spans="5:5" x14ac:dyDescent="0.25">
      <c r="E2004" s="80"/>
    </row>
    <row r="2005" spans="5:5" x14ac:dyDescent="0.25">
      <c r="E2005" s="80"/>
    </row>
    <row r="2006" spans="5:5" x14ac:dyDescent="0.25">
      <c r="E2006" s="80"/>
    </row>
    <row r="2007" spans="5:5" x14ac:dyDescent="0.25">
      <c r="E2007" s="80"/>
    </row>
    <row r="2008" spans="5:5" x14ac:dyDescent="0.25">
      <c r="E2008" s="80"/>
    </row>
    <row r="2009" spans="5:5" x14ac:dyDescent="0.25">
      <c r="E2009" s="80"/>
    </row>
    <row r="2010" spans="5:5" x14ac:dyDescent="0.25">
      <c r="E2010" s="80"/>
    </row>
    <row r="2011" spans="5:5" x14ac:dyDescent="0.25">
      <c r="E2011" s="80"/>
    </row>
    <row r="2012" spans="5:5" x14ac:dyDescent="0.25">
      <c r="E2012" s="80"/>
    </row>
    <row r="2013" spans="5:5" x14ac:dyDescent="0.25">
      <c r="E2013" s="80"/>
    </row>
    <row r="2014" spans="5:5" x14ac:dyDescent="0.25">
      <c r="E2014" s="80"/>
    </row>
    <row r="2015" spans="5:5" x14ac:dyDescent="0.25">
      <c r="E2015" s="80"/>
    </row>
    <row r="2016" spans="5:5" x14ac:dyDescent="0.25">
      <c r="E2016" s="80"/>
    </row>
    <row r="2017" spans="5:5" x14ac:dyDescent="0.25">
      <c r="E2017" s="80"/>
    </row>
    <row r="2018" spans="5:5" x14ac:dyDescent="0.25">
      <c r="E2018" s="80"/>
    </row>
    <row r="2019" spans="5:5" x14ac:dyDescent="0.25">
      <c r="E2019" s="80"/>
    </row>
    <row r="2020" spans="5:5" x14ac:dyDescent="0.25">
      <c r="E2020" s="80"/>
    </row>
    <row r="2021" spans="5:5" x14ac:dyDescent="0.25">
      <c r="E2021" s="80"/>
    </row>
    <row r="2022" spans="5:5" x14ac:dyDescent="0.25">
      <c r="E2022" s="80"/>
    </row>
    <row r="2023" spans="5:5" x14ac:dyDescent="0.25">
      <c r="E2023" s="80"/>
    </row>
    <row r="2024" spans="5:5" x14ac:dyDescent="0.25">
      <c r="E2024" s="80"/>
    </row>
    <row r="2025" spans="5:5" x14ac:dyDescent="0.25">
      <c r="E2025" s="80"/>
    </row>
    <row r="2026" spans="5:5" x14ac:dyDescent="0.25">
      <c r="E2026" s="80"/>
    </row>
    <row r="2027" spans="5:5" x14ac:dyDescent="0.25">
      <c r="E2027" s="80"/>
    </row>
    <row r="2028" spans="5:5" x14ac:dyDescent="0.25">
      <c r="E2028" s="80"/>
    </row>
    <row r="2029" spans="5:5" x14ac:dyDescent="0.25">
      <c r="E2029" s="80"/>
    </row>
    <row r="2030" spans="5:5" x14ac:dyDescent="0.25">
      <c r="E2030" s="80"/>
    </row>
    <row r="2031" spans="5:5" x14ac:dyDescent="0.25">
      <c r="E2031" s="80"/>
    </row>
    <row r="2032" spans="5:5" x14ac:dyDescent="0.25">
      <c r="E2032" s="80"/>
    </row>
    <row r="2033" spans="5:5" x14ac:dyDescent="0.25">
      <c r="E2033" s="80"/>
    </row>
    <row r="2034" spans="5:5" x14ac:dyDescent="0.25">
      <c r="E2034" s="80"/>
    </row>
    <row r="2035" spans="5:5" x14ac:dyDescent="0.25">
      <c r="E2035" s="80"/>
    </row>
    <row r="2036" spans="5:5" x14ac:dyDescent="0.25">
      <c r="E2036" s="80"/>
    </row>
    <row r="2037" spans="5:5" x14ac:dyDescent="0.25">
      <c r="E2037" s="80"/>
    </row>
    <row r="2038" spans="5:5" x14ac:dyDescent="0.25">
      <c r="E2038" s="80"/>
    </row>
    <row r="2039" spans="5:5" x14ac:dyDescent="0.25">
      <c r="E2039" s="80"/>
    </row>
    <row r="2040" spans="5:5" x14ac:dyDescent="0.25">
      <c r="E2040" s="80"/>
    </row>
    <row r="2041" spans="5:5" x14ac:dyDescent="0.25">
      <c r="E2041" s="80"/>
    </row>
    <row r="2042" spans="5:5" x14ac:dyDescent="0.25">
      <c r="E2042" s="80"/>
    </row>
    <row r="2043" spans="5:5" x14ac:dyDescent="0.25">
      <c r="E2043" s="80"/>
    </row>
    <row r="2044" spans="5:5" x14ac:dyDescent="0.25">
      <c r="E2044" s="80"/>
    </row>
    <row r="2045" spans="5:5" x14ac:dyDescent="0.25">
      <c r="E2045" s="80"/>
    </row>
    <row r="2046" spans="5:5" x14ac:dyDescent="0.25">
      <c r="E2046" s="80"/>
    </row>
    <row r="2047" spans="5:5" x14ac:dyDescent="0.25">
      <c r="E2047" s="80"/>
    </row>
    <row r="2048" spans="5:5" x14ac:dyDescent="0.25">
      <c r="E2048" s="80"/>
    </row>
    <row r="2049" spans="5:5" x14ac:dyDescent="0.25">
      <c r="E2049" s="80"/>
    </row>
    <row r="2050" spans="5:5" x14ac:dyDescent="0.25">
      <c r="E2050" s="80"/>
    </row>
    <row r="2051" spans="5:5" x14ac:dyDescent="0.25">
      <c r="E2051" s="80"/>
    </row>
    <row r="2052" spans="5:5" x14ac:dyDescent="0.25">
      <c r="E2052" s="80"/>
    </row>
    <row r="2053" spans="5:5" x14ac:dyDescent="0.25">
      <c r="E2053" s="80"/>
    </row>
    <row r="2054" spans="5:5" x14ac:dyDescent="0.25">
      <c r="E2054" s="80"/>
    </row>
    <row r="2055" spans="5:5" x14ac:dyDescent="0.25">
      <c r="E2055" s="80"/>
    </row>
    <row r="2056" spans="5:5" x14ac:dyDescent="0.25">
      <c r="E2056" s="80"/>
    </row>
    <row r="2057" spans="5:5" x14ac:dyDescent="0.25">
      <c r="E2057" s="80"/>
    </row>
    <row r="2058" spans="5:5" x14ac:dyDescent="0.25">
      <c r="E2058" s="80"/>
    </row>
    <row r="2059" spans="5:5" x14ac:dyDescent="0.25">
      <c r="E2059" s="80"/>
    </row>
    <row r="2060" spans="5:5" x14ac:dyDescent="0.25">
      <c r="E2060" s="80"/>
    </row>
    <row r="2061" spans="5:5" x14ac:dyDescent="0.25">
      <c r="E2061" s="80"/>
    </row>
    <row r="2062" spans="5:5" x14ac:dyDescent="0.25">
      <c r="E2062" s="80"/>
    </row>
    <row r="2063" spans="5:5" x14ac:dyDescent="0.25">
      <c r="E2063" s="80"/>
    </row>
    <row r="2064" spans="5:5" x14ac:dyDescent="0.25">
      <c r="E2064" s="80"/>
    </row>
    <row r="2065" spans="5:5" x14ac:dyDescent="0.25">
      <c r="E2065" s="80"/>
    </row>
    <row r="2066" spans="5:5" x14ac:dyDescent="0.25">
      <c r="E2066" s="80"/>
    </row>
    <row r="2067" spans="5:5" x14ac:dyDescent="0.25">
      <c r="E2067" s="80"/>
    </row>
    <row r="2068" spans="5:5" x14ac:dyDescent="0.25">
      <c r="E2068" s="80"/>
    </row>
    <row r="2069" spans="5:5" x14ac:dyDescent="0.25">
      <c r="E2069" s="80"/>
    </row>
    <row r="2070" spans="5:5" x14ac:dyDescent="0.25">
      <c r="E2070" s="80"/>
    </row>
    <row r="2071" spans="5:5" x14ac:dyDescent="0.25">
      <c r="E2071" s="80"/>
    </row>
    <row r="2072" spans="5:5" x14ac:dyDescent="0.25">
      <c r="E2072" s="80"/>
    </row>
    <row r="2073" spans="5:5" x14ac:dyDescent="0.25">
      <c r="E2073" s="80"/>
    </row>
    <row r="2074" spans="5:5" x14ac:dyDescent="0.25">
      <c r="E2074" s="80"/>
    </row>
    <row r="2075" spans="5:5" x14ac:dyDescent="0.25">
      <c r="E2075" s="80"/>
    </row>
    <row r="2076" spans="5:5" x14ac:dyDescent="0.25">
      <c r="E2076" s="80"/>
    </row>
    <row r="2077" spans="5:5" x14ac:dyDescent="0.25">
      <c r="E2077" s="80"/>
    </row>
    <row r="2078" spans="5:5" x14ac:dyDescent="0.25">
      <c r="E2078" s="80"/>
    </row>
    <row r="2079" spans="5:5" x14ac:dyDescent="0.25">
      <c r="E2079" s="80"/>
    </row>
    <row r="2080" spans="5:5" x14ac:dyDescent="0.25">
      <c r="E2080" s="80"/>
    </row>
    <row r="2081" spans="5:5" x14ac:dyDescent="0.25">
      <c r="E2081" s="80"/>
    </row>
    <row r="2082" spans="5:5" x14ac:dyDescent="0.25">
      <c r="E2082" s="80"/>
    </row>
    <row r="2083" spans="5:5" x14ac:dyDescent="0.25">
      <c r="E2083" s="80"/>
    </row>
    <row r="2084" spans="5:5" x14ac:dyDescent="0.25">
      <c r="E2084" s="80"/>
    </row>
    <row r="2085" spans="5:5" x14ac:dyDescent="0.25">
      <c r="E2085" s="80"/>
    </row>
    <row r="2086" spans="5:5" x14ac:dyDescent="0.25">
      <c r="E2086" s="80"/>
    </row>
    <row r="2087" spans="5:5" x14ac:dyDescent="0.25">
      <c r="E2087" s="80"/>
    </row>
    <row r="2088" spans="5:5" x14ac:dyDescent="0.25">
      <c r="E2088" s="80"/>
    </row>
    <row r="2089" spans="5:5" x14ac:dyDescent="0.25">
      <c r="E2089" s="80"/>
    </row>
    <row r="2090" spans="5:5" x14ac:dyDescent="0.25">
      <c r="E2090" s="80"/>
    </row>
    <row r="2091" spans="5:5" x14ac:dyDescent="0.25">
      <c r="E2091" s="80"/>
    </row>
    <row r="2092" spans="5:5" x14ac:dyDescent="0.25">
      <c r="E2092" s="80"/>
    </row>
    <row r="2093" spans="5:5" x14ac:dyDescent="0.25">
      <c r="E2093" s="80"/>
    </row>
    <row r="2094" spans="5:5" x14ac:dyDescent="0.25">
      <c r="E2094" s="80"/>
    </row>
    <row r="2095" spans="5:5" x14ac:dyDescent="0.25">
      <c r="E2095" s="80"/>
    </row>
    <row r="2096" spans="5:5" x14ac:dyDescent="0.25">
      <c r="E2096" s="80"/>
    </row>
    <row r="2097" spans="5:5" x14ac:dyDescent="0.25">
      <c r="E2097" s="80"/>
    </row>
    <row r="2098" spans="5:5" x14ac:dyDescent="0.25">
      <c r="E2098" s="80"/>
    </row>
    <row r="2099" spans="5:5" x14ac:dyDescent="0.25">
      <c r="E2099" s="80"/>
    </row>
    <row r="2100" spans="5:5" x14ac:dyDescent="0.25">
      <c r="E2100" s="80"/>
    </row>
    <row r="2101" spans="5:5" x14ac:dyDescent="0.25">
      <c r="E2101" s="80"/>
    </row>
    <row r="2102" spans="5:5" x14ac:dyDescent="0.25">
      <c r="E2102" s="80"/>
    </row>
    <row r="2103" spans="5:5" x14ac:dyDescent="0.25">
      <c r="E2103" s="80"/>
    </row>
    <row r="2104" spans="5:5" x14ac:dyDescent="0.25">
      <c r="E2104" s="80"/>
    </row>
    <row r="2105" spans="5:5" x14ac:dyDescent="0.25">
      <c r="E2105" s="80"/>
    </row>
    <row r="2106" spans="5:5" x14ac:dyDescent="0.25">
      <c r="E2106" s="80"/>
    </row>
    <row r="2107" spans="5:5" x14ac:dyDescent="0.25">
      <c r="E2107" s="80"/>
    </row>
    <row r="2108" spans="5:5" x14ac:dyDescent="0.25">
      <c r="E2108" s="80"/>
    </row>
    <row r="2109" spans="5:5" x14ac:dyDescent="0.25">
      <c r="E2109" s="80"/>
    </row>
    <row r="2110" spans="5:5" x14ac:dyDescent="0.25">
      <c r="E2110" s="80"/>
    </row>
    <row r="2111" spans="5:5" x14ac:dyDescent="0.25">
      <c r="E2111" s="80"/>
    </row>
    <row r="2112" spans="5:5" x14ac:dyDescent="0.25">
      <c r="E2112" s="80"/>
    </row>
    <row r="2113" spans="5:5" x14ac:dyDescent="0.25">
      <c r="E2113" s="80"/>
    </row>
    <row r="2114" spans="5:5" x14ac:dyDescent="0.25">
      <c r="E2114" s="80"/>
    </row>
    <row r="2115" spans="5:5" x14ac:dyDescent="0.25">
      <c r="E2115" s="80"/>
    </row>
    <row r="2116" spans="5:5" x14ac:dyDescent="0.25">
      <c r="E2116" s="80"/>
    </row>
    <row r="2117" spans="5:5" x14ac:dyDescent="0.25">
      <c r="E2117" s="80"/>
    </row>
    <row r="2118" spans="5:5" x14ac:dyDescent="0.25">
      <c r="E2118" s="80"/>
    </row>
    <row r="2119" spans="5:5" x14ac:dyDescent="0.25">
      <c r="E2119" s="80"/>
    </row>
    <row r="2120" spans="5:5" x14ac:dyDescent="0.25">
      <c r="E2120" s="80"/>
    </row>
    <row r="2121" spans="5:5" x14ac:dyDescent="0.25">
      <c r="E2121" s="80"/>
    </row>
    <row r="2122" spans="5:5" x14ac:dyDescent="0.25">
      <c r="E2122" s="80"/>
    </row>
    <row r="2123" spans="5:5" x14ac:dyDescent="0.25">
      <c r="E2123" s="80"/>
    </row>
    <row r="2124" spans="5:5" x14ac:dyDescent="0.25">
      <c r="E2124" s="80"/>
    </row>
    <row r="2125" spans="5:5" x14ac:dyDescent="0.25">
      <c r="E2125" s="80"/>
    </row>
    <row r="2126" spans="5:5" x14ac:dyDescent="0.25">
      <c r="E2126" s="80"/>
    </row>
    <row r="2127" spans="5:5" x14ac:dyDescent="0.25">
      <c r="E2127" s="80"/>
    </row>
    <row r="2128" spans="5:5" x14ac:dyDescent="0.25">
      <c r="E2128" s="80"/>
    </row>
    <row r="2129" spans="5:5" x14ac:dyDescent="0.25">
      <c r="E2129" s="80"/>
    </row>
    <row r="2130" spans="5:5" x14ac:dyDescent="0.25">
      <c r="E2130" s="80"/>
    </row>
    <row r="2131" spans="5:5" x14ac:dyDescent="0.25">
      <c r="E2131" s="80"/>
    </row>
    <row r="2132" spans="5:5" x14ac:dyDescent="0.25">
      <c r="E2132" s="80"/>
    </row>
    <row r="2133" spans="5:5" x14ac:dyDescent="0.25">
      <c r="E2133" s="80"/>
    </row>
    <row r="2134" spans="5:5" x14ac:dyDescent="0.25">
      <c r="E2134" s="80"/>
    </row>
    <row r="2135" spans="5:5" x14ac:dyDescent="0.25">
      <c r="E2135" s="80"/>
    </row>
    <row r="2136" spans="5:5" x14ac:dyDescent="0.25">
      <c r="E2136" s="80"/>
    </row>
    <row r="2137" spans="5:5" x14ac:dyDescent="0.25">
      <c r="E2137" s="80"/>
    </row>
    <row r="2138" spans="5:5" x14ac:dyDescent="0.25">
      <c r="E2138" s="80"/>
    </row>
    <row r="2139" spans="5:5" x14ac:dyDescent="0.25">
      <c r="E2139" s="80"/>
    </row>
    <row r="2140" spans="5:5" x14ac:dyDescent="0.25">
      <c r="E2140" s="80"/>
    </row>
    <row r="2141" spans="5:5" x14ac:dyDescent="0.25">
      <c r="E2141" s="80"/>
    </row>
    <row r="2142" spans="5:5" x14ac:dyDescent="0.25">
      <c r="E2142" s="80"/>
    </row>
    <row r="2143" spans="5:5" x14ac:dyDescent="0.25">
      <c r="E2143" s="80"/>
    </row>
    <row r="2144" spans="5:5" x14ac:dyDescent="0.25">
      <c r="E2144" s="80"/>
    </row>
    <row r="2145" spans="5:5" x14ac:dyDescent="0.25">
      <c r="E2145" s="80"/>
    </row>
    <row r="2146" spans="5:5" x14ac:dyDescent="0.25">
      <c r="E2146" s="80"/>
    </row>
    <row r="2147" spans="5:5" x14ac:dyDescent="0.25">
      <c r="E2147" s="80"/>
    </row>
    <row r="2148" spans="5:5" x14ac:dyDescent="0.25">
      <c r="E2148" s="80"/>
    </row>
    <row r="2149" spans="5:5" x14ac:dyDescent="0.25">
      <c r="E2149" s="80"/>
    </row>
    <row r="2150" spans="5:5" x14ac:dyDescent="0.25">
      <c r="E2150" s="80"/>
    </row>
    <row r="2151" spans="5:5" x14ac:dyDescent="0.25">
      <c r="E2151" s="80"/>
    </row>
    <row r="2152" spans="5:5" x14ac:dyDescent="0.25">
      <c r="E2152" s="80"/>
    </row>
    <row r="2153" spans="5:5" x14ac:dyDescent="0.25">
      <c r="E2153" s="80"/>
    </row>
    <row r="2154" spans="5:5" x14ac:dyDescent="0.25">
      <c r="E2154" s="80"/>
    </row>
    <row r="2155" spans="5:5" x14ac:dyDescent="0.25">
      <c r="E2155" s="80"/>
    </row>
    <row r="2156" spans="5:5" x14ac:dyDescent="0.25">
      <c r="E2156" s="80"/>
    </row>
    <row r="2157" spans="5:5" x14ac:dyDescent="0.25">
      <c r="E2157" s="80"/>
    </row>
    <row r="2158" spans="5:5" x14ac:dyDescent="0.25">
      <c r="E2158" s="80"/>
    </row>
    <row r="2159" spans="5:5" x14ac:dyDescent="0.25">
      <c r="E2159" s="80"/>
    </row>
    <row r="2160" spans="5:5" x14ac:dyDescent="0.25">
      <c r="E2160" s="80"/>
    </row>
    <row r="2161" spans="5:5" x14ac:dyDescent="0.25">
      <c r="E2161" s="80"/>
    </row>
    <row r="2162" spans="5:5" x14ac:dyDescent="0.25">
      <c r="E2162" s="80"/>
    </row>
    <row r="2163" spans="5:5" x14ac:dyDescent="0.25">
      <c r="E2163" s="80"/>
    </row>
    <row r="2164" spans="5:5" x14ac:dyDescent="0.25">
      <c r="E2164" s="80"/>
    </row>
    <row r="2168" spans="5:5" x14ac:dyDescent="0.25">
      <c r="E2168" s="62" t="s">
        <v>158</v>
      </c>
    </row>
    <row r="2220" spans="4:17" s="62" customFormat="1" x14ac:dyDescent="0.25">
      <c r="D2220" s="62" t="s">
        <v>158</v>
      </c>
      <c r="F2220"/>
      <c r="G2220"/>
      <c r="H2220"/>
      <c r="I2220"/>
      <c r="J2220"/>
      <c r="K2220"/>
      <c r="L2220"/>
      <c r="M2220"/>
      <c r="N2220"/>
      <c r="O2220" s="62" t="s">
        <v>158</v>
      </c>
      <c r="P2220"/>
      <c r="Q2220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C3D1-DC7E-477B-8064-0D550829D7BA}">
  <dimension ref="D1:L95"/>
  <sheetViews>
    <sheetView showGridLines="0" zoomScale="85" zoomScaleNormal="85" workbookViewId="0">
      <pane xSplit="5" ySplit="11" topLeftCell="G12" activePane="bottomRight" state="frozen"/>
      <selection pane="topRight" activeCell="F1" sqref="F1"/>
      <selection pane="bottomLeft" activeCell="A12" sqref="A12"/>
      <selection pane="bottomRight" activeCell="D10" sqref="D10:L27"/>
    </sheetView>
  </sheetViews>
  <sheetFormatPr defaultRowHeight="15" outlineLevelCol="1" x14ac:dyDescent="0.25"/>
  <cols>
    <col min="4" max="4" width="28.42578125" customWidth="1"/>
    <col min="5" max="5" width="2.42578125" customWidth="1"/>
    <col min="6" max="6" width="14.7109375" hidden="1" customWidth="1" outlineLevel="1"/>
    <col min="7" max="7" width="17" customWidth="1" collapsed="1"/>
    <col min="8" max="8" width="16.85546875" customWidth="1"/>
    <col min="9" max="12" width="17.7109375" customWidth="1"/>
  </cols>
  <sheetData>
    <row r="1" spans="4:12" ht="15.75" x14ac:dyDescent="0.25">
      <c r="D1" s="1"/>
    </row>
    <row r="2" spans="4:12" ht="16.5" thickBot="1" x14ac:dyDescent="0.3">
      <c r="D2" s="2"/>
    </row>
    <row r="3" spans="4:12" ht="15.75" thickBot="1" x14ac:dyDescent="0.3">
      <c r="D3" s="114" t="s">
        <v>209</v>
      </c>
    </row>
    <row r="4" spans="4:12" x14ac:dyDescent="0.25">
      <c r="D4" t="s">
        <v>211</v>
      </c>
    </row>
    <row r="5" spans="4:12" x14ac:dyDescent="0.25">
      <c r="D5" t="s">
        <v>213</v>
      </c>
    </row>
    <row r="6" spans="4:12" x14ac:dyDescent="0.25">
      <c r="D6" s="124" t="s">
        <v>210</v>
      </c>
    </row>
    <row r="7" spans="4:12" ht="15.75" x14ac:dyDescent="0.25">
      <c r="D7" s="3"/>
      <c r="G7" s="20"/>
      <c r="H7" s="20"/>
    </row>
    <row r="8" spans="4:12" ht="15.75" x14ac:dyDescent="0.25">
      <c r="D8" s="3"/>
    </row>
    <row r="9" spans="4:12" ht="15.75" x14ac:dyDescent="0.25">
      <c r="D9" s="3"/>
    </row>
    <row r="10" spans="4:12" ht="15.75" x14ac:dyDescent="0.25">
      <c r="D10" s="3"/>
      <c r="F10" s="18"/>
      <c r="G10" s="17"/>
      <c r="H10" s="17"/>
      <c r="I10" s="17"/>
      <c r="J10" s="17"/>
      <c r="K10" s="17"/>
      <c r="L10" s="17"/>
    </row>
    <row r="11" spans="4:12" x14ac:dyDescent="0.25">
      <c r="D11" s="126" t="s">
        <v>217</v>
      </c>
      <c r="F11" s="17">
        <v>2023</v>
      </c>
      <c r="G11" s="17">
        <v>2024</v>
      </c>
      <c r="H11" s="17">
        <v>2025</v>
      </c>
      <c r="I11" s="17">
        <v>2026</v>
      </c>
      <c r="J11" s="17">
        <v>2027</v>
      </c>
      <c r="K11" s="17">
        <v>2028</v>
      </c>
      <c r="L11" s="17">
        <v>2029</v>
      </c>
    </row>
    <row r="12" spans="4:12" x14ac:dyDescent="0.25">
      <c r="D12" s="126"/>
      <c r="F12" s="12"/>
      <c r="G12" s="12"/>
      <c r="H12" s="12"/>
      <c r="I12" s="12"/>
      <c r="J12" s="12"/>
      <c r="K12" s="12"/>
      <c r="L12" s="12"/>
    </row>
    <row r="13" spans="4:12" x14ac:dyDescent="0.25">
      <c r="D13" s="126" t="s">
        <v>0</v>
      </c>
      <c r="F13" s="12"/>
      <c r="G13" s="12"/>
      <c r="H13" s="12"/>
      <c r="I13" s="12"/>
      <c r="J13" s="12"/>
      <c r="K13" s="12"/>
      <c r="L13" s="12"/>
    </row>
    <row r="14" spans="4:12" x14ac:dyDescent="0.25">
      <c r="D14" s="6" t="s">
        <v>20</v>
      </c>
      <c r="F14" s="127">
        <f>+BS!F14</f>
        <v>5223205.8900000006</v>
      </c>
      <c r="G14" s="127">
        <f ca="1">+BS!G14</f>
        <v>-5193407.7523902189</v>
      </c>
      <c r="H14" s="127">
        <f ca="1">+BS!H14</f>
        <v>-11471749.950428039</v>
      </c>
      <c r="I14" s="127">
        <f ca="1">+BS!I14</f>
        <v>-13105877.924959254</v>
      </c>
      <c r="J14" s="127">
        <f ca="1">+BS!J14</f>
        <v>-13545827.027329098</v>
      </c>
      <c r="K14" s="127">
        <f ca="1">+BS!K14</f>
        <v>-14814018.2668493</v>
      </c>
      <c r="L14" s="127">
        <f ca="1">+BS!L14</f>
        <v>-5871049.9634508062</v>
      </c>
    </row>
    <row r="15" spans="4:12" x14ac:dyDescent="0.25">
      <c r="D15" s="130" t="s">
        <v>5</v>
      </c>
      <c r="F15" s="128">
        <f>+BS!F21</f>
        <v>5908802.8200000012</v>
      </c>
      <c r="G15" s="128">
        <f ca="1">+BS!G21</f>
        <v>-3345538.1890568854</v>
      </c>
      <c r="H15" s="128">
        <f ca="1">+BS!H21</f>
        <v>-5787340.3870947054</v>
      </c>
      <c r="I15" s="128">
        <f ca="1">+BS!I21</f>
        <v>-608962.69495925319</v>
      </c>
      <c r="J15" s="128">
        <f ca="1">+BS!J21</f>
        <v>13607299.702670902</v>
      </c>
      <c r="K15" s="128">
        <f ca="1">+BS!K21</f>
        <v>36037078.863150693</v>
      </c>
      <c r="L15" s="128">
        <f ca="1">+BS!L21</f>
        <v>44015779.129049189</v>
      </c>
    </row>
    <row r="16" spans="4:12" x14ac:dyDescent="0.25">
      <c r="D16" s="8"/>
      <c r="F16" s="127"/>
      <c r="G16" s="127"/>
      <c r="H16" s="127"/>
      <c r="I16" s="127"/>
      <c r="J16" s="127"/>
      <c r="K16" s="127"/>
      <c r="L16" s="127"/>
    </row>
    <row r="17" spans="4:12" x14ac:dyDescent="0.25">
      <c r="D17" s="6" t="s">
        <v>9</v>
      </c>
      <c r="F17" s="127">
        <f>+BS!F28</f>
        <v>5671367.4500000002</v>
      </c>
      <c r="G17" s="127">
        <f>+BS!G28</f>
        <v>6766464.1416666666</v>
      </c>
      <c r="H17" s="127">
        <f>+BS!H28</f>
        <v>6206791.25</v>
      </c>
      <c r="I17" s="127">
        <f>+BS!I28</f>
        <v>5745416.666666667</v>
      </c>
      <c r="J17" s="127">
        <f>+BS!J28</f>
        <v>5087083.333333333</v>
      </c>
      <c r="K17" s="127">
        <f>+BS!K28</f>
        <v>2977499.9999999981</v>
      </c>
      <c r="L17" s="127">
        <f>+BS!L28</f>
        <v>2444999.9999999944</v>
      </c>
    </row>
    <row r="18" spans="4:12" x14ac:dyDescent="0.25">
      <c r="D18" s="130" t="s">
        <v>10</v>
      </c>
      <c r="F18" s="128">
        <f>+BS!F30</f>
        <v>11580170.270000001</v>
      </c>
      <c r="G18" s="128">
        <f ca="1">+BS!G30</f>
        <v>3420925.9526097812</v>
      </c>
      <c r="H18" s="128">
        <f ca="1">+BS!H30</f>
        <v>419450.86290529463</v>
      </c>
      <c r="I18" s="128">
        <f ca="1">+BS!I30</f>
        <v>5136453.9717074139</v>
      </c>
      <c r="J18" s="128">
        <f ca="1">+BS!J30</f>
        <v>18694383.036004234</v>
      </c>
      <c r="K18" s="128">
        <f ca="1">+BS!K30</f>
        <v>39014578.863150693</v>
      </c>
      <c r="L18" s="128">
        <f ca="1">+BS!L30</f>
        <v>46460779.129049182</v>
      </c>
    </row>
    <row r="19" spans="4:12" x14ac:dyDescent="0.25">
      <c r="D19" s="6"/>
      <c r="F19" s="127"/>
      <c r="G19" s="127"/>
      <c r="H19" s="127"/>
      <c r="I19" s="127"/>
      <c r="J19" s="127"/>
      <c r="K19" s="127"/>
      <c r="L19" s="127"/>
    </row>
    <row r="20" spans="4:12" x14ac:dyDescent="0.25">
      <c r="D20" s="6"/>
      <c r="F20" s="127"/>
      <c r="G20" s="127"/>
      <c r="H20" s="127"/>
      <c r="I20" s="127"/>
      <c r="J20" s="127"/>
      <c r="K20" s="127"/>
      <c r="L20" s="127"/>
    </row>
    <row r="21" spans="4:12" x14ac:dyDescent="0.25">
      <c r="D21" s="126" t="s">
        <v>11</v>
      </c>
      <c r="F21" s="127"/>
      <c r="G21" s="127"/>
      <c r="H21" s="127"/>
      <c r="I21" s="127"/>
      <c r="J21" s="127"/>
      <c r="K21" s="127"/>
      <c r="L21" s="127"/>
    </row>
    <row r="22" spans="4:12" x14ac:dyDescent="0.25">
      <c r="D22" s="6" t="s">
        <v>12</v>
      </c>
      <c r="F22" s="127">
        <f>+BS!F34</f>
        <v>644400.83000000007</v>
      </c>
      <c r="G22" s="127">
        <f ca="1">+BS!G34</f>
        <v>919340</v>
      </c>
      <c r="H22" s="127">
        <f ca="1">+BS!H34</f>
        <v>4589480</v>
      </c>
      <c r="I22" s="127">
        <f ca="1">+BS!I34</f>
        <v>10634794</v>
      </c>
      <c r="J22" s="127">
        <f ca="1">+BS!J34</f>
        <v>22385030.5</v>
      </c>
      <c r="K22" s="127">
        <f ca="1">+BS!K34</f>
        <v>40251188.399999999</v>
      </c>
      <c r="L22" s="127">
        <f ca="1">+BS!L34</f>
        <v>31901639.112500001</v>
      </c>
    </row>
    <row r="23" spans="4:12" x14ac:dyDescent="0.25">
      <c r="D23" s="130" t="s">
        <v>15</v>
      </c>
      <c r="F23" s="128">
        <f>+BS!F39</f>
        <v>742401.33000000007</v>
      </c>
      <c r="G23" s="128">
        <f ca="1">+BS!G39</f>
        <v>1017340.5</v>
      </c>
      <c r="H23" s="128">
        <f ca="1">+BS!H39</f>
        <v>4687480.5</v>
      </c>
      <c r="I23" s="128">
        <f ca="1">+BS!I39</f>
        <v>10732794.5</v>
      </c>
      <c r="J23" s="128">
        <f ca="1">+BS!J39</f>
        <v>22483031</v>
      </c>
      <c r="K23" s="128">
        <f ca="1">+BS!K39</f>
        <v>40349188.899999999</v>
      </c>
      <c r="L23" s="128">
        <f ca="1">+BS!L39</f>
        <v>31999639.612500001</v>
      </c>
    </row>
    <row r="24" spans="4:12" x14ac:dyDescent="0.25">
      <c r="D24" s="6"/>
      <c r="F24" s="127"/>
      <c r="G24" s="127"/>
      <c r="H24" s="127"/>
      <c r="I24" s="127"/>
      <c r="J24" s="127"/>
      <c r="K24" s="127"/>
      <c r="L24" s="127"/>
    </row>
    <row r="25" spans="4:12" x14ac:dyDescent="0.25">
      <c r="D25" s="130" t="s">
        <v>17</v>
      </c>
      <c r="F25" s="128">
        <f>+BS!F44</f>
        <v>10837768.939999999</v>
      </c>
      <c r="G25" s="128">
        <f>+BS!G44</f>
        <v>2403585.4526097793</v>
      </c>
      <c r="H25" s="128">
        <f>+BS!H44</f>
        <v>-4268029.6370947063</v>
      </c>
      <c r="I25" s="128">
        <f>+BS!I44</f>
        <v>-5596340.5282925889</v>
      </c>
      <c r="J25" s="128">
        <f>+BS!J44</f>
        <v>-3788647.9639957696</v>
      </c>
      <c r="K25" s="128">
        <f>+BS!K44</f>
        <v>-1334610.036849305</v>
      </c>
      <c r="L25" s="128">
        <f>+BS!L44</f>
        <v>14461139.516549192</v>
      </c>
    </row>
    <row r="26" spans="4:12" ht="15.75" x14ac:dyDescent="0.25">
      <c r="D26" s="9"/>
      <c r="F26" s="127"/>
      <c r="G26" s="127"/>
      <c r="H26" s="127"/>
      <c r="I26" s="127"/>
      <c r="J26" s="127"/>
      <c r="K26" s="127"/>
      <c r="L26" s="127"/>
    </row>
    <row r="27" spans="4:12" x14ac:dyDescent="0.25">
      <c r="D27" s="130" t="s">
        <v>18</v>
      </c>
      <c r="F27" s="128">
        <f>+BS!F46</f>
        <v>11580170.27</v>
      </c>
      <c r="G27" s="128">
        <f ca="1">+BS!G46</f>
        <v>3420925.9526097793</v>
      </c>
      <c r="H27" s="128">
        <f ca="1">+BS!H46</f>
        <v>419450.8629052937</v>
      </c>
      <c r="I27" s="128">
        <f ca="1">+BS!I46</f>
        <v>5136453.9717074111</v>
      </c>
      <c r="J27" s="128">
        <f ca="1">+BS!J46</f>
        <v>18694383.03600423</v>
      </c>
      <c r="K27" s="128">
        <f ca="1">+BS!K46</f>
        <v>39014578.863150693</v>
      </c>
      <c r="L27" s="128">
        <f ca="1">+BS!L46</f>
        <v>46460779.129049197</v>
      </c>
    </row>
    <row r="28" spans="4:12" ht="15.75" x14ac:dyDescent="0.25">
      <c r="D28" s="9"/>
      <c r="F28" s="16"/>
      <c r="G28" s="16"/>
      <c r="H28" s="16"/>
      <c r="I28" s="16"/>
      <c r="J28" s="16"/>
      <c r="K28" s="16"/>
      <c r="L28" s="16"/>
    </row>
    <row r="29" spans="4:12" x14ac:dyDescent="0.25">
      <c r="D29" s="11" t="s">
        <v>19</v>
      </c>
      <c r="F29" s="14">
        <f>F18-F27</f>
        <v>0</v>
      </c>
      <c r="G29" s="14">
        <f ca="1">G18-G27</f>
        <v>0</v>
      </c>
      <c r="H29" s="14">
        <f ca="1">H18-H27</f>
        <v>9.3132257461547852E-10</v>
      </c>
      <c r="I29" s="14">
        <f ca="1">I18-I27</f>
        <v>0</v>
      </c>
      <c r="J29" s="14">
        <f t="shared" ref="J29:L29" ca="1" si="0">J18-J27</f>
        <v>0</v>
      </c>
      <c r="K29" s="14">
        <f t="shared" ca="1" si="0"/>
        <v>0</v>
      </c>
      <c r="L29" s="14">
        <f t="shared" ca="1" si="0"/>
        <v>0</v>
      </c>
    </row>
    <row r="30" spans="4:12" ht="15.75" x14ac:dyDescent="0.25">
      <c r="D30" s="9"/>
      <c r="F30" s="15"/>
      <c r="G30" s="15"/>
      <c r="H30" s="15"/>
      <c r="I30" s="15"/>
      <c r="J30" s="15"/>
      <c r="K30" s="15"/>
      <c r="L30" s="15"/>
    </row>
    <row r="31" spans="4:12" x14ac:dyDescent="0.25">
      <c r="F31" s="16"/>
      <c r="G31" s="16"/>
      <c r="H31" s="16"/>
      <c r="I31" s="16"/>
      <c r="J31" s="16"/>
      <c r="K31" s="16"/>
      <c r="L31" s="16"/>
    </row>
    <row r="32" spans="4:12" x14ac:dyDescent="0.25">
      <c r="F32" s="21"/>
      <c r="G32" s="21"/>
      <c r="H32" s="21"/>
      <c r="I32" s="21"/>
      <c r="J32" s="21"/>
      <c r="K32" s="21"/>
      <c r="L32" s="21"/>
    </row>
    <row r="33" spans="6:12" x14ac:dyDescent="0.25">
      <c r="F33" s="21"/>
      <c r="G33" s="21"/>
      <c r="H33" s="21"/>
      <c r="I33" s="21"/>
      <c r="J33" s="21"/>
      <c r="K33" s="21"/>
      <c r="L33" s="21"/>
    </row>
    <row r="34" spans="6:12" x14ac:dyDescent="0.25">
      <c r="F34" s="21"/>
      <c r="G34" s="21"/>
      <c r="H34" s="21"/>
      <c r="I34" s="21"/>
      <c r="J34" s="21"/>
      <c r="K34" s="21"/>
      <c r="L34" s="21"/>
    </row>
    <row r="35" spans="6:12" x14ac:dyDescent="0.25">
      <c r="F35" s="21"/>
      <c r="G35" s="21"/>
      <c r="H35" s="21"/>
      <c r="I35" s="21"/>
      <c r="J35" s="21"/>
      <c r="K35" s="21"/>
      <c r="L35" s="21"/>
    </row>
    <row r="36" spans="6:12" x14ac:dyDescent="0.25">
      <c r="F36" s="21"/>
      <c r="G36" s="21"/>
      <c r="H36" s="21"/>
      <c r="I36" s="21"/>
      <c r="J36" s="21"/>
      <c r="K36" s="21"/>
      <c r="L36" s="21"/>
    </row>
    <row r="37" spans="6:12" x14ac:dyDescent="0.25">
      <c r="F37" s="21"/>
      <c r="G37" s="21"/>
      <c r="H37" s="21"/>
      <c r="I37" s="21"/>
      <c r="J37" s="21"/>
      <c r="K37" s="21"/>
      <c r="L37" s="21"/>
    </row>
    <row r="38" spans="6:12" x14ac:dyDescent="0.25">
      <c r="F38" s="21"/>
      <c r="G38" s="21"/>
      <c r="H38" s="21"/>
      <c r="I38" s="21"/>
      <c r="J38" s="21"/>
      <c r="K38" s="21"/>
      <c r="L38" s="21"/>
    </row>
    <row r="39" spans="6:12" x14ac:dyDescent="0.25">
      <c r="F39" s="21"/>
      <c r="G39" s="21"/>
      <c r="H39" s="21"/>
      <c r="I39" s="21"/>
      <c r="J39" s="21"/>
      <c r="K39" s="21"/>
      <c r="L39" s="21"/>
    </row>
    <row r="40" spans="6:12" x14ac:dyDescent="0.25">
      <c r="F40" s="21"/>
      <c r="G40" s="21"/>
      <c r="H40" s="21"/>
      <c r="I40" s="21"/>
      <c r="J40" s="21"/>
      <c r="K40" s="21"/>
      <c r="L40" s="21"/>
    </row>
    <row r="41" spans="6:12" x14ac:dyDescent="0.25">
      <c r="F41" s="21"/>
      <c r="G41" s="21"/>
      <c r="H41" s="21"/>
      <c r="I41" s="21"/>
      <c r="J41" s="21"/>
      <c r="K41" s="21"/>
      <c r="L41" s="21"/>
    </row>
    <row r="42" spans="6:12" x14ac:dyDescent="0.25">
      <c r="F42" s="21"/>
      <c r="G42" s="21"/>
      <c r="H42" s="21"/>
      <c r="I42" s="21"/>
      <c r="J42" s="21"/>
      <c r="K42" s="21"/>
      <c r="L42" s="21"/>
    </row>
    <row r="43" spans="6:12" x14ac:dyDescent="0.25">
      <c r="F43" s="21"/>
      <c r="G43" s="21"/>
      <c r="H43" s="21"/>
      <c r="I43" s="21"/>
      <c r="J43" s="21"/>
      <c r="K43" s="21"/>
      <c r="L43" s="21"/>
    </row>
    <row r="44" spans="6:12" x14ac:dyDescent="0.25">
      <c r="F44" s="21"/>
      <c r="G44" s="21"/>
      <c r="H44" s="21"/>
      <c r="I44" s="21"/>
      <c r="J44" s="21"/>
      <c r="K44" s="21"/>
      <c r="L44" s="21"/>
    </row>
    <row r="45" spans="6:12" x14ac:dyDescent="0.25">
      <c r="F45" s="21"/>
      <c r="G45" s="21"/>
      <c r="H45" s="21"/>
      <c r="I45" s="21"/>
      <c r="J45" s="21"/>
      <c r="K45" s="21"/>
      <c r="L45" s="21"/>
    </row>
    <row r="46" spans="6:12" x14ac:dyDescent="0.25">
      <c r="F46" s="21"/>
      <c r="G46" s="21"/>
      <c r="H46" s="21"/>
      <c r="I46" s="21"/>
      <c r="J46" s="21"/>
      <c r="K46" s="21"/>
      <c r="L46" s="21"/>
    </row>
    <row r="47" spans="6:12" x14ac:dyDescent="0.25">
      <c r="F47" s="21"/>
      <c r="G47" s="21"/>
      <c r="H47" s="21"/>
      <c r="I47" s="21"/>
      <c r="J47" s="21"/>
      <c r="K47" s="21"/>
      <c r="L47" s="21"/>
    </row>
    <row r="48" spans="6:12" x14ac:dyDescent="0.25">
      <c r="F48" s="21"/>
      <c r="G48" s="21"/>
      <c r="H48" s="21"/>
      <c r="I48" s="21"/>
      <c r="J48" s="21"/>
      <c r="K48" s="21"/>
      <c r="L48" s="21"/>
    </row>
    <row r="49" spans="6:12" x14ac:dyDescent="0.25">
      <c r="F49" s="21"/>
      <c r="G49" s="21"/>
      <c r="H49" s="21"/>
      <c r="I49" s="21"/>
      <c r="J49" s="21"/>
      <c r="K49" s="21"/>
      <c r="L49" s="21"/>
    </row>
    <row r="50" spans="6:12" x14ac:dyDescent="0.25">
      <c r="F50" s="21"/>
      <c r="G50" s="21"/>
      <c r="H50" s="21"/>
      <c r="I50" s="21"/>
      <c r="J50" s="21"/>
      <c r="K50" s="21"/>
      <c r="L50" s="21"/>
    </row>
    <row r="51" spans="6:12" x14ac:dyDescent="0.25">
      <c r="F51" s="21"/>
      <c r="G51" s="21"/>
      <c r="H51" s="21"/>
      <c r="I51" s="21"/>
      <c r="J51" s="21"/>
      <c r="K51" s="21"/>
      <c r="L51" s="21"/>
    </row>
    <row r="52" spans="6:12" x14ac:dyDescent="0.25">
      <c r="F52" s="21"/>
      <c r="G52" s="21"/>
      <c r="H52" s="21"/>
      <c r="I52" s="21"/>
      <c r="J52" s="21"/>
      <c r="K52" s="21"/>
      <c r="L52" s="21"/>
    </row>
    <row r="53" spans="6:12" x14ac:dyDescent="0.25">
      <c r="F53" s="21"/>
      <c r="G53" s="21"/>
      <c r="H53" s="21"/>
      <c r="I53" s="21"/>
      <c r="J53" s="21"/>
      <c r="K53" s="21"/>
      <c r="L53" s="21"/>
    </row>
    <row r="54" spans="6:12" x14ac:dyDescent="0.25">
      <c r="F54" s="21"/>
      <c r="G54" s="21"/>
      <c r="H54" s="21"/>
      <c r="I54" s="21"/>
      <c r="J54" s="21"/>
      <c r="K54" s="21"/>
      <c r="L54" s="21"/>
    </row>
    <row r="55" spans="6:12" x14ac:dyDescent="0.25">
      <c r="F55" s="21"/>
      <c r="G55" s="21"/>
      <c r="H55" s="21"/>
      <c r="I55" s="21"/>
      <c r="J55" s="21"/>
      <c r="K55" s="21"/>
      <c r="L55" s="21"/>
    </row>
    <row r="56" spans="6:12" x14ac:dyDescent="0.25">
      <c r="F56" s="21"/>
      <c r="G56" s="21"/>
      <c r="H56" s="21"/>
      <c r="I56" s="21"/>
      <c r="J56" s="21"/>
      <c r="K56" s="21"/>
      <c r="L56" s="21"/>
    </row>
    <row r="57" spans="6:12" x14ac:dyDescent="0.25">
      <c r="F57" s="21"/>
      <c r="G57" s="21"/>
      <c r="H57" s="21"/>
      <c r="I57" s="21"/>
      <c r="J57" s="21"/>
      <c r="K57" s="21"/>
      <c r="L57" s="21"/>
    </row>
    <row r="58" spans="6:12" x14ac:dyDescent="0.25">
      <c r="F58" s="21"/>
      <c r="G58" s="21"/>
      <c r="H58" s="21"/>
      <c r="I58" s="21"/>
      <c r="J58" s="21"/>
      <c r="K58" s="21"/>
      <c r="L58" s="21"/>
    </row>
    <row r="59" spans="6:12" x14ac:dyDescent="0.25">
      <c r="F59" s="21"/>
      <c r="G59" s="21"/>
      <c r="H59" s="21"/>
      <c r="I59" s="21"/>
      <c r="J59" s="21"/>
      <c r="K59" s="21"/>
      <c r="L59" s="21"/>
    </row>
    <row r="60" spans="6:12" x14ac:dyDescent="0.25">
      <c r="F60" s="21"/>
      <c r="G60" s="21"/>
      <c r="H60" s="21"/>
      <c r="I60" s="21"/>
      <c r="J60" s="21"/>
      <c r="K60" s="21"/>
      <c r="L60" s="21"/>
    </row>
    <row r="61" spans="6:12" x14ac:dyDescent="0.25">
      <c r="F61" s="21"/>
      <c r="G61" s="21"/>
      <c r="H61" s="21"/>
      <c r="I61" s="21"/>
      <c r="J61" s="21"/>
      <c r="K61" s="21"/>
      <c r="L61" s="21"/>
    </row>
    <row r="62" spans="6:12" x14ac:dyDescent="0.25">
      <c r="F62" s="21"/>
      <c r="G62" s="21"/>
      <c r="H62" s="21"/>
      <c r="I62" s="21"/>
      <c r="J62" s="21"/>
      <c r="K62" s="21"/>
      <c r="L62" s="21"/>
    </row>
    <row r="63" spans="6:12" x14ac:dyDescent="0.25">
      <c r="F63" s="21"/>
      <c r="G63" s="21"/>
      <c r="H63" s="21"/>
      <c r="I63" s="21"/>
      <c r="J63" s="21"/>
      <c r="K63" s="21"/>
      <c r="L63" s="21"/>
    </row>
    <row r="64" spans="6:12" x14ac:dyDescent="0.25">
      <c r="F64" s="21"/>
      <c r="G64" s="21"/>
      <c r="H64" s="21"/>
      <c r="I64" s="21"/>
      <c r="J64" s="21"/>
      <c r="K64" s="21"/>
      <c r="L64" s="21"/>
    </row>
    <row r="65" spans="6:12" x14ac:dyDescent="0.25">
      <c r="F65" s="21"/>
      <c r="G65" s="21"/>
      <c r="H65" s="21"/>
      <c r="I65" s="21"/>
      <c r="J65" s="21"/>
      <c r="K65" s="21"/>
      <c r="L65" s="21"/>
    </row>
    <row r="66" spans="6:12" x14ac:dyDescent="0.25">
      <c r="F66" s="21"/>
      <c r="G66" s="21"/>
      <c r="H66" s="21"/>
      <c r="I66" s="21"/>
      <c r="J66" s="21"/>
      <c r="K66" s="21"/>
      <c r="L66" s="21"/>
    </row>
    <row r="67" spans="6:12" x14ac:dyDescent="0.25">
      <c r="F67" s="21"/>
      <c r="G67" s="21"/>
      <c r="H67" s="21"/>
      <c r="I67" s="21"/>
      <c r="J67" s="21"/>
      <c r="K67" s="21"/>
      <c r="L67" s="21"/>
    </row>
    <row r="68" spans="6:12" x14ac:dyDescent="0.25">
      <c r="F68" s="21"/>
      <c r="G68" s="21"/>
      <c r="H68" s="21"/>
      <c r="I68" s="21"/>
      <c r="J68" s="21"/>
      <c r="K68" s="21"/>
      <c r="L68" s="21"/>
    </row>
    <row r="69" spans="6:12" x14ac:dyDescent="0.25">
      <c r="F69" s="21"/>
      <c r="G69" s="21"/>
      <c r="H69" s="21"/>
      <c r="I69" s="21"/>
      <c r="J69" s="21"/>
      <c r="K69" s="21"/>
      <c r="L69" s="21"/>
    </row>
    <row r="70" spans="6:12" x14ac:dyDescent="0.25">
      <c r="F70" s="21"/>
      <c r="G70" s="21"/>
      <c r="H70" s="21"/>
      <c r="I70" s="21"/>
      <c r="J70" s="21"/>
      <c r="K70" s="21"/>
      <c r="L70" s="21"/>
    </row>
    <row r="71" spans="6:12" x14ac:dyDescent="0.25">
      <c r="F71" s="21"/>
      <c r="G71" s="21"/>
      <c r="H71" s="21"/>
      <c r="I71" s="21"/>
      <c r="J71" s="21"/>
      <c r="K71" s="21"/>
      <c r="L71" s="21"/>
    </row>
    <row r="72" spans="6:12" x14ac:dyDescent="0.25">
      <c r="F72" s="21"/>
      <c r="G72" s="21"/>
      <c r="H72" s="21"/>
      <c r="I72" s="21"/>
      <c r="J72" s="21"/>
      <c r="K72" s="21"/>
      <c r="L72" s="21"/>
    </row>
    <row r="73" spans="6:12" x14ac:dyDescent="0.25">
      <c r="F73" s="21"/>
      <c r="G73" s="21"/>
      <c r="H73" s="21"/>
      <c r="I73" s="21"/>
      <c r="J73" s="21"/>
      <c r="K73" s="21"/>
      <c r="L73" s="21"/>
    </row>
    <row r="74" spans="6:12" x14ac:dyDescent="0.25">
      <c r="F74" s="21"/>
      <c r="G74" s="21"/>
      <c r="H74" s="21"/>
      <c r="I74" s="21"/>
      <c r="J74" s="21"/>
      <c r="K74" s="21"/>
      <c r="L74" s="21"/>
    </row>
    <row r="75" spans="6:12" x14ac:dyDescent="0.25">
      <c r="F75" s="21"/>
      <c r="G75" s="21"/>
      <c r="H75" s="21"/>
      <c r="I75" s="21"/>
      <c r="J75" s="21"/>
      <c r="K75" s="21"/>
      <c r="L75" s="21"/>
    </row>
    <row r="76" spans="6:12" x14ac:dyDescent="0.25">
      <c r="F76" s="21"/>
      <c r="G76" s="21"/>
      <c r="H76" s="21"/>
      <c r="I76" s="21"/>
      <c r="J76" s="21"/>
      <c r="K76" s="21"/>
      <c r="L76" s="21"/>
    </row>
    <row r="77" spans="6:12" x14ac:dyDescent="0.25">
      <c r="F77" s="21"/>
      <c r="G77" s="21"/>
      <c r="H77" s="21"/>
      <c r="I77" s="21"/>
      <c r="J77" s="21"/>
      <c r="K77" s="21"/>
      <c r="L77" s="21"/>
    </row>
    <row r="78" spans="6:12" x14ac:dyDescent="0.25">
      <c r="F78" s="21"/>
      <c r="G78" s="21"/>
      <c r="H78" s="21"/>
      <c r="I78" s="21"/>
      <c r="J78" s="21"/>
      <c r="K78" s="21"/>
      <c r="L78" s="21"/>
    </row>
    <row r="79" spans="6:12" x14ac:dyDescent="0.25">
      <c r="F79" s="21"/>
      <c r="G79" s="21"/>
      <c r="H79" s="21"/>
      <c r="I79" s="21"/>
      <c r="J79" s="21"/>
      <c r="K79" s="21"/>
      <c r="L79" s="21"/>
    </row>
    <row r="80" spans="6:12" x14ac:dyDescent="0.25">
      <c r="F80" s="21"/>
      <c r="G80" s="21"/>
      <c r="H80" s="21"/>
      <c r="I80" s="21"/>
      <c r="J80" s="21"/>
      <c r="K80" s="21"/>
      <c r="L80" s="21"/>
    </row>
    <row r="81" spans="6:12" x14ac:dyDescent="0.25">
      <c r="F81" s="21"/>
      <c r="G81" s="21"/>
      <c r="H81" s="21"/>
      <c r="I81" s="21"/>
      <c r="J81" s="21"/>
      <c r="K81" s="21"/>
      <c r="L81" s="21"/>
    </row>
    <row r="82" spans="6:12" x14ac:dyDescent="0.25">
      <c r="F82" s="21"/>
      <c r="G82" s="21"/>
      <c r="H82" s="21"/>
      <c r="I82" s="21"/>
      <c r="J82" s="21"/>
      <c r="K82" s="21"/>
      <c r="L82" s="21"/>
    </row>
    <row r="83" spans="6:12" x14ac:dyDescent="0.25">
      <c r="F83" s="21"/>
      <c r="G83" s="21"/>
      <c r="H83" s="21"/>
      <c r="I83" s="21"/>
      <c r="J83" s="21"/>
      <c r="K83" s="21"/>
      <c r="L83" s="21"/>
    </row>
    <row r="84" spans="6:12" x14ac:dyDescent="0.25">
      <c r="F84" s="21"/>
      <c r="G84" s="21"/>
      <c r="H84" s="21"/>
      <c r="I84" s="21"/>
      <c r="J84" s="21"/>
      <c r="K84" s="21"/>
      <c r="L84" s="21"/>
    </row>
    <row r="85" spans="6:12" x14ac:dyDescent="0.25">
      <c r="F85" s="21"/>
      <c r="G85" s="21"/>
      <c r="H85" s="21"/>
      <c r="I85" s="21"/>
      <c r="J85" s="21"/>
      <c r="K85" s="21"/>
      <c r="L85" s="21"/>
    </row>
    <row r="86" spans="6:12" x14ac:dyDescent="0.25">
      <c r="F86" s="21"/>
      <c r="G86" s="21"/>
      <c r="H86" s="21"/>
      <c r="I86" s="21"/>
      <c r="J86" s="21"/>
      <c r="K86" s="21"/>
      <c r="L86" s="21"/>
    </row>
    <row r="87" spans="6:12" x14ac:dyDescent="0.25">
      <c r="F87" s="21"/>
      <c r="G87" s="21"/>
      <c r="H87" s="21"/>
      <c r="I87" s="21"/>
      <c r="J87" s="21"/>
      <c r="K87" s="21"/>
      <c r="L87" s="21"/>
    </row>
    <row r="88" spans="6:12" x14ac:dyDescent="0.25">
      <c r="F88" s="21"/>
      <c r="G88" s="21"/>
      <c r="H88" s="21"/>
      <c r="I88" s="21"/>
      <c r="J88" s="21"/>
      <c r="K88" s="21"/>
      <c r="L88" s="21"/>
    </row>
    <row r="89" spans="6:12" x14ac:dyDescent="0.25">
      <c r="F89" s="21"/>
      <c r="G89" s="21"/>
      <c r="H89" s="21"/>
      <c r="I89" s="21"/>
      <c r="J89" s="21"/>
      <c r="K89" s="21"/>
      <c r="L89" s="21"/>
    </row>
    <row r="90" spans="6:12" x14ac:dyDescent="0.25">
      <c r="F90" s="21"/>
      <c r="G90" s="21"/>
      <c r="H90" s="21"/>
      <c r="I90" s="21"/>
      <c r="J90" s="21"/>
      <c r="K90" s="21"/>
      <c r="L90" s="21"/>
    </row>
    <row r="91" spans="6:12" x14ac:dyDescent="0.25">
      <c r="F91" s="21"/>
      <c r="G91" s="21"/>
      <c r="H91" s="21"/>
      <c r="I91" s="21"/>
      <c r="J91" s="21"/>
      <c r="K91" s="21"/>
      <c r="L91" s="21"/>
    </row>
    <row r="92" spans="6:12" x14ac:dyDescent="0.25">
      <c r="F92" s="21"/>
      <c r="G92" s="21"/>
      <c r="H92" s="21"/>
      <c r="I92" s="21"/>
      <c r="J92" s="21"/>
      <c r="K92" s="21"/>
      <c r="L92" s="21"/>
    </row>
    <row r="93" spans="6:12" x14ac:dyDescent="0.25">
      <c r="F93" s="21"/>
      <c r="G93" s="21"/>
      <c r="H93" s="21"/>
      <c r="I93" s="21"/>
      <c r="J93" s="21"/>
      <c r="K93" s="21"/>
      <c r="L93" s="21"/>
    </row>
    <row r="94" spans="6:12" x14ac:dyDescent="0.25">
      <c r="F94" s="21"/>
      <c r="G94" s="21"/>
      <c r="H94" s="21"/>
      <c r="I94" s="21"/>
      <c r="J94" s="21"/>
      <c r="K94" s="21"/>
      <c r="L94" s="21"/>
    </row>
    <row r="95" spans="6:12" x14ac:dyDescent="0.25">
      <c r="F95" s="21"/>
      <c r="G95" s="21"/>
      <c r="H95" s="21"/>
      <c r="I95" s="21"/>
      <c r="J95" s="21"/>
      <c r="K95" s="21"/>
      <c r="L95" s="2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1489-A321-4EF7-BCEB-AD4F846ED477}">
  <dimension ref="D1:CZ114"/>
  <sheetViews>
    <sheetView showGridLines="0" zoomScale="85" zoomScaleNormal="85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H14" sqref="H14"/>
    </sheetView>
  </sheetViews>
  <sheetFormatPr defaultRowHeight="15" outlineLevelCol="1" x14ac:dyDescent="0.25"/>
  <cols>
    <col min="4" max="4" width="36" bestFit="1" customWidth="1"/>
    <col min="5" max="5" width="9.140625" customWidth="1"/>
    <col min="6" max="6" width="14.7109375" customWidth="1" outlineLevel="1"/>
    <col min="7" max="7" width="17" customWidth="1"/>
    <col min="8" max="8" width="16.85546875" customWidth="1"/>
    <col min="9" max="9" width="17.7109375" customWidth="1" outlineLevel="1"/>
    <col min="10" max="10" width="17" customWidth="1"/>
    <col min="11" max="11" width="16.85546875" customWidth="1"/>
    <col min="12" max="12" width="17.7109375" customWidth="1" outlineLevel="1"/>
    <col min="13" max="16" width="9.140625" customWidth="1"/>
    <col min="17" max="27" width="12.28515625" style="12" hidden="1" customWidth="1" outlineLevel="1" collapsed="1"/>
    <col min="28" max="28" width="12.28515625" style="12" bestFit="1" customWidth="1" collapsed="1"/>
    <col min="29" max="29" width="13.42578125" style="12" bestFit="1" customWidth="1" collapsed="1"/>
    <col min="30" max="30" width="12.85546875" style="12" bestFit="1" customWidth="1" collapsed="1"/>
    <col min="31" max="31" width="12.28515625" style="12" bestFit="1" customWidth="1" collapsed="1"/>
    <col min="32" max="33" width="12.42578125" style="12" bestFit="1" customWidth="1" collapsed="1"/>
    <col min="34" max="34" width="13.140625" style="12" bestFit="1" customWidth="1" collapsed="1"/>
    <col min="35" max="35" width="13.5703125" style="12" bestFit="1" customWidth="1" collapsed="1"/>
    <col min="36" max="36" width="12.85546875" style="12" bestFit="1" customWidth="1" collapsed="1"/>
    <col min="37" max="37" width="13.5703125" style="12" bestFit="1" customWidth="1" collapsed="1"/>
    <col min="38" max="39" width="13.85546875" style="12" bestFit="1" customWidth="1" collapsed="1"/>
    <col min="40" max="42" width="13.140625" style="12" bestFit="1" customWidth="1" collapsed="1"/>
    <col min="43" max="43" width="13.5703125" style="12" bestFit="1" customWidth="1" collapsed="1"/>
    <col min="44" max="45" width="13.85546875" style="12" bestFit="1" customWidth="1" collapsed="1"/>
    <col min="46" max="46" width="14.5703125" style="12" bestFit="1" customWidth="1" collapsed="1"/>
    <col min="47" max="47" width="14.140625" style="12" bestFit="1" customWidth="1" collapsed="1"/>
    <col min="48" max="48" width="14.5703125" style="12" bestFit="1" customWidth="1" collapsed="1"/>
    <col min="49" max="49" width="14.140625" style="12" bestFit="1" customWidth="1" collapsed="1"/>
    <col min="50" max="52" width="14.5703125" style="12" bestFit="1" customWidth="1" collapsed="1"/>
    <col min="53" max="53" width="14.28515625" style="12" bestFit="1" customWidth="1" collapsed="1"/>
    <col min="54" max="54" width="15" style="12" bestFit="1" customWidth="1" collapsed="1"/>
    <col min="55" max="56" width="14.5703125" style="12" bestFit="1" customWidth="1" collapsed="1"/>
    <col min="57" max="57" width="15" style="12" bestFit="1" customWidth="1" collapsed="1"/>
    <col min="58" max="58" width="14.5703125" style="12" bestFit="1" customWidth="1" collapsed="1"/>
    <col min="59" max="59" width="14.28515625" style="12" bestFit="1" customWidth="1" collapsed="1"/>
    <col min="60" max="60" width="14.5703125" style="12" bestFit="1" customWidth="1" collapsed="1"/>
    <col min="61" max="62" width="15" style="12" bestFit="1" customWidth="1" collapsed="1"/>
    <col min="63" max="63" width="14.5703125" style="12" bestFit="1" customWidth="1" collapsed="1"/>
    <col min="64" max="104" width="15" style="12" bestFit="1" customWidth="1" collapsed="1"/>
  </cols>
  <sheetData>
    <row r="1" spans="4:104" ht="15.75" x14ac:dyDescent="0.25">
      <c r="D1" s="1"/>
    </row>
    <row r="2" spans="4:104" ht="16.5" thickBot="1" x14ac:dyDescent="0.3">
      <c r="D2" s="2"/>
    </row>
    <row r="3" spans="4:104" ht="15.75" thickBot="1" x14ac:dyDescent="0.3">
      <c r="D3" s="114" t="s">
        <v>209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</row>
    <row r="4" spans="4:104" x14ac:dyDescent="0.25">
      <c r="D4" t="s">
        <v>211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</row>
    <row r="5" spans="4:104" x14ac:dyDescent="0.25">
      <c r="D5" t="s">
        <v>213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</row>
    <row r="6" spans="4:104" x14ac:dyDescent="0.25">
      <c r="D6" s="124" t="s">
        <v>210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</row>
    <row r="7" spans="4:104" ht="15.75" x14ac:dyDescent="0.25">
      <c r="D7" s="3"/>
      <c r="G7" s="20"/>
      <c r="H7" s="20"/>
      <c r="J7" s="20"/>
      <c r="K7" s="20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</row>
    <row r="8" spans="4:104" ht="15.75" x14ac:dyDescent="0.25">
      <c r="D8" s="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</row>
    <row r="9" spans="4:104" ht="15.75" x14ac:dyDescent="0.25">
      <c r="D9" s="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</row>
    <row r="10" spans="4:104" ht="15.75" x14ac:dyDescent="0.25">
      <c r="D10" s="3"/>
      <c r="F10" s="18"/>
      <c r="G10" s="17"/>
      <c r="H10" s="17"/>
      <c r="I10" s="17"/>
      <c r="J10" s="17"/>
      <c r="K10" s="17"/>
      <c r="L10" s="17"/>
      <c r="Q10" s="18" t="str">
        <f t="shared" ref="Q10:CB10" si="0">"Q"&amp;ROUNDUP(MONTH(Q11)/3,0)&amp;"-"&amp;YEAR(Q11)</f>
        <v>Q1-2023</v>
      </c>
      <c r="R10" s="18" t="str">
        <f t="shared" si="0"/>
        <v>Q1-2023</v>
      </c>
      <c r="S10" s="18" t="str">
        <f t="shared" si="0"/>
        <v>Q1-2023</v>
      </c>
      <c r="T10" s="18" t="str">
        <f t="shared" si="0"/>
        <v>Q2-2023</v>
      </c>
      <c r="U10" s="18" t="str">
        <f t="shared" si="0"/>
        <v>Q2-2023</v>
      </c>
      <c r="V10" s="18" t="str">
        <f t="shared" si="0"/>
        <v>Q2-2023</v>
      </c>
      <c r="W10" s="18" t="str">
        <f t="shared" si="0"/>
        <v>Q3-2023</v>
      </c>
      <c r="X10" s="18" t="str">
        <f t="shared" si="0"/>
        <v>Q3-2023</v>
      </c>
      <c r="Y10" s="18" t="str">
        <f t="shared" si="0"/>
        <v>Q3-2023</v>
      </c>
      <c r="Z10" s="18" t="str">
        <f t="shared" si="0"/>
        <v>Q4-2023</v>
      </c>
      <c r="AA10" s="18" t="str">
        <f t="shared" si="0"/>
        <v>Q4-2023</v>
      </c>
      <c r="AB10" s="18" t="str">
        <f t="shared" si="0"/>
        <v>Q4-2023</v>
      </c>
      <c r="AC10" s="18" t="str">
        <f t="shared" si="0"/>
        <v>Q1-2024</v>
      </c>
      <c r="AD10" s="18" t="str">
        <f t="shared" si="0"/>
        <v>Q1-2024</v>
      </c>
      <c r="AE10" s="18" t="str">
        <f t="shared" si="0"/>
        <v>Q1-2024</v>
      </c>
      <c r="AF10" s="18" t="str">
        <f t="shared" si="0"/>
        <v>Q2-2024</v>
      </c>
      <c r="AG10" s="18" t="str">
        <f t="shared" si="0"/>
        <v>Q2-2024</v>
      </c>
      <c r="AH10" s="18" t="str">
        <f t="shared" si="0"/>
        <v>Q2-2024</v>
      </c>
      <c r="AI10" s="18" t="str">
        <f t="shared" si="0"/>
        <v>Q3-2024</v>
      </c>
      <c r="AJ10" s="18" t="str">
        <f t="shared" si="0"/>
        <v>Q3-2024</v>
      </c>
      <c r="AK10" s="18" t="str">
        <f t="shared" si="0"/>
        <v>Q3-2024</v>
      </c>
      <c r="AL10" s="18" t="str">
        <f t="shared" si="0"/>
        <v>Q4-2024</v>
      </c>
      <c r="AM10" s="18" t="str">
        <f t="shared" si="0"/>
        <v>Q4-2024</v>
      </c>
      <c r="AN10" s="18" t="str">
        <f t="shared" si="0"/>
        <v>Q4-2024</v>
      </c>
      <c r="AO10" s="18" t="str">
        <f t="shared" si="0"/>
        <v>Q1-2025</v>
      </c>
      <c r="AP10" s="18" t="str">
        <f t="shared" si="0"/>
        <v>Q1-2025</v>
      </c>
      <c r="AQ10" s="18" t="str">
        <f t="shared" si="0"/>
        <v>Q1-2025</v>
      </c>
      <c r="AR10" s="18" t="str">
        <f t="shared" si="0"/>
        <v>Q2-2025</v>
      </c>
      <c r="AS10" s="18" t="str">
        <f t="shared" si="0"/>
        <v>Q2-2025</v>
      </c>
      <c r="AT10" s="18" t="str">
        <f t="shared" si="0"/>
        <v>Q2-2025</v>
      </c>
      <c r="AU10" s="18" t="str">
        <f t="shared" si="0"/>
        <v>Q3-2025</v>
      </c>
      <c r="AV10" s="18" t="str">
        <f t="shared" si="0"/>
        <v>Q3-2025</v>
      </c>
      <c r="AW10" s="18" t="str">
        <f t="shared" si="0"/>
        <v>Q3-2025</v>
      </c>
      <c r="AX10" s="18" t="str">
        <f t="shared" si="0"/>
        <v>Q4-2025</v>
      </c>
      <c r="AY10" s="18" t="str">
        <f t="shared" si="0"/>
        <v>Q4-2025</v>
      </c>
      <c r="AZ10" s="18" t="str">
        <f t="shared" si="0"/>
        <v>Q4-2025</v>
      </c>
      <c r="BA10" s="18" t="str">
        <f t="shared" si="0"/>
        <v>Q1-2026</v>
      </c>
      <c r="BB10" s="18" t="str">
        <f t="shared" si="0"/>
        <v>Q1-2026</v>
      </c>
      <c r="BC10" s="18" t="str">
        <f t="shared" si="0"/>
        <v>Q1-2026</v>
      </c>
      <c r="BD10" s="18" t="str">
        <f t="shared" si="0"/>
        <v>Q2-2026</v>
      </c>
      <c r="BE10" s="18" t="str">
        <f t="shared" si="0"/>
        <v>Q2-2026</v>
      </c>
      <c r="BF10" s="18" t="str">
        <f t="shared" si="0"/>
        <v>Q2-2026</v>
      </c>
      <c r="BG10" s="18" t="str">
        <f t="shared" si="0"/>
        <v>Q3-2026</v>
      </c>
      <c r="BH10" s="18" t="str">
        <f t="shared" si="0"/>
        <v>Q3-2026</v>
      </c>
      <c r="BI10" s="18" t="str">
        <f t="shared" si="0"/>
        <v>Q3-2026</v>
      </c>
      <c r="BJ10" s="18" t="str">
        <f t="shared" si="0"/>
        <v>Q4-2026</v>
      </c>
      <c r="BK10" s="18" t="str">
        <f t="shared" si="0"/>
        <v>Q4-2026</v>
      </c>
      <c r="BL10" s="18" t="str">
        <f t="shared" si="0"/>
        <v>Q4-2026</v>
      </c>
      <c r="BM10" s="18" t="str">
        <f t="shared" si="0"/>
        <v>Q1-2027</v>
      </c>
      <c r="BN10" s="18" t="str">
        <f t="shared" si="0"/>
        <v>Q1-2027</v>
      </c>
      <c r="BO10" s="18" t="str">
        <f t="shared" si="0"/>
        <v>Q1-2027</v>
      </c>
      <c r="BP10" s="18" t="str">
        <f t="shared" si="0"/>
        <v>Q2-2027</v>
      </c>
      <c r="BQ10" s="18" t="str">
        <f t="shared" si="0"/>
        <v>Q2-2027</v>
      </c>
      <c r="BR10" s="18" t="str">
        <f t="shared" si="0"/>
        <v>Q2-2027</v>
      </c>
      <c r="BS10" s="18" t="str">
        <f t="shared" si="0"/>
        <v>Q3-2027</v>
      </c>
      <c r="BT10" s="18" t="str">
        <f t="shared" si="0"/>
        <v>Q3-2027</v>
      </c>
      <c r="BU10" s="18" t="str">
        <f t="shared" si="0"/>
        <v>Q3-2027</v>
      </c>
      <c r="BV10" s="18" t="str">
        <f t="shared" si="0"/>
        <v>Q4-2027</v>
      </c>
      <c r="BW10" s="18" t="str">
        <f t="shared" si="0"/>
        <v>Q4-2027</v>
      </c>
      <c r="BX10" s="18" t="str">
        <f t="shared" si="0"/>
        <v>Q4-2027</v>
      </c>
      <c r="BY10" s="18" t="str">
        <f t="shared" si="0"/>
        <v>Q1-2028</v>
      </c>
      <c r="BZ10" s="18" t="str">
        <f t="shared" si="0"/>
        <v>Q1-2028</v>
      </c>
      <c r="CA10" s="18" t="str">
        <f t="shared" si="0"/>
        <v>Q1-2028</v>
      </c>
      <c r="CB10" s="18" t="str">
        <f t="shared" si="0"/>
        <v>Q2-2028</v>
      </c>
      <c r="CC10" s="18" t="str">
        <f t="shared" ref="CC10:CZ10" si="1">"Q"&amp;ROUNDUP(MONTH(CC11)/3,0)&amp;"-"&amp;YEAR(CC11)</f>
        <v>Q2-2028</v>
      </c>
      <c r="CD10" s="18" t="str">
        <f t="shared" si="1"/>
        <v>Q2-2028</v>
      </c>
      <c r="CE10" s="18" t="str">
        <f t="shared" si="1"/>
        <v>Q3-2028</v>
      </c>
      <c r="CF10" s="18" t="str">
        <f t="shared" si="1"/>
        <v>Q3-2028</v>
      </c>
      <c r="CG10" s="18" t="str">
        <f t="shared" si="1"/>
        <v>Q3-2028</v>
      </c>
      <c r="CH10" s="18" t="str">
        <f t="shared" si="1"/>
        <v>Q4-2028</v>
      </c>
      <c r="CI10" s="18" t="str">
        <f t="shared" si="1"/>
        <v>Q4-2028</v>
      </c>
      <c r="CJ10" s="18" t="str">
        <f t="shared" si="1"/>
        <v>Q4-2028</v>
      </c>
      <c r="CK10" s="18" t="str">
        <f t="shared" si="1"/>
        <v>Q1-2029</v>
      </c>
      <c r="CL10" s="18" t="str">
        <f t="shared" si="1"/>
        <v>Q1-2029</v>
      </c>
      <c r="CM10" s="18" t="str">
        <f t="shared" si="1"/>
        <v>Q1-2029</v>
      </c>
      <c r="CN10" s="18" t="str">
        <f t="shared" si="1"/>
        <v>Q2-2029</v>
      </c>
      <c r="CO10" s="18" t="str">
        <f t="shared" si="1"/>
        <v>Q2-2029</v>
      </c>
      <c r="CP10" s="18" t="str">
        <f t="shared" si="1"/>
        <v>Q2-2029</v>
      </c>
      <c r="CQ10" s="18" t="str">
        <f t="shared" si="1"/>
        <v>Q3-2029</v>
      </c>
      <c r="CR10" s="18" t="str">
        <f t="shared" si="1"/>
        <v>Q3-2029</v>
      </c>
      <c r="CS10" s="18" t="str">
        <f t="shared" si="1"/>
        <v>Q3-2029</v>
      </c>
      <c r="CT10" s="18" t="str">
        <f t="shared" si="1"/>
        <v>Q4-2029</v>
      </c>
      <c r="CU10" s="18" t="str">
        <f t="shared" si="1"/>
        <v>Q4-2029</v>
      </c>
      <c r="CV10" s="18" t="str">
        <f t="shared" si="1"/>
        <v>Q4-2029</v>
      </c>
      <c r="CW10" s="18" t="str">
        <f t="shared" si="1"/>
        <v>Q1-2030</v>
      </c>
      <c r="CX10" s="18" t="str">
        <f t="shared" si="1"/>
        <v>Q1-2030</v>
      </c>
      <c r="CY10" s="18" t="str">
        <f t="shared" si="1"/>
        <v>Q1-2030</v>
      </c>
      <c r="CZ10" s="18" t="str">
        <f t="shared" si="1"/>
        <v>Q2-2030</v>
      </c>
    </row>
    <row r="11" spans="4:104" ht="15.75" x14ac:dyDescent="0.25">
      <c r="D11" s="4"/>
      <c r="F11" s="17">
        <v>2023</v>
      </c>
      <c r="G11" s="17">
        <v>2024</v>
      </c>
      <c r="H11" s="17">
        <v>2025</v>
      </c>
      <c r="I11" s="17">
        <v>2026</v>
      </c>
      <c r="J11" s="17">
        <v>2027</v>
      </c>
      <c r="K11" s="17">
        <v>2028</v>
      </c>
      <c r="L11" s="17">
        <v>2029</v>
      </c>
      <c r="Q11" s="19">
        <v>44957</v>
      </c>
      <c r="R11" s="19">
        <f t="shared" ref="R11:AB11" si="2">EOMONTH(Q11,1)</f>
        <v>44985</v>
      </c>
      <c r="S11" s="19">
        <f t="shared" si="2"/>
        <v>45016</v>
      </c>
      <c r="T11" s="19">
        <f t="shared" si="2"/>
        <v>45046</v>
      </c>
      <c r="U11" s="19">
        <f t="shared" si="2"/>
        <v>45077</v>
      </c>
      <c r="V11" s="19">
        <f t="shared" si="2"/>
        <v>45107</v>
      </c>
      <c r="W11" s="19">
        <f t="shared" si="2"/>
        <v>45138</v>
      </c>
      <c r="X11" s="19">
        <f t="shared" si="2"/>
        <v>45169</v>
      </c>
      <c r="Y11" s="19">
        <f t="shared" si="2"/>
        <v>45199</v>
      </c>
      <c r="Z11" s="19">
        <f t="shared" si="2"/>
        <v>45230</v>
      </c>
      <c r="AA11" s="19">
        <f t="shared" si="2"/>
        <v>45260</v>
      </c>
      <c r="AB11" s="19">
        <f t="shared" si="2"/>
        <v>45291</v>
      </c>
      <c r="AC11" s="19">
        <f t="shared" ref="AC11:AX11" si="3">EOMONTH(AB11,1)</f>
        <v>45322</v>
      </c>
      <c r="AD11" s="19">
        <f t="shared" si="3"/>
        <v>45351</v>
      </c>
      <c r="AE11" s="19">
        <f t="shared" si="3"/>
        <v>45382</v>
      </c>
      <c r="AF11" s="19">
        <f t="shared" si="3"/>
        <v>45412</v>
      </c>
      <c r="AG11" s="19">
        <f t="shared" si="3"/>
        <v>45443</v>
      </c>
      <c r="AH11" s="19">
        <f t="shared" si="3"/>
        <v>45473</v>
      </c>
      <c r="AI11" s="19">
        <f t="shared" si="3"/>
        <v>45504</v>
      </c>
      <c r="AJ11" s="19">
        <f t="shared" si="3"/>
        <v>45535</v>
      </c>
      <c r="AK11" s="19">
        <f t="shared" si="3"/>
        <v>45565</v>
      </c>
      <c r="AL11" s="19">
        <f t="shared" si="3"/>
        <v>45596</v>
      </c>
      <c r="AM11" s="19">
        <f t="shared" si="3"/>
        <v>45626</v>
      </c>
      <c r="AN11" s="19">
        <f t="shared" si="3"/>
        <v>45657</v>
      </c>
      <c r="AO11" s="19">
        <f t="shared" si="3"/>
        <v>45688</v>
      </c>
      <c r="AP11" s="19">
        <f t="shared" si="3"/>
        <v>45716</v>
      </c>
      <c r="AQ11" s="19">
        <f t="shared" si="3"/>
        <v>45747</v>
      </c>
      <c r="AR11" s="19">
        <f t="shared" si="3"/>
        <v>45777</v>
      </c>
      <c r="AS11" s="19">
        <f t="shared" si="3"/>
        <v>45808</v>
      </c>
      <c r="AT11" s="19">
        <f t="shared" si="3"/>
        <v>45838</v>
      </c>
      <c r="AU11" s="19">
        <f t="shared" si="3"/>
        <v>45869</v>
      </c>
      <c r="AV11" s="19">
        <f t="shared" si="3"/>
        <v>45900</v>
      </c>
      <c r="AW11" s="19">
        <f t="shared" si="3"/>
        <v>45930</v>
      </c>
      <c r="AX11" s="19">
        <f t="shared" si="3"/>
        <v>45961</v>
      </c>
      <c r="AY11" s="19">
        <f t="shared" ref="AY11" si="4">EOMONTH(AX11,1)</f>
        <v>45991</v>
      </c>
      <c r="AZ11" s="19">
        <f t="shared" ref="AZ11" si="5">EOMONTH(AY11,1)</f>
        <v>46022</v>
      </c>
      <c r="BA11" s="19">
        <f t="shared" ref="BA11" si="6">EOMONTH(AZ11,1)</f>
        <v>46053</v>
      </c>
      <c r="BB11" s="19">
        <f t="shared" ref="BB11" si="7">EOMONTH(BA11,1)</f>
        <v>46081</v>
      </c>
      <c r="BC11" s="19">
        <f t="shared" ref="BC11" si="8">EOMONTH(BB11,1)</f>
        <v>46112</v>
      </c>
      <c r="BD11" s="19">
        <f t="shared" ref="BD11" si="9">EOMONTH(BC11,1)</f>
        <v>46142</v>
      </c>
      <c r="BE11" s="19">
        <f t="shared" ref="BE11" si="10">EOMONTH(BD11,1)</f>
        <v>46173</v>
      </c>
      <c r="BF11" s="19">
        <f t="shared" ref="BF11" si="11">EOMONTH(BE11,1)</f>
        <v>46203</v>
      </c>
      <c r="BG11" s="19">
        <f t="shared" ref="BG11" si="12">EOMONTH(BF11,1)</f>
        <v>46234</v>
      </c>
      <c r="BH11" s="19">
        <f t="shared" ref="BH11" si="13">EOMONTH(BG11,1)</f>
        <v>46265</v>
      </c>
      <c r="BI11" s="19">
        <f t="shared" ref="BI11" si="14">EOMONTH(BH11,1)</f>
        <v>46295</v>
      </c>
      <c r="BJ11" s="19">
        <f t="shared" ref="BJ11" si="15">EOMONTH(BI11,1)</f>
        <v>46326</v>
      </c>
      <c r="BK11" s="19">
        <f t="shared" ref="BK11" si="16">EOMONTH(BJ11,1)</f>
        <v>46356</v>
      </c>
      <c r="BL11" s="19">
        <f t="shared" ref="BL11" si="17">EOMONTH(BK11,1)</f>
        <v>46387</v>
      </c>
      <c r="BM11" s="19">
        <f t="shared" ref="BM11" si="18">EOMONTH(BL11,1)</f>
        <v>46418</v>
      </c>
      <c r="BN11" s="19">
        <f t="shared" ref="BN11" si="19">EOMONTH(BM11,1)</f>
        <v>46446</v>
      </c>
      <c r="BO11" s="19">
        <f t="shared" ref="BO11" si="20">EOMONTH(BN11,1)</f>
        <v>46477</v>
      </c>
      <c r="BP11" s="19">
        <f t="shared" ref="BP11" si="21">EOMONTH(BO11,1)</f>
        <v>46507</v>
      </c>
      <c r="BQ11" s="19">
        <f t="shared" ref="BQ11" si="22">EOMONTH(BP11,1)</f>
        <v>46538</v>
      </c>
      <c r="BR11" s="19">
        <f t="shared" ref="BR11" si="23">EOMONTH(BQ11,1)</f>
        <v>46568</v>
      </c>
      <c r="BS11" s="19">
        <f t="shared" ref="BS11" si="24">EOMONTH(BR11,1)</f>
        <v>46599</v>
      </c>
      <c r="BT11" s="19">
        <f t="shared" ref="BT11" si="25">EOMONTH(BS11,1)</f>
        <v>46630</v>
      </c>
      <c r="BU11" s="19">
        <f t="shared" ref="BU11" si="26">EOMONTH(BT11,1)</f>
        <v>46660</v>
      </c>
      <c r="BV11" s="19">
        <f t="shared" ref="BV11" si="27">EOMONTH(BU11,1)</f>
        <v>46691</v>
      </c>
      <c r="BW11" s="19">
        <f t="shared" ref="BW11" si="28">EOMONTH(BV11,1)</f>
        <v>46721</v>
      </c>
      <c r="BX11" s="19">
        <f t="shared" ref="BX11" si="29">EOMONTH(BW11,1)</f>
        <v>46752</v>
      </c>
      <c r="BY11" s="19">
        <f t="shared" ref="BY11" si="30">EOMONTH(BX11,1)</f>
        <v>46783</v>
      </c>
      <c r="BZ11" s="19">
        <f t="shared" ref="BZ11" si="31">EOMONTH(BY11,1)</f>
        <v>46812</v>
      </c>
      <c r="CA11" s="19">
        <f t="shared" ref="CA11" si="32">EOMONTH(BZ11,1)</f>
        <v>46843</v>
      </c>
      <c r="CB11" s="19">
        <f t="shared" ref="CB11" si="33">EOMONTH(CA11,1)</f>
        <v>46873</v>
      </c>
      <c r="CC11" s="19">
        <f t="shared" ref="CC11" si="34">EOMONTH(CB11,1)</f>
        <v>46904</v>
      </c>
      <c r="CD11" s="19">
        <f t="shared" ref="CD11" si="35">EOMONTH(CC11,1)</f>
        <v>46934</v>
      </c>
      <c r="CE11" s="19">
        <f t="shared" ref="CE11" si="36">EOMONTH(CD11,1)</f>
        <v>46965</v>
      </c>
      <c r="CF11" s="19">
        <f t="shared" ref="CF11" si="37">EOMONTH(CE11,1)</f>
        <v>46996</v>
      </c>
      <c r="CG11" s="19">
        <f t="shared" ref="CG11" si="38">EOMONTH(CF11,1)</f>
        <v>47026</v>
      </c>
      <c r="CH11" s="19">
        <f t="shared" ref="CH11" si="39">EOMONTH(CG11,1)</f>
        <v>47057</v>
      </c>
      <c r="CI11" s="19">
        <f t="shared" ref="CI11" si="40">EOMONTH(CH11,1)</f>
        <v>47087</v>
      </c>
      <c r="CJ11" s="19">
        <f t="shared" ref="CJ11" si="41">EOMONTH(CI11,1)</f>
        <v>47118</v>
      </c>
      <c r="CK11" s="19">
        <f t="shared" ref="CK11" si="42">EOMONTH(CJ11,1)</f>
        <v>47149</v>
      </c>
      <c r="CL11" s="19">
        <f t="shared" ref="CL11" si="43">EOMONTH(CK11,1)</f>
        <v>47177</v>
      </c>
      <c r="CM11" s="19">
        <f t="shared" ref="CM11" si="44">EOMONTH(CL11,1)</f>
        <v>47208</v>
      </c>
      <c r="CN11" s="19">
        <f t="shared" ref="CN11" si="45">EOMONTH(CM11,1)</f>
        <v>47238</v>
      </c>
      <c r="CO11" s="19">
        <f t="shared" ref="CO11" si="46">EOMONTH(CN11,1)</f>
        <v>47269</v>
      </c>
      <c r="CP11" s="19">
        <f t="shared" ref="CP11" si="47">EOMONTH(CO11,1)</f>
        <v>47299</v>
      </c>
      <c r="CQ11" s="19">
        <f t="shared" ref="CQ11" si="48">EOMONTH(CP11,1)</f>
        <v>47330</v>
      </c>
      <c r="CR11" s="19">
        <f t="shared" ref="CR11" si="49">EOMONTH(CQ11,1)</f>
        <v>47361</v>
      </c>
      <c r="CS11" s="19">
        <f t="shared" ref="CS11" si="50">EOMONTH(CR11,1)</f>
        <v>47391</v>
      </c>
      <c r="CT11" s="19">
        <f t="shared" ref="CT11" si="51">EOMONTH(CS11,1)</f>
        <v>47422</v>
      </c>
      <c r="CU11" s="19">
        <f t="shared" ref="CU11" si="52">EOMONTH(CT11,1)</f>
        <v>47452</v>
      </c>
      <c r="CV11" s="19">
        <f t="shared" ref="CV11" si="53">EOMONTH(CU11,1)</f>
        <v>47483</v>
      </c>
      <c r="CW11" s="19">
        <f t="shared" ref="CW11" si="54">EOMONTH(CV11,1)</f>
        <v>47514</v>
      </c>
      <c r="CX11" s="19">
        <f t="shared" ref="CX11" si="55">EOMONTH(CW11,1)</f>
        <v>47542</v>
      </c>
      <c r="CY11" s="19">
        <f t="shared" ref="CY11" si="56">EOMONTH(CX11,1)</f>
        <v>47573</v>
      </c>
      <c r="CZ11" s="19">
        <f t="shared" ref="CZ11" si="57">EOMONTH(CY11,1)</f>
        <v>47603</v>
      </c>
    </row>
    <row r="12" spans="4:104" x14ac:dyDescent="0.25">
      <c r="D12" s="5" t="s">
        <v>0</v>
      </c>
      <c r="F12" s="12"/>
      <c r="G12" s="12"/>
      <c r="H12" s="12"/>
      <c r="I12" s="12"/>
      <c r="J12" s="12"/>
      <c r="K12" s="12"/>
      <c r="L12" s="12"/>
    </row>
    <row r="13" spans="4:104" x14ac:dyDescent="0.25">
      <c r="D13" s="6"/>
      <c r="F13" s="12"/>
      <c r="G13" s="12"/>
      <c r="H13" s="12"/>
      <c r="I13" s="12"/>
      <c r="J13" s="12"/>
      <c r="K13" s="12"/>
      <c r="L13" s="12"/>
    </row>
    <row r="14" spans="4:104" x14ac:dyDescent="0.25">
      <c r="D14" s="6" t="s">
        <v>20</v>
      </c>
      <c r="F14" s="23">
        <f>AB14</f>
        <v>5223205.8900000006</v>
      </c>
      <c r="G14" s="23">
        <f t="shared" ref="G14:G20" ca="1" si="58">AN14</f>
        <v>-5193407.7523902189</v>
      </c>
      <c r="H14" s="23">
        <f t="shared" ref="H14:H20" ca="1" si="59">AZ14</f>
        <v>-11471749.950428039</v>
      </c>
      <c r="I14" s="23">
        <f t="shared" ref="I14:I20" ca="1" si="60">BL14</f>
        <v>-13105877.924959254</v>
      </c>
      <c r="J14" s="23">
        <f ca="1">BX14</f>
        <v>-13545827.027329098</v>
      </c>
      <c r="K14" s="23">
        <f ca="1">CJ14</f>
        <v>-14814018.2668493</v>
      </c>
      <c r="L14" s="23">
        <f ca="1">CV14</f>
        <v>-5871049.9634508062</v>
      </c>
      <c r="M14" s="21"/>
      <c r="N14" s="21"/>
      <c r="O14" s="21"/>
      <c r="P14" s="21"/>
      <c r="Q14" s="23">
        <f>SUMIFS(ActBS!C$6:C$164,ActBS!$A$6:$A$164,$D14)</f>
        <v>15260683.880000001</v>
      </c>
      <c r="R14" s="23">
        <f>SUMIFS(ActBS!D$6:D$164,ActBS!$A$6:$A$164,$D14)</f>
        <v>14914438.02</v>
      </c>
      <c r="S14" s="23">
        <f>SUMIFS(ActBS!E$6:E$164,ActBS!$A$6:$A$164,$D14)</f>
        <v>14372313.699999999</v>
      </c>
      <c r="T14" s="23">
        <f>SUMIFS(ActBS!F$6:F$164,ActBS!$A$6:$A$164,$D14)</f>
        <v>14077436.110000001</v>
      </c>
      <c r="U14" s="23">
        <f>SUMIFS(ActBS!G$6:G$164,ActBS!$A$6:$A$164,$D14)</f>
        <v>13545354.359999999</v>
      </c>
      <c r="V14" s="23">
        <f>SUMIFS(ActBS!H$6:H$164,ActBS!$A$6:$A$164,$D14)</f>
        <v>13025072.52</v>
      </c>
      <c r="W14" s="23">
        <f>SUMIFS(ActBS!I$6:I$164,ActBS!$A$6:$A$164,$D14)</f>
        <v>12647799.770000001</v>
      </c>
      <c r="X14" s="23">
        <f>SUMIFS(ActBS!J$6:J$164,ActBS!$A$6:$A$164,$D14)</f>
        <v>6839268.1100000003</v>
      </c>
      <c r="Y14" s="23">
        <f>SUMIFS(ActBS!K$6:K$164,ActBS!$A$6:$A$164,$D14)</f>
        <v>6759077.21</v>
      </c>
      <c r="Z14" s="23">
        <f>SUMIFS(ActBS!L$6:L$164,ActBS!$A$6:$A$164,$D14)</f>
        <v>6732592.8599999994</v>
      </c>
      <c r="AA14" s="23">
        <f>SUMIFS(ActBS!M$6:M$164,ActBS!$A$6:$A$164,$D14)</f>
        <v>6255063.4299999997</v>
      </c>
      <c r="AB14" s="23">
        <f>SUMIFS(ActBS!N$6:N$164,ActBS!$A$6:$A$164,$D14)</f>
        <v>5223205.8900000006</v>
      </c>
      <c r="AC14" s="23">
        <f ca="1">CFS!AG39</f>
        <v>5140932.7566666678</v>
      </c>
      <c r="AD14" s="23">
        <f ca="1">CFS!AH39</f>
        <v>2788558.0933333347</v>
      </c>
      <c r="AE14" s="23">
        <f ca="1">CFS!AI39</f>
        <v>1405842.060000001</v>
      </c>
      <c r="AF14" s="23">
        <f ca="1">CFS!AJ39</f>
        <v>615898.72666666785</v>
      </c>
      <c r="AG14" s="23">
        <f ca="1">CFS!AK39</f>
        <v>259924.89333333459</v>
      </c>
      <c r="AH14" s="23">
        <f ca="1">CFS!AL39</f>
        <v>-359624.48082601349</v>
      </c>
      <c r="AI14" s="23">
        <f ca="1">CFS!AM39</f>
        <v>-589963.80407152313</v>
      </c>
      <c r="AJ14" s="23">
        <f ca="1">CFS!AN39</f>
        <v>-1339462.6374048565</v>
      </c>
      <c r="AK14" s="23">
        <f ca="1">CFS!AO39</f>
        <v>-1957362.5523902192</v>
      </c>
      <c r="AL14" s="23">
        <f ca="1">CFS!AP39</f>
        <v>-3063834.3857235527</v>
      </c>
      <c r="AM14" s="23">
        <f ca="1">CFS!AQ39</f>
        <v>-3999563.2190568857</v>
      </c>
      <c r="AN14" s="23">
        <f ca="1">CFS!AR39</f>
        <v>-5193407.7523902189</v>
      </c>
      <c r="AO14" s="23">
        <f ca="1">CFS!AS39</f>
        <v>-5777953.6190568861</v>
      </c>
      <c r="AP14" s="23">
        <f ca="1">CFS!AT39</f>
        <v>-6862940.8106938824</v>
      </c>
      <c r="AQ14" s="23">
        <f ca="1">CFS!AU39</f>
        <v>-7604997.1773605496</v>
      </c>
      <c r="AR14" s="23">
        <f ca="1">CFS!AV39</f>
        <v>-7466948.3440272156</v>
      </c>
      <c r="AS14" s="23">
        <f ca="1">CFS!AW39</f>
        <v>-8435124.8009858355</v>
      </c>
      <c r="AT14" s="23">
        <f ca="1">CFS!AX39</f>
        <v>-9033018.2108758576</v>
      </c>
      <c r="AU14" s="23">
        <f ca="1">CFS!AY39</f>
        <v>-9654373.8551594242</v>
      </c>
      <c r="AV14" s="23">
        <f ca="1">CFS!AZ39</f>
        <v>-10732056.815480653</v>
      </c>
      <c r="AW14" s="23">
        <f ca="1">CFS!BA39</f>
        <v>-11699829.463411661</v>
      </c>
      <c r="AX14" s="23">
        <f ca="1">CFS!BB39</f>
        <v>-11341931.835838277</v>
      </c>
      <c r="AY14" s="23">
        <f ca="1">CFS!BC39</f>
        <v>-11453459.604324708</v>
      </c>
      <c r="AZ14" s="23">
        <f ca="1">CFS!BD39</f>
        <v>-11471749.950428039</v>
      </c>
      <c r="BA14" s="23">
        <f ca="1">CFS!BE39</f>
        <v>-14001594.756348208</v>
      </c>
      <c r="BB14" s="23">
        <f ca="1">CFS!BF39</f>
        <v>-14993796.185513886</v>
      </c>
      <c r="BC14" s="23">
        <f ca="1">CFS!BG39</f>
        <v>-14220877.446390932</v>
      </c>
      <c r="BD14" s="23">
        <f ca="1">CFS!BH39</f>
        <v>-13070140.995257536</v>
      </c>
      <c r="BE14" s="23">
        <f ca="1">CFS!BI39</f>
        <v>-13800764.073224543</v>
      </c>
      <c r="BF14" s="23">
        <f ca="1">CFS!BJ39</f>
        <v>-13763691.730446238</v>
      </c>
      <c r="BG14" s="23">
        <f ca="1">CFS!BK39</f>
        <v>-15367164.637608593</v>
      </c>
      <c r="BH14" s="23">
        <f ca="1">CFS!BL39</f>
        <v>-16103197.744011395</v>
      </c>
      <c r="BI14" s="23">
        <f ca="1">CFS!BM39</f>
        <v>-14853225.742636681</v>
      </c>
      <c r="BJ14" s="23">
        <f ca="1">CFS!BN39</f>
        <v>-14240529.041546801</v>
      </c>
      <c r="BK14" s="23">
        <f ca="1">CFS!BO39</f>
        <v>-13688401.7385343</v>
      </c>
      <c r="BL14" s="23">
        <f ca="1">CFS!BP39</f>
        <v>-13105877.924959254</v>
      </c>
      <c r="BM14" s="23">
        <f ca="1">CFS!BQ39</f>
        <v>-16446055.839227911</v>
      </c>
      <c r="BN14" s="23">
        <f ca="1">CFS!BR39</f>
        <v>-19396530.907363173</v>
      </c>
      <c r="BO14" s="23">
        <f ca="1">CFS!BS39</f>
        <v>-16703880.821677521</v>
      </c>
      <c r="BP14" s="23">
        <f ca="1">CFS!BT39</f>
        <v>-13812174.746177901</v>
      </c>
      <c r="BQ14" s="23">
        <f ca="1">CFS!BU39</f>
        <v>-15258016.971557703</v>
      </c>
      <c r="BR14" s="23">
        <f ca="1">CFS!BV39</f>
        <v>-15439189.393510018</v>
      </c>
      <c r="BS14" s="23">
        <f ca="1">CFS!BW39</f>
        <v>-19898598.498398483</v>
      </c>
      <c r="BT14" s="23">
        <f ca="1">CFS!BX39</f>
        <v>-20937406.422777217</v>
      </c>
      <c r="BU14" s="23">
        <f ca="1">CFS!BY39</f>
        <v>-16613219.450036716</v>
      </c>
      <c r="BV14" s="23">
        <f ca="1">CFS!BZ39</f>
        <v>-15766870.217124129</v>
      </c>
      <c r="BW14" s="23">
        <f ca="1">CFS!CA39</f>
        <v>-14605839.044996612</v>
      </c>
      <c r="BX14" s="23">
        <f ca="1">CFS!CB39</f>
        <v>-13545827.027329098</v>
      </c>
      <c r="BY14" s="23">
        <f ca="1">CFS!CC39</f>
        <v>-22090291.687991053</v>
      </c>
      <c r="BZ14" s="23">
        <f ca="1">CFS!CD39</f>
        <v>-26660097.478040617</v>
      </c>
      <c r="CA14" s="23">
        <f ca="1">CFS!CE39</f>
        <v>-20462594.269306209</v>
      </c>
      <c r="CB14" s="23">
        <f ca="1">CFS!CF39</f>
        <v>-14947008.509234497</v>
      </c>
      <c r="CC14" s="23">
        <f ca="1">CFS!CG39</f>
        <v>-17826924.074897118</v>
      </c>
      <c r="CD14" s="23">
        <f ca="1">CFS!CH39</f>
        <v>-19491814.919971086</v>
      </c>
      <c r="CE14" s="23">
        <f ca="1">CFS!CI39</f>
        <v>-30635716.597926021</v>
      </c>
      <c r="CF14" s="23">
        <f ca="1">CFS!CJ39</f>
        <v>-29857910.512429286</v>
      </c>
      <c r="CG14" s="23">
        <f ca="1">CFS!CK39</f>
        <v>-18062595.613808293</v>
      </c>
      <c r="CH14" s="23">
        <f ca="1">CFS!CL39</f>
        <v>-17157469.28949213</v>
      </c>
      <c r="CI14" s="23">
        <f ca="1">CFS!CM39</f>
        <v>-15355294.212564852</v>
      </c>
      <c r="CJ14" s="23">
        <f ca="1">CFS!CN39</f>
        <v>-14814018.2668493</v>
      </c>
      <c r="CK14" s="23">
        <f ca="1">CFS!CO39</f>
        <v>-26479485.920187656</v>
      </c>
      <c r="CL14" s="23">
        <f ca="1">CFS!CP39</f>
        <v>-31142786.521170322</v>
      </c>
      <c r="CM14" s="23">
        <f ca="1">CFS!CQ39</f>
        <v>-17486012.427841611</v>
      </c>
      <c r="CN14" s="23">
        <f ca="1">CFS!CR39</f>
        <v>-7945128.0220896397</v>
      </c>
      <c r="CO14" s="23">
        <f ca="1">CFS!CS39</f>
        <v>-11701722.413149172</v>
      </c>
      <c r="CP14" s="23">
        <f ca="1">CFS!CT39</f>
        <v>-13801427.130413426</v>
      </c>
      <c r="CQ14" s="23">
        <f ca="1">CFS!CU39</f>
        <v>-37799356.682162791</v>
      </c>
      <c r="CR14" s="23">
        <f ca="1">CFS!CV39</f>
        <v>-37925467.928487465</v>
      </c>
      <c r="CS14" s="23">
        <f ca="1">CFS!CW39</f>
        <v>-11359982.22176348</v>
      </c>
      <c r="CT14" s="23">
        <f ca="1">CFS!CX39</f>
        <v>-9670192.4535874706</v>
      </c>
      <c r="CU14" s="23">
        <f ca="1">CFS!CY39</f>
        <v>-6173049.7136428915</v>
      </c>
      <c r="CV14" s="23">
        <f ca="1">CFS!CZ39</f>
        <v>-5871049.9634508062</v>
      </c>
      <c r="CW14" s="23">
        <f>CFS!DA39</f>
        <v>0</v>
      </c>
      <c r="CX14" s="23">
        <f>CFS!DB39</f>
        <v>0</v>
      </c>
      <c r="CY14" s="23">
        <f>CFS!DC39</f>
        <v>0</v>
      </c>
      <c r="CZ14" s="23">
        <f>CFS!DD39</f>
        <v>0</v>
      </c>
    </row>
    <row r="15" spans="4:104" x14ac:dyDescent="0.25">
      <c r="D15" s="6" t="s">
        <v>21</v>
      </c>
      <c r="F15" s="23">
        <f t="shared" ref="F15:F20" si="61">AB15</f>
        <v>146754.85999999999</v>
      </c>
      <c r="G15" s="23">
        <f t="shared" ca="1" si="58"/>
        <v>196600</v>
      </c>
      <c r="H15" s="23">
        <f t="shared" ca="1" si="59"/>
        <v>863000</v>
      </c>
      <c r="I15" s="23">
        <f t="shared" ca="1" si="60"/>
        <v>1713525</v>
      </c>
      <c r="J15" s="23">
        <f t="shared" ref="J15:J20" ca="1" si="62">BX15</f>
        <v>4619500</v>
      </c>
      <c r="K15" s="23">
        <f t="shared" ref="K15:K20" ca="1" si="63">CJ15</f>
        <v>10451312.5</v>
      </c>
      <c r="L15" s="23">
        <f t="shared" ref="L15:L20" ca="1" si="64">CV15</f>
        <v>17836593.75</v>
      </c>
      <c r="M15" s="21"/>
      <c r="N15" s="21"/>
      <c r="O15" s="21"/>
      <c r="P15" s="21"/>
      <c r="Q15" s="23">
        <f>SUMIFS(ActBS!C$6:C$164,ActBS!$A$6:$A$164,$D15)</f>
        <v>30690</v>
      </c>
      <c r="R15" s="23">
        <f>SUMIFS(ActBS!D$6:D$164,ActBS!$A$6:$A$164,$D15)</f>
        <v>30690</v>
      </c>
      <c r="S15" s="23">
        <f>SUMIFS(ActBS!E$6:E$164,ActBS!$A$6:$A$164,$D15)</f>
        <v>203961.29</v>
      </c>
      <c r="T15" s="23">
        <f>SUMIFS(ActBS!F$6:F$164,ActBS!$A$6:$A$164,$D15)</f>
        <v>182201.43</v>
      </c>
      <c r="U15" s="23">
        <f>SUMIFS(ActBS!G$6:G$164,ActBS!$A$6:$A$164,$D15)</f>
        <v>190946.43</v>
      </c>
      <c r="V15" s="23">
        <f>SUMIFS(ActBS!H$6:H$164,ActBS!$A$6:$A$164,$D15)</f>
        <v>198206.43</v>
      </c>
      <c r="W15" s="23">
        <f>SUMIFS(ActBS!I$6:I$164,ActBS!$A$6:$A$164,$D15)</f>
        <v>206951.43</v>
      </c>
      <c r="X15" s="23">
        <f>SUMIFS(ActBS!J$6:J$164,ActBS!$A$6:$A$164,$D15)</f>
        <v>215696.43</v>
      </c>
      <c r="Y15" s="23">
        <f>SUMIFS(ActBS!K$6:K$164,ActBS!$A$6:$A$164,$D15)</f>
        <v>224441.43</v>
      </c>
      <c r="Z15" s="23">
        <f>SUMIFS(ActBS!L$6:L$164,ActBS!$A$6:$A$164,$D15)</f>
        <v>271121.90999999997</v>
      </c>
      <c r="AA15" s="23">
        <f>SUMIFS(ActBS!M$6:M$164,ActBS!$A$6:$A$164,$D15)</f>
        <v>97494.86</v>
      </c>
      <c r="AB15" s="23">
        <f>SUMIFS(ActBS!N$6:N$164,ActBS!$A$6:$A$164,$D15)</f>
        <v>146754.85999999999</v>
      </c>
      <c r="AC15" s="23">
        <f ca="1">SUMIFS(ActBS!O$6:O$164,ActBS!$A$6:$A$164,$D15)</f>
        <v>42000</v>
      </c>
      <c r="AD15" s="23">
        <f ca="1">SUMIFS(ActBS!P$6:P$164,ActBS!$A$6:$A$164,$D15)</f>
        <v>42000</v>
      </c>
      <c r="AE15" s="23">
        <f ca="1">SUMIFS(ActBS!Q$6:Q$164,ActBS!$A$6:$A$164,$D15)</f>
        <v>402000</v>
      </c>
      <c r="AF15" s="23">
        <f ca="1">SUMIFS(ActBS!R$6:R$164,ActBS!$A$6:$A$164,$D15)</f>
        <v>439500</v>
      </c>
      <c r="AG15" s="23">
        <f ca="1">SUMIFS(ActBS!S$6:S$164,ActBS!$A$6:$A$164,$D15)</f>
        <v>79500</v>
      </c>
      <c r="AH15" s="23">
        <f ca="1">SUMIFS(ActBS!T$6:T$164,ActBS!$A$6:$A$164,$D15)</f>
        <v>42000</v>
      </c>
      <c r="AI15" s="23">
        <f ca="1">SUMIFS(ActBS!U$6:U$164,ActBS!$A$6:$A$164,$D15)</f>
        <v>42000</v>
      </c>
      <c r="AJ15" s="23">
        <f ca="1">SUMIFS(ActBS!V$6:V$164,ActBS!$A$6:$A$164,$D15)</f>
        <v>42000</v>
      </c>
      <c r="AK15" s="23">
        <f ca="1">SUMIFS(ActBS!W$6:W$164,ActBS!$A$6:$A$164,$D15)</f>
        <v>42000</v>
      </c>
      <c r="AL15" s="23">
        <f ca="1">SUMIFS(ActBS!X$6:X$164,ActBS!$A$6:$A$164,$D15)</f>
        <v>42000</v>
      </c>
      <c r="AM15" s="23">
        <f ca="1">SUMIFS(ActBS!Y$6:Y$164,ActBS!$A$6:$A$164,$D15)</f>
        <v>129100</v>
      </c>
      <c r="AN15" s="23">
        <f ca="1">SUMIFS(ActBS!Z$6:Z$164,ActBS!$A$6:$A$164,$D15)</f>
        <v>196600</v>
      </c>
      <c r="AO15" s="23">
        <f ca="1">SUMIFS(ActBS!AA$6:AA$164,ActBS!$A$6:$A$164,$D15)</f>
        <v>105000</v>
      </c>
      <c r="AP15" s="23">
        <f ca="1">SUMIFS(ActBS!AB$6:AB$164,ActBS!$A$6:$A$164,$D15)</f>
        <v>893300</v>
      </c>
      <c r="AQ15" s="23">
        <f ca="1">SUMIFS(ActBS!AC$6:AC$164,ActBS!$A$6:$A$164,$D15)</f>
        <v>968000</v>
      </c>
      <c r="AR15" s="23">
        <f ca="1">SUMIFS(ActBS!AD$6:AD$164,ActBS!$A$6:$A$164,$D15)</f>
        <v>112200</v>
      </c>
      <c r="AS15" s="23">
        <f ca="1">SUMIFS(ActBS!AE$6:AE$164,ActBS!$A$6:$A$164,$D15)</f>
        <v>156250</v>
      </c>
      <c r="AT15" s="23">
        <f ca="1">SUMIFS(ActBS!AF$6:AF$164,ActBS!$A$6:$A$164,$D15)</f>
        <v>473125</v>
      </c>
      <c r="AU15" s="23">
        <f ca="1">SUMIFS(ActBS!AG$6:AG$164,ActBS!$A$6:$A$164,$D15)</f>
        <v>440025</v>
      </c>
      <c r="AV15" s="23">
        <f ca="1">SUMIFS(ActBS!AH$6:AH$164,ActBS!$A$6:$A$164,$D15)</f>
        <v>1320650</v>
      </c>
      <c r="AW15" s="23">
        <f ca="1">SUMIFS(ActBS!AI$6:AI$164,ActBS!$A$6:$A$164,$D15)</f>
        <v>1825100</v>
      </c>
      <c r="AX15" s="23">
        <f ca="1">SUMIFS(ActBS!AJ$6:AJ$164,ActBS!$A$6:$A$164,$D15)</f>
        <v>1077600</v>
      </c>
      <c r="AY15" s="23">
        <f ca="1">SUMIFS(ActBS!AK$6:AK$164,ActBS!$A$6:$A$164,$D15)</f>
        <v>749125</v>
      </c>
      <c r="AZ15" s="23">
        <f ca="1">SUMIFS(ActBS!AL$6:AL$164,ActBS!$A$6:$A$164,$D15)</f>
        <v>863000</v>
      </c>
      <c r="BA15" s="23">
        <f ca="1">SUMIFS(ActBS!AM$6:AM$164,ActBS!$A$6:$A$164,$D15)</f>
        <v>2262375</v>
      </c>
      <c r="BB15" s="23">
        <f ca="1">SUMIFS(ActBS!AN$6:AN$164,ActBS!$A$6:$A$164,$D15)</f>
        <v>3874450</v>
      </c>
      <c r="BC15" s="23">
        <f ca="1">SUMIFS(ActBS!AO$6:AO$164,ActBS!$A$6:$A$164,$D15)</f>
        <v>2355950</v>
      </c>
      <c r="BD15" s="23">
        <f ca="1">SUMIFS(ActBS!AP$6:AP$164,ActBS!$A$6:$A$164,$D15)</f>
        <v>939375</v>
      </c>
      <c r="BE15" s="23">
        <f ca="1">SUMIFS(ActBS!AQ$6:AQ$164,ActBS!$A$6:$A$164,$D15)</f>
        <v>1352525</v>
      </c>
      <c r="BF15" s="23">
        <f ca="1">SUMIFS(ActBS!AR$6:AR$164,ActBS!$A$6:$A$164,$D15)</f>
        <v>1449650</v>
      </c>
      <c r="BG15" s="23">
        <f ca="1">SUMIFS(ActBS!AS$6:AS$164,ActBS!$A$6:$A$164,$D15)</f>
        <v>3546000</v>
      </c>
      <c r="BH15" s="23">
        <f ca="1">SUMIFS(ActBS!AT$6:AT$164,ActBS!$A$6:$A$164,$D15)</f>
        <v>4287000</v>
      </c>
      <c r="BI15" s="23">
        <f ca="1">SUMIFS(ActBS!AU$6:AU$164,ActBS!$A$6:$A$164,$D15)</f>
        <v>2954500</v>
      </c>
      <c r="BJ15" s="23">
        <f ca="1">SUMIFS(ActBS!AV$6:AV$164,ActBS!$A$6:$A$164,$D15)</f>
        <v>2828875</v>
      </c>
      <c r="BK15" s="23">
        <f ca="1">SUMIFS(ActBS!AW$6:AW$164,ActBS!$A$6:$A$164,$D15)</f>
        <v>2361775</v>
      </c>
      <c r="BL15" s="23">
        <f ca="1">SUMIFS(ActBS!AX$6:AX$164,ActBS!$A$6:$A$164,$D15)</f>
        <v>1713525</v>
      </c>
      <c r="BM15" s="23">
        <f ca="1">SUMIFS(ActBS!AY$6:AY$164,ActBS!$A$6:$A$164,$D15)</f>
        <v>4941875</v>
      </c>
      <c r="BN15" s="23">
        <f ca="1">SUMIFS(ActBS!AZ$6:AZ$164,ActBS!$A$6:$A$164,$D15)</f>
        <v>9096725</v>
      </c>
      <c r="BO15" s="23">
        <f ca="1">SUMIFS(ActBS!BA$6:BA$164,ActBS!$A$6:$A$164,$D15)</f>
        <v>5390975</v>
      </c>
      <c r="BP15" s="23">
        <f ca="1">SUMIFS(ActBS!BB$6:BB$164,ActBS!$A$6:$A$164,$D15)</f>
        <v>1935937.5</v>
      </c>
      <c r="BQ15" s="23">
        <f ca="1">SUMIFS(ActBS!BC$6:BC$164,ActBS!$A$6:$A$164,$D15)</f>
        <v>3193512.5</v>
      </c>
      <c r="BR15" s="23">
        <f ca="1">SUMIFS(ActBS!BD$6:BD$164,ActBS!$A$6:$A$164,$D15)</f>
        <v>3717575</v>
      </c>
      <c r="BS15" s="23">
        <f ca="1">SUMIFS(ActBS!BE$6:BE$164,ActBS!$A$6:$A$164,$D15)</f>
        <v>9159750</v>
      </c>
      <c r="BT15" s="23">
        <f ca="1">SUMIFS(ActBS!BF$6:BF$164,ActBS!$A$6:$A$164,$D15)</f>
        <v>10456000</v>
      </c>
      <c r="BU15" s="23">
        <f ca="1">SUMIFS(ActBS!BG$6:BG$164,ActBS!$A$6:$A$164,$D15)</f>
        <v>6413450</v>
      </c>
      <c r="BV15" s="23">
        <f ca="1">SUMIFS(ActBS!BH$6:BH$164,ActBS!$A$6:$A$164,$D15)</f>
        <v>6018137.5</v>
      </c>
      <c r="BW15" s="23">
        <f ca="1">SUMIFS(ActBS!BI$6:BI$164,ActBS!$A$6:$A$164,$D15)</f>
        <v>5500187.5</v>
      </c>
      <c r="BX15" s="23">
        <f ca="1">SUMIFS(ActBS!BJ$6:BJ$164,ActBS!$A$6:$A$164,$D15)</f>
        <v>4619500</v>
      </c>
      <c r="BY15" s="23">
        <f ca="1">SUMIFS(ActBS!BK$6:BK$164,ActBS!$A$6:$A$164,$D15)</f>
        <v>11033062.5</v>
      </c>
      <c r="BZ15" s="23">
        <f ca="1">SUMIFS(ActBS!BL$6:BL$164,ActBS!$A$6:$A$164,$D15)</f>
        <v>18185843.75</v>
      </c>
      <c r="CA15" s="23">
        <f ca="1">SUMIFS(ActBS!BM$6:BM$164,ActBS!$A$6:$A$164,$D15)</f>
        <v>9904906.25</v>
      </c>
      <c r="CB15" s="23">
        <f ca="1">SUMIFS(ActBS!BN$6:BN$164,ActBS!$A$6:$A$164,$D15)</f>
        <v>2975390.625</v>
      </c>
      <c r="CC15" s="23">
        <f ca="1">SUMIFS(ActBS!BO$6:BO$164,ActBS!$A$6:$A$164,$D15)</f>
        <v>6056046.875</v>
      </c>
      <c r="CD15" s="23">
        <f ca="1">SUMIFS(ActBS!BP$6:BP$164,ActBS!$A$6:$A$164,$D15)</f>
        <v>7884406.25</v>
      </c>
      <c r="CE15" s="23">
        <f ca="1">SUMIFS(ActBS!BQ$6:BQ$164,ActBS!$A$6:$A$164,$D15)</f>
        <v>21124687.5</v>
      </c>
      <c r="CF15" s="23">
        <f ca="1">SUMIFS(ActBS!BR$6:BR$164,ActBS!$A$6:$A$164,$D15)</f>
        <v>22206875</v>
      </c>
      <c r="CG15" s="23">
        <f ca="1">SUMIFS(ActBS!BS$6:BS$164,ActBS!$A$6:$A$164,$D15)</f>
        <v>10976337.5</v>
      </c>
      <c r="CH15" s="23">
        <f ca="1">SUMIFS(ActBS!BT$6:BT$164,ActBS!$A$6:$A$164,$D15)</f>
        <v>10203290.625</v>
      </c>
      <c r="CI15" s="23">
        <f ca="1">SUMIFS(ActBS!BU$6:BU$164,ActBS!$A$6:$A$164,$D15)</f>
        <v>10413578.125</v>
      </c>
      <c r="CJ15" s="23">
        <f ca="1">SUMIFS(ActBS!BV$6:BV$164,ActBS!$A$6:$A$164,$D15)</f>
        <v>10451312.5</v>
      </c>
      <c r="CK15" s="23">
        <f ca="1">SUMIFS(ActBS!BW$6:BW$164,ActBS!$A$6:$A$164,$D15)</f>
        <v>21582656.25</v>
      </c>
      <c r="CL15" s="23">
        <f ca="1">SUMIFS(ActBS!BX$6:BX$164,ActBS!$A$6:$A$164,$D15)</f>
        <v>31254553.125</v>
      </c>
      <c r="CM15" s="23">
        <f ca="1">SUMIFS(ActBS!BY$6:BY$164,ActBS!$A$6:$A$164,$D15)</f>
        <v>15119709.375</v>
      </c>
      <c r="CN15" s="23">
        <f ca="1">SUMIFS(ActBS!BZ$6:BZ$164,ActBS!$A$6:$A$164,$D15)</f>
        <v>3968085.9375</v>
      </c>
      <c r="CO15" s="23">
        <f ca="1">SUMIFS(ActBS!CA$6:CA$164,ActBS!$A$6:$A$164,$D15)</f>
        <v>9336070.3125</v>
      </c>
      <c r="CP15" s="23">
        <f ca="1">SUMIFS(ActBS!CB$6:CB$164,ActBS!$A$6:$A$164,$D15)</f>
        <v>13124859.375</v>
      </c>
      <c r="CQ15" s="23">
        <f ca="1">SUMIFS(ActBS!CC$6:CC$164,ActBS!$A$6:$A$164,$D15)</f>
        <v>40492968.75</v>
      </c>
      <c r="CR15" s="23">
        <f ca="1">SUMIFS(ActBS!CD$6:CD$164,ActBS!$A$6:$A$164,$D15)</f>
        <v>40740000</v>
      </c>
      <c r="CS15" s="23">
        <f ca="1">SUMIFS(ActBS!CE$6:CE$164,ActBS!$A$6:$A$164,$D15)</f>
        <v>16083476.25</v>
      </c>
      <c r="CT15" s="23">
        <f ca="1">SUMIFS(ActBS!CF$6:CF$164,ActBS!$A$6:$A$164,$D15)</f>
        <v>14826405.9375</v>
      </c>
      <c r="CU15" s="23">
        <f ca="1">SUMIFS(ActBS!CG$6:CG$164,ActBS!$A$6:$A$164,$D15)</f>
        <v>16023117.1875</v>
      </c>
      <c r="CV15" s="23">
        <f ca="1">SUMIFS(ActBS!CH$6:CH$164,ActBS!$A$6:$A$164,$D15)</f>
        <v>17836593.75</v>
      </c>
      <c r="CW15" s="23">
        <f>SUMIFS(ActBS!CI$6:CI$164,ActBS!$A$6:$A$164,$D15)</f>
        <v>0</v>
      </c>
      <c r="CX15" s="23">
        <f>SUMIFS(ActBS!CJ$6:CJ$164,ActBS!$A$6:$A$164,$D15)</f>
        <v>0</v>
      </c>
      <c r="CY15" s="23">
        <f>SUMIFS(ActBS!CK$6:CK$164,ActBS!$A$6:$A$164,$D15)</f>
        <v>0</v>
      </c>
      <c r="CZ15" s="23">
        <f>SUMIFS(ActBS!CL$6:CL$164,ActBS!$A$6:$A$164,$D15)</f>
        <v>0</v>
      </c>
    </row>
    <row r="16" spans="4:104" x14ac:dyDescent="0.25">
      <c r="D16" s="6" t="s">
        <v>1</v>
      </c>
      <c r="F16" s="23">
        <f t="shared" si="61"/>
        <v>1161.8399999999999</v>
      </c>
      <c r="G16" s="23">
        <f t="shared" ca="1" si="58"/>
        <v>919340</v>
      </c>
      <c r="H16" s="23">
        <f t="shared" ca="1" si="59"/>
        <v>4589480</v>
      </c>
      <c r="I16" s="23">
        <f t="shared" ca="1" si="60"/>
        <v>10634794</v>
      </c>
      <c r="J16" s="23">
        <f t="shared" ca="1" si="62"/>
        <v>22385030.5</v>
      </c>
      <c r="K16" s="23">
        <f t="shared" ca="1" si="63"/>
        <v>40251188.399999999</v>
      </c>
      <c r="L16" s="23">
        <f t="shared" ca="1" si="64"/>
        <v>31901639.112500001</v>
      </c>
      <c r="M16" s="21"/>
      <c r="N16" s="21"/>
      <c r="O16" s="21"/>
      <c r="P16" s="21"/>
      <c r="Q16" s="23">
        <f>SUMIFS(ActBS!C$6:C$164,ActBS!$A$6:$A$164,$D16)</f>
        <v>0</v>
      </c>
      <c r="R16" s="23">
        <f>SUMIFS(ActBS!D$6:D$164,ActBS!$A$6:$A$164,$D16)</f>
        <v>0</v>
      </c>
      <c r="S16" s="23">
        <f>SUMIFS(ActBS!E$6:E$164,ActBS!$A$6:$A$164,$D16)</f>
        <v>0</v>
      </c>
      <c r="T16" s="23">
        <f>SUMIFS(ActBS!F$6:F$164,ActBS!$A$6:$A$164,$D16)</f>
        <v>0</v>
      </c>
      <c r="U16" s="23">
        <f>SUMIFS(ActBS!G$6:G$164,ActBS!$A$6:$A$164,$D16)</f>
        <v>0</v>
      </c>
      <c r="V16" s="23">
        <f>SUMIFS(ActBS!H$6:H$164,ActBS!$A$6:$A$164,$D16)</f>
        <v>0</v>
      </c>
      <c r="W16" s="23">
        <f>SUMIFS(ActBS!I$6:I$164,ActBS!$A$6:$A$164,$D16)</f>
        <v>0</v>
      </c>
      <c r="X16" s="23">
        <f>SUMIFS(ActBS!J$6:J$164,ActBS!$A$6:$A$164,$D16)</f>
        <v>0</v>
      </c>
      <c r="Y16" s="23">
        <f>SUMIFS(ActBS!K$6:K$164,ActBS!$A$6:$A$164,$D16)</f>
        <v>0</v>
      </c>
      <c r="Z16" s="23">
        <f>SUMIFS(ActBS!L$6:L$164,ActBS!$A$6:$A$164,$D16)</f>
        <v>0</v>
      </c>
      <c r="AA16" s="23">
        <f>SUMIFS(ActBS!M$6:M$164,ActBS!$A$6:$A$164,$D16)</f>
        <v>1161.8399999999999</v>
      </c>
      <c r="AB16" s="23">
        <f>SUMIFS(ActBS!N$6:N$164,ActBS!$A$6:$A$164,$D16)</f>
        <v>1161.8399999999999</v>
      </c>
      <c r="AC16" s="23">
        <f ca="1">SUMIFS(ActBS!O$6:O$164,ActBS!$A$6:$A$164,$D16)</f>
        <v>138720</v>
      </c>
      <c r="AD16" s="23">
        <f ca="1">SUMIFS(ActBS!P$6:P$164,ActBS!$A$6:$A$164,$D16)</f>
        <v>153170</v>
      </c>
      <c r="AE16" s="23">
        <f ca="1">SUMIFS(ActBS!Q$6:Q$164,ActBS!$A$6:$A$164,$D16)</f>
        <v>14450</v>
      </c>
      <c r="AF16" s="23">
        <f ca="1">SUMIFS(ActBS!R$6:R$164,ActBS!$A$6:$A$164,$D16)</f>
        <v>14450</v>
      </c>
      <c r="AG16" s="23">
        <f ca="1">SUMIFS(ActBS!S$6:S$164,ActBS!$A$6:$A$164,$D16)</f>
        <v>361250</v>
      </c>
      <c r="AH16" s="23">
        <f ca="1">SUMIFS(ActBS!T$6:T$164,ActBS!$A$6:$A$164,$D16)</f>
        <v>346800</v>
      </c>
      <c r="AI16" s="23">
        <f ca="1">SUMIFS(ActBS!U$6:U$164,ActBS!$A$6:$A$164,$D16)</f>
        <v>28900</v>
      </c>
      <c r="AJ16" s="23">
        <f ca="1">SUMIFS(ActBS!V$6:V$164,ActBS!$A$6:$A$164,$D16)</f>
        <v>53200</v>
      </c>
      <c r="AK16" s="23">
        <f ca="1">SUMIFS(ActBS!W$6:W$164,ActBS!$A$6:$A$164,$D16)</f>
        <v>161160</v>
      </c>
      <c r="AL16" s="23">
        <f ca="1">SUMIFS(ActBS!X$6:X$164,ActBS!$A$6:$A$164,$D16)</f>
        <v>412780</v>
      </c>
      <c r="AM16" s="23">
        <f ca="1">SUMIFS(ActBS!Y$6:Y$164,ActBS!$A$6:$A$164,$D16)</f>
        <v>334240</v>
      </c>
      <c r="AN16" s="23">
        <f ca="1">SUMIFS(ActBS!Z$6:Z$164,ActBS!$A$6:$A$164,$D16)</f>
        <v>919340</v>
      </c>
      <c r="AO16" s="23">
        <f ca="1">SUMIFS(ActBS!AA$6:AA$164,ActBS!$A$6:$A$164,$D16)</f>
        <v>993340</v>
      </c>
      <c r="AP16" s="23">
        <f ca="1">SUMIFS(ActBS!AB$6:AB$164,ActBS!$A$6:$A$164,$D16)</f>
        <v>132320</v>
      </c>
      <c r="AQ16" s="23">
        <f ca="1">SUMIFS(ActBS!AC$6:AC$164,ActBS!$A$6:$A$164,$D16)</f>
        <v>357400</v>
      </c>
      <c r="AR16" s="23">
        <f ca="1">SUMIFS(ActBS!AD$6:AD$164,ActBS!$A$6:$A$164,$D16)</f>
        <v>984740</v>
      </c>
      <c r="AS16" s="23">
        <f ca="1">SUMIFS(ActBS!AE$6:AE$164,ActBS!$A$6:$A$164,$D16)</f>
        <v>813380</v>
      </c>
      <c r="AT16" s="23">
        <f ca="1">SUMIFS(ActBS!AF$6:AF$164,ActBS!$A$6:$A$164,$D16)</f>
        <v>1175040</v>
      </c>
      <c r="AU16" s="23">
        <f ca="1">SUMIFS(ActBS!AG$6:AG$164,ActBS!$A$6:$A$164,$D16)</f>
        <v>1931840</v>
      </c>
      <c r="AV16" s="23">
        <f ca="1">SUMIFS(ActBS!AH$6:AH$164,ActBS!$A$6:$A$164,$D16)</f>
        <v>1534680</v>
      </c>
      <c r="AW16" s="23">
        <f ca="1">SUMIFS(ActBS!AI$6:AI$164,ActBS!$A$6:$A$164,$D16)</f>
        <v>1182400</v>
      </c>
      <c r="AX16" s="23">
        <f ca="1">SUMIFS(ActBS!AJ$6:AJ$164,ActBS!$A$6:$A$164,$D16)</f>
        <v>1799220</v>
      </c>
      <c r="AY16" s="23">
        <f ca="1">SUMIFS(ActBS!AK$6:AK$164,ActBS!$A$6:$A$164,$D16)</f>
        <v>3525820</v>
      </c>
      <c r="AZ16" s="23">
        <f ca="1">SUMIFS(ActBS!AL$6:AL$164,ActBS!$A$6:$A$164,$D16)</f>
        <v>4589480</v>
      </c>
      <c r="BA16" s="23">
        <f ca="1">SUMIFS(ActBS!AM$6:AM$164,ActBS!$A$6:$A$164,$D16)</f>
        <v>2648160</v>
      </c>
      <c r="BB16" s="23">
        <f ca="1">SUMIFS(ActBS!AN$6:AN$164,ActBS!$A$6:$A$164,$D16)</f>
        <v>1258340</v>
      </c>
      <c r="BC16" s="23">
        <f ca="1">SUMIFS(ActBS!AO$6:AO$164,ActBS!$A$6:$A$164,$D16)</f>
        <v>1883380</v>
      </c>
      <c r="BD16" s="23">
        <f ca="1">SUMIFS(ActBS!AP$6:AP$164,ActBS!$A$6:$A$164,$D16)</f>
        <v>2361680</v>
      </c>
      <c r="BE16" s="23">
        <f ca="1">SUMIFS(ActBS!AQ$6:AQ$164,ActBS!$A$6:$A$164,$D16)</f>
        <v>5047400</v>
      </c>
      <c r="BF16" s="23">
        <f ca="1">SUMIFS(ActBS!AR$6:AR$164,ActBS!$A$6:$A$164,$D16)</f>
        <v>5134880</v>
      </c>
      <c r="BG16" s="23">
        <f ca="1">SUMIFS(ActBS!AS$6:AS$164,ActBS!$A$6:$A$164,$D16)</f>
        <v>3027240</v>
      </c>
      <c r="BH16" s="23">
        <f ca="1">SUMIFS(ActBS!AT$6:AT$164,ActBS!$A$6:$A$164,$D16)</f>
        <v>3329780</v>
      </c>
      <c r="BI16" s="23">
        <f ca="1">SUMIFS(ActBS!AU$6:AU$164,ActBS!$A$6:$A$164,$D16)</f>
        <v>3090420</v>
      </c>
      <c r="BJ16" s="23">
        <f ca="1">SUMIFS(ActBS!AV$6:AV$164,ActBS!$A$6:$A$164,$D16)</f>
        <v>2590240</v>
      </c>
      <c r="BK16" s="23">
        <f ca="1">SUMIFS(ActBS!AW$6:AW$164,ActBS!$A$6:$A$164,$D16)</f>
        <v>6723115</v>
      </c>
      <c r="BL16" s="23">
        <f ca="1">SUMIFS(ActBS!AX$6:AX$164,ActBS!$A$6:$A$164,$D16)</f>
        <v>10634794</v>
      </c>
      <c r="BM16" s="23">
        <f ca="1">SUMIFS(ActBS!AY$6:AY$164,ActBS!$A$6:$A$164,$D16)</f>
        <v>5999535</v>
      </c>
      <c r="BN16" s="23">
        <f ca="1">SUMIFS(ActBS!AZ$6:AZ$164,ActBS!$A$6:$A$164,$D16)</f>
        <v>2522753.5</v>
      </c>
      <c r="BO16" s="23">
        <f ca="1">SUMIFS(ActBS!BA$6:BA$164,ActBS!$A$6:$A$164,$D16)</f>
        <v>4214475.5</v>
      </c>
      <c r="BP16" s="23">
        <f ca="1">SUMIFS(ActBS!BB$6:BB$164,ActBS!$A$6:$A$164,$D16)</f>
        <v>5625406</v>
      </c>
      <c r="BQ16" s="23">
        <f ca="1">SUMIFS(ActBS!BC$6:BC$164,ActBS!$A$6:$A$164,$D16)</f>
        <v>12549823</v>
      </c>
      <c r="BR16" s="23">
        <f ca="1">SUMIFS(ActBS!BD$6:BD$164,ActBS!$A$6:$A$164,$D16)</f>
        <v>12472360</v>
      </c>
      <c r="BS16" s="23">
        <f ca="1">SUMIFS(ActBS!BE$6:BE$164,ActBS!$A$6:$A$164,$D16)</f>
        <v>6535107</v>
      </c>
      <c r="BT16" s="23">
        <f ca="1">SUMIFS(ActBS!BF$6:BF$164,ActBS!$A$6:$A$164,$D16)</f>
        <v>6851447.5</v>
      </c>
      <c r="BU16" s="23">
        <f ca="1">SUMIFS(ActBS!BG$6:BG$164,ActBS!$A$6:$A$164,$D16)</f>
        <v>6832903.5</v>
      </c>
      <c r="BV16" s="23">
        <f ca="1">SUMIFS(ActBS!BH$6:BH$164,ActBS!$A$6:$A$164,$D16)</f>
        <v>6463724</v>
      </c>
      <c r="BW16" s="23">
        <f ca="1">SUMIFS(ActBS!BI$6:BI$164,ActBS!$A$6:$A$164,$D16)</f>
        <v>15352185.25</v>
      </c>
      <c r="BX16" s="23">
        <f ca="1">SUMIFS(ActBS!BJ$6:BJ$164,ActBS!$A$6:$A$164,$D16)</f>
        <v>22385030.5</v>
      </c>
      <c r="BY16" s="23">
        <f ca="1">SUMIFS(ActBS!BK$6:BK$164,ActBS!$A$6:$A$164,$D16)</f>
        <v>11408735.25</v>
      </c>
      <c r="BZ16" s="23">
        <f ca="1">SUMIFS(ActBS!BL$6:BL$164,ActBS!$A$6:$A$164,$D16)</f>
        <v>3949014.625</v>
      </c>
      <c r="CA16" s="23">
        <f ca="1">SUMIFS(ActBS!BM$6:BM$164,ActBS!$A$6:$A$164,$D16)</f>
        <v>7863708.125</v>
      </c>
      <c r="CB16" s="23">
        <f ca="1">SUMIFS(ActBS!BN$6:BN$164,ActBS!$A$6:$A$164,$D16)</f>
        <v>11454254.5</v>
      </c>
      <c r="CC16" s="23">
        <f ca="1">SUMIFS(ActBS!BO$6:BO$164,ActBS!$A$6:$A$164,$D16)</f>
        <v>29455068.25</v>
      </c>
      <c r="CD16" s="23">
        <f ca="1">SUMIFS(ActBS!BP$6:BP$164,ActBS!$A$6:$A$164,$D16)</f>
        <v>28187830</v>
      </c>
      <c r="CE16" s="23">
        <f ca="1">SUMIFS(ActBS!BQ$6:BQ$164,ActBS!$A$6:$A$164,$D16)</f>
        <v>11727308.25</v>
      </c>
      <c r="CF16" s="23">
        <f ca="1">SUMIFS(ActBS!BR$6:BR$164,ActBS!$A$6:$A$164,$D16)</f>
        <v>11878712.125</v>
      </c>
      <c r="CG16" s="23">
        <f ca="1">SUMIFS(ActBS!BS$6:BS$164,ActBS!$A$6:$A$164,$D16)</f>
        <v>12833785.125</v>
      </c>
      <c r="CH16" s="23">
        <f ca="1">SUMIFS(ActBS!BT$6:BT$164,ActBS!$A$6:$A$164,$D16)</f>
        <v>14081204</v>
      </c>
      <c r="CI16" s="23">
        <f ca="1">SUMIFS(ActBS!BU$6:BU$164,ActBS!$A$6:$A$164,$D16)</f>
        <v>30708041.774999999</v>
      </c>
      <c r="CJ16" s="23">
        <f ca="1">SUMIFS(ActBS!BV$6:BV$164,ActBS!$A$6:$A$164,$D16)</f>
        <v>40251188.399999999</v>
      </c>
      <c r="CK16" s="23">
        <f ca="1">SUMIFS(ActBS!BW$6:BW$164,ActBS!$A$6:$A$164,$D16)</f>
        <v>17852669.324999999</v>
      </c>
      <c r="CL16" s="23">
        <f ca="1">SUMIFS(ActBS!BX$6:BX$164,ActBS!$A$6:$A$164,$D16)</f>
        <v>5364557.1375000002</v>
      </c>
      <c r="CM16" s="23">
        <f ca="1">SUMIFS(ActBS!BY$6:BY$164,ActBS!$A$6:$A$164,$D16)</f>
        <v>12029490.1875</v>
      </c>
      <c r="CN16" s="23">
        <f ca="1">SUMIFS(ActBS!BZ$6:BZ$164,ActBS!$A$6:$A$164,$D16)</f>
        <v>18697527.600000001</v>
      </c>
      <c r="CO16" s="23">
        <f ca="1">SUMIFS(ActBS!CA$6:CA$164,ActBS!$A$6:$A$164,$D16)</f>
        <v>57669090.225000001</v>
      </c>
      <c r="CP16" s="23">
        <f ca="1">SUMIFS(ActBS!CB$6:CB$164,ActBS!$A$6:$A$164,$D16)</f>
        <v>54473703</v>
      </c>
      <c r="CQ16" s="23">
        <f ca="1">SUMIFS(ActBS!CC$6:CC$164,ActBS!$A$6:$A$164,$D16)</f>
        <v>17834932.350000001</v>
      </c>
      <c r="CR16" s="23">
        <f ca="1">SUMIFS(ActBS!CD$6:CD$164,ActBS!$A$6:$A$164,$D16)</f>
        <v>17579407.762499999</v>
      </c>
      <c r="CS16" s="23">
        <f ca="1">SUMIFS(ActBS!CE$6:CE$164,ActBS!$A$6:$A$164,$D16)</f>
        <v>19674518.287500001</v>
      </c>
      <c r="CT16" s="23">
        <f ca="1">SUMIFS(ActBS!CF$6:CF$164,ActBS!$A$6:$A$164,$D16)</f>
        <v>23651806.574999999</v>
      </c>
      <c r="CU16" s="23">
        <f ca="1">SUMIFS(ActBS!CG$6:CG$164,ActBS!$A$6:$A$164,$D16)</f>
        <v>26461689.381250001</v>
      </c>
      <c r="CV16" s="23">
        <f ca="1">SUMIFS(ActBS!CH$6:CH$164,ActBS!$A$6:$A$164,$D16)</f>
        <v>31901639.112500001</v>
      </c>
      <c r="CW16" s="23">
        <f>SUMIFS(ActBS!CI$6:CI$164,ActBS!$A$6:$A$164,$D16)</f>
        <v>0</v>
      </c>
      <c r="CX16" s="23">
        <f>SUMIFS(ActBS!CJ$6:CJ$164,ActBS!$A$6:$A$164,$D16)</f>
        <v>0</v>
      </c>
      <c r="CY16" s="23">
        <f>SUMIFS(ActBS!CK$6:CK$164,ActBS!$A$6:$A$164,$D16)</f>
        <v>0</v>
      </c>
      <c r="CZ16" s="23">
        <f>SUMIFS(ActBS!CL$6:CL$164,ActBS!$A$6:$A$164,$D16)</f>
        <v>0</v>
      </c>
    </row>
    <row r="17" spans="4:104" x14ac:dyDescent="0.25">
      <c r="D17" s="6" t="s">
        <v>2</v>
      </c>
      <c r="F17" s="23">
        <f t="shared" si="61"/>
        <v>101582.23</v>
      </c>
      <c r="G17" s="23">
        <f t="shared" si="58"/>
        <v>684915.5633333337</v>
      </c>
      <c r="H17" s="23">
        <f t="shared" si="59"/>
        <v>184915.5633333337</v>
      </c>
      <c r="I17" s="23">
        <f t="shared" si="60"/>
        <v>101582.23000000036</v>
      </c>
      <c r="J17" s="23">
        <f t="shared" si="62"/>
        <v>101582.23000000036</v>
      </c>
      <c r="K17" s="23">
        <f t="shared" si="63"/>
        <v>101582.23000000036</v>
      </c>
      <c r="L17" s="23">
        <f t="shared" si="64"/>
        <v>101582.23000000036</v>
      </c>
      <c r="M17" s="21"/>
      <c r="N17" s="21"/>
      <c r="O17" s="21"/>
      <c r="P17" s="21"/>
      <c r="Q17" s="23">
        <f>SUMIFS(ActBS!C$6:C$164,ActBS!$A$6:$A$164,$D17)</f>
        <v>103446.18</v>
      </c>
      <c r="R17" s="23">
        <f>SUMIFS(ActBS!D$6:D$164,ActBS!$A$6:$A$164,$D17)</f>
        <v>88779.32</v>
      </c>
      <c r="S17" s="23">
        <f>SUMIFS(ActBS!E$6:E$164,ActBS!$A$6:$A$164,$D17)</f>
        <v>96112.46</v>
      </c>
      <c r="T17" s="23">
        <f>SUMIFS(ActBS!F$6:F$164,ActBS!$A$6:$A$164,$D17)</f>
        <v>88859.33</v>
      </c>
      <c r="U17" s="23">
        <f>SUMIFS(ActBS!G$6:G$164,ActBS!$A$6:$A$164,$D17)</f>
        <v>198797.41</v>
      </c>
      <c r="V17" s="23">
        <f>SUMIFS(ActBS!H$6:H$164,ActBS!$A$6:$A$164,$D17)</f>
        <v>187655.66</v>
      </c>
      <c r="W17" s="23">
        <f>SUMIFS(ActBS!I$6:I$164,ActBS!$A$6:$A$164,$D17)</f>
        <v>169055.8</v>
      </c>
      <c r="X17" s="23">
        <f>SUMIFS(ActBS!J$6:J$164,ActBS!$A$6:$A$164,$D17)</f>
        <v>200802.96</v>
      </c>
      <c r="Y17" s="23">
        <f>SUMIFS(ActBS!K$6:K$164,ActBS!$A$6:$A$164,$D17)</f>
        <v>176435.23</v>
      </c>
      <c r="Z17" s="23">
        <f>SUMIFS(ActBS!L$6:L$164,ActBS!$A$6:$A$164,$D17)</f>
        <v>162213.94</v>
      </c>
      <c r="AA17" s="23">
        <f>SUMIFS(ActBS!M$6:M$164,ActBS!$A$6:$A$164,$D17)</f>
        <v>136301.64000000001</v>
      </c>
      <c r="AB17" s="23">
        <f>SUMIFS(ActBS!N$6:N$164,ActBS!$A$6:$A$164,$D17)</f>
        <v>101582.23</v>
      </c>
      <c r="AC17" s="23">
        <f>SUMIFS(ActBS!O$6:O$164,ActBS!$A$6:$A$164,$D17)</f>
        <v>101582.23</v>
      </c>
      <c r="AD17" s="23">
        <f>SUMIFS(ActBS!P$6:P$164,ActBS!$A$6:$A$164,$D17)</f>
        <v>1101582.23</v>
      </c>
      <c r="AE17" s="23">
        <f>SUMIFS(ActBS!Q$6:Q$164,ActBS!$A$6:$A$164,$D17)</f>
        <v>1059915.5633333335</v>
      </c>
      <c r="AF17" s="23">
        <f>SUMIFS(ActBS!R$6:R$164,ActBS!$A$6:$A$164,$D17)</f>
        <v>1018248.8966666667</v>
      </c>
      <c r="AG17" s="23">
        <f>SUMIFS(ActBS!S$6:S$164,ActBS!$A$6:$A$164,$D17)</f>
        <v>976582.2300000001</v>
      </c>
      <c r="AH17" s="23">
        <f>SUMIFS(ActBS!T$6:T$164,ActBS!$A$6:$A$164,$D17)</f>
        <v>934915.56333333347</v>
      </c>
      <c r="AI17" s="23">
        <f>SUMIFS(ActBS!U$6:U$164,ActBS!$A$6:$A$164,$D17)</f>
        <v>893248.89666666684</v>
      </c>
      <c r="AJ17" s="23">
        <f>SUMIFS(ActBS!V$6:V$164,ActBS!$A$6:$A$164,$D17)</f>
        <v>851582.23000000021</v>
      </c>
      <c r="AK17" s="23">
        <f>SUMIFS(ActBS!W$6:W$164,ActBS!$A$6:$A$164,$D17)</f>
        <v>809915.56333333359</v>
      </c>
      <c r="AL17" s="23">
        <f>SUMIFS(ActBS!X$6:X$164,ActBS!$A$6:$A$164,$D17)</f>
        <v>768248.89666666696</v>
      </c>
      <c r="AM17" s="23">
        <f>SUMIFS(ActBS!Y$6:Y$164,ActBS!$A$6:$A$164,$D17)</f>
        <v>726582.23000000033</v>
      </c>
      <c r="AN17" s="23">
        <f>SUMIFS(ActBS!Z$6:Z$164,ActBS!$A$6:$A$164,$D17)</f>
        <v>684915.5633333337</v>
      </c>
      <c r="AO17" s="23">
        <f>SUMIFS(ActBS!AA$6:AA$164,ActBS!$A$6:$A$164,$D17)</f>
        <v>643248.89666666707</v>
      </c>
      <c r="AP17" s="23">
        <f>SUMIFS(ActBS!AB$6:AB$164,ActBS!$A$6:$A$164,$D17)</f>
        <v>601582.23000000045</v>
      </c>
      <c r="AQ17" s="23">
        <f>SUMIFS(ActBS!AC$6:AC$164,ActBS!$A$6:$A$164,$D17)</f>
        <v>559915.5633333337</v>
      </c>
      <c r="AR17" s="23">
        <f>SUMIFS(ActBS!AD$6:AD$164,ActBS!$A$6:$A$164,$D17)</f>
        <v>518248.89666666702</v>
      </c>
      <c r="AS17" s="23">
        <f>SUMIFS(ActBS!AE$6:AE$164,ActBS!$A$6:$A$164,$D17)</f>
        <v>476582.23000000033</v>
      </c>
      <c r="AT17" s="23">
        <f>SUMIFS(ActBS!AF$6:AF$164,ActBS!$A$6:$A$164,$D17)</f>
        <v>434915.56333333364</v>
      </c>
      <c r="AU17" s="23">
        <f>SUMIFS(ActBS!AG$6:AG$164,ActBS!$A$6:$A$164,$D17)</f>
        <v>393248.89666666696</v>
      </c>
      <c r="AV17" s="23">
        <f>SUMIFS(ActBS!AH$6:AH$164,ActBS!$A$6:$A$164,$D17)</f>
        <v>351582.23000000033</v>
      </c>
      <c r="AW17" s="23">
        <f>SUMIFS(ActBS!AI$6:AI$164,ActBS!$A$6:$A$164,$D17)</f>
        <v>309915.56333333364</v>
      </c>
      <c r="AX17" s="23">
        <f>SUMIFS(ActBS!AJ$6:AJ$164,ActBS!$A$6:$A$164,$D17)</f>
        <v>268248.89666666702</v>
      </c>
      <c r="AY17" s="23">
        <f>SUMIFS(ActBS!AK$6:AK$164,ActBS!$A$6:$A$164,$D17)</f>
        <v>226582.23000000033</v>
      </c>
      <c r="AZ17" s="23">
        <f>SUMIFS(ActBS!AL$6:AL$164,ActBS!$A$6:$A$164,$D17)</f>
        <v>184915.5633333337</v>
      </c>
      <c r="BA17" s="23">
        <f>SUMIFS(ActBS!AM$6:AM$164,ActBS!$A$6:$A$164,$D17)</f>
        <v>143248.89666666702</v>
      </c>
      <c r="BB17" s="23">
        <f>SUMIFS(ActBS!AN$6:AN$164,ActBS!$A$6:$A$164,$D17)</f>
        <v>101582.23000000036</v>
      </c>
      <c r="BC17" s="23">
        <f>SUMIFS(ActBS!AO$6:AO$164,ActBS!$A$6:$A$164,$D17)</f>
        <v>101582.23000000036</v>
      </c>
      <c r="BD17" s="23">
        <f>SUMIFS(ActBS!AP$6:AP$164,ActBS!$A$6:$A$164,$D17)</f>
        <v>101582.23000000036</v>
      </c>
      <c r="BE17" s="23">
        <f>SUMIFS(ActBS!AQ$6:AQ$164,ActBS!$A$6:$A$164,$D17)</f>
        <v>101582.23000000036</v>
      </c>
      <c r="BF17" s="23">
        <f>SUMIFS(ActBS!AR$6:AR$164,ActBS!$A$6:$A$164,$D17)</f>
        <v>101582.23000000036</v>
      </c>
      <c r="BG17" s="23">
        <f>SUMIFS(ActBS!AS$6:AS$164,ActBS!$A$6:$A$164,$D17)</f>
        <v>101582.23000000036</v>
      </c>
      <c r="BH17" s="23">
        <f>SUMIFS(ActBS!AT$6:AT$164,ActBS!$A$6:$A$164,$D17)</f>
        <v>101582.23000000036</v>
      </c>
      <c r="BI17" s="23">
        <f>SUMIFS(ActBS!AU$6:AU$164,ActBS!$A$6:$A$164,$D17)</f>
        <v>101582.23000000036</v>
      </c>
      <c r="BJ17" s="23">
        <f>SUMIFS(ActBS!AV$6:AV$164,ActBS!$A$6:$A$164,$D17)</f>
        <v>101582.23000000036</v>
      </c>
      <c r="BK17" s="23">
        <f>SUMIFS(ActBS!AW$6:AW$164,ActBS!$A$6:$A$164,$D17)</f>
        <v>101582.23000000036</v>
      </c>
      <c r="BL17" s="23">
        <f>SUMIFS(ActBS!AX$6:AX$164,ActBS!$A$6:$A$164,$D17)</f>
        <v>101582.23000000036</v>
      </c>
      <c r="BM17" s="23">
        <f>SUMIFS(ActBS!AY$6:AY$164,ActBS!$A$6:$A$164,$D17)</f>
        <v>101582.23000000036</v>
      </c>
      <c r="BN17" s="23">
        <f>SUMIFS(ActBS!AZ$6:AZ$164,ActBS!$A$6:$A$164,$D17)</f>
        <v>101582.23000000036</v>
      </c>
      <c r="BO17" s="23">
        <f>SUMIFS(ActBS!BA$6:BA$164,ActBS!$A$6:$A$164,$D17)</f>
        <v>101582.23000000036</v>
      </c>
      <c r="BP17" s="23">
        <f>SUMIFS(ActBS!BB$6:BB$164,ActBS!$A$6:$A$164,$D17)</f>
        <v>101582.23000000036</v>
      </c>
      <c r="BQ17" s="23">
        <f>SUMIFS(ActBS!BC$6:BC$164,ActBS!$A$6:$A$164,$D17)</f>
        <v>101582.23000000036</v>
      </c>
      <c r="BR17" s="23">
        <f>SUMIFS(ActBS!BD$6:BD$164,ActBS!$A$6:$A$164,$D17)</f>
        <v>101582.23000000036</v>
      </c>
      <c r="BS17" s="23">
        <f>SUMIFS(ActBS!BE$6:BE$164,ActBS!$A$6:$A$164,$D17)</f>
        <v>101582.23000000036</v>
      </c>
      <c r="BT17" s="23">
        <f>SUMIFS(ActBS!BF$6:BF$164,ActBS!$A$6:$A$164,$D17)</f>
        <v>101582.23000000036</v>
      </c>
      <c r="BU17" s="23">
        <f>SUMIFS(ActBS!BG$6:BG$164,ActBS!$A$6:$A$164,$D17)</f>
        <v>101582.23000000036</v>
      </c>
      <c r="BV17" s="23">
        <f>SUMIFS(ActBS!BH$6:BH$164,ActBS!$A$6:$A$164,$D17)</f>
        <v>101582.23000000036</v>
      </c>
      <c r="BW17" s="23">
        <f>SUMIFS(ActBS!BI$6:BI$164,ActBS!$A$6:$A$164,$D17)</f>
        <v>101582.23000000036</v>
      </c>
      <c r="BX17" s="23">
        <f>SUMIFS(ActBS!BJ$6:BJ$164,ActBS!$A$6:$A$164,$D17)</f>
        <v>101582.23000000036</v>
      </c>
      <c r="BY17" s="23">
        <f>SUMIFS(ActBS!BK$6:BK$164,ActBS!$A$6:$A$164,$D17)</f>
        <v>101582.23000000036</v>
      </c>
      <c r="BZ17" s="23">
        <f>SUMIFS(ActBS!BL$6:BL$164,ActBS!$A$6:$A$164,$D17)</f>
        <v>101582.23000000036</v>
      </c>
      <c r="CA17" s="23">
        <f>SUMIFS(ActBS!BM$6:BM$164,ActBS!$A$6:$A$164,$D17)</f>
        <v>101582.23000000036</v>
      </c>
      <c r="CB17" s="23">
        <f>SUMIFS(ActBS!BN$6:BN$164,ActBS!$A$6:$A$164,$D17)</f>
        <v>101582.23000000036</v>
      </c>
      <c r="CC17" s="23">
        <f>SUMIFS(ActBS!BO$6:BO$164,ActBS!$A$6:$A$164,$D17)</f>
        <v>101582.23000000036</v>
      </c>
      <c r="CD17" s="23">
        <f>SUMIFS(ActBS!BP$6:BP$164,ActBS!$A$6:$A$164,$D17)</f>
        <v>101582.23000000036</v>
      </c>
      <c r="CE17" s="23">
        <f>SUMIFS(ActBS!BQ$6:BQ$164,ActBS!$A$6:$A$164,$D17)</f>
        <v>101582.23000000036</v>
      </c>
      <c r="CF17" s="23">
        <f>SUMIFS(ActBS!BR$6:BR$164,ActBS!$A$6:$A$164,$D17)</f>
        <v>101582.23000000036</v>
      </c>
      <c r="CG17" s="23">
        <f>SUMIFS(ActBS!BS$6:BS$164,ActBS!$A$6:$A$164,$D17)</f>
        <v>101582.23000000036</v>
      </c>
      <c r="CH17" s="23">
        <f>SUMIFS(ActBS!BT$6:BT$164,ActBS!$A$6:$A$164,$D17)</f>
        <v>101582.23000000036</v>
      </c>
      <c r="CI17" s="23">
        <f>SUMIFS(ActBS!BU$6:BU$164,ActBS!$A$6:$A$164,$D17)</f>
        <v>101582.23000000036</v>
      </c>
      <c r="CJ17" s="23">
        <f>SUMIFS(ActBS!BV$6:BV$164,ActBS!$A$6:$A$164,$D17)</f>
        <v>101582.23000000036</v>
      </c>
      <c r="CK17" s="23">
        <f>SUMIFS(ActBS!BW$6:BW$164,ActBS!$A$6:$A$164,$D17)</f>
        <v>101582.23000000036</v>
      </c>
      <c r="CL17" s="23">
        <f>SUMIFS(ActBS!BX$6:BX$164,ActBS!$A$6:$A$164,$D17)</f>
        <v>101582.23000000036</v>
      </c>
      <c r="CM17" s="23">
        <f>SUMIFS(ActBS!BY$6:BY$164,ActBS!$A$6:$A$164,$D17)</f>
        <v>101582.23000000036</v>
      </c>
      <c r="CN17" s="23">
        <f>SUMIFS(ActBS!BZ$6:BZ$164,ActBS!$A$6:$A$164,$D17)</f>
        <v>101582.23000000036</v>
      </c>
      <c r="CO17" s="23">
        <f>SUMIFS(ActBS!CA$6:CA$164,ActBS!$A$6:$A$164,$D17)</f>
        <v>101582.23000000036</v>
      </c>
      <c r="CP17" s="23">
        <f>SUMIFS(ActBS!CB$6:CB$164,ActBS!$A$6:$A$164,$D17)</f>
        <v>101582.23000000036</v>
      </c>
      <c r="CQ17" s="23">
        <f>SUMIFS(ActBS!CC$6:CC$164,ActBS!$A$6:$A$164,$D17)</f>
        <v>101582.23000000036</v>
      </c>
      <c r="CR17" s="23">
        <f>SUMIFS(ActBS!CD$6:CD$164,ActBS!$A$6:$A$164,$D17)</f>
        <v>101582.23000000036</v>
      </c>
      <c r="CS17" s="23">
        <f>SUMIFS(ActBS!CE$6:CE$164,ActBS!$A$6:$A$164,$D17)</f>
        <v>101582.23000000036</v>
      </c>
      <c r="CT17" s="23">
        <f>SUMIFS(ActBS!CF$6:CF$164,ActBS!$A$6:$A$164,$D17)</f>
        <v>101582.23000000036</v>
      </c>
      <c r="CU17" s="23">
        <f>SUMIFS(ActBS!CG$6:CG$164,ActBS!$A$6:$A$164,$D17)</f>
        <v>101582.23000000036</v>
      </c>
      <c r="CV17" s="23">
        <f>SUMIFS(ActBS!CH$6:CH$164,ActBS!$A$6:$A$164,$D17)</f>
        <v>101582.23000000036</v>
      </c>
      <c r="CW17" s="23">
        <f>SUMIFS(ActBS!CI$6:CI$164,ActBS!$A$6:$A$164,$D17)</f>
        <v>0</v>
      </c>
      <c r="CX17" s="23">
        <f>SUMIFS(ActBS!CJ$6:CJ$164,ActBS!$A$6:$A$164,$D17)</f>
        <v>0</v>
      </c>
      <c r="CY17" s="23">
        <f>SUMIFS(ActBS!CK$6:CK$164,ActBS!$A$6:$A$164,$D17)</f>
        <v>0</v>
      </c>
      <c r="CZ17" s="23">
        <f>SUMIFS(ActBS!CL$6:CL$164,ActBS!$A$6:$A$164,$D17)</f>
        <v>0</v>
      </c>
    </row>
    <row r="18" spans="4:104" x14ac:dyDescent="0.25">
      <c r="D18" s="6" t="s">
        <v>3</v>
      </c>
      <c r="F18" s="23">
        <f t="shared" si="61"/>
        <v>0</v>
      </c>
      <c r="G18" s="23">
        <f t="shared" si="58"/>
        <v>0</v>
      </c>
      <c r="H18" s="23">
        <f t="shared" si="59"/>
        <v>0</v>
      </c>
      <c r="I18" s="23">
        <f t="shared" si="60"/>
        <v>0</v>
      </c>
      <c r="J18" s="23">
        <f t="shared" si="62"/>
        <v>0</v>
      </c>
      <c r="K18" s="23">
        <f t="shared" si="63"/>
        <v>0</v>
      </c>
      <c r="L18" s="23">
        <f t="shared" si="64"/>
        <v>0</v>
      </c>
      <c r="M18" s="21"/>
      <c r="N18" s="21"/>
      <c r="O18" s="21"/>
      <c r="P18" s="21"/>
      <c r="Q18" s="23">
        <f>SUMIFS(ActBS!C$6:C$164,ActBS!$A$6:$A$164,$D18)</f>
        <v>0</v>
      </c>
      <c r="R18" s="23">
        <f>SUMIFS(ActBS!D$6:D$164,ActBS!$A$6:$A$164,$D18)</f>
        <v>0</v>
      </c>
      <c r="S18" s="23">
        <f>SUMIFS(ActBS!E$6:E$164,ActBS!$A$6:$A$164,$D18)</f>
        <v>0</v>
      </c>
      <c r="T18" s="23">
        <f>SUMIFS(ActBS!F$6:F$164,ActBS!$A$6:$A$164,$D18)</f>
        <v>0</v>
      </c>
      <c r="U18" s="23">
        <f>SUMIFS(ActBS!G$6:G$164,ActBS!$A$6:$A$164,$D18)</f>
        <v>0</v>
      </c>
      <c r="V18" s="23">
        <f>SUMIFS(ActBS!H$6:H$164,ActBS!$A$6:$A$164,$D18)</f>
        <v>0</v>
      </c>
      <c r="W18" s="23">
        <f>SUMIFS(ActBS!I$6:I$164,ActBS!$A$6:$A$164,$D18)</f>
        <v>0</v>
      </c>
      <c r="X18" s="23">
        <f>SUMIFS(ActBS!J$6:J$164,ActBS!$A$6:$A$164,$D18)</f>
        <v>0</v>
      </c>
      <c r="Y18" s="23">
        <f>SUMIFS(ActBS!K$6:K$164,ActBS!$A$6:$A$164,$D18)</f>
        <v>0</v>
      </c>
      <c r="Z18" s="23">
        <f>SUMIFS(ActBS!L$6:L$164,ActBS!$A$6:$A$164,$D18)</f>
        <v>0</v>
      </c>
      <c r="AA18" s="23">
        <f>SUMIFS(ActBS!M$6:M$164,ActBS!$A$6:$A$164,$D18)</f>
        <v>0</v>
      </c>
      <c r="AB18" s="23">
        <f>SUMIFS(ActBS!N$6:N$164,ActBS!$A$6:$A$164,$D18)</f>
        <v>0</v>
      </c>
      <c r="AC18" s="23">
        <f>SUMIFS(ActBS!O$6:O$164,ActBS!$A$6:$A$164,$D18)</f>
        <v>0</v>
      </c>
      <c r="AD18" s="23">
        <f>SUMIFS(ActBS!P$6:P$164,ActBS!$A$6:$A$164,$D18)</f>
        <v>0</v>
      </c>
      <c r="AE18" s="23">
        <f>SUMIFS(ActBS!Q$6:Q$164,ActBS!$A$6:$A$164,$D18)</f>
        <v>0</v>
      </c>
      <c r="AF18" s="23">
        <f>SUMIFS(ActBS!R$6:R$164,ActBS!$A$6:$A$164,$D18)</f>
        <v>0</v>
      </c>
      <c r="AG18" s="23">
        <f>SUMIFS(ActBS!S$6:S$164,ActBS!$A$6:$A$164,$D18)</f>
        <v>0</v>
      </c>
      <c r="AH18" s="23">
        <f>SUMIFS(ActBS!T$6:T$164,ActBS!$A$6:$A$164,$D18)</f>
        <v>0</v>
      </c>
      <c r="AI18" s="23">
        <f>SUMIFS(ActBS!U$6:U$164,ActBS!$A$6:$A$164,$D18)</f>
        <v>0</v>
      </c>
      <c r="AJ18" s="23">
        <f>SUMIFS(ActBS!V$6:V$164,ActBS!$A$6:$A$164,$D18)</f>
        <v>0</v>
      </c>
      <c r="AK18" s="23">
        <f>SUMIFS(ActBS!W$6:W$164,ActBS!$A$6:$A$164,$D18)</f>
        <v>0</v>
      </c>
      <c r="AL18" s="23">
        <f>SUMIFS(ActBS!X$6:X$164,ActBS!$A$6:$A$164,$D18)</f>
        <v>0</v>
      </c>
      <c r="AM18" s="23">
        <f>SUMIFS(ActBS!Y$6:Y$164,ActBS!$A$6:$A$164,$D18)</f>
        <v>0</v>
      </c>
      <c r="AN18" s="23">
        <f>SUMIFS(ActBS!Z$6:Z$164,ActBS!$A$6:$A$164,$D18)</f>
        <v>0</v>
      </c>
      <c r="AO18" s="23">
        <f>SUMIFS(ActBS!AA$6:AA$164,ActBS!$A$6:$A$164,$D18)</f>
        <v>0</v>
      </c>
      <c r="AP18" s="23">
        <f>SUMIFS(ActBS!AB$6:AB$164,ActBS!$A$6:$A$164,$D18)</f>
        <v>0</v>
      </c>
      <c r="AQ18" s="23">
        <f>SUMIFS(ActBS!AC$6:AC$164,ActBS!$A$6:$A$164,$D18)</f>
        <v>0</v>
      </c>
      <c r="AR18" s="23">
        <f>SUMIFS(ActBS!AD$6:AD$164,ActBS!$A$6:$A$164,$D18)</f>
        <v>0</v>
      </c>
      <c r="AS18" s="23">
        <f>SUMIFS(ActBS!AE$6:AE$164,ActBS!$A$6:$A$164,$D18)</f>
        <v>0</v>
      </c>
      <c r="AT18" s="23">
        <f>SUMIFS(ActBS!AF$6:AF$164,ActBS!$A$6:$A$164,$D18)</f>
        <v>0</v>
      </c>
      <c r="AU18" s="23">
        <f>SUMIFS(ActBS!AG$6:AG$164,ActBS!$A$6:$A$164,$D18)</f>
        <v>0</v>
      </c>
      <c r="AV18" s="23">
        <f>SUMIFS(ActBS!AH$6:AH$164,ActBS!$A$6:$A$164,$D18)</f>
        <v>0</v>
      </c>
      <c r="AW18" s="23">
        <f>SUMIFS(ActBS!AI$6:AI$164,ActBS!$A$6:$A$164,$D18)</f>
        <v>0</v>
      </c>
      <c r="AX18" s="23">
        <f>SUMIFS(ActBS!AJ$6:AJ$164,ActBS!$A$6:$A$164,$D18)</f>
        <v>0</v>
      </c>
      <c r="AY18" s="23">
        <f>SUMIFS(ActBS!AK$6:AK$164,ActBS!$A$6:$A$164,$D18)</f>
        <v>0</v>
      </c>
      <c r="AZ18" s="23">
        <f>SUMIFS(ActBS!AL$6:AL$164,ActBS!$A$6:$A$164,$D18)</f>
        <v>0</v>
      </c>
      <c r="BA18" s="23">
        <f>SUMIFS(ActBS!AM$6:AM$164,ActBS!$A$6:$A$164,$D18)</f>
        <v>0</v>
      </c>
      <c r="BB18" s="23">
        <f>SUMIFS(ActBS!AN$6:AN$164,ActBS!$A$6:$A$164,$D18)</f>
        <v>0</v>
      </c>
      <c r="BC18" s="23">
        <f>SUMIFS(ActBS!AO$6:AO$164,ActBS!$A$6:$A$164,$D18)</f>
        <v>0</v>
      </c>
      <c r="BD18" s="23">
        <f>SUMIFS(ActBS!AP$6:AP$164,ActBS!$A$6:$A$164,$D18)</f>
        <v>0</v>
      </c>
      <c r="BE18" s="23">
        <f>SUMIFS(ActBS!AQ$6:AQ$164,ActBS!$A$6:$A$164,$D18)</f>
        <v>0</v>
      </c>
      <c r="BF18" s="23">
        <f>SUMIFS(ActBS!AR$6:AR$164,ActBS!$A$6:$A$164,$D18)</f>
        <v>0</v>
      </c>
      <c r="BG18" s="23">
        <f>SUMIFS(ActBS!AS$6:AS$164,ActBS!$A$6:$A$164,$D18)</f>
        <v>0</v>
      </c>
      <c r="BH18" s="23">
        <f>SUMIFS(ActBS!AT$6:AT$164,ActBS!$A$6:$A$164,$D18)</f>
        <v>0</v>
      </c>
      <c r="BI18" s="23">
        <f>SUMIFS(ActBS!AU$6:AU$164,ActBS!$A$6:$A$164,$D18)</f>
        <v>0</v>
      </c>
      <c r="BJ18" s="23">
        <f>SUMIFS(ActBS!AV$6:AV$164,ActBS!$A$6:$A$164,$D18)</f>
        <v>0</v>
      </c>
      <c r="BK18" s="23">
        <f>SUMIFS(ActBS!AW$6:AW$164,ActBS!$A$6:$A$164,$D18)</f>
        <v>0</v>
      </c>
      <c r="BL18" s="23">
        <f>SUMIFS(ActBS!AX$6:AX$164,ActBS!$A$6:$A$164,$D18)</f>
        <v>0</v>
      </c>
      <c r="BM18" s="23">
        <f>SUMIFS(ActBS!AY$6:AY$164,ActBS!$A$6:$A$164,$D18)</f>
        <v>0</v>
      </c>
      <c r="BN18" s="23">
        <f>SUMIFS(ActBS!AZ$6:AZ$164,ActBS!$A$6:$A$164,$D18)</f>
        <v>0</v>
      </c>
      <c r="BO18" s="23">
        <f>SUMIFS(ActBS!BA$6:BA$164,ActBS!$A$6:$A$164,$D18)</f>
        <v>0</v>
      </c>
      <c r="BP18" s="23">
        <f>SUMIFS(ActBS!BB$6:BB$164,ActBS!$A$6:$A$164,$D18)</f>
        <v>0</v>
      </c>
      <c r="BQ18" s="23">
        <f>SUMIFS(ActBS!BC$6:BC$164,ActBS!$A$6:$A$164,$D18)</f>
        <v>0</v>
      </c>
      <c r="BR18" s="23">
        <f>SUMIFS(ActBS!BD$6:BD$164,ActBS!$A$6:$A$164,$D18)</f>
        <v>0</v>
      </c>
      <c r="BS18" s="23">
        <f>SUMIFS(ActBS!BE$6:BE$164,ActBS!$A$6:$A$164,$D18)</f>
        <v>0</v>
      </c>
      <c r="BT18" s="23">
        <f>SUMIFS(ActBS!BF$6:BF$164,ActBS!$A$6:$A$164,$D18)</f>
        <v>0</v>
      </c>
      <c r="BU18" s="23">
        <f>SUMIFS(ActBS!BG$6:BG$164,ActBS!$A$6:$A$164,$D18)</f>
        <v>0</v>
      </c>
      <c r="BV18" s="23">
        <f>SUMIFS(ActBS!BH$6:BH$164,ActBS!$A$6:$A$164,$D18)</f>
        <v>0</v>
      </c>
      <c r="BW18" s="23">
        <f>SUMIFS(ActBS!BI$6:BI$164,ActBS!$A$6:$A$164,$D18)</f>
        <v>0</v>
      </c>
      <c r="BX18" s="23">
        <f>SUMIFS(ActBS!BJ$6:BJ$164,ActBS!$A$6:$A$164,$D18)</f>
        <v>0</v>
      </c>
      <c r="BY18" s="23">
        <f>SUMIFS(ActBS!BK$6:BK$164,ActBS!$A$6:$A$164,$D18)</f>
        <v>0</v>
      </c>
      <c r="BZ18" s="23">
        <f>SUMIFS(ActBS!BL$6:BL$164,ActBS!$A$6:$A$164,$D18)</f>
        <v>0</v>
      </c>
      <c r="CA18" s="23">
        <f>SUMIFS(ActBS!BM$6:BM$164,ActBS!$A$6:$A$164,$D18)</f>
        <v>0</v>
      </c>
      <c r="CB18" s="23">
        <f>SUMIFS(ActBS!BN$6:BN$164,ActBS!$A$6:$A$164,$D18)</f>
        <v>0</v>
      </c>
      <c r="CC18" s="23">
        <f>SUMIFS(ActBS!BO$6:BO$164,ActBS!$A$6:$A$164,$D18)</f>
        <v>0</v>
      </c>
      <c r="CD18" s="23">
        <f>SUMIFS(ActBS!BP$6:BP$164,ActBS!$A$6:$A$164,$D18)</f>
        <v>0</v>
      </c>
      <c r="CE18" s="23">
        <f>SUMIFS(ActBS!BQ$6:BQ$164,ActBS!$A$6:$A$164,$D18)</f>
        <v>0</v>
      </c>
      <c r="CF18" s="23">
        <f>SUMIFS(ActBS!BR$6:BR$164,ActBS!$A$6:$A$164,$D18)</f>
        <v>0</v>
      </c>
      <c r="CG18" s="23">
        <f>SUMIFS(ActBS!BS$6:BS$164,ActBS!$A$6:$A$164,$D18)</f>
        <v>0</v>
      </c>
      <c r="CH18" s="23">
        <f>SUMIFS(ActBS!BT$6:BT$164,ActBS!$A$6:$A$164,$D18)</f>
        <v>0</v>
      </c>
      <c r="CI18" s="23">
        <f>SUMIFS(ActBS!BU$6:BU$164,ActBS!$A$6:$A$164,$D18)</f>
        <v>0</v>
      </c>
      <c r="CJ18" s="23">
        <f>SUMIFS(ActBS!BV$6:BV$164,ActBS!$A$6:$A$164,$D18)</f>
        <v>0</v>
      </c>
      <c r="CK18" s="23">
        <f>SUMIFS(ActBS!BW$6:BW$164,ActBS!$A$6:$A$164,$D18)</f>
        <v>0</v>
      </c>
      <c r="CL18" s="23">
        <f>SUMIFS(ActBS!BX$6:BX$164,ActBS!$A$6:$A$164,$D18)</f>
        <v>0</v>
      </c>
      <c r="CM18" s="23">
        <f>SUMIFS(ActBS!BY$6:BY$164,ActBS!$A$6:$A$164,$D18)</f>
        <v>0</v>
      </c>
      <c r="CN18" s="23">
        <f>SUMIFS(ActBS!BZ$6:BZ$164,ActBS!$A$6:$A$164,$D18)</f>
        <v>0</v>
      </c>
      <c r="CO18" s="23">
        <f>SUMIFS(ActBS!CA$6:CA$164,ActBS!$A$6:$A$164,$D18)</f>
        <v>0</v>
      </c>
      <c r="CP18" s="23">
        <f>SUMIFS(ActBS!CB$6:CB$164,ActBS!$A$6:$A$164,$D18)</f>
        <v>0</v>
      </c>
      <c r="CQ18" s="23">
        <f>SUMIFS(ActBS!CC$6:CC$164,ActBS!$A$6:$A$164,$D18)</f>
        <v>0</v>
      </c>
      <c r="CR18" s="23">
        <f>SUMIFS(ActBS!CD$6:CD$164,ActBS!$A$6:$A$164,$D18)</f>
        <v>0</v>
      </c>
      <c r="CS18" s="23">
        <f>SUMIFS(ActBS!CE$6:CE$164,ActBS!$A$6:$A$164,$D18)</f>
        <v>0</v>
      </c>
      <c r="CT18" s="23">
        <f>SUMIFS(ActBS!CF$6:CF$164,ActBS!$A$6:$A$164,$D18)</f>
        <v>0</v>
      </c>
      <c r="CU18" s="23">
        <f>SUMIFS(ActBS!CG$6:CG$164,ActBS!$A$6:$A$164,$D18)</f>
        <v>0</v>
      </c>
      <c r="CV18" s="23">
        <f>SUMIFS(ActBS!CH$6:CH$164,ActBS!$A$6:$A$164,$D18)</f>
        <v>0</v>
      </c>
      <c r="CW18" s="23">
        <f>SUMIFS(ActBS!CI$6:CI$164,ActBS!$A$6:$A$164,$D18)</f>
        <v>0</v>
      </c>
      <c r="CX18" s="23">
        <f>SUMIFS(ActBS!CJ$6:CJ$164,ActBS!$A$6:$A$164,$D18)</f>
        <v>0</v>
      </c>
      <c r="CY18" s="23">
        <f>SUMIFS(ActBS!CK$6:CK$164,ActBS!$A$6:$A$164,$D18)</f>
        <v>0</v>
      </c>
      <c r="CZ18" s="23">
        <f>SUMIFS(ActBS!CL$6:CL$164,ActBS!$A$6:$A$164,$D18)</f>
        <v>0</v>
      </c>
    </row>
    <row r="19" spans="4:104" x14ac:dyDescent="0.25">
      <c r="D19" s="6" t="s">
        <v>4</v>
      </c>
      <c r="F19" s="23">
        <f t="shared" si="61"/>
        <v>436098</v>
      </c>
      <c r="G19" s="23">
        <f t="shared" si="58"/>
        <v>47014</v>
      </c>
      <c r="H19" s="23">
        <f t="shared" si="59"/>
        <v>47014</v>
      </c>
      <c r="I19" s="23">
        <f t="shared" si="60"/>
        <v>47014</v>
      </c>
      <c r="J19" s="23">
        <f t="shared" si="62"/>
        <v>47014</v>
      </c>
      <c r="K19" s="23">
        <f t="shared" si="63"/>
        <v>47014</v>
      </c>
      <c r="L19" s="23">
        <f t="shared" si="64"/>
        <v>47014</v>
      </c>
      <c r="M19" s="21"/>
      <c r="N19" s="21"/>
      <c r="O19" s="21"/>
      <c r="P19" s="21"/>
      <c r="Q19" s="23">
        <f>SUMIFS(ActBS!C$6:C$164,ActBS!$A$6:$A$164,$D19)</f>
        <v>0</v>
      </c>
      <c r="R19" s="23">
        <f>SUMIFS(ActBS!D$6:D$164,ActBS!$A$6:$A$164,$D19)</f>
        <v>0</v>
      </c>
      <c r="S19" s="23">
        <f>SUMIFS(ActBS!E$6:E$164,ActBS!$A$6:$A$164,$D19)</f>
        <v>0</v>
      </c>
      <c r="T19" s="23">
        <f>SUMIFS(ActBS!F$6:F$164,ActBS!$A$6:$A$164,$D19)</f>
        <v>0</v>
      </c>
      <c r="U19" s="23">
        <f>SUMIFS(ActBS!G$6:G$164,ActBS!$A$6:$A$164,$D19)</f>
        <v>0</v>
      </c>
      <c r="V19" s="23">
        <f>SUMIFS(ActBS!H$6:H$164,ActBS!$A$6:$A$164,$D19)</f>
        <v>0</v>
      </c>
      <c r="W19" s="23">
        <f>SUMIFS(ActBS!I$6:I$164,ActBS!$A$6:$A$164,$D19)</f>
        <v>0</v>
      </c>
      <c r="X19" s="23">
        <f>SUMIFS(ActBS!J$6:J$164,ActBS!$A$6:$A$164,$D19)</f>
        <v>0</v>
      </c>
      <c r="Y19" s="23">
        <f>SUMIFS(ActBS!K$6:K$164,ActBS!$A$6:$A$164,$D19)</f>
        <v>0</v>
      </c>
      <c r="Z19" s="23">
        <f>SUMIFS(ActBS!L$6:L$164,ActBS!$A$6:$A$164,$D19)</f>
        <v>0</v>
      </c>
      <c r="AA19" s="23">
        <f>SUMIFS(ActBS!M$6:M$164,ActBS!$A$6:$A$164,$D19)</f>
        <v>0</v>
      </c>
      <c r="AB19" s="23">
        <f>SUMIFS(ActBS!N$6:N$164,ActBS!$A$6:$A$164,$D19)</f>
        <v>436098</v>
      </c>
      <c r="AC19" s="23">
        <f>SUMIFS(ActBS!O$6:O$164,ActBS!$A$6:$A$164,$D19)</f>
        <v>47014</v>
      </c>
      <c r="AD19" s="23">
        <f>SUMIFS(ActBS!P$6:P$164,ActBS!$A$6:$A$164,$D19)</f>
        <v>47014</v>
      </c>
      <c r="AE19" s="23">
        <f>SUMIFS(ActBS!Q$6:Q$164,ActBS!$A$6:$A$164,$D19)</f>
        <v>47014</v>
      </c>
      <c r="AF19" s="23">
        <f>SUMIFS(ActBS!R$6:R$164,ActBS!$A$6:$A$164,$D19)</f>
        <v>47014</v>
      </c>
      <c r="AG19" s="23">
        <f>SUMIFS(ActBS!S$6:S$164,ActBS!$A$6:$A$164,$D19)</f>
        <v>47014</v>
      </c>
      <c r="AH19" s="23">
        <f>SUMIFS(ActBS!T$6:T$164,ActBS!$A$6:$A$164,$D19)</f>
        <v>47014</v>
      </c>
      <c r="AI19" s="23">
        <f>SUMIFS(ActBS!U$6:U$164,ActBS!$A$6:$A$164,$D19)</f>
        <v>47014</v>
      </c>
      <c r="AJ19" s="23">
        <f>SUMIFS(ActBS!V$6:V$164,ActBS!$A$6:$A$164,$D19)</f>
        <v>47014</v>
      </c>
      <c r="AK19" s="23">
        <f>SUMIFS(ActBS!W$6:W$164,ActBS!$A$6:$A$164,$D19)</f>
        <v>47014</v>
      </c>
      <c r="AL19" s="23">
        <f>SUMIFS(ActBS!X$6:X$164,ActBS!$A$6:$A$164,$D19)</f>
        <v>47014</v>
      </c>
      <c r="AM19" s="23">
        <f>SUMIFS(ActBS!Y$6:Y$164,ActBS!$A$6:$A$164,$D19)</f>
        <v>47014</v>
      </c>
      <c r="AN19" s="23">
        <f>SUMIFS(ActBS!Z$6:Z$164,ActBS!$A$6:$A$164,$D19)</f>
        <v>47014</v>
      </c>
      <c r="AO19" s="23">
        <f>SUMIFS(ActBS!AA$6:AA$164,ActBS!$A$6:$A$164,$D19)</f>
        <v>47014</v>
      </c>
      <c r="AP19" s="23">
        <f>SUMIFS(ActBS!AB$6:AB$164,ActBS!$A$6:$A$164,$D19)</f>
        <v>47014</v>
      </c>
      <c r="AQ19" s="23">
        <f>SUMIFS(ActBS!AC$6:AC$164,ActBS!$A$6:$A$164,$D19)</f>
        <v>47014</v>
      </c>
      <c r="AR19" s="23">
        <f>SUMIFS(ActBS!AD$6:AD$164,ActBS!$A$6:$A$164,$D19)</f>
        <v>47014</v>
      </c>
      <c r="AS19" s="23">
        <f>SUMIFS(ActBS!AE$6:AE$164,ActBS!$A$6:$A$164,$D19)</f>
        <v>47014</v>
      </c>
      <c r="AT19" s="23">
        <f>SUMIFS(ActBS!AF$6:AF$164,ActBS!$A$6:$A$164,$D19)</f>
        <v>47014</v>
      </c>
      <c r="AU19" s="23">
        <f>SUMIFS(ActBS!AG$6:AG$164,ActBS!$A$6:$A$164,$D19)</f>
        <v>47014</v>
      </c>
      <c r="AV19" s="23">
        <f>SUMIFS(ActBS!AH$6:AH$164,ActBS!$A$6:$A$164,$D19)</f>
        <v>47014</v>
      </c>
      <c r="AW19" s="23">
        <f>SUMIFS(ActBS!AI$6:AI$164,ActBS!$A$6:$A$164,$D19)</f>
        <v>47014</v>
      </c>
      <c r="AX19" s="23">
        <f>SUMIFS(ActBS!AJ$6:AJ$164,ActBS!$A$6:$A$164,$D19)</f>
        <v>47014</v>
      </c>
      <c r="AY19" s="23">
        <f>SUMIFS(ActBS!AK$6:AK$164,ActBS!$A$6:$A$164,$D19)</f>
        <v>47014</v>
      </c>
      <c r="AZ19" s="23">
        <f>SUMIFS(ActBS!AL$6:AL$164,ActBS!$A$6:$A$164,$D19)</f>
        <v>47014</v>
      </c>
      <c r="BA19" s="23">
        <f>SUMIFS(ActBS!AM$6:AM$164,ActBS!$A$6:$A$164,$D19)</f>
        <v>47014</v>
      </c>
      <c r="BB19" s="23">
        <f>SUMIFS(ActBS!AN$6:AN$164,ActBS!$A$6:$A$164,$D19)</f>
        <v>47014</v>
      </c>
      <c r="BC19" s="23">
        <f>SUMIFS(ActBS!AO$6:AO$164,ActBS!$A$6:$A$164,$D19)</f>
        <v>47014</v>
      </c>
      <c r="BD19" s="23">
        <f>SUMIFS(ActBS!AP$6:AP$164,ActBS!$A$6:$A$164,$D19)</f>
        <v>47014</v>
      </c>
      <c r="BE19" s="23">
        <f>SUMIFS(ActBS!AQ$6:AQ$164,ActBS!$A$6:$A$164,$D19)</f>
        <v>47014</v>
      </c>
      <c r="BF19" s="23">
        <f>SUMIFS(ActBS!AR$6:AR$164,ActBS!$A$6:$A$164,$D19)</f>
        <v>47014</v>
      </c>
      <c r="BG19" s="23">
        <f>SUMIFS(ActBS!AS$6:AS$164,ActBS!$A$6:$A$164,$D19)</f>
        <v>47014</v>
      </c>
      <c r="BH19" s="23">
        <f>SUMIFS(ActBS!AT$6:AT$164,ActBS!$A$6:$A$164,$D19)</f>
        <v>47014</v>
      </c>
      <c r="BI19" s="23">
        <f>SUMIFS(ActBS!AU$6:AU$164,ActBS!$A$6:$A$164,$D19)</f>
        <v>47014</v>
      </c>
      <c r="BJ19" s="23">
        <f>SUMIFS(ActBS!AV$6:AV$164,ActBS!$A$6:$A$164,$D19)</f>
        <v>47014</v>
      </c>
      <c r="BK19" s="23">
        <f>SUMIFS(ActBS!AW$6:AW$164,ActBS!$A$6:$A$164,$D19)</f>
        <v>47014</v>
      </c>
      <c r="BL19" s="23">
        <f>SUMIFS(ActBS!AX$6:AX$164,ActBS!$A$6:$A$164,$D19)</f>
        <v>47014</v>
      </c>
      <c r="BM19" s="23">
        <f>SUMIFS(ActBS!AY$6:AY$164,ActBS!$A$6:$A$164,$D19)</f>
        <v>47014</v>
      </c>
      <c r="BN19" s="23">
        <f>SUMIFS(ActBS!AZ$6:AZ$164,ActBS!$A$6:$A$164,$D19)</f>
        <v>47014</v>
      </c>
      <c r="BO19" s="23">
        <f>SUMIFS(ActBS!BA$6:BA$164,ActBS!$A$6:$A$164,$D19)</f>
        <v>47014</v>
      </c>
      <c r="BP19" s="23">
        <f>SUMIFS(ActBS!BB$6:BB$164,ActBS!$A$6:$A$164,$D19)</f>
        <v>47014</v>
      </c>
      <c r="BQ19" s="23">
        <f>SUMIFS(ActBS!BC$6:BC$164,ActBS!$A$6:$A$164,$D19)</f>
        <v>47014</v>
      </c>
      <c r="BR19" s="23">
        <f>SUMIFS(ActBS!BD$6:BD$164,ActBS!$A$6:$A$164,$D19)</f>
        <v>47014</v>
      </c>
      <c r="BS19" s="23">
        <f>SUMIFS(ActBS!BE$6:BE$164,ActBS!$A$6:$A$164,$D19)</f>
        <v>47014</v>
      </c>
      <c r="BT19" s="23">
        <f>SUMIFS(ActBS!BF$6:BF$164,ActBS!$A$6:$A$164,$D19)</f>
        <v>47014</v>
      </c>
      <c r="BU19" s="23">
        <f>SUMIFS(ActBS!BG$6:BG$164,ActBS!$A$6:$A$164,$D19)</f>
        <v>47014</v>
      </c>
      <c r="BV19" s="23">
        <f>SUMIFS(ActBS!BH$6:BH$164,ActBS!$A$6:$A$164,$D19)</f>
        <v>47014</v>
      </c>
      <c r="BW19" s="23">
        <f>SUMIFS(ActBS!BI$6:BI$164,ActBS!$A$6:$A$164,$D19)</f>
        <v>47014</v>
      </c>
      <c r="BX19" s="23">
        <f>SUMIFS(ActBS!BJ$6:BJ$164,ActBS!$A$6:$A$164,$D19)</f>
        <v>47014</v>
      </c>
      <c r="BY19" s="23">
        <f>SUMIFS(ActBS!BK$6:BK$164,ActBS!$A$6:$A$164,$D19)</f>
        <v>47014</v>
      </c>
      <c r="BZ19" s="23">
        <f>SUMIFS(ActBS!BL$6:BL$164,ActBS!$A$6:$A$164,$D19)</f>
        <v>47014</v>
      </c>
      <c r="CA19" s="23">
        <f>SUMIFS(ActBS!BM$6:BM$164,ActBS!$A$6:$A$164,$D19)</f>
        <v>47014</v>
      </c>
      <c r="CB19" s="23">
        <f>SUMIFS(ActBS!BN$6:BN$164,ActBS!$A$6:$A$164,$D19)</f>
        <v>47014</v>
      </c>
      <c r="CC19" s="23">
        <f>SUMIFS(ActBS!BO$6:BO$164,ActBS!$A$6:$A$164,$D19)</f>
        <v>47014</v>
      </c>
      <c r="CD19" s="23">
        <f>SUMIFS(ActBS!BP$6:BP$164,ActBS!$A$6:$A$164,$D19)</f>
        <v>47014</v>
      </c>
      <c r="CE19" s="23">
        <f>SUMIFS(ActBS!BQ$6:BQ$164,ActBS!$A$6:$A$164,$D19)</f>
        <v>47014</v>
      </c>
      <c r="CF19" s="23">
        <f>SUMIFS(ActBS!BR$6:BR$164,ActBS!$A$6:$A$164,$D19)</f>
        <v>47014</v>
      </c>
      <c r="CG19" s="23">
        <f>SUMIFS(ActBS!BS$6:BS$164,ActBS!$A$6:$A$164,$D19)</f>
        <v>47014</v>
      </c>
      <c r="CH19" s="23">
        <f>SUMIFS(ActBS!BT$6:BT$164,ActBS!$A$6:$A$164,$D19)</f>
        <v>47014</v>
      </c>
      <c r="CI19" s="23">
        <f>SUMIFS(ActBS!BU$6:BU$164,ActBS!$A$6:$A$164,$D19)</f>
        <v>47014</v>
      </c>
      <c r="CJ19" s="23">
        <f>SUMIFS(ActBS!BV$6:BV$164,ActBS!$A$6:$A$164,$D19)</f>
        <v>47014</v>
      </c>
      <c r="CK19" s="23">
        <f>SUMIFS(ActBS!BW$6:BW$164,ActBS!$A$6:$A$164,$D19)</f>
        <v>47014</v>
      </c>
      <c r="CL19" s="23">
        <f>SUMIFS(ActBS!BX$6:BX$164,ActBS!$A$6:$A$164,$D19)</f>
        <v>47014</v>
      </c>
      <c r="CM19" s="23">
        <f>SUMIFS(ActBS!BY$6:BY$164,ActBS!$A$6:$A$164,$D19)</f>
        <v>47014</v>
      </c>
      <c r="CN19" s="23">
        <f>SUMIFS(ActBS!BZ$6:BZ$164,ActBS!$A$6:$A$164,$D19)</f>
        <v>47014</v>
      </c>
      <c r="CO19" s="23">
        <f>SUMIFS(ActBS!CA$6:CA$164,ActBS!$A$6:$A$164,$D19)</f>
        <v>47014</v>
      </c>
      <c r="CP19" s="23">
        <f>SUMIFS(ActBS!CB$6:CB$164,ActBS!$A$6:$A$164,$D19)</f>
        <v>47014</v>
      </c>
      <c r="CQ19" s="23">
        <f>SUMIFS(ActBS!CC$6:CC$164,ActBS!$A$6:$A$164,$D19)</f>
        <v>47014</v>
      </c>
      <c r="CR19" s="23">
        <f>SUMIFS(ActBS!CD$6:CD$164,ActBS!$A$6:$A$164,$D19)</f>
        <v>47014</v>
      </c>
      <c r="CS19" s="23">
        <f>SUMIFS(ActBS!CE$6:CE$164,ActBS!$A$6:$A$164,$D19)</f>
        <v>47014</v>
      </c>
      <c r="CT19" s="23">
        <f>SUMIFS(ActBS!CF$6:CF$164,ActBS!$A$6:$A$164,$D19)</f>
        <v>47014</v>
      </c>
      <c r="CU19" s="23">
        <f>SUMIFS(ActBS!CG$6:CG$164,ActBS!$A$6:$A$164,$D19)</f>
        <v>47014</v>
      </c>
      <c r="CV19" s="23">
        <f>SUMIFS(ActBS!CH$6:CH$164,ActBS!$A$6:$A$164,$D19)</f>
        <v>47014</v>
      </c>
      <c r="CW19" s="23">
        <f>SUMIFS(ActBS!CI$6:CI$164,ActBS!$A$6:$A$164,$D19)</f>
        <v>0</v>
      </c>
      <c r="CX19" s="23">
        <f>SUMIFS(ActBS!CJ$6:CJ$164,ActBS!$A$6:$A$164,$D19)</f>
        <v>0</v>
      </c>
      <c r="CY19" s="23">
        <f>SUMIFS(ActBS!CK$6:CK$164,ActBS!$A$6:$A$164,$D19)</f>
        <v>0</v>
      </c>
      <c r="CZ19" s="23">
        <f>SUMIFS(ActBS!CL$6:CL$164,ActBS!$A$6:$A$164,$D19)</f>
        <v>0</v>
      </c>
    </row>
    <row r="20" spans="4:104" x14ac:dyDescent="0.25">
      <c r="D20" s="6"/>
      <c r="F20" s="23">
        <f t="shared" si="61"/>
        <v>0</v>
      </c>
      <c r="G20" s="23">
        <f t="shared" si="58"/>
        <v>0</v>
      </c>
      <c r="H20" s="23">
        <f t="shared" si="59"/>
        <v>0</v>
      </c>
      <c r="I20" s="23">
        <f t="shared" si="60"/>
        <v>0</v>
      </c>
      <c r="J20" s="23">
        <f t="shared" si="62"/>
        <v>0</v>
      </c>
      <c r="K20" s="23">
        <f t="shared" si="63"/>
        <v>0</v>
      </c>
      <c r="L20" s="23">
        <f t="shared" si="64"/>
        <v>0</v>
      </c>
      <c r="M20" s="21"/>
      <c r="N20" s="21"/>
      <c r="O20" s="21"/>
      <c r="P20" s="21"/>
      <c r="Q20" s="23">
        <f>SUMIFS(ActBS!C$6:C$164,ActBS!$A$6:$A$164,$D20)</f>
        <v>0</v>
      </c>
      <c r="R20" s="23">
        <f>SUMIFS(ActBS!D$6:D$164,ActBS!$A$6:$A$164,$D20)</f>
        <v>0</v>
      </c>
      <c r="S20" s="23">
        <f>SUMIFS(ActBS!E$6:E$164,ActBS!$A$6:$A$164,$D20)</f>
        <v>0</v>
      </c>
      <c r="T20" s="23">
        <f>SUMIFS(ActBS!F$6:F$164,ActBS!$A$6:$A$164,$D20)</f>
        <v>0</v>
      </c>
      <c r="U20" s="23">
        <f>SUMIFS(ActBS!G$6:G$164,ActBS!$A$6:$A$164,$D20)</f>
        <v>0</v>
      </c>
      <c r="V20" s="23">
        <f>SUMIFS(ActBS!H$6:H$164,ActBS!$A$6:$A$164,$D20)</f>
        <v>0</v>
      </c>
      <c r="W20" s="23">
        <f>SUMIFS(ActBS!I$6:I$164,ActBS!$A$6:$A$164,$D20)</f>
        <v>0</v>
      </c>
      <c r="X20" s="23">
        <f>SUMIFS(ActBS!J$6:J$164,ActBS!$A$6:$A$164,$D20)</f>
        <v>0</v>
      </c>
      <c r="Y20" s="23">
        <f>SUMIFS(ActBS!K$6:K$164,ActBS!$A$6:$A$164,$D20)</f>
        <v>0</v>
      </c>
      <c r="Z20" s="23">
        <f>SUMIFS(ActBS!L$6:L$164,ActBS!$A$6:$A$164,$D20)</f>
        <v>0</v>
      </c>
      <c r="AA20" s="23">
        <f>SUMIFS(ActBS!M$6:M$164,ActBS!$A$6:$A$164,$D20)</f>
        <v>0</v>
      </c>
      <c r="AB20" s="23">
        <f>SUMIFS(ActBS!N$6:N$164,ActBS!$A$6:$A$164,$D20)</f>
        <v>0</v>
      </c>
      <c r="AC20" s="23">
        <f>SUMIFS(ActBS!O$6:O$164,ActBS!$A$6:$A$164,$D20)</f>
        <v>0</v>
      </c>
      <c r="AD20" s="23">
        <f>SUMIFS(ActBS!P$6:P$164,ActBS!$A$6:$A$164,$D20)</f>
        <v>0</v>
      </c>
      <c r="AE20" s="23">
        <f>SUMIFS(ActBS!Q$6:Q$164,ActBS!$A$6:$A$164,$D20)</f>
        <v>0</v>
      </c>
      <c r="AF20" s="23">
        <f>SUMIFS(ActBS!R$6:R$164,ActBS!$A$6:$A$164,$D20)</f>
        <v>0</v>
      </c>
      <c r="AG20" s="23">
        <f>SUMIFS(ActBS!S$6:S$164,ActBS!$A$6:$A$164,$D20)</f>
        <v>0</v>
      </c>
      <c r="AH20" s="23">
        <f>SUMIFS(ActBS!T$6:T$164,ActBS!$A$6:$A$164,$D20)</f>
        <v>0</v>
      </c>
      <c r="AI20" s="23">
        <f>SUMIFS(ActBS!U$6:U$164,ActBS!$A$6:$A$164,$D20)</f>
        <v>0</v>
      </c>
      <c r="AJ20" s="23">
        <f>SUMIFS(ActBS!V$6:V$164,ActBS!$A$6:$A$164,$D20)</f>
        <v>0</v>
      </c>
      <c r="AK20" s="23">
        <f>SUMIFS(ActBS!W$6:W$164,ActBS!$A$6:$A$164,$D20)</f>
        <v>0</v>
      </c>
      <c r="AL20" s="23">
        <f>SUMIFS(ActBS!X$6:X$164,ActBS!$A$6:$A$164,$D20)</f>
        <v>0</v>
      </c>
      <c r="AM20" s="23">
        <f>SUMIFS(ActBS!Y$6:Y$164,ActBS!$A$6:$A$164,$D20)</f>
        <v>0</v>
      </c>
      <c r="AN20" s="23">
        <f>SUMIFS(ActBS!Z$6:Z$164,ActBS!$A$6:$A$164,$D20)</f>
        <v>0</v>
      </c>
      <c r="AO20" s="23">
        <f>SUMIFS(ActBS!AA$6:AA$164,ActBS!$A$6:$A$164,$D20)</f>
        <v>0</v>
      </c>
      <c r="AP20" s="23">
        <f>SUMIFS(ActBS!AB$6:AB$164,ActBS!$A$6:$A$164,$D20)</f>
        <v>0</v>
      </c>
      <c r="AQ20" s="23">
        <f>SUMIFS(ActBS!AC$6:AC$164,ActBS!$A$6:$A$164,$D20)</f>
        <v>0</v>
      </c>
      <c r="AR20" s="23">
        <f>SUMIFS(ActBS!AD$6:AD$164,ActBS!$A$6:$A$164,$D20)</f>
        <v>0</v>
      </c>
      <c r="AS20" s="23">
        <f>SUMIFS(ActBS!AE$6:AE$164,ActBS!$A$6:$A$164,$D20)</f>
        <v>0</v>
      </c>
      <c r="AT20" s="23">
        <f>SUMIFS(ActBS!AF$6:AF$164,ActBS!$A$6:$A$164,$D20)</f>
        <v>0</v>
      </c>
      <c r="AU20" s="23">
        <f>SUMIFS(ActBS!AG$6:AG$164,ActBS!$A$6:$A$164,$D20)</f>
        <v>0</v>
      </c>
      <c r="AV20" s="23">
        <f>SUMIFS(ActBS!AH$6:AH$164,ActBS!$A$6:$A$164,$D20)</f>
        <v>0</v>
      </c>
      <c r="AW20" s="23">
        <f>SUMIFS(ActBS!AI$6:AI$164,ActBS!$A$6:$A$164,$D20)</f>
        <v>0</v>
      </c>
      <c r="AX20" s="23">
        <f>SUMIFS(ActBS!AJ$6:AJ$164,ActBS!$A$6:$A$164,$D20)</f>
        <v>0</v>
      </c>
      <c r="AY20" s="23">
        <f>SUMIFS(ActBS!AK$6:AK$164,ActBS!$A$6:$A$164,$D20)</f>
        <v>0</v>
      </c>
      <c r="AZ20" s="23">
        <f>SUMIFS(ActBS!AL$6:AL$164,ActBS!$A$6:$A$164,$D20)</f>
        <v>0</v>
      </c>
      <c r="BA20" s="23">
        <f>SUMIFS(ActBS!AM$6:AM$164,ActBS!$A$6:$A$164,$D20)</f>
        <v>0</v>
      </c>
      <c r="BB20" s="23">
        <f>SUMIFS(ActBS!AN$6:AN$164,ActBS!$A$6:$A$164,$D20)</f>
        <v>0</v>
      </c>
      <c r="BC20" s="23">
        <f>SUMIFS(ActBS!AO$6:AO$164,ActBS!$A$6:$A$164,$D20)</f>
        <v>0</v>
      </c>
      <c r="BD20" s="23">
        <f>SUMIFS(ActBS!AP$6:AP$164,ActBS!$A$6:$A$164,$D20)</f>
        <v>0</v>
      </c>
      <c r="BE20" s="23">
        <f>SUMIFS(ActBS!AQ$6:AQ$164,ActBS!$A$6:$A$164,$D20)</f>
        <v>0</v>
      </c>
      <c r="BF20" s="23">
        <f>SUMIFS(ActBS!AR$6:AR$164,ActBS!$A$6:$A$164,$D20)</f>
        <v>0</v>
      </c>
      <c r="BG20" s="23">
        <f>SUMIFS(ActBS!AS$6:AS$164,ActBS!$A$6:$A$164,$D20)</f>
        <v>0</v>
      </c>
      <c r="BH20" s="23">
        <f>SUMIFS(ActBS!AT$6:AT$164,ActBS!$A$6:$A$164,$D20)</f>
        <v>0</v>
      </c>
      <c r="BI20" s="23">
        <f>SUMIFS(ActBS!AU$6:AU$164,ActBS!$A$6:$A$164,$D20)</f>
        <v>0</v>
      </c>
      <c r="BJ20" s="23">
        <f>SUMIFS(ActBS!AV$6:AV$164,ActBS!$A$6:$A$164,$D20)</f>
        <v>0</v>
      </c>
      <c r="BK20" s="23">
        <f>SUMIFS(ActBS!AW$6:AW$164,ActBS!$A$6:$A$164,$D20)</f>
        <v>0</v>
      </c>
      <c r="BL20" s="23">
        <f>SUMIFS(ActBS!AX$6:AX$164,ActBS!$A$6:$A$164,$D20)</f>
        <v>0</v>
      </c>
      <c r="BM20" s="23">
        <f>SUMIFS(ActBS!AY$6:AY$164,ActBS!$A$6:$A$164,$D20)</f>
        <v>0</v>
      </c>
      <c r="BN20" s="23">
        <f>SUMIFS(ActBS!AZ$6:AZ$164,ActBS!$A$6:$A$164,$D20)</f>
        <v>0</v>
      </c>
      <c r="BO20" s="23">
        <f>SUMIFS(ActBS!BA$6:BA$164,ActBS!$A$6:$A$164,$D20)</f>
        <v>0</v>
      </c>
      <c r="BP20" s="23">
        <f>SUMIFS(ActBS!BB$6:BB$164,ActBS!$A$6:$A$164,$D20)</f>
        <v>0</v>
      </c>
      <c r="BQ20" s="23">
        <f>SUMIFS(ActBS!BC$6:BC$164,ActBS!$A$6:$A$164,$D20)</f>
        <v>0</v>
      </c>
      <c r="BR20" s="23">
        <f>SUMIFS(ActBS!BD$6:BD$164,ActBS!$A$6:$A$164,$D20)</f>
        <v>0</v>
      </c>
      <c r="BS20" s="23">
        <f>SUMIFS(ActBS!BE$6:BE$164,ActBS!$A$6:$A$164,$D20)</f>
        <v>0</v>
      </c>
      <c r="BT20" s="23">
        <f>SUMIFS(ActBS!BF$6:BF$164,ActBS!$A$6:$A$164,$D20)</f>
        <v>0</v>
      </c>
      <c r="BU20" s="23">
        <f>SUMIFS(ActBS!BG$6:BG$164,ActBS!$A$6:$A$164,$D20)</f>
        <v>0</v>
      </c>
      <c r="BV20" s="23">
        <f>SUMIFS(ActBS!BH$6:BH$164,ActBS!$A$6:$A$164,$D20)</f>
        <v>0</v>
      </c>
      <c r="BW20" s="23">
        <f>SUMIFS(ActBS!BI$6:BI$164,ActBS!$A$6:$A$164,$D20)</f>
        <v>0</v>
      </c>
      <c r="BX20" s="23">
        <f>SUMIFS(ActBS!BJ$6:BJ$164,ActBS!$A$6:$A$164,$D20)</f>
        <v>0</v>
      </c>
      <c r="BY20" s="23">
        <f>SUMIFS(ActBS!BK$6:BK$164,ActBS!$A$6:$A$164,$D20)</f>
        <v>0</v>
      </c>
      <c r="BZ20" s="23">
        <f>SUMIFS(ActBS!BL$6:BL$164,ActBS!$A$6:$A$164,$D20)</f>
        <v>0</v>
      </c>
      <c r="CA20" s="23">
        <f>SUMIFS(ActBS!BM$6:BM$164,ActBS!$A$6:$A$164,$D20)</f>
        <v>0</v>
      </c>
      <c r="CB20" s="23">
        <f>SUMIFS(ActBS!BN$6:BN$164,ActBS!$A$6:$A$164,$D20)</f>
        <v>0</v>
      </c>
      <c r="CC20" s="23">
        <f>SUMIFS(ActBS!BO$6:BO$164,ActBS!$A$6:$A$164,$D20)</f>
        <v>0</v>
      </c>
      <c r="CD20" s="23">
        <f>SUMIFS(ActBS!BP$6:BP$164,ActBS!$A$6:$A$164,$D20)</f>
        <v>0</v>
      </c>
      <c r="CE20" s="23">
        <f>SUMIFS(ActBS!BQ$6:BQ$164,ActBS!$A$6:$A$164,$D20)</f>
        <v>0</v>
      </c>
      <c r="CF20" s="23">
        <f>SUMIFS(ActBS!BR$6:BR$164,ActBS!$A$6:$A$164,$D20)</f>
        <v>0</v>
      </c>
      <c r="CG20" s="23">
        <f>SUMIFS(ActBS!BS$6:BS$164,ActBS!$A$6:$A$164,$D20)</f>
        <v>0</v>
      </c>
      <c r="CH20" s="23">
        <f>SUMIFS(ActBS!BT$6:BT$164,ActBS!$A$6:$A$164,$D20)</f>
        <v>0</v>
      </c>
      <c r="CI20" s="23">
        <f>SUMIFS(ActBS!BU$6:BU$164,ActBS!$A$6:$A$164,$D20)</f>
        <v>0</v>
      </c>
      <c r="CJ20" s="23">
        <f>SUMIFS(ActBS!BV$6:BV$164,ActBS!$A$6:$A$164,$D20)</f>
        <v>0</v>
      </c>
      <c r="CK20" s="23">
        <f>SUMIFS(ActBS!BW$6:BW$164,ActBS!$A$6:$A$164,$D20)</f>
        <v>0</v>
      </c>
      <c r="CL20" s="23">
        <f>SUMIFS(ActBS!BX$6:BX$164,ActBS!$A$6:$A$164,$D20)</f>
        <v>0</v>
      </c>
      <c r="CM20" s="23">
        <f>SUMIFS(ActBS!BY$6:BY$164,ActBS!$A$6:$A$164,$D20)</f>
        <v>0</v>
      </c>
      <c r="CN20" s="23">
        <f>SUMIFS(ActBS!BZ$6:BZ$164,ActBS!$A$6:$A$164,$D20)</f>
        <v>0</v>
      </c>
      <c r="CO20" s="23">
        <f>SUMIFS(ActBS!CA$6:CA$164,ActBS!$A$6:$A$164,$D20)</f>
        <v>0</v>
      </c>
      <c r="CP20" s="23">
        <f>SUMIFS(ActBS!CB$6:CB$164,ActBS!$A$6:$A$164,$D20)</f>
        <v>0</v>
      </c>
      <c r="CQ20" s="23">
        <f>SUMIFS(ActBS!CC$6:CC$164,ActBS!$A$6:$A$164,$D20)</f>
        <v>0</v>
      </c>
      <c r="CR20" s="23">
        <f>SUMIFS(ActBS!CD$6:CD$164,ActBS!$A$6:$A$164,$D20)</f>
        <v>0</v>
      </c>
      <c r="CS20" s="23">
        <f>SUMIFS(ActBS!CE$6:CE$164,ActBS!$A$6:$A$164,$D20)</f>
        <v>0</v>
      </c>
      <c r="CT20" s="23">
        <f>SUMIFS(ActBS!CF$6:CF$164,ActBS!$A$6:$A$164,$D20)</f>
        <v>0</v>
      </c>
      <c r="CU20" s="23">
        <f>SUMIFS(ActBS!CG$6:CG$164,ActBS!$A$6:$A$164,$D20)</f>
        <v>0</v>
      </c>
      <c r="CV20" s="23">
        <f>SUMIFS(ActBS!CH$6:CH$164,ActBS!$A$6:$A$164,$D20)</f>
        <v>0</v>
      </c>
      <c r="CW20" s="23">
        <f>SUMIFS(ActBS!CI$6:CI$164,ActBS!$A$6:$A$164,$D20)</f>
        <v>0</v>
      </c>
      <c r="CX20" s="23">
        <f>SUMIFS(ActBS!CJ$6:CJ$164,ActBS!$A$6:$A$164,$D20)</f>
        <v>0</v>
      </c>
      <c r="CY20" s="23">
        <f>SUMIFS(ActBS!CK$6:CK$164,ActBS!$A$6:$A$164,$D20)</f>
        <v>0</v>
      </c>
      <c r="CZ20" s="23">
        <f>SUMIFS(ActBS!CL$6:CL$164,ActBS!$A$6:$A$164,$D20)</f>
        <v>0</v>
      </c>
    </row>
    <row r="21" spans="4:104" ht="15.75" thickBot="1" x14ac:dyDescent="0.3">
      <c r="D21" s="7" t="s">
        <v>5</v>
      </c>
      <c r="F21" s="25">
        <f t="shared" ref="F21" si="65">SUM(F14:F20)</f>
        <v>5908802.8200000012</v>
      </c>
      <c r="G21" s="25">
        <f t="shared" ref="G21" ca="1" si="66">SUM(G14:G20)</f>
        <v>-3345538.1890568854</v>
      </c>
      <c r="H21" s="25">
        <f t="shared" ref="H21" ca="1" si="67">SUM(H14:H20)</f>
        <v>-5787340.3870947054</v>
      </c>
      <c r="I21" s="25">
        <f t="shared" ref="I21:K21" ca="1" si="68">SUM(I14:I20)</f>
        <v>-608962.69495925319</v>
      </c>
      <c r="J21" s="25">
        <f t="shared" ca="1" si="68"/>
        <v>13607299.702670902</v>
      </c>
      <c r="K21" s="25">
        <f t="shared" ca="1" si="68"/>
        <v>36037078.863150693</v>
      </c>
      <c r="L21" s="25">
        <f t="shared" ref="L21" ca="1" si="69">SUM(L14:L20)</f>
        <v>44015779.129049189</v>
      </c>
      <c r="M21" s="21"/>
      <c r="N21" s="21"/>
      <c r="O21" s="21"/>
      <c r="P21" s="21"/>
      <c r="Q21" s="25">
        <f>SUM(Q14:Q20)</f>
        <v>15394820.060000001</v>
      </c>
      <c r="R21" s="25">
        <f t="shared" ref="R21:AB21" si="70">SUM(R14:R20)</f>
        <v>15033907.34</v>
      </c>
      <c r="S21" s="25">
        <f t="shared" si="70"/>
        <v>14672387.449999999</v>
      </c>
      <c r="T21" s="25">
        <f t="shared" si="70"/>
        <v>14348496.870000001</v>
      </c>
      <c r="U21" s="25">
        <f t="shared" si="70"/>
        <v>13935098.199999999</v>
      </c>
      <c r="V21" s="25">
        <f t="shared" si="70"/>
        <v>13410934.609999999</v>
      </c>
      <c r="W21" s="25">
        <f t="shared" si="70"/>
        <v>13023807.000000002</v>
      </c>
      <c r="X21" s="25">
        <f t="shared" si="70"/>
        <v>7255767.5</v>
      </c>
      <c r="Y21" s="25">
        <f t="shared" si="70"/>
        <v>7159953.8700000001</v>
      </c>
      <c r="Z21" s="25">
        <f t="shared" si="70"/>
        <v>7165928.71</v>
      </c>
      <c r="AA21" s="25">
        <f t="shared" si="70"/>
        <v>6490021.7699999996</v>
      </c>
      <c r="AB21" s="25">
        <f t="shared" si="70"/>
        <v>5908802.8200000012</v>
      </c>
      <c r="AC21" s="25">
        <f t="shared" ref="AC21:AX21" ca="1" si="71">SUM(AC14:AC20)</f>
        <v>5470248.9866666682</v>
      </c>
      <c r="AD21" s="25">
        <f t="shared" ca="1" si="71"/>
        <v>4132324.3233333346</v>
      </c>
      <c r="AE21" s="25">
        <f t="shared" ca="1" si="71"/>
        <v>2929221.6233333345</v>
      </c>
      <c r="AF21" s="25">
        <f t="shared" ca="1" si="71"/>
        <v>2135111.6233333349</v>
      </c>
      <c r="AG21" s="25">
        <f t="shared" ca="1" si="71"/>
        <v>1724271.1233333347</v>
      </c>
      <c r="AH21" s="25">
        <f t="shared" ca="1" si="71"/>
        <v>1011105.08250732</v>
      </c>
      <c r="AI21" s="25">
        <f t="shared" ca="1" si="71"/>
        <v>421199.09259514371</v>
      </c>
      <c r="AJ21" s="25">
        <f t="shared" ca="1" si="71"/>
        <v>-345666.40740485629</v>
      </c>
      <c r="AK21" s="25">
        <f t="shared" ca="1" si="71"/>
        <v>-897272.98905688559</v>
      </c>
      <c r="AL21" s="25">
        <f t="shared" ca="1" si="71"/>
        <v>-1793791.4890568857</v>
      </c>
      <c r="AM21" s="25">
        <f t="shared" ca="1" si="71"/>
        <v>-2762626.9890568852</v>
      </c>
      <c r="AN21" s="25">
        <f t="shared" ca="1" si="71"/>
        <v>-3345538.1890568854</v>
      </c>
      <c r="AO21" s="25">
        <f t="shared" ca="1" si="71"/>
        <v>-3989350.7223902191</v>
      </c>
      <c r="AP21" s="25">
        <f t="shared" ca="1" si="71"/>
        <v>-5188724.580693882</v>
      </c>
      <c r="AQ21" s="25">
        <f t="shared" ca="1" si="71"/>
        <v>-5672667.6140272161</v>
      </c>
      <c r="AR21" s="25">
        <f t="shared" ca="1" si="71"/>
        <v>-5804745.4473605482</v>
      </c>
      <c r="AS21" s="25">
        <f t="shared" ca="1" si="71"/>
        <v>-6941898.570985835</v>
      </c>
      <c r="AT21" s="25">
        <f t="shared" ca="1" si="71"/>
        <v>-6902923.6475425242</v>
      </c>
      <c r="AU21" s="25">
        <f t="shared" ca="1" si="71"/>
        <v>-6842245.9584927578</v>
      </c>
      <c r="AV21" s="25">
        <f t="shared" ca="1" si="71"/>
        <v>-7478130.5854806527</v>
      </c>
      <c r="AW21" s="25">
        <f t="shared" ca="1" si="71"/>
        <v>-8335399.9000783274</v>
      </c>
      <c r="AX21" s="25">
        <f t="shared" ca="1" si="71"/>
        <v>-8149848.9391716095</v>
      </c>
      <c r="AY21" s="25">
        <f t="shared" ref="AY21:BL21" ca="1" si="72">SUM(AY14:AY20)</f>
        <v>-6904918.3743247073</v>
      </c>
      <c r="AZ21" s="25">
        <f t="shared" ca="1" si="72"/>
        <v>-5787340.3870947054</v>
      </c>
      <c r="BA21" s="25">
        <f t="shared" ca="1" si="72"/>
        <v>-8900796.8596815411</v>
      </c>
      <c r="BB21" s="25">
        <f t="shared" ca="1" si="72"/>
        <v>-9712409.9555138852</v>
      </c>
      <c r="BC21" s="25">
        <f t="shared" ca="1" si="72"/>
        <v>-9832951.216390932</v>
      </c>
      <c r="BD21" s="25">
        <f t="shared" ca="1" si="72"/>
        <v>-9620489.7652575355</v>
      </c>
      <c r="BE21" s="25">
        <f t="shared" ca="1" si="72"/>
        <v>-7252242.8432245422</v>
      </c>
      <c r="BF21" s="25">
        <f t="shared" ca="1" si="72"/>
        <v>-7030565.5004462376</v>
      </c>
      <c r="BG21" s="25">
        <f t="shared" ca="1" si="72"/>
        <v>-8645328.4076085929</v>
      </c>
      <c r="BH21" s="25">
        <f t="shared" ca="1" si="72"/>
        <v>-8337821.5140113942</v>
      </c>
      <c r="BI21" s="25">
        <f t="shared" ca="1" si="72"/>
        <v>-8659709.5126366802</v>
      </c>
      <c r="BJ21" s="25">
        <f t="shared" ca="1" si="72"/>
        <v>-8672817.8115468007</v>
      </c>
      <c r="BK21" s="25">
        <f t="shared" ca="1" si="72"/>
        <v>-4454915.5085342992</v>
      </c>
      <c r="BL21" s="25">
        <f t="shared" ca="1" si="72"/>
        <v>-608962.69495925319</v>
      </c>
      <c r="BM21" s="25">
        <f t="shared" ref="BM21:CZ21" ca="1" si="73">SUM(BM14:BM20)</f>
        <v>-5356049.6092279106</v>
      </c>
      <c r="BN21" s="25">
        <f t="shared" ca="1" si="73"/>
        <v>-7628456.1773631722</v>
      </c>
      <c r="BO21" s="25">
        <f t="shared" ca="1" si="73"/>
        <v>-6949834.0916775204</v>
      </c>
      <c r="BP21" s="25">
        <f t="shared" ca="1" si="73"/>
        <v>-6102235.0161779001</v>
      </c>
      <c r="BQ21" s="25">
        <f t="shared" ca="1" si="73"/>
        <v>633914.75844229746</v>
      </c>
      <c r="BR21" s="25">
        <f t="shared" ca="1" si="73"/>
        <v>899341.83648998279</v>
      </c>
      <c r="BS21" s="25">
        <f t="shared" ca="1" si="73"/>
        <v>-4055145.2683984824</v>
      </c>
      <c r="BT21" s="25">
        <f t="shared" ca="1" si="73"/>
        <v>-3481362.6927772164</v>
      </c>
      <c r="BU21" s="25">
        <f t="shared" ca="1" si="73"/>
        <v>-3218269.7200367153</v>
      </c>
      <c r="BV21" s="25">
        <f t="shared" ca="1" si="73"/>
        <v>-3136412.4871241283</v>
      </c>
      <c r="BW21" s="25">
        <f t="shared" ca="1" si="73"/>
        <v>6395129.9350033887</v>
      </c>
      <c r="BX21" s="25">
        <f t="shared" ca="1" si="73"/>
        <v>13607299.702670902</v>
      </c>
      <c r="BY21" s="25">
        <f t="shared" ca="1" si="73"/>
        <v>500102.29200894746</v>
      </c>
      <c r="BZ21" s="25">
        <f t="shared" ca="1" si="73"/>
        <v>-4376642.8730406165</v>
      </c>
      <c r="CA21" s="25">
        <f t="shared" ca="1" si="73"/>
        <v>-2545383.6643062085</v>
      </c>
      <c r="CB21" s="25">
        <f t="shared" ca="1" si="73"/>
        <v>-368767.15423449699</v>
      </c>
      <c r="CC21" s="25">
        <f t="shared" ca="1" si="73"/>
        <v>17832787.280102883</v>
      </c>
      <c r="CD21" s="25">
        <f t="shared" ca="1" si="73"/>
        <v>16729017.560028914</v>
      </c>
      <c r="CE21" s="25">
        <f t="shared" ca="1" si="73"/>
        <v>2364875.3820739798</v>
      </c>
      <c r="CF21" s="25">
        <f t="shared" ca="1" si="73"/>
        <v>4376272.8425707147</v>
      </c>
      <c r="CG21" s="25">
        <f t="shared" ca="1" si="73"/>
        <v>5896123.2411917076</v>
      </c>
      <c r="CH21" s="25">
        <f t="shared" ca="1" si="73"/>
        <v>7275621.5655078702</v>
      </c>
      <c r="CI21" s="25">
        <f t="shared" ca="1" si="73"/>
        <v>25914921.917435147</v>
      </c>
      <c r="CJ21" s="25">
        <f t="shared" ca="1" si="73"/>
        <v>36037078.863150693</v>
      </c>
      <c r="CK21" s="25">
        <f t="shared" ca="1" si="73"/>
        <v>13104435.884812344</v>
      </c>
      <c r="CL21" s="25">
        <f t="shared" ca="1" si="73"/>
        <v>5624919.9713296788</v>
      </c>
      <c r="CM21" s="25">
        <f t="shared" ca="1" si="73"/>
        <v>9811783.3646583892</v>
      </c>
      <c r="CN21" s="25">
        <f t="shared" ca="1" si="73"/>
        <v>14869081.745410362</v>
      </c>
      <c r="CO21" s="25">
        <f t="shared" ca="1" si="73"/>
        <v>55452034.354350828</v>
      </c>
      <c r="CP21" s="25">
        <f t="shared" ca="1" si="73"/>
        <v>53945731.474586569</v>
      </c>
      <c r="CQ21" s="25">
        <f t="shared" ca="1" si="73"/>
        <v>20677140.64783721</v>
      </c>
      <c r="CR21" s="25">
        <f t="shared" ca="1" si="73"/>
        <v>20542536.064012535</v>
      </c>
      <c r="CS21" s="25">
        <f t="shared" ca="1" si="73"/>
        <v>24546608.545736521</v>
      </c>
      <c r="CT21" s="25">
        <f t="shared" ca="1" si="73"/>
        <v>28956616.288912531</v>
      </c>
      <c r="CU21" s="25">
        <f t="shared" ca="1" si="73"/>
        <v>36460353.08510711</v>
      </c>
      <c r="CV21" s="25">
        <f t="shared" ca="1" si="73"/>
        <v>44015779.129049189</v>
      </c>
      <c r="CW21" s="25">
        <f t="shared" si="73"/>
        <v>0</v>
      </c>
      <c r="CX21" s="25">
        <f t="shared" si="73"/>
        <v>0</v>
      </c>
      <c r="CY21" s="25">
        <f t="shared" si="73"/>
        <v>0</v>
      </c>
      <c r="CZ21" s="25">
        <f t="shared" si="73"/>
        <v>0</v>
      </c>
    </row>
    <row r="22" spans="4:104" x14ac:dyDescent="0.25">
      <c r="D22" s="8"/>
      <c r="F22" s="16"/>
      <c r="G22" s="16"/>
      <c r="H22" s="16"/>
      <c r="I22" s="16"/>
      <c r="J22" s="16"/>
      <c r="K22" s="16"/>
      <c r="L22" s="16"/>
      <c r="M22" s="21"/>
      <c r="N22" s="21"/>
      <c r="O22" s="21"/>
      <c r="P22" s="21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</row>
    <row r="23" spans="4:104" x14ac:dyDescent="0.25">
      <c r="D23" s="6" t="s">
        <v>206</v>
      </c>
      <c r="F23" s="23">
        <f t="shared" ref="F23:F27" si="74">AB23</f>
        <v>378867.45</v>
      </c>
      <c r="G23" s="23">
        <f>AN23</f>
        <v>1473964.1416666666</v>
      </c>
      <c r="H23" s="23">
        <f>AZ23</f>
        <v>914291.24999999977</v>
      </c>
      <c r="I23" s="23">
        <f>BL23</f>
        <v>452916.66666666698</v>
      </c>
      <c r="J23" s="23">
        <f t="shared" ref="J23:J27" si="75">BX23</f>
        <v>-205416.66666666698</v>
      </c>
      <c r="K23" s="23">
        <f t="shared" ref="K23:K27" si="76">CJ23</f>
        <v>-315000.00000000186</v>
      </c>
      <c r="L23" s="23">
        <f t="shared" ref="L23:L27" si="77">CV23</f>
        <v>-847500.00000000559</v>
      </c>
      <c r="M23" s="21"/>
      <c r="N23" s="21"/>
      <c r="O23" s="21"/>
      <c r="P23" s="21"/>
      <c r="Q23" s="23">
        <f>SUMIFS(ActBS!C$6:C$164,ActBS!$A$6:$A$164,$D23)</f>
        <v>95909.39</v>
      </c>
      <c r="R23" s="23">
        <f>SUMIFS(ActBS!D$6:D$164,ActBS!$A$6:$A$164,$D23)</f>
        <v>184771.19</v>
      </c>
      <c r="S23" s="23">
        <f>SUMIFS(ActBS!E$6:E$164,ActBS!$A$6:$A$164,$D23)</f>
        <v>225580.07</v>
      </c>
      <c r="T23" s="23">
        <f>SUMIFS(ActBS!F$6:F$164,ActBS!$A$6:$A$164,$D23)</f>
        <v>225828.18</v>
      </c>
      <c r="U23" s="23">
        <f>SUMIFS(ActBS!G$6:G$164,ActBS!$A$6:$A$164,$D23)</f>
        <v>246363.78000000003</v>
      </c>
      <c r="V23" s="23">
        <f>SUMIFS(ActBS!H$6:H$164,ActBS!$A$6:$A$164,$D23)</f>
        <v>295176.12000000005</v>
      </c>
      <c r="W23" s="23">
        <f>SUMIFS(ActBS!I$6:I$164,ActBS!$A$6:$A$164,$D23)</f>
        <v>304450.65000000002</v>
      </c>
      <c r="X23" s="23">
        <f>SUMIFS(ActBS!J$6:J$164,ActBS!$A$6:$A$164,$D23)</f>
        <v>306864.76999999996</v>
      </c>
      <c r="Y23" s="23">
        <f>SUMIFS(ActBS!K$6:K$164,ActBS!$A$6:$A$164,$D23)</f>
        <v>377071.76</v>
      </c>
      <c r="Z23" s="23">
        <f>SUMIFS(ActBS!L$6:L$164,ActBS!$A$6:$A$164,$D23)</f>
        <v>375511.54000000004</v>
      </c>
      <c r="AA23" s="23">
        <f>SUMIFS(ActBS!M$6:M$164,ActBS!$A$6:$A$164,$D23)</f>
        <v>384225.47</v>
      </c>
      <c r="AB23" s="23">
        <f>SUMIFS(ActBS!N$6:N$164,ActBS!$A$6:$A$164,$D23)</f>
        <v>378867.45</v>
      </c>
      <c r="AC23" s="23">
        <f>SUMIFS(ActBS!O$6:O$164,ActBS!$A$6:$A$164,$D23)</f>
        <v>363081.30624999997</v>
      </c>
      <c r="AD23" s="23">
        <f>SUMIFS(ActBS!P$6:P$164,ActBS!$A$6:$A$164,$D23)</f>
        <v>347295.16249999998</v>
      </c>
      <c r="AE23" s="23">
        <f>SUMIFS(ActBS!Q$6:Q$164,ActBS!$A$6:$A$164,$D23)</f>
        <v>729217.35208333342</v>
      </c>
      <c r="AF23" s="23">
        <f>SUMIFS(ActBS!R$6:R$164,ActBS!$A$6:$A$164,$D23)</f>
        <v>696139.54166666663</v>
      </c>
      <c r="AG23" s="23">
        <f>SUMIFS(ActBS!S$6:S$164,ActBS!$A$6:$A$164,$D23)</f>
        <v>663061.73124999995</v>
      </c>
      <c r="AH23" s="23">
        <f>SUMIFS(ActBS!T$6:T$164,ActBS!$A$6:$A$164,$D23)</f>
        <v>629983.9208333334</v>
      </c>
      <c r="AI23" s="23">
        <f>SUMIFS(ActBS!U$6:U$164,ActBS!$A$6:$A$164,$D23)</f>
        <v>596906.1104166666</v>
      </c>
      <c r="AJ23" s="23">
        <f>SUMIFS(ActBS!V$6:V$164,ActBS!$A$6:$A$164,$D23)</f>
        <v>563828.29999999993</v>
      </c>
      <c r="AK23" s="23">
        <f>SUMIFS(ActBS!W$6:W$164,ActBS!$A$6:$A$164,$D23)</f>
        <v>530750.48958333326</v>
      </c>
      <c r="AL23" s="23">
        <f>SUMIFS(ActBS!X$6:X$164,ActBS!$A$6:$A$164,$D23)</f>
        <v>914547.67916666658</v>
      </c>
      <c r="AM23" s="23">
        <f>SUMIFS(ActBS!Y$6:Y$164,ActBS!$A$6:$A$164,$D23)</f>
        <v>1007674.6604166665</v>
      </c>
      <c r="AN23" s="23">
        <f>SUMIFS(ActBS!Z$6:Z$164,ActBS!$A$6:$A$164,$D23)</f>
        <v>1473964.1416666666</v>
      </c>
      <c r="AO23" s="23">
        <f>SUMIFS(ActBS!AA$6:AA$164,ActBS!$A$6:$A$164,$D23)</f>
        <v>1393713.6229166668</v>
      </c>
      <c r="AP23" s="23">
        <f>SUMIFS(ActBS!AB$6:AB$164,ActBS!$A$6:$A$164,$D23)</f>
        <v>1313463.1041666665</v>
      </c>
      <c r="AQ23" s="23">
        <f>SUMIFS(ActBS!AC$6:AC$164,ActBS!$A$6:$A$164,$D23)</f>
        <v>1233212.5854166667</v>
      </c>
      <c r="AR23" s="23">
        <f>SUMIFS(ActBS!AD$6:AD$164,ActBS!$A$6:$A$164,$D23)</f>
        <v>1152962.0666666664</v>
      </c>
      <c r="AS23" s="23">
        <f>SUMIFS(ActBS!AE$6:AE$164,ActBS!$A$6:$A$164,$D23)</f>
        <v>1293128.2145833333</v>
      </c>
      <c r="AT23" s="23">
        <f>SUMIFS(ActBS!AF$6:AF$164,ActBS!$A$6:$A$164,$D23)</f>
        <v>1203294.3624999998</v>
      </c>
      <c r="AU23" s="23">
        <f>SUMIFS(ActBS!AG$6:AG$164,ActBS!$A$6:$A$164,$D23)</f>
        <v>1113460.5104166665</v>
      </c>
      <c r="AV23" s="23">
        <f>SUMIFS(ActBS!AH$6:AH$164,ActBS!$A$6:$A$164,$D23)</f>
        <v>1023626.6583333331</v>
      </c>
      <c r="AW23" s="23">
        <f>SUMIFS(ActBS!AI$6:AI$164,ActBS!$A$6:$A$164,$D23)</f>
        <v>1221292.8062499997</v>
      </c>
      <c r="AX23" s="23">
        <f>SUMIFS(ActBS!AJ$6:AJ$164,ActBS!$A$6:$A$164,$D23)</f>
        <v>1118958.9541666666</v>
      </c>
      <c r="AY23" s="23">
        <f>SUMIFS(ActBS!AK$6:AK$164,ActBS!$A$6:$A$164,$D23)</f>
        <v>1016625.1020833331</v>
      </c>
      <c r="AZ23" s="23">
        <f>SUMIFS(ActBS!AL$6:AL$164,ActBS!$A$6:$A$164,$D23)</f>
        <v>914291.24999999977</v>
      </c>
      <c r="BA23" s="23">
        <f>SUMIFS(ActBS!AM$6:AM$164,ActBS!$A$6:$A$164,$D23)</f>
        <v>1762118.5416666667</v>
      </c>
      <c r="BB23" s="23">
        <f>SUMIFS(ActBS!AN$6:AN$164,ActBS!$A$6:$A$164,$D23)</f>
        <v>1634945.8333333335</v>
      </c>
      <c r="BC23" s="23">
        <f>SUMIFS(ActBS!AO$6:AO$164,ActBS!$A$6:$A$164,$D23)</f>
        <v>1507773.1250000002</v>
      </c>
      <c r="BD23" s="23">
        <f>SUMIFS(ActBS!AP$6:AP$164,ActBS!$A$6:$A$164,$D23)</f>
        <v>1380600.416666667</v>
      </c>
      <c r="BE23" s="23">
        <f>SUMIFS(ActBS!AQ$6:AQ$164,ActBS!$A$6:$A$164,$D23)</f>
        <v>1253427.7083333337</v>
      </c>
      <c r="BF23" s="23">
        <f>SUMIFS(ActBS!AR$6:AR$164,ActBS!$A$6:$A$164,$D23)</f>
        <v>1126255.0000000005</v>
      </c>
      <c r="BG23" s="23">
        <f>SUMIFS(ActBS!AS$6:AS$164,ActBS!$A$6:$A$164,$D23)</f>
        <v>999082.29166666721</v>
      </c>
      <c r="BH23" s="23">
        <f>SUMIFS(ActBS!AT$6:AT$164,ActBS!$A$6:$A$164,$D23)</f>
        <v>871909.58333333395</v>
      </c>
      <c r="BI23" s="23">
        <f>SUMIFS(ActBS!AU$6:AU$164,ActBS!$A$6:$A$164,$D23)</f>
        <v>744736.87500000047</v>
      </c>
      <c r="BJ23" s="23">
        <f>SUMIFS(ActBS!AV$6:AV$164,ActBS!$A$6:$A$164,$D23)</f>
        <v>635689.16666666698</v>
      </c>
      <c r="BK23" s="23">
        <f>SUMIFS(ActBS!AW$6:AW$164,ActBS!$A$6:$A$164,$D23)</f>
        <v>532916.66666666698</v>
      </c>
      <c r="BL23" s="23">
        <f>SUMIFS(ActBS!AX$6:AX$164,ActBS!$A$6:$A$164,$D23)</f>
        <v>452916.66666666698</v>
      </c>
      <c r="BM23" s="23">
        <f>SUMIFS(ActBS!AY$6:AY$164,ActBS!$A$6:$A$164,$D23)</f>
        <v>708333.33333333349</v>
      </c>
      <c r="BN23" s="23">
        <f>SUMIFS(ActBS!AZ$6:AZ$164,ActBS!$A$6:$A$164,$D23)</f>
        <v>613750</v>
      </c>
      <c r="BO23" s="23">
        <f>SUMIFS(ActBS!BA$6:BA$164,ActBS!$A$6:$A$164,$D23)</f>
        <v>519166.66666666651</v>
      </c>
      <c r="BP23" s="23">
        <f>SUMIFS(ActBS!BB$6:BB$164,ActBS!$A$6:$A$164,$D23)</f>
        <v>424583.33333333302</v>
      </c>
      <c r="BQ23" s="23">
        <f>SUMIFS(ActBS!BC$6:BC$164,ActBS!$A$6:$A$164,$D23)</f>
        <v>339583.33333333302</v>
      </c>
      <c r="BR23" s="23">
        <f>SUMIFS(ActBS!BD$6:BD$164,ActBS!$A$6:$A$164,$D23)</f>
        <v>254583.33333333302</v>
      </c>
      <c r="BS23" s="23">
        <f>SUMIFS(ActBS!BE$6:BE$164,ActBS!$A$6:$A$164,$D23)</f>
        <v>169583.33333333302</v>
      </c>
      <c r="BT23" s="23">
        <f>SUMIFS(ActBS!BF$6:BF$164,ActBS!$A$6:$A$164,$D23)</f>
        <v>84583.333333333023</v>
      </c>
      <c r="BU23" s="23">
        <f>SUMIFS(ActBS!BG$6:BG$164,ActBS!$A$6:$A$164,$D23)</f>
        <v>12083.333333333023</v>
      </c>
      <c r="BV23" s="23">
        <f>SUMIFS(ActBS!BH$6:BH$164,ActBS!$A$6:$A$164,$D23)</f>
        <v>-60416.666666666977</v>
      </c>
      <c r="BW23" s="23">
        <f>SUMIFS(ActBS!BI$6:BI$164,ActBS!$A$6:$A$164,$D23)</f>
        <v>-132916.66666666698</v>
      </c>
      <c r="BX23" s="23">
        <f>SUMIFS(ActBS!BJ$6:BJ$164,ActBS!$A$6:$A$164,$D23)</f>
        <v>-205416.66666666698</v>
      </c>
      <c r="BY23" s="23">
        <f>SUMIFS(ActBS!BK$6:BK$164,ActBS!$A$6:$A$164,$D23)</f>
        <v>85624.999999999534</v>
      </c>
      <c r="BZ23" s="23">
        <f>SUMIFS(ActBS!BL$6:BL$164,ActBS!$A$6:$A$164,$D23)</f>
        <v>26666.666666666046</v>
      </c>
      <c r="CA23" s="23">
        <f>SUMIFS(ActBS!BM$6:BM$164,ActBS!$A$6:$A$164,$D23)</f>
        <v>-32291.666666667443</v>
      </c>
      <c r="CB23" s="23">
        <f>SUMIFS(ActBS!BN$6:BN$164,ActBS!$A$6:$A$164,$D23)</f>
        <v>-91250.000000000931</v>
      </c>
      <c r="CC23" s="23">
        <f>SUMIFS(ActBS!BO$6:BO$164,ActBS!$A$6:$A$164,$D23)</f>
        <v>-150208.33333333442</v>
      </c>
      <c r="CD23" s="23">
        <f>SUMIFS(ActBS!BP$6:BP$164,ActBS!$A$6:$A$164,$D23)</f>
        <v>126249.99999999907</v>
      </c>
      <c r="CE23" s="23">
        <f>SUMIFS(ActBS!BQ$6:BQ$164,ActBS!$A$6:$A$164,$D23)</f>
        <v>52708.333333332557</v>
      </c>
      <c r="CF23" s="23">
        <f>SUMIFS(ActBS!BR$6:BR$164,ActBS!$A$6:$A$164,$D23)</f>
        <v>-20833.333333333954</v>
      </c>
      <c r="CG23" s="23">
        <f>SUMIFS(ActBS!BS$6:BS$164,ActBS!$A$6:$A$164,$D23)</f>
        <v>-94375.000000000931</v>
      </c>
      <c r="CH23" s="23">
        <f>SUMIFS(ActBS!BT$6:BT$164,ActBS!$A$6:$A$164,$D23)</f>
        <v>-167916.66666666791</v>
      </c>
      <c r="CI23" s="23">
        <f>SUMIFS(ActBS!BU$6:BU$164,ActBS!$A$6:$A$164,$D23)</f>
        <v>-241458.33333333489</v>
      </c>
      <c r="CJ23" s="23">
        <f>SUMIFS(ActBS!BV$6:BV$164,ActBS!$A$6:$A$164,$D23)</f>
        <v>-315000.00000000186</v>
      </c>
      <c r="CK23" s="23">
        <f>SUMIFS(ActBS!BW$6:BW$164,ActBS!$A$6:$A$164,$D23)</f>
        <v>-38541.66666666884</v>
      </c>
      <c r="CL23" s="23">
        <f>SUMIFS(ActBS!BX$6:BX$164,ActBS!$A$6:$A$164,$D23)</f>
        <v>-112083.33333333582</v>
      </c>
      <c r="CM23" s="23">
        <f>SUMIFS(ActBS!BY$6:BY$164,ActBS!$A$6:$A$164,$D23)</f>
        <v>-185625.00000000279</v>
      </c>
      <c r="CN23" s="23">
        <f>SUMIFS(ActBS!BZ$6:BZ$164,ActBS!$A$6:$A$164,$D23)</f>
        <v>-259166.66666666977</v>
      </c>
      <c r="CO23" s="23">
        <f>SUMIFS(ActBS!CA$6:CA$164,ActBS!$A$6:$A$164,$D23)</f>
        <v>-332708.33333333675</v>
      </c>
      <c r="CP23" s="23">
        <f>SUMIFS(ActBS!CB$6:CB$164,ActBS!$A$6:$A$164,$D23)</f>
        <v>-406250.00000000373</v>
      </c>
      <c r="CQ23" s="23">
        <f>SUMIFS(ActBS!CC$6:CC$164,ActBS!$A$6:$A$164,$D23)</f>
        <v>-479791.6666666707</v>
      </c>
      <c r="CR23" s="23">
        <f>SUMIFS(ActBS!CD$6:CD$164,ActBS!$A$6:$A$164,$D23)</f>
        <v>-553333.33333333768</v>
      </c>
      <c r="CS23" s="23">
        <f>SUMIFS(ActBS!CE$6:CE$164,ActBS!$A$6:$A$164,$D23)</f>
        <v>-626875.00000000466</v>
      </c>
      <c r="CT23" s="23">
        <f>SUMIFS(ActBS!CF$6:CF$164,ActBS!$A$6:$A$164,$D23)</f>
        <v>-700416.66666667163</v>
      </c>
      <c r="CU23" s="23">
        <f>SUMIFS(ActBS!CG$6:CG$164,ActBS!$A$6:$A$164,$D23)</f>
        <v>-773958.33333333861</v>
      </c>
      <c r="CV23" s="23">
        <f>SUMIFS(ActBS!CH$6:CH$164,ActBS!$A$6:$A$164,$D23)</f>
        <v>-847500.00000000559</v>
      </c>
      <c r="CW23" s="23">
        <f>SUMIFS(ActBS!CI$6:CI$164,ActBS!$A$6:$A$164,$D23)</f>
        <v>0</v>
      </c>
      <c r="CX23" s="23">
        <f>SUMIFS(ActBS!CJ$6:CJ$164,ActBS!$A$6:$A$164,$D23)</f>
        <v>0</v>
      </c>
      <c r="CY23" s="23">
        <f>SUMIFS(ActBS!CK$6:CK$164,ActBS!$A$6:$A$164,$D23)</f>
        <v>0</v>
      </c>
      <c r="CZ23" s="23">
        <f>SUMIFS(ActBS!CL$6:CL$164,ActBS!$A$6:$A$164,$D23)</f>
        <v>0</v>
      </c>
    </row>
    <row r="24" spans="4:104" x14ac:dyDescent="0.25">
      <c r="D24" s="6" t="s">
        <v>6</v>
      </c>
      <c r="F24" s="23">
        <f t="shared" si="74"/>
        <v>0</v>
      </c>
      <c r="G24" s="23">
        <f>AN24</f>
        <v>0</v>
      </c>
      <c r="H24" s="23">
        <f>AZ24</f>
        <v>0</v>
      </c>
      <c r="I24" s="23">
        <f>BL24</f>
        <v>0</v>
      </c>
      <c r="J24" s="23">
        <f t="shared" si="75"/>
        <v>0</v>
      </c>
      <c r="K24" s="23">
        <f t="shared" si="76"/>
        <v>0</v>
      </c>
      <c r="L24" s="23">
        <f t="shared" si="77"/>
        <v>0</v>
      </c>
      <c r="M24" s="21"/>
      <c r="N24" s="21"/>
      <c r="O24" s="21"/>
      <c r="P24" s="21"/>
      <c r="Q24" s="23">
        <f>SUMIFS(ActBS!C$6:C$164,ActBS!$A$6:$A$164,$D24)</f>
        <v>175593.65</v>
      </c>
      <c r="R24" s="23">
        <f>SUMIFS(ActBS!D$6:D$164,ActBS!$A$6:$A$164,$D24)</f>
        <v>180931.23</v>
      </c>
      <c r="S24" s="23">
        <f>SUMIFS(ActBS!E$6:E$164,ActBS!$A$6:$A$164,$D24)</f>
        <v>113368.52</v>
      </c>
      <c r="T24" s="23">
        <f>SUMIFS(ActBS!F$6:F$164,ActBS!$A$6:$A$164,$D24)</f>
        <v>112737.60000000001</v>
      </c>
      <c r="U24" s="23">
        <f>SUMIFS(ActBS!G$6:G$164,ActBS!$A$6:$A$164,$D24)</f>
        <v>103654.78</v>
      </c>
      <c r="V24" s="23">
        <f>SUMIFS(ActBS!H$6:H$164,ActBS!$A$6:$A$164,$D24)</f>
        <v>88846.959999999992</v>
      </c>
      <c r="W24" s="23">
        <f>SUMIFS(ActBS!I$6:I$164,ActBS!$A$6:$A$164,$D24)</f>
        <v>74039.14</v>
      </c>
      <c r="X24" s="23">
        <f>SUMIFS(ActBS!J$6:J$164,ActBS!$A$6:$A$164,$D24)</f>
        <v>59231.320000000007</v>
      </c>
      <c r="Y24" s="23">
        <f>SUMIFS(ActBS!K$6:K$164,ActBS!$A$6:$A$164,$D24)</f>
        <v>44423.5</v>
      </c>
      <c r="Z24" s="23">
        <f>SUMIFS(ActBS!L$6:L$164,ActBS!$A$6:$A$164,$D24)</f>
        <v>29615.680000000008</v>
      </c>
      <c r="AA24" s="23">
        <f>SUMIFS(ActBS!M$6:M$164,ActBS!$A$6:$A$164,$D24)</f>
        <v>14807.86</v>
      </c>
      <c r="AB24" s="23">
        <f>SUMIFS(ActBS!N$6:N$164,ActBS!$A$6:$A$164,$D24)</f>
        <v>0</v>
      </c>
      <c r="AC24" s="23">
        <f>SUMIFS(ActBS!O$6:O$164,ActBS!$A$6:$A$164,$D24)</f>
        <v>0</v>
      </c>
      <c r="AD24" s="23">
        <f>SUMIFS(ActBS!P$6:P$164,ActBS!$A$6:$A$164,$D24)</f>
        <v>0</v>
      </c>
      <c r="AE24" s="23">
        <f>SUMIFS(ActBS!Q$6:Q$164,ActBS!$A$6:$A$164,$D24)</f>
        <v>0</v>
      </c>
      <c r="AF24" s="23">
        <f>SUMIFS(ActBS!R$6:R$164,ActBS!$A$6:$A$164,$D24)</f>
        <v>0</v>
      </c>
      <c r="AG24" s="23">
        <f>SUMIFS(ActBS!S$6:S$164,ActBS!$A$6:$A$164,$D24)</f>
        <v>0</v>
      </c>
      <c r="AH24" s="23">
        <f>SUMIFS(ActBS!T$6:T$164,ActBS!$A$6:$A$164,$D24)</f>
        <v>0</v>
      </c>
      <c r="AI24" s="23">
        <f>SUMIFS(ActBS!U$6:U$164,ActBS!$A$6:$A$164,$D24)</f>
        <v>0</v>
      </c>
      <c r="AJ24" s="23">
        <f>SUMIFS(ActBS!V$6:V$164,ActBS!$A$6:$A$164,$D24)</f>
        <v>0</v>
      </c>
      <c r="AK24" s="23">
        <f>SUMIFS(ActBS!W$6:W$164,ActBS!$A$6:$A$164,$D24)</f>
        <v>0</v>
      </c>
      <c r="AL24" s="23">
        <f>SUMIFS(ActBS!X$6:X$164,ActBS!$A$6:$A$164,$D24)</f>
        <v>0</v>
      </c>
      <c r="AM24" s="23">
        <f>SUMIFS(ActBS!Y$6:Y$164,ActBS!$A$6:$A$164,$D24)</f>
        <v>0</v>
      </c>
      <c r="AN24" s="23">
        <f>SUMIFS(ActBS!Z$6:Z$164,ActBS!$A$6:$A$164,$D24)</f>
        <v>0</v>
      </c>
      <c r="AO24" s="23">
        <f>SUMIFS(ActBS!AA$6:AA$164,ActBS!$A$6:$A$164,$D24)</f>
        <v>0</v>
      </c>
      <c r="AP24" s="23">
        <f>SUMIFS(ActBS!AB$6:AB$164,ActBS!$A$6:$A$164,$D24)</f>
        <v>0</v>
      </c>
      <c r="AQ24" s="23">
        <f>SUMIFS(ActBS!AC$6:AC$164,ActBS!$A$6:$A$164,$D24)</f>
        <v>0</v>
      </c>
      <c r="AR24" s="23">
        <f>SUMIFS(ActBS!AD$6:AD$164,ActBS!$A$6:$A$164,$D24)</f>
        <v>0</v>
      </c>
      <c r="AS24" s="23">
        <f>SUMIFS(ActBS!AE$6:AE$164,ActBS!$A$6:$A$164,$D24)</f>
        <v>0</v>
      </c>
      <c r="AT24" s="23">
        <f>SUMIFS(ActBS!AF$6:AF$164,ActBS!$A$6:$A$164,$D24)</f>
        <v>0</v>
      </c>
      <c r="AU24" s="23">
        <f>SUMIFS(ActBS!AG$6:AG$164,ActBS!$A$6:$A$164,$D24)</f>
        <v>0</v>
      </c>
      <c r="AV24" s="23">
        <f>SUMIFS(ActBS!AH$6:AH$164,ActBS!$A$6:$A$164,$D24)</f>
        <v>0</v>
      </c>
      <c r="AW24" s="23">
        <f>SUMIFS(ActBS!AI$6:AI$164,ActBS!$A$6:$A$164,$D24)</f>
        <v>0</v>
      </c>
      <c r="AX24" s="23">
        <f>SUMIFS(ActBS!AJ$6:AJ$164,ActBS!$A$6:$A$164,$D24)</f>
        <v>0</v>
      </c>
      <c r="AY24" s="23">
        <f>SUMIFS(ActBS!AK$6:AK$164,ActBS!$A$6:$A$164,$D24)</f>
        <v>0</v>
      </c>
      <c r="AZ24" s="23">
        <f>SUMIFS(ActBS!AL$6:AL$164,ActBS!$A$6:$A$164,$D24)</f>
        <v>0</v>
      </c>
      <c r="BA24" s="23">
        <f>SUMIFS(ActBS!AM$6:AM$164,ActBS!$A$6:$A$164,$D24)</f>
        <v>0</v>
      </c>
      <c r="BB24" s="23">
        <f>SUMIFS(ActBS!AN$6:AN$164,ActBS!$A$6:$A$164,$D24)</f>
        <v>0</v>
      </c>
      <c r="BC24" s="23">
        <f>SUMIFS(ActBS!AO$6:AO$164,ActBS!$A$6:$A$164,$D24)</f>
        <v>0</v>
      </c>
      <c r="BD24" s="23">
        <f>SUMIFS(ActBS!AP$6:AP$164,ActBS!$A$6:$A$164,$D24)</f>
        <v>0</v>
      </c>
      <c r="BE24" s="23">
        <f>SUMIFS(ActBS!AQ$6:AQ$164,ActBS!$A$6:$A$164,$D24)</f>
        <v>0</v>
      </c>
      <c r="BF24" s="23">
        <f>SUMIFS(ActBS!AR$6:AR$164,ActBS!$A$6:$A$164,$D24)</f>
        <v>0</v>
      </c>
      <c r="BG24" s="23">
        <f>SUMIFS(ActBS!AS$6:AS$164,ActBS!$A$6:$A$164,$D24)</f>
        <v>0</v>
      </c>
      <c r="BH24" s="23">
        <f>SUMIFS(ActBS!AT$6:AT$164,ActBS!$A$6:$A$164,$D24)</f>
        <v>0</v>
      </c>
      <c r="BI24" s="23">
        <f>SUMIFS(ActBS!AU$6:AU$164,ActBS!$A$6:$A$164,$D24)</f>
        <v>0</v>
      </c>
      <c r="BJ24" s="23">
        <f>SUMIFS(ActBS!AV$6:AV$164,ActBS!$A$6:$A$164,$D24)</f>
        <v>0</v>
      </c>
      <c r="BK24" s="23">
        <f>SUMIFS(ActBS!AW$6:AW$164,ActBS!$A$6:$A$164,$D24)</f>
        <v>0</v>
      </c>
      <c r="BL24" s="23">
        <f>SUMIFS(ActBS!AX$6:AX$164,ActBS!$A$6:$A$164,$D24)</f>
        <v>0</v>
      </c>
      <c r="BM24" s="23">
        <f>SUMIFS(ActBS!AY$6:AY$164,ActBS!$A$6:$A$164,$D24)</f>
        <v>0</v>
      </c>
      <c r="BN24" s="23">
        <f>SUMIFS(ActBS!AZ$6:AZ$164,ActBS!$A$6:$A$164,$D24)</f>
        <v>0</v>
      </c>
      <c r="BO24" s="23">
        <f>SUMIFS(ActBS!BA$6:BA$164,ActBS!$A$6:$A$164,$D24)</f>
        <v>0</v>
      </c>
      <c r="BP24" s="23">
        <f>SUMIFS(ActBS!BB$6:BB$164,ActBS!$A$6:$A$164,$D24)</f>
        <v>0</v>
      </c>
      <c r="BQ24" s="23">
        <f>SUMIFS(ActBS!BC$6:BC$164,ActBS!$A$6:$A$164,$D24)</f>
        <v>0</v>
      </c>
      <c r="BR24" s="23">
        <f>SUMIFS(ActBS!BD$6:BD$164,ActBS!$A$6:$A$164,$D24)</f>
        <v>0</v>
      </c>
      <c r="BS24" s="23">
        <f>SUMIFS(ActBS!BE$6:BE$164,ActBS!$A$6:$A$164,$D24)</f>
        <v>0</v>
      </c>
      <c r="BT24" s="23">
        <f>SUMIFS(ActBS!BF$6:BF$164,ActBS!$A$6:$A$164,$D24)</f>
        <v>0</v>
      </c>
      <c r="BU24" s="23">
        <f>SUMIFS(ActBS!BG$6:BG$164,ActBS!$A$6:$A$164,$D24)</f>
        <v>0</v>
      </c>
      <c r="BV24" s="23">
        <f>SUMIFS(ActBS!BH$6:BH$164,ActBS!$A$6:$A$164,$D24)</f>
        <v>0</v>
      </c>
      <c r="BW24" s="23">
        <f>SUMIFS(ActBS!BI$6:BI$164,ActBS!$A$6:$A$164,$D24)</f>
        <v>0</v>
      </c>
      <c r="BX24" s="23">
        <f>SUMIFS(ActBS!BJ$6:BJ$164,ActBS!$A$6:$A$164,$D24)</f>
        <v>0</v>
      </c>
      <c r="BY24" s="23">
        <f>SUMIFS(ActBS!BK$6:BK$164,ActBS!$A$6:$A$164,$D24)</f>
        <v>0</v>
      </c>
      <c r="BZ24" s="23">
        <f>SUMIFS(ActBS!BL$6:BL$164,ActBS!$A$6:$A$164,$D24)</f>
        <v>0</v>
      </c>
      <c r="CA24" s="23">
        <f>SUMIFS(ActBS!BM$6:BM$164,ActBS!$A$6:$A$164,$D24)</f>
        <v>0</v>
      </c>
      <c r="CB24" s="23">
        <f>SUMIFS(ActBS!BN$6:BN$164,ActBS!$A$6:$A$164,$D24)</f>
        <v>0</v>
      </c>
      <c r="CC24" s="23">
        <f>SUMIFS(ActBS!BO$6:BO$164,ActBS!$A$6:$A$164,$D24)</f>
        <v>0</v>
      </c>
      <c r="CD24" s="23">
        <f>SUMIFS(ActBS!BP$6:BP$164,ActBS!$A$6:$A$164,$D24)</f>
        <v>0</v>
      </c>
      <c r="CE24" s="23">
        <f>SUMIFS(ActBS!BQ$6:BQ$164,ActBS!$A$6:$A$164,$D24)</f>
        <v>0</v>
      </c>
      <c r="CF24" s="23">
        <f>SUMIFS(ActBS!BR$6:BR$164,ActBS!$A$6:$A$164,$D24)</f>
        <v>0</v>
      </c>
      <c r="CG24" s="23">
        <f>SUMIFS(ActBS!BS$6:BS$164,ActBS!$A$6:$A$164,$D24)</f>
        <v>0</v>
      </c>
      <c r="CH24" s="23">
        <f>SUMIFS(ActBS!BT$6:BT$164,ActBS!$A$6:$A$164,$D24)</f>
        <v>0</v>
      </c>
      <c r="CI24" s="23">
        <f>SUMIFS(ActBS!BU$6:BU$164,ActBS!$A$6:$A$164,$D24)</f>
        <v>0</v>
      </c>
      <c r="CJ24" s="23">
        <f>SUMIFS(ActBS!BV$6:BV$164,ActBS!$A$6:$A$164,$D24)</f>
        <v>0</v>
      </c>
      <c r="CK24" s="23">
        <f>SUMIFS(ActBS!BW$6:BW$164,ActBS!$A$6:$A$164,$D24)</f>
        <v>0</v>
      </c>
      <c r="CL24" s="23">
        <f>SUMIFS(ActBS!BX$6:BX$164,ActBS!$A$6:$A$164,$D24)</f>
        <v>0</v>
      </c>
      <c r="CM24" s="23">
        <f>SUMIFS(ActBS!BY$6:BY$164,ActBS!$A$6:$A$164,$D24)</f>
        <v>0</v>
      </c>
      <c r="CN24" s="23">
        <f>SUMIFS(ActBS!BZ$6:BZ$164,ActBS!$A$6:$A$164,$D24)</f>
        <v>0</v>
      </c>
      <c r="CO24" s="23">
        <f>SUMIFS(ActBS!CA$6:CA$164,ActBS!$A$6:$A$164,$D24)</f>
        <v>0</v>
      </c>
      <c r="CP24" s="23">
        <f>SUMIFS(ActBS!CB$6:CB$164,ActBS!$A$6:$A$164,$D24)</f>
        <v>0</v>
      </c>
      <c r="CQ24" s="23">
        <f>SUMIFS(ActBS!CC$6:CC$164,ActBS!$A$6:$A$164,$D24)</f>
        <v>0</v>
      </c>
      <c r="CR24" s="23">
        <f>SUMIFS(ActBS!CD$6:CD$164,ActBS!$A$6:$A$164,$D24)</f>
        <v>0</v>
      </c>
      <c r="CS24" s="23">
        <f>SUMIFS(ActBS!CE$6:CE$164,ActBS!$A$6:$A$164,$D24)</f>
        <v>0</v>
      </c>
      <c r="CT24" s="23">
        <f>SUMIFS(ActBS!CF$6:CF$164,ActBS!$A$6:$A$164,$D24)</f>
        <v>0</v>
      </c>
      <c r="CU24" s="23">
        <f>SUMIFS(ActBS!CG$6:CG$164,ActBS!$A$6:$A$164,$D24)</f>
        <v>0</v>
      </c>
      <c r="CV24" s="23">
        <f>SUMIFS(ActBS!CH$6:CH$164,ActBS!$A$6:$A$164,$D24)</f>
        <v>0</v>
      </c>
      <c r="CW24" s="23">
        <f>SUMIFS(ActBS!CI$6:CI$164,ActBS!$A$6:$A$164,$D24)</f>
        <v>0</v>
      </c>
      <c r="CX24" s="23">
        <f>SUMIFS(ActBS!CJ$6:CJ$164,ActBS!$A$6:$A$164,$D24)</f>
        <v>0</v>
      </c>
      <c r="CY24" s="23">
        <f>SUMIFS(ActBS!CK$6:CK$164,ActBS!$A$6:$A$164,$D24)</f>
        <v>0</v>
      </c>
      <c r="CZ24" s="23">
        <f>SUMIFS(ActBS!CL$6:CL$164,ActBS!$A$6:$A$164,$D24)</f>
        <v>0</v>
      </c>
    </row>
    <row r="25" spans="4:104" x14ac:dyDescent="0.25">
      <c r="D25" s="6" t="s">
        <v>24</v>
      </c>
      <c r="F25" s="23">
        <f t="shared" si="74"/>
        <v>2000000</v>
      </c>
      <c r="G25" s="23">
        <f>AN25</f>
        <v>2000000</v>
      </c>
      <c r="H25" s="23">
        <f>AZ25</f>
        <v>2000000</v>
      </c>
      <c r="I25" s="23">
        <f>BL25</f>
        <v>2000000</v>
      </c>
      <c r="J25" s="23">
        <f t="shared" si="75"/>
        <v>2000000</v>
      </c>
      <c r="K25" s="23">
        <f t="shared" si="76"/>
        <v>0</v>
      </c>
      <c r="L25" s="23">
        <f t="shared" si="77"/>
        <v>0</v>
      </c>
      <c r="M25" s="21"/>
      <c r="N25" s="21"/>
      <c r="O25" s="21"/>
      <c r="P25" s="21"/>
      <c r="Q25" s="23">
        <f>SUMIFS(ActBS!C$6:C$164,ActBS!$A$6:$A$164,$D25)</f>
        <v>0</v>
      </c>
      <c r="R25" s="23">
        <f>SUMIFS(ActBS!D$6:D$164,ActBS!$A$6:$A$164,$D25)</f>
        <v>0</v>
      </c>
      <c r="S25" s="23">
        <f>SUMIFS(ActBS!E$6:E$164,ActBS!$A$6:$A$164,$D25)</f>
        <v>0</v>
      </c>
      <c r="T25" s="23">
        <f>SUMIFS(ActBS!F$6:F$164,ActBS!$A$6:$A$164,$D25)</f>
        <v>0</v>
      </c>
      <c r="U25" s="23">
        <f>SUMIFS(ActBS!G$6:G$164,ActBS!$A$6:$A$164,$D25)</f>
        <v>0</v>
      </c>
      <c r="V25" s="23">
        <f>SUMIFS(ActBS!H$6:H$164,ActBS!$A$6:$A$164,$D25)</f>
        <v>0</v>
      </c>
      <c r="W25" s="23">
        <f>SUMIFS(ActBS!I$6:I$164,ActBS!$A$6:$A$164,$D25)</f>
        <v>0</v>
      </c>
      <c r="X25" s="23">
        <f>SUMIFS(ActBS!J$6:J$164,ActBS!$A$6:$A$164,$D25)</f>
        <v>2000000</v>
      </c>
      <c r="Y25" s="23">
        <f>SUMIFS(ActBS!K$6:K$164,ActBS!$A$6:$A$164,$D25)</f>
        <v>2000000</v>
      </c>
      <c r="Z25" s="23">
        <f>SUMIFS(ActBS!L$6:L$164,ActBS!$A$6:$A$164,$D25)</f>
        <v>2000000</v>
      </c>
      <c r="AA25" s="23">
        <f>SUMIFS(ActBS!M$6:M$164,ActBS!$A$6:$A$164,$D25)</f>
        <v>2000000</v>
      </c>
      <c r="AB25" s="23">
        <f>SUMIFS(ActBS!N$6:N$164,ActBS!$A$6:$A$164,$D25)</f>
        <v>2000000</v>
      </c>
      <c r="AC25" s="23">
        <f>SUMIFS(ActBS!O$6:O$164,ActBS!$A$6:$A$164,$D25)</f>
        <v>2000000</v>
      </c>
      <c r="AD25" s="23">
        <f>SUMIFS(ActBS!P$6:P$164,ActBS!$A$6:$A$164,$D25)</f>
        <v>2000000</v>
      </c>
      <c r="AE25" s="23">
        <f>SUMIFS(ActBS!Q$6:Q$164,ActBS!$A$6:$A$164,$D25)</f>
        <v>2000000</v>
      </c>
      <c r="AF25" s="23">
        <f>SUMIFS(ActBS!R$6:R$164,ActBS!$A$6:$A$164,$D25)</f>
        <v>2000000</v>
      </c>
      <c r="AG25" s="23">
        <f>SUMIFS(ActBS!S$6:S$164,ActBS!$A$6:$A$164,$D25)</f>
        <v>2000000</v>
      </c>
      <c r="AH25" s="23">
        <f>SUMIFS(ActBS!T$6:T$164,ActBS!$A$6:$A$164,$D25)</f>
        <v>2000000</v>
      </c>
      <c r="AI25" s="23">
        <f>SUMIFS(ActBS!U$6:U$164,ActBS!$A$6:$A$164,$D25)</f>
        <v>2000000</v>
      </c>
      <c r="AJ25" s="23">
        <f>SUMIFS(ActBS!V$6:V$164,ActBS!$A$6:$A$164,$D25)</f>
        <v>2000000</v>
      </c>
      <c r="AK25" s="23">
        <f>SUMIFS(ActBS!W$6:W$164,ActBS!$A$6:$A$164,$D25)</f>
        <v>2000000</v>
      </c>
      <c r="AL25" s="23">
        <f>SUMIFS(ActBS!X$6:X$164,ActBS!$A$6:$A$164,$D25)</f>
        <v>2000000</v>
      </c>
      <c r="AM25" s="23">
        <f>SUMIFS(ActBS!Y$6:Y$164,ActBS!$A$6:$A$164,$D25)</f>
        <v>2000000</v>
      </c>
      <c r="AN25" s="23">
        <f>SUMIFS(ActBS!Z$6:Z$164,ActBS!$A$6:$A$164,$D25)</f>
        <v>2000000</v>
      </c>
      <c r="AO25" s="23">
        <f>SUMIFS(ActBS!AA$6:AA$164,ActBS!$A$6:$A$164,$D25)</f>
        <v>2000000</v>
      </c>
      <c r="AP25" s="23">
        <f>SUMIFS(ActBS!AB$6:AB$164,ActBS!$A$6:$A$164,$D25)</f>
        <v>2000000</v>
      </c>
      <c r="AQ25" s="23">
        <f>SUMIFS(ActBS!AC$6:AC$164,ActBS!$A$6:$A$164,$D25)</f>
        <v>2000000</v>
      </c>
      <c r="AR25" s="23">
        <f>SUMIFS(ActBS!AD$6:AD$164,ActBS!$A$6:$A$164,$D25)</f>
        <v>2000000</v>
      </c>
      <c r="AS25" s="23">
        <f>SUMIFS(ActBS!AE$6:AE$164,ActBS!$A$6:$A$164,$D25)</f>
        <v>2000000</v>
      </c>
      <c r="AT25" s="23">
        <f>SUMIFS(ActBS!AF$6:AF$164,ActBS!$A$6:$A$164,$D25)</f>
        <v>2000000</v>
      </c>
      <c r="AU25" s="23">
        <f>SUMIFS(ActBS!AG$6:AG$164,ActBS!$A$6:$A$164,$D25)</f>
        <v>2000000</v>
      </c>
      <c r="AV25" s="23">
        <f>SUMIFS(ActBS!AH$6:AH$164,ActBS!$A$6:$A$164,$D25)</f>
        <v>2000000</v>
      </c>
      <c r="AW25" s="23">
        <f>SUMIFS(ActBS!AI$6:AI$164,ActBS!$A$6:$A$164,$D25)</f>
        <v>2000000</v>
      </c>
      <c r="AX25" s="23">
        <f>SUMIFS(ActBS!AJ$6:AJ$164,ActBS!$A$6:$A$164,$D25)</f>
        <v>2000000</v>
      </c>
      <c r="AY25" s="23">
        <f>SUMIFS(ActBS!AK$6:AK$164,ActBS!$A$6:$A$164,$D25)</f>
        <v>2000000</v>
      </c>
      <c r="AZ25" s="23">
        <f>SUMIFS(ActBS!AL$6:AL$164,ActBS!$A$6:$A$164,$D25)</f>
        <v>2000000</v>
      </c>
      <c r="BA25" s="23">
        <f>SUMIFS(ActBS!AM$6:AM$164,ActBS!$A$6:$A$164,$D25)</f>
        <v>2000000</v>
      </c>
      <c r="BB25" s="23">
        <f>SUMIFS(ActBS!AN$6:AN$164,ActBS!$A$6:$A$164,$D25)</f>
        <v>2000000</v>
      </c>
      <c r="BC25" s="23">
        <f>SUMIFS(ActBS!AO$6:AO$164,ActBS!$A$6:$A$164,$D25)</f>
        <v>2000000</v>
      </c>
      <c r="BD25" s="23">
        <f>SUMIFS(ActBS!AP$6:AP$164,ActBS!$A$6:$A$164,$D25)</f>
        <v>2000000</v>
      </c>
      <c r="BE25" s="23">
        <f>SUMIFS(ActBS!AQ$6:AQ$164,ActBS!$A$6:$A$164,$D25)</f>
        <v>2000000</v>
      </c>
      <c r="BF25" s="23">
        <f>SUMIFS(ActBS!AR$6:AR$164,ActBS!$A$6:$A$164,$D25)</f>
        <v>2000000</v>
      </c>
      <c r="BG25" s="23">
        <f>SUMIFS(ActBS!AS$6:AS$164,ActBS!$A$6:$A$164,$D25)</f>
        <v>2000000</v>
      </c>
      <c r="BH25" s="23">
        <f>SUMIFS(ActBS!AT$6:AT$164,ActBS!$A$6:$A$164,$D25)</f>
        <v>2000000</v>
      </c>
      <c r="BI25" s="23">
        <f>SUMIFS(ActBS!AU$6:AU$164,ActBS!$A$6:$A$164,$D25)</f>
        <v>2000000</v>
      </c>
      <c r="BJ25" s="23">
        <f>SUMIFS(ActBS!AV$6:AV$164,ActBS!$A$6:$A$164,$D25)</f>
        <v>2000000</v>
      </c>
      <c r="BK25" s="23">
        <f>SUMIFS(ActBS!AW$6:AW$164,ActBS!$A$6:$A$164,$D25)</f>
        <v>2000000</v>
      </c>
      <c r="BL25" s="23">
        <f>SUMIFS(ActBS!AX$6:AX$164,ActBS!$A$6:$A$164,$D25)</f>
        <v>2000000</v>
      </c>
      <c r="BM25" s="23">
        <f>SUMIFS(ActBS!AY$6:AY$164,ActBS!$A$6:$A$164,$D25)</f>
        <v>2000000</v>
      </c>
      <c r="BN25" s="23">
        <f>SUMIFS(ActBS!AZ$6:AZ$164,ActBS!$A$6:$A$164,$D25)</f>
        <v>2000000</v>
      </c>
      <c r="BO25" s="23">
        <f>SUMIFS(ActBS!BA$6:BA$164,ActBS!$A$6:$A$164,$D25)</f>
        <v>2000000</v>
      </c>
      <c r="BP25" s="23">
        <f>SUMIFS(ActBS!BB$6:BB$164,ActBS!$A$6:$A$164,$D25)</f>
        <v>2000000</v>
      </c>
      <c r="BQ25" s="23">
        <f>SUMIFS(ActBS!BC$6:BC$164,ActBS!$A$6:$A$164,$D25)</f>
        <v>2000000</v>
      </c>
      <c r="BR25" s="23">
        <f>SUMIFS(ActBS!BD$6:BD$164,ActBS!$A$6:$A$164,$D25)</f>
        <v>2000000</v>
      </c>
      <c r="BS25" s="23">
        <f>SUMIFS(ActBS!BE$6:BE$164,ActBS!$A$6:$A$164,$D25)</f>
        <v>2000000</v>
      </c>
      <c r="BT25" s="23">
        <f>SUMIFS(ActBS!BF$6:BF$164,ActBS!$A$6:$A$164,$D25)</f>
        <v>2000000</v>
      </c>
      <c r="BU25" s="23">
        <f>SUMIFS(ActBS!BG$6:BG$164,ActBS!$A$6:$A$164,$D25)</f>
        <v>2000000</v>
      </c>
      <c r="BV25" s="23">
        <f>SUMIFS(ActBS!BH$6:BH$164,ActBS!$A$6:$A$164,$D25)</f>
        <v>2000000</v>
      </c>
      <c r="BW25" s="23">
        <f>SUMIFS(ActBS!BI$6:BI$164,ActBS!$A$6:$A$164,$D25)</f>
        <v>2000000</v>
      </c>
      <c r="BX25" s="23">
        <f>SUMIFS(ActBS!BJ$6:BJ$164,ActBS!$A$6:$A$164,$D25)</f>
        <v>2000000</v>
      </c>
      <c r="BY25" s="23">
        <f>SUMIFS(ActBS!BK$6:BK$164,ActBS!$A$6:$A$164,$D25)</f>
        <v>2000000</v>
      </c>
      <c r="BZ25" s="23">
        <f>SUMIFS(ActBS!BL$6:BL$164,ActBS!$A$6:$A$164,$D25)</f>
        <v>2000000</v>
      </c>
      <c r="CA25" s="23">
        <f>SUMIFS(ActBS!BM$6:BM$164,ActBS!$A$6:$A$164,$D25)</f>
        <v>2000000</v>
      </c>
      <c r="CB25" s="23">
        <f>SUMIFS(ActBS!BN$6:BN$164,ActBS!$A$6:$A$164,$D25)</f>
        <v>2000000</v>
      </c>
      <c r="CC25" s="23">
        <f>SUMIFS(ActBS!BO$6:BO$164,ActBS!$A$6:$A$164,$D25)</f>
        <v>2000000</v>
      </c>
      <c r="CD25" s="23">
        <f>SUMIFS(ActBS!BP$6:BP$164,ActBS!$A$6:$A$164,$D25)</f>
        <v>2000000</v>
      </c>
      <c r="CE25" s="23">
        <f>SUMIFS(ActBS!BQ$6:BQ$164,ActBS!$A$6:$A$164,$D25)</f>
        <v>2000000</v>
      </c>
      <c r="CF25" s="23">
        <f>SUMIFS(ActBS!BR$6:BR$164,ActBS!$A$6:$A$164,$D25)</f>
        <v>0</v>
      </c>
      <c r="CG25" s="23">
        <f>SUMIFS(ActBS!BS$6:BS$164,ActBS!$A$6:$A$164,$D25)</f>
        <v>0</v>
      </c>
      <c r="CH25" s="23">
        <f>SUMIFS(ActBS!BT$6:BT$164,ActBS!$A$6:$A$164,$D25)</f>
        <v>0</v>
      </c>
      <c r="CI25" s="23">
        <f>SUMIFS(ActBS!BU$6:BU$164,ActBS!$A$6:$A$164,$D25)</f>
        <v>0</v>
      </c>
      <c r="CJ25" s="23">
        <f>SUMIFS(ActBS!BV$6:BV$164,ActBS!$A$6:$A$164,$D25)</f>
        <v>0</v>
      </c>
      <c r="CK25" s="23">
        <f>SUMIFS(ActBS!BW$6:BW$164,ActBS!$A$6:$A$164,$D25)</f>
        <v>0</v>
      </c>
      <c r="CL25" s="23">
        <f>SUMIFS(ActBS!BX$6:BX$164,ActBS!$A$6:$A$164,$D25)</f>
        <v>0</v>
      </c>
      <c r="CM25" s="23">
        <f>SUMIFS(ActBS!BY$6:BY$164,ActBS!$A$6:$A$164,$D25)</f>
        <v>0</v>
      </c>
      <c r="CN25" s="23">
        <f>SUMIFS(ActBS!BZ$6:BZ$164,ActBS!$A$6:$A$164,$D25)</f>
        <v>0</v>
      </c>
      <c r="CO25" s="23">
        <f>SUMIFS(ActBS!CA$6:CA$164,ActBS!$A$6:$A$164,$D25)</f>
        <v>0</v>
      </c>
      <c r="CP25" s="23">
        <f>SUMIFS(ActBS!CB$6:CB$164,ActBS!$A$6:$A$164,$D25)</f>
        <v>0</v>
      </c>
      <c r="CQ25" s="23">
        <f>SUMIFS(ActBS!CC$6:CC$164,ActBS!$A$6:$A$164,$D25)</f>
        <v>0</v>
      </c>
      <c r="CR25" s="23">
        <f>SUMIFS(ActBS!CD$6:CD$164,ActBS!$A$6:$A$164,$D25)</f>
        <v>0</v>
      </c>
      <c r="CS25" s="23">
        <f>SUMIFS(ActBS!CE$6:CE$164,ActBS!$A$6:$A$164,$D25)</f>
        <v>0</v>
      </c>
      <c r="CT25" s="23">
        <f>SUMIFS(ActBS!CF$6:CF$164,ActBS!$A$6:$A$164,$D25)</f>
        <v>0</v>
      </c>
      <c r="CU25" s="23">
        <f>SUMIFS(ActBS!CG$6:CG$164,ActBS!$A$6:$A$164,$D25)</f>
        <v>0</v>
      </c>
      <c r="CV25" s="23">
        <f>SUMIFS(ActBS!CH$6:CH$164,ActBS!$A$6:$A$164,$D25)</f>
        <v>0</v>
      </c>
      <c r="CW25" s="23">
        <f>SUMIFS(ActBS!CI$6:CI$164,ActBS!$A$6:$A$164,$D25)</f>
        <v>0</v>
      </c>
      <c r="CX25" s="23">
        <f>SUMIFS(ActBS!CJ$6:CJ$164,ActBS!$A$6:$A$164,$D25)</f>
        <v>0</v>
      </c>
      <c r="CY25" s="23">
        <f>SUMIFS(ActBS!CK$6:CK$164,ActBS!$A$6:$A$164,$D25)</f>
        <v>0</v>
      </c>
      <c r="CZ25" s="23">
        <f>SUMIFS(ActBS!CL$6:CL$164,ActBS!$A$6:$A$164,$D25)</f>
        <v>0</v>
      </c>
    </row>
    <row r="26" spans="4:104" x14ac:dyDescent="0.25">
      <c r="D26" s="6" t="s">
        <v>7</v>
      </c>
      <c r="F26" s="23">
        <f t="shared" si="74"/>
        <v>3250000</v>
      </c>
      <c r="G26" s="23">
        <f>AN26</f>
        <v>3250000</v>
      </c>
      <c r="H26" s="23">
        <f>AZ26</f>
        <v>3250000</v>
      </c>
      <c r="I26" s="23">
        <f>BL26</f>
        <v>3250000</v>
      </c>
      <c r="J26" s="23">
        <f t="shared" si="75"/>
        <v>3250000</v>
      </c>
      <c r="K26" s="23">
        <f t="shared" si="76"/>
        <v>3250000</v>
      </c>
      <c r="L26" s="23">
        <f t="shared" si="77"/>
        <v>3250000</v>
      </c>
      <c r="M26" s="21"/>
      <c r="N26" s="21"/>
      <c r="O26" s="21"/>
      <c r="P26" s="21"/>
      <c r="Q26" s="23">
        <f>SUMIFS(ActBS!C$6:C$164,ActBS!$A$6:$A$164,$D26)</f>
        <v>0</v>
      </c>
      <c r="R26" s="23">
        <f>SUMIFS(ActBS!D$6:D$164,ActBS!$A$6:$A$164,$D26)</f>
        <v>0</v>
      </c>
      <c r="S26" s="23">
        <f>SUMIFS(ActBS!E$6:E$164,ActBS!$A$6:$A$164,$D26)</f>
        <v>0</v>
      </c>
      <c r="T26" s="23">
        <f>SUMIFS(ActBS!F$6:F$164,ActBS!$A$6:$A$164,$D26)</f>
        <v>0</v>
      </c>
      <c r="U26" s="23">
        <f>SUMIFS(ActBS!G$6:G$164,ActBS!$A$6:$A$164,$D26)</f>
        <v>0</v>
      </c>
      <c r="V26" s="23">
        <f>SUMIFS(ActBS!H$6:H$164,ActBS!$A$6:$A$164,$D26)</f>
        <v>0</v>
      </c>
      <c r="W26" s="23">
        <f>SUMIFS(ActBS!I$6:I$164,ActBS!$A$6:$A$164,$D26)</f>
        <v>0</v>
      </c>
      <c r="X26" s="23">
        <f>SUMIFS(ActBS!J$6:J$164,ActBS!$A$6:$A$164,$D26)</f>
        <v>3250000</v>
      </c>
      <c r="Y26" s="23">
        <f>SUMIFS(ActBS!K$6:K$164,ActBS!$A$6:$A$164,$D26)</f>
        <v>3250000</v>
      </c>
      <c r="Z26" s="23">
        <f>SUMIFS(ActBS!L$6:L$164,ActBS!$A$6:$A$164,$D26)</f>
        <v>3250000</v>
      </c>
      <c r="AA26" s="23">
        <f>SUMIFS(ActBS!M$6:M$164,ActBS!$A$6:$A$164,$D26)</f>
        <v>3250000</v>
      </c>
      <c r="AB26" s="23">
        <f>SUMIFS(ActBS!N$6:N$164,ActBS!$A$6:$A$164,$D26)</f>
        <v>3250000</v>
      </c>
      <c r="AC26" s="23">
        <f>SUMIFS(ActBS!O$6:O$164,ActBS!$A$6:$A$164,$D26)</f>
        <v>3250000</v>
      </c>
      <c r="AD26" s="23">
        <f>SUMIFS(ActBS!P$6:P$164,ActBS!$A$6:$A$164,$D26)</f>
        <v>3250000</v>
      </c>
      <c r="AE26" s="23">
        <f>SUMIFS(ActBS!Q$6:Q$164,ActBS!$A$6:$A$164,$D26)</f>
        <v>3250000</v>
      </c>
      <c r="AF26" s="23">
        <f>SUMIFS(ActBS!R$6:R$164,ActBS!$A$6:$A$164,$D26)</f>
        <v>3250000</v>
      </c>
      <c r="AG26" s="23">
        <f>SUMIFS(ActBS!S$6:S$164,ActBS!$A$6:$A$164,$D26)</f>
        <v>3250000</v>
      </c>
      <c r="AH26" s="23">
        <f>SUMIFS(ActBS!T$6:T$164,ActBS!$A$6:$A$164,$D26)</f>
        <v>3250000</v>
      </c>
      <c r="AI26" s="23">
        <f>SUMIFS(ActBS!U$6:U$164,ActBS!$A$6:$A$164,$D26)</f>
        <v>3250000</v>
      </c>
      <c r="AJ26" s="23">
        <f>SUMIFS(ActBS!V$6:V$164,ActBS!$A$6:$A$164,$D26)</f>
        <v>3250000</v>
      </c>
      <c r="AK26" s="23">
        <f>SUMIFS(ActBS!W$6:W$164,ActBS!$A$6:$A$164,$D26)</f>
        <v>3250000</v>
      </c>
      <c r="AL26" s="23">
        <f>SUMIFS(ActBS!X$6:X$164,ActBS!$A$6:$A$164,$D26)</f>
        <v>3250000</v>
      </c>
      <c r="AM26" s="23">
        <f>SUMIFS(ActBS!Y$6:Y$164,ActBS!$A$6:$A$164,$D26)</f>
        <v>3250000</v>
      </c>
      <c r="AN26" s="23">
        <f>SUMIFS(ActBS!Z$6:Z$164,ActBS!$A$6:$A$164,$D26)</f>
        <v>3250000</v>
      </c>
      <c r="AO26" s="23">
        <f>SUMIFS(ActBS!AA$6:AA$164,ActBS!$A$6:$A$164,$D26)</f>
        <v>3250000</v>
      </c>
      <c r="AP26" s="23">
        <f>SUMIFS(ActBS!AB$6:AB$164,ActBS!$A$6:$A$164,$D26)</f>
        <v>3250000</v>
      </c>
      <c r="AQ26" s="23">
        <f>SUMIFS(ActBS!AC$6:AC$164,ActBS!$A$6:$A$164,$D26)</f>
        <v>3250000</v>
      </c>
      <c r="AR26" s="23">
        <f>SUMIFS(ActBS!AD$6:AD$164,ActBS!$A$6:$A$164,$D26)</f>
        <v>3250000</v>
      </c>
      <c r="AS26" s="23">
        <f>SUMIFS(ActBS!AE$6:AE$164,ActBS!$A$6:$A$164,$D26)</f>
        <v>3250000</v>
      </c>
      <c r="AT26" s="23">
        <f>SUMIFS(ActBS!AF$6:AF$164,ActBS!$A$6:$A$164,$D26)</f>
        <v>3250000</v>
      </c>
      <c r="AU26" s="23">
        <f>SUMIFS(ActBS!AG$6:AG$164,ActBS!$A$6:$A$164,$D26)</f>
        <v>3250000</v>
      </c>
      <c r="AV26" s="23">
        <f>SUMIFS(ActBS!AH$6:AH$164,ActBS!$A$6:$A$164,$D26)</f>
        <v>3250000</v>
      </c>
      <c r="AW26" s="23">
        <f>SUMIFS(ActBS!AI$6:AI$164,ActBS!$A$6:$A$164,$D26)</f>
        <v>3250000</v>
      </c>
      <c r="AX26" s="23">
        <f>SUMIFS(ActBS!AJ$6:AJ$164,ActBS!$A$6:$A$164,$D26)</f>
        <v>3250000</v>
      </c>
      <c r="AY26" s="23">
        <f>SUMIFS(ActBS!AK$6:AK$164,ActBS!$A$6:$A$164,$D26)</f>
        <v>3250000</v>
      </c>
      <c r="AZ26" s="23">
        <f>SUMIFS(ActBS!AL$6:AL$164,ActBS!$A$6:$A$164,$D26)</f>
        <v>3250000</v>
      </c>
      <c r="BA26" s="23">
        <f>SUMIFS(ActBS!AM$6:AM$164,ActBS!$A$6:$A$164,$D26)</f>
        <v>3250000</v>
      </c>
      <c r="BB26" s="23">
        <f>SUMIFS(ActBS!AN$6:AN$164,ActBS!$A$6:$A$164,$D26)</f>
        <v>3250000</v>
      </c>
      <c r="BC26" s="23">
        <f>SUMIFS(ActBS!AO$6:AO$164,ActBS!$A$6:$A$164,$D26)</f>
        <v>3250000</v>
      </c>
      <c r="BD26" s="23">
        <f>SUMIFS(ActBS!AP$6:AP$164,ActBS!$A$6:$A$164,$D26)</f>
        <v>3250000</v>
      </c>
      <c r="BE26" s="23">
        <f>SUMIFS(ActBS!AQ$6:AQ$164,ActBS!$A$6:$A$164,$D26)</f>
        <v>3250000</v>
      </c>
      <c r="BF26" s="23">
        <f>SUMIFS(ActBS!AR$6:AR$164,ActBS!$A$6:$A$164,$D26)</f>
        <v>3250000</v>
      </c>
      <c r="BG26" s="23">
        <f>SUMIFS(ActBS!AS$6:AS$164,ActBS!$A$6:$A$164,$D26)</f>
        <v>3250000</v>
      </c>
      <c r="BH26" s="23">
        <f>SUMIFS(ActBS!AT$6:AT$164,ActBS!$A$6:$A$164,$D26)</f>
        <v>3250000</v>
      </c>
      <c r="BI26" s="23">
        <f>SUMIFS(ActBS!AU$6:AU$164,ActBS!$A$6:$A$164,$D26)</f>
        <v>3250000</v>
      </c>
      <c r="BJ26" s="23">
        <f>SUMIFS(ActBS!AV$6:AV$164,ActBS!$A$6:$A$164,$D26)</f>
        <v>3250000</v>
      </c>
      <c r="BK26" s="23">
        <f>SUMIFS(ActBS!AW$6:AW$164,ActBS!$A$6:$A$164,$D26)</f>
        <v>3250000</v>
      </c>
      <c r="BL26" s="23">
        <f>SUMIFS(ActBS!AX$6:AX$164,ActBS!$A$6:$A$164,$D26)</f>
        <v>3250000</v>
      </c>
      <c r="BM26" s="23">
        <f>SUMIFS(ActBS!AY$6:AY$164,ActBS!$A$6:$A$164,$D26)</f>
        <v>3250000</v>
      </c>
      <c r="BN26" s="23">
        <f>SUMIFS(ActBS!AZ$6:AZ$164,ActBS!$A$6:$A$164,$D26)</f>
        <v>3250000</v>
      </c>
      <c r="BO26" s="23">
        <f>SUMIFS(ActBS!BA$6:BA$164,ActBS!$A$6:$A$164,$D26)</f>
        <v>3250000</v>
      </c>
      <c r="BP26" s="23">
        <f>SUMIFS(ActBS!BB$6:BB$164,ActBS!$A$6:$A$164,$D26)</f>
        <v>3250000</v>
      </c>
      <c r="BQ26" s="23">
        <f>SUMIFS(ActBS!BC$6:BC$164,ActBS!$A$6:$A$164,$D26)</f>
        <v>3250000</v>
      </c>
      <c r="BR26" s="23">
        <f>SUMIFS(ActBS!BD$6:BD$164,ActBS!$A$6:$A$164,$D26)</f>
        <v>3250000</v>
      </c>
      <c r="BS26" s="23">
        <f>SUMIFS(ActBS!BE$6:BE$164,ActBS!$A$6:$A$164,$D26)</f>
        <v>3250000</v>
      </c>
      <c r="BT26" s="23">
        <f>SUMIFS(ActBS!BF$6:BF$164,ActBS!$A$6:$A$164,$D26)</f>
        <v>3250000</v>
      </c>
      <c r="BU26" s="23">
        <f>SUMIFS(ActBS!BG$6:BG$164,ActBS!$A$6:$A$164,$D26)</f>
        <v>3250000</v>
      </c>
      <c r="BV26" s="23">
        <f>SUMIFS(ActBS!BH$6:BH$164,ActBS!$A$6:$A$164,$D26)</f>
        <v>3250000</v>
      </c>
      <c r="BW26" s="23">
        <f>SUMIFS(ActBS!BI$6:BI$164,ActBS!$A$6:$A$164,$D26)</f>
        <v>3250000</v>
      </c>
      <c r="BX26" s="23">
        <f>SUMIFS(ActBS!BJ$6:BJ$164,ActBS!$A$6:$A$164,$D26)</f>
        <v>3250000</v>
      </c>
      <c r="BY26" s="23">
        <f>SUMIFS(ActBS!BK$6:BK$164,ActBS!$A$6:$A$164,$D26)</f>
        <v>3250000</v>
      </c>
      <c r="BZ26" s="23">
        <f>SUMIFS(ActBS!BL$6:BL$164,ActBS!$A$6:$A$164,$D26)</f>
        <v>3250000</v>
      </c>
      <c r="CA26" s="23">
        <f>SUMIFS(ActBS!BM$6:BM$164,ActBS!$A$6:$A$164,$D26)</f>
        <v>3250000</v>
      </c>
      <c r="CB26" s="23">
        <f>SUMIFS(ActBS!BN$6:BN$164,ActBS!$A$6:$A$164,$D26)</f>
        <v>3250000</v>
      </c>
      <c r="CC26" s="23">
        <f>SUMIFS(ActBS!BO$6:BO$164,ActBS!$A$6:$A$164,$D26)</f>
        <v>3250000</v>
      </c>
      <c r="CD26" s="23">
        <f>SUMIFS(ActBS!BP$6:BP$164,ActBS!$A$6:$A$164,$D26)</f>
        <v>3250000</v>
      </c>
      <c r="CE26" s="23">
        <f>SUMIFS(ActBS!BQ$6:BQ$164,ActBS!$A$6:$A$164,$D26)</f>
        <v>3250000</v>
      </c>
      <c r="CF26" s="23">
        <f>SUMIFS(ActBS!BR$6:BR$164,ActBS!$A$6:$A$164,$D26)</f>
        <v>3250000</v>
      </c>
      <c r="CG26" s="23">
        <f>SUMIFS(ActBS!BS$6:BS$164,ActBS!$A$6:$A$164,$D26)</f>
        <v>3250000</v>
      </c>
      <c r="CH26" s="23">
        <f>SUMIFS(ActBS!BT$6:BT$164,ActBS!$A$6:$A$164,$D26)</f>
        <v>3250000</v>
      </c>
      <c r="CI26" s="23">
        <f>SUMIFS(ActBS!BU$6:BU$164,ActBS!$A$6:$A$164,$D26)</f>
        <v>3250000</v>
      </c>
      <c r="CJ26" s="23">
        <f>SUMIFS(ActBS!BV$6:BV$164,ActBS!$A$6:$A$164,$D26)</f>
        <v>3250000</v>
      </c>
      <c r="CK26" s="23">
        <f>SUMIFS(ActBS!BW$6:BW$164,ActBS!$A$6:$A$164,$D26)</f>
        <v>3250000</v>
      </c>
      <c r="CL26" s="23">
        <f>SUMIFS(ActBS!BX$6:BX$164,ActBS!$A$6:$A$164,$D26)</f>
        <v>3250000</v>
      </c>
      <c r="CM26" s="23">
        <f>SUMIFS(ActBS!BY$6:BY$164,ActBS!$A$6:$A$164,$D26)</f>
        <v>3250000</v>
      </c>
      <c r="CN26" s="23">
        <f>SUMIFS(ActBS!BZ$6:BZ$164,ActBS!$A$6:$A$164,$D26)</f>
        <v>3250000</v>
      </c>
      <c r="CO26" s="23">
        <f>SUMIFS(ActBS!CA$6:CA$164,ActBS!$A$6:$A$164,$D26)</f>
        <v>3250000</v>
      </c>
      <c r="CP26" s="23">
        <f>SUMIFS(ActBS!CB$6:CB$164,ActBS!$A$6:$A$164,$D26)</f>
        <v>3250000</v>
      </c>
      <c r="CQ26" s="23">
        <f>SUMIFS(ActBS!CC$6:CC$164,ActBS!$A$6:$A$164,$D26)</f>
        <v>3250000</v>
      </c>
      <c r="CR26" s="23">
        <f>SUMIFS(ActBS!CD$6:CD$164,ActBS!$A$6:$A$164,$D26)</f>
        <v>3250000</v>
      </c>
      <c r="CS26" s="23">
        <f>SUMIFS(ActBS!CE$6:CE$164,ActBS!$A$6:$A$164,$D26)</f>
        <v>3250000</v>
      </c>
      <c r="CT26" s="23">
        <f>SUMIFS(ActBS!CF$6:CF$164,ActBS!$A$6:$A$164,$D26)</f>
        <v>3250000</v>
      </c>
      <c r="CU26" s="23">
        <f>SUMIFS(ActBS!CG$6:CG$164,ActBS!$A$6:$A$164,$D26)</f>
        <v>3250000</v>
      </c>
      <c r="CV26" s="23">
        <f>SUMIFS(ActBS!CH$6:CH$164,ActBS!$A$6:$A$164,$D26)</f>
        <v>3250000</v>
      </c>
      <c r="CW26" s="23">
        <f>SUMIFS(ActBS!CI$6:CI$164,ActBS!$A$6:$A$164,$D26)</f>
        <v>0</v>
      </c>
      <c r="CX26" s="23">
        <f>SUMIFS(ActBS!CJ$6:CJ$164,ActBS!$A$6:$A$164,$D26)</f>
        <v>0</v>
      </c>
      <c r="CY26" s="23">
        <f>SUMIFS(ActBS!CK$6:CK$164,ActBS!$A$6:$A$164,$D26)</f>
        <v>0</v>
      </c>
      <c r="CZ26" s="23">
        <f>SUMIFS(ActBS!CL$6:CL$164,ActBS!$A$6:$A$164,$D26)</f>
        <v>0</v>
      </c>
    </row>
    <row r="27" spans="4:104" x14ac:dyDescent="0.25">
      <c r="D27" s="6" t="s">
        <v>8</v>
      </c>
      <c r="F27" s="23">
        <f t="shared" si="74"/>
        <v>42500</v>
      </c>
      <c r="G27" s="23">
        <f>AN27</f>
        <v>42500</v>
      </c>
      <c r="H27" s="23">
        <f>AZ27</f>
        <v>42500</v>
      </c>
      <c r="I27" s="23">
        <f>BL27</f>
        <v>42500</v>
      </c>
      <c r="J27" s="23">
        <f t="shared" si="75"/>
        <v>42500</v>
      </c>
      <c r="K27" s="23">
        <f t="shared" si="76"/>
        <v>42500</v>
      </c>
      <c r="L27" s="23">
        <f t="shared" si="77"/>
        <v>42500</v>
      </c>
      <c r="M27" s="21"/>
      <c r="N27" s="21"/>
      <c r="O27" s="21"/>
      <c r="P27" s="21"/>
      <c r="Q27" s="23">
        <f>SUMIFS(ActBS!C$6:C$164,ActBS!$A$6:$A$164,$D27)</f>
        <v>35000</v>
      </c>
      <c r="R27" s="23">
        <f>SUMIFS(ActBS!D$6:D$164,ActBS!$A$6:$A$164,$D27)</f>
        <v>35000</v>
      </c>
      <c r="S27" s="23">
        <f>SUMIFS(ActBS!E$6:E$164,ActBS!$A$6:$A$164,$D27)</f>
        <v>35000</v>
      </c>
      <c r="T27" s="23">
        <f>SUMIFS(ActBS!F$6:F$164,ActBS!$A$6:$A$164,$D27)</f>
        <v>35000</v>
      </c>
      <c r="U27" s="23">
        <f>SUMIFS(ActBS!G$6:G$164,ActBS!$A$6:$A$164,$D27)</f>
        <v>42500</v>
      </c>
      <c r="V27" s="23">
        <f>SUMIFS(ActBS!H$6:H$164,ActBS!$A$6:$A$164,$D27)</f>
        <v>42500</v>
      </c>
      <c r="W27" s="23">
        <f>SUMIFS(ActBS!I$6:I$164,ActBS!$A$6:$A$164,$D27)</f>
        <v>42500</v>
      </c>
      <c r="X27" s="23">
        <f>SUMIFS(ActBS!J$6:J$164,ActBS!$A$6:$A$164,$D27)</f>
        <v>42500</v>
      </c>
      <c r="Y27" s="23">
        <f>SUMIFS(ActBS!K$6:K$164,ActBS!$A$6:$A$164,$D27)</f>
        <v>42500</v>
      </c>
      <c r="Z27" s="23">
        <f>SUMIFS(ActBS!L$6:L$164,ActBS!$A$6:$A$164,$D27)</f>
        <v>42500</v>
      </c>
      <c r="AA27" s="23">
        <f>SUMIFS(ActBS!M$6:M$164,ActBS!$A$6:$A$164,$D27)</f>
        <v>42500</v>
      </c>
      <c r="AB27" s="23">
        <f>SUMIFS(ActBS!N$6:N$164,ActBS!$A$6:$A$164,$D27)</f>
        <v>42500</v>
      </c>
      <c r="AC27" s="23">
        <f>SUMIFS(ActBS!O$6:O$164,ActBS!$A$6:$A$164,$D27)</f>
        <v>42500</v>
      </c>
      <c r="AD27" s="23">
        <f>SUMIFS(ActBS!P$6:P$164,ActBS!$A$6:$A$164,$D27)</f>
        <v>42500</v>
      </c>
      <c r="AE27" s="23">
        <f>SUMIFS(ActBS!Q$6:Q$164,ActBS!$A$6:$A$164,$D27)</f>
        <v>42500</v>
      </c>
      <c r="AF27" s="23">
        <f>SUMIFS(ActBS!R$6:R$164,ActBS!$A$6:$A$164,$D27)</f>
        <v>42500</v>
      </c>
      <c r="AG27" s="23">
        <f>SUMIFS(ActBS!S$6:S$164,ActBS!$A$6:$A$164,$D27)</f>
        <v>42500</v>
      </c>
      <c r="AH27" s="23">
        <f>SUMIFS(ActBS!T$6:T$164,ActBS!$A$6:$A$164,$D27)</f>
        <v>42500</v>
      </c>
      <c r="AI27" s="23">
        <f>SUMIFS(ActBS!U$6:U$164,ActBS!$A$6:$A$164,$D27)</f>
        <v>42500</v>
      </c>
      <c r="AJ27" s="23">
        <f>SUMIFS(ActBS!V$6:V$164,ActBS!$A$6:$A$164,$D27)</f>
        <v>42500</v>
      </c>
      <c r="AK27" s="23">
        <f>SUMIFS(ActBS!W$6:W$164,ActBS!$A$6:$A$164,$D27)</f>
        <v>42500</v>
      </c>
      <c r="AL27" s="23">
        <f>SUMIFS(ActBS!X$6:X$164,ActBS!$A$6:$A$164,$D27)</f>
        <v>42500</v>
      </c>
      <c r="AM27" s="23">
        <f>SUMIFS(ActBS!Y$6:Y$164,ActBS!$A$6:$A$164,$D27)</f>
        <v>42500</v>
      </c>
      <c r="AN27" s="23">
        <f>SUMIFS(ActBS!Z$6:Z$164,ActBS!$A$6:$A$164,$D27)</f>
        <v>42500</v>
      </c>
      <c r="AO27" s="23">
        <f>SUMIFS(ActBS!AA$6:AA$164,ActBS!$A$6:$A$164,$D27)</f>
        <v>42500</v>
      </c>
      <c r="AP27" s="23">
        <f>SUMIFS(ActBS!AB$6:AB$164,ActBS!$A$6:$A$164,$D27)</f>
        <v>42500</v>
      </c>
      <c r="AQ27" s="23">
        <f>SUMIFS(ActBS!AC$6:AC$164,ActBS!$A$6:$A$164,$D27)</f>
        <v>42500</v>
      </c>
      <c r="AR27" s="23">
        <f>SUMIFS(ActBS!AD$6:AD$164,ActBS!$A$6:$A$164,$D27)</f>
        <v>42500</v>
      </c>
      <c r="AS27" s="23">
        <f>SUMIFS(ActBS!AE$6:AE$164,ActBS!$A$6:$A$164,$D27)</f>
        <v>42500</v>
      </c>
      <c r="AT27" s="23">
        <f>SUMIFS(ActBS!AF$6:AF$164,ActBS!$A$6:$A$164,$D27)</f>
        <v>42500</v>
      </c>
      <c r="AU27" s="23">
        <f>SUMIFS(ActBS!AG$6:AG$164,ActBS!$A$6:$A$164,$D27)</f>
        <v>42500</v>
      </c>
      <c r="AV27" s="23">
        <f>SUMIFS(ActBS!AH$6:AH$164,ActBS!$A$6:$A$164,$D27)</f>
        <v>42500</v>
      </c>
      <c r="AW27" s="23">
        <f>SUMIFS(ActBS!AI$6:AI$164,ActBS!$A$6:$A$164,$D27)</f>
        <v>42500</v>
      </c>
      <c r="AX27" s="23">
        <f>SUMIFS(ActBS!AJ$6:AJ$164,ActBS!$A$6:$A$164,$D27)</f>
        <v>42500</v>
      </c>
      <c r="AY27" s="23">
        <f>SUMIFS(ActBS!AK$6:AK$164,ActBS!$A$6:$A$164,$D27)</f>
        <v>42500</v>
      </c>
      <c r="AZ27" s="23">
        <f>SUMIFS(ActBS!AL$6:AL$164,ActBS!$A$6:$A$164,$D27)</f>
        <v>42500</v>
      </c>
      <c r="BA27" s="23">
        <f>SUMIFS(ActBS!AM$6:AM$164,ActBS!$A$6:$A$164,$D27)</f>
        <v>42500</v>
      </c>
      <c r="BB27" s="23">
        <f>SUMIFS(ActBS!AN$6:AN$164,ActBS!$A$6:$A$164,$D27)</f>
        <v>42500</v>
      </c>
      <c r="BC27" s="23">
        <f>SUMIFS(ActBS!AO$6:AO$164,ActBS!$A$6:$A$164,$D27)</f>
        <v>42500</v>
      </c>
      <c r="BD27" s="23">
        <f>SUMIFS(ActBS!AP$6:AP$164,ActBS!$A$6:$A$164,$D27)</f>
        <v>42500</v>
      </c>
      <c r="BE27" s="23">
        <f>SUMIFS(ActBS!AQ$6:AQ$164,ActBS!$A$6:$A$164,$D27)</f>
        <v>42500</v>
      </c>
      <c r="BF27" s="23">
        <f>SUMIFS(ActBS!AR$6:AR$164,ActBS!$A$6:$A$164,$D27)</f>
        <v>42500</v>
      </c>
      <c r="BG27" s="23">
        <f>SUMIFS(ActBS!AS$6:AS$164,ActBS!$A$6:$A$164,$D27)</f>
        <v>42500</v>
      </c>
      <c r="BH27" s="23">
        <f>SUMIFS(ActBS!AT$6:AT$164,ActBS!$A$6:$A$164,$D27)</f>
        <v>42500</v>
      </c>
      <c r="BI27" s="23">
        <f>SUMIFS(ActBS!AU$6:AU$164,ActBS!$A$6:$A$164,$D27)</f>
        <v>42500</v>
      </c>
      <c r="BJ27" s="23">
        <f>SUMIFS(ActBS!AV$6:AV$164,ActBS!$A$6:$A$164,$D27)</f>
        <v>42500</v>
      </c>
      <c r="BK27" s="23">
        <f>SUMIFS(ActBS!AW$6:AW$164,ActBS!$A$6:$A$164,$D27)</f>
        <v>42500</v>
      </c>
      <c r="BL27" s="23">
        <f>SUMIFS(ActBS!AX$6:AX$164,ActBS!$A$6:$A$164,$D27)</f>
        <v>42500</v>
      </c>
      <c r="BM27" s="23">
        <f>SUMIFS(ActBS!AY$6:AY$164,ActBS!$A$6:$A$164,$D27)</f>
        <v>42500</v>
      </c>
      <c r="BN27" s="23">
        <f>SUMIFS(ActBS!AZ$6:AZ$164,ActBS!$A$6:$A$164,$D27)</f>
        <v>42500</v>
      </c>
      <c r="BO27" s="23">
        <f>SUMIFS(ActBS!BA$6:BA$164,ActBS!$A$6:$A$164,$D27)</f>
        <v>42500</v>
      </c>
      <c r="BP27" s="23">
        <f>SUMIFS(ActBS!BB$6:BB$164,ActBS!$A$6:$A$164,$D27)</f>
        <v>42500</v>
      </c>
      <c r="BQ27" s="23">
        <f>SUMIFS(ActBS!BC$6:BC$164,ActBS!$A$6:$A$164,$D27)</f>
        <v>42500</v>
      </c>
      <c r="BR27" s="23">
        <f>SUMIFS(ActBS!BD$6:BD$164,ActBS!$A$6:$A$164,$D27)</f>
        <v>42500</v>
      </c>
      <c r="BS27" s="23">
        <f>SUMIFS(ActBS!BE$6:BE$164,ActBS!$A$6:$A$164,$D27)</f>
        <v>42500</v>
      </c>
      <c r="BT27" s="23">
        <f>SUMIFS(ActBS!BF$6:BF$164,ActBS!$A$6:$A$164,$D27)</f>
        <v>42500</v>
      </c>
      <c r="BU27" s="23">
        <f>SUMIFS(ActBS!BG$6:BG$164,ActBS!$A$6:$A$164,$D27)</f>
        <v>42500</v>
      </c>
      <c r="BV27" s="23">
        <f>SUMIFS(ActBS!BH$6:BH$164,ActBS!$A$6:$A$164,$D27)</f>
        <v>42500</v>
      </c>
      <c r="BW27" s="23">
        <f>SUMIFS(ActBS!BI$6:BI$164,ActBS!$A$6:$A$164,$D27)</f>
        <v>42500</v>
      </c>
      <c r="BX27" s="23">
        <f>SUMIFS(ActBS!BJ$6:BJ$164,ActBS!$A$6:$A$164,$D27)</f>
        <v>42500</v>
      </c>
      <c r="BY27" s="23">
        <f>SUMIFS(ActBS!BK$6:BK$164,ActBS!$A$6:$A$164,$D27)</f>
        <v>42500</v>
      </c>
      <c r="BZ27" s="23">
        <f>SUMIFS(ActBS!BL$6:BL$164,ActBS!$A$6:$A$164,$D27)</f>
        <v>42500</v>
      </c>
      <c r="CA27" s="23">
        <f>SUMIFS(ActBS!BM$6:BM$164,ActBS!$A$6:$A$164,$D27)</f>
        <v>42500</v>
      </c>
      <c r="CB27" s="23">
        <f>SUMIFS(ActBS!BN$6:BN$164,ActBS!$A$6:$A$164,$D27)</f>
        <v>42500</v>
      </c>
      <c r="CC27" s="23">
        <f>SUMIFS(ActBS!BO$6:BO$164,ActBS!$A$6:$A$164,$D27)</f>
        <v>42500</v>
      </c>
      <c r="CD27" s="23">
        <f>SUMIFS(ActBS!BP$6:BP$164,ActBS!$A$6:$A$164,$D27)</f>
        <v>42500</v>
      </c>
      <c r="CE27" s="23">
        <f>SUMIFS(ActBS!BQ$6:BQ$164,ActBS!$A$6:$A$164,$D27)</f>
        <v>42500</v>
      </c>
      <c r="CF27" s="23">
        <f>SUMIFS(ActBS!BR$6:BR$164,ActBS!$A$6:$A$164,$D27)</f>
        <v>42500</v>
      </c>
      <c r="CG27" s="23">
        <f>SUMIFS(ActBS!BS$6:BS$164,ActBS!$A$6:$A$164,$D27)</f>
        <v>42500</v>
      </c>
      <c r="CH27" s="23">
        <f>SUMIFS(ActBS!BT$6:BT$164,ActBS!$A$6:$A$164,$D27)</f>
        <v>42500</v>
      </c>
      <c r="CI27" s="23">
        <f>SUMIFS(ActBS!BU$6:BU$164,ActBS!$A$6:$A$164,$D27)</f>
        <v>42500</v>
      </c>
      <c r="CJ27" s="23">
        <f>SUMIFS(ActBS!BV$6:BV$164,ActBS!$A$6:$A$164,$D27)</f>
        <v>42500</v>
      </c>
      <c r="CK27" s="23">
        <f>SUMIFS(ActBS!BW$6:BW$164,ActBS!$A$6:$A$164,$D27)</f>
        <v>42500</v>
      </c>
      <c r="CL27" s="23">
        <f>SUMIFS(ActBS!BX$6:BX$164,ActBS!$A$6:$A$164,$D27)</f>
        <v>42500</v>
      </c>
      <c r="CM27" s="23">
        <f>SUMIFS(ActBS!BY$6:BY$164,ActBS!$A$6:$A$164,$D27)</f>
        <v>42500</v>
      </c>
      <c r="CN27" s="23">
        <f>SUMIFS(ActBS!BZ$6:BZ$164,ActBS!$A$6:$A$164,$D27)</f>
        <v>42500</v>
      </c>
      <c r="CO27" s="23">
        <f>SUMIFS(ActBS!CA$6:CA$164,ActBS!$A$6:$A$164,$D27)</f>
        <v>42500</v>
      </c>
      <c r="CP27" s="23">
        <f>SUMIFS(ActBS!CB$6:CB$164,ActBS!$A$6:$A$164,$D27)</f>
        <v>42500</v>
      </c>
      <c r="CQ27" s="23">
        <f>SUMIFS(ActBS!CC$6:CC$164,ActBS!$A$6:$A$164,$D27)</f>
        <v>42500</v>
      </c>
      <c r="CR27" s="23">
        <f>SUMIFS(ActBS!CD$6:CD$164,ActBS!$A$6:$A$164,$D27)</f>
        <v>42500</v>
      </c>
      <c r="CS27" s="23">
        <f>SUMIFS(ActBS!CE$6:CE$164,ActBS!$A$6:$A$164,$D27)</f>
        <v>42500</v>
      </c>
      <c r="CT27" s="23">
        <f>SUMIFS(ActBS!CF$6:CF$164,ActBS!$A$6:$A$164,$D27)</f>
        <v>42500</v>
      </c>
      <c r="CU27" s="23">
        <f>SUMIFS(ActBS!CG$6:CG$164,ActBS!$A$6:$A$164,$D27)</f>
        <v>42500</v>
      </c>
      <c r="CV27" s="23">
        <f>SUMIFS(ActBS!CH$6:CH$164,ActBS!$A$6:$A$164,$D27)</f>
        <v>42500</v>
      </c>
      <c r="CW27" s="23">
        <f>SUMIFS(ActBS!CI$6:CI$164,ActBS!$A$6:$A$164,$D27)</f>
        <v>0</v>
      </c>
      <c r="CX27" s="23">
        <f>SUMIFS(ActBS!CJ$6:CJ$164,ActBS!$A$6:$A$164,$D27)</f>
        <v>0</v>
      </c>
      <c r="CY27" s="23">
        <f>SUMIFS(ActBS!CK$6:CK$164,ActBS!$A$6:$A$164,$D27)</f>
        <v>0</v>
      </c>
      <c r="CZ27" s="23">
        <f>SUMIFS(ActBS!CL$6:CL$164,ActBS!$A$6:$A$164,$D27)</f>
        <v>0</v>
      </c>
    </row>
    <row r="28" spans="4:104" x14ac:dyDescent="0.25">
      <c r="D28" s="28" t="s">
        <v>9</v>
      </c>
      <c r="F28" s="24">
        <f t="shared" ref="F28" si="78">SUM(F23:F27)</f>
        <v>5671367.4500000002</v>
      </c>
      <c r="G28" s="24">
        <f t="shared" ref="G28" si="79">SUM(G23:G27)</f>
        <v>6766464.1416666666</v>
      </c>
      <c r="H28" s="24">
        <f t="shared" ref="H28" si="80">SUM(H23:H27)</f>
        <v>6206791.25</v>
      </c>
      <c r="I28" s="24">
        <f t="shared" ref="I28:K28" si="81">SUM(I23:I27)</f>
        <v>5745416.666666667</v>
      </c>
      <c r="J28" s="24">
        <f t="shared" si="81"/>
        <v>5087083.333333333</v>
      </c>
      <c r="K28" s="24">
        <f t="shared" si="81"/>
        <v>2977499.9999999981</v>
      </c>
      <c r="L28" s="24">
        <f t="shared" ref="L28" si="82">SUM(L23:L27)</f>
        <v>2444999.9999999944</v>
      </c>
      <c r="M28" s="21"/>
      <c r="N28" s="21"/>
      <c r="O28" s="21"/>
      <c r="P28" s="21"/>
      <c r="Q28" s="24">
        <f>SUM(Q23:Q27)</f>
        <v>306503.03999999998</v>
      </c>
      <c r="R28" s="24">
        <f t="shared" ref="R28:AB28" si="83">SUM(R23:R27)</f>
        <v>400702.42000000004</v>
      </c>
      <c r="S28" s="24">
        <f t="shared" si="83"/>
        <v>373948.59</v>
      </c>
      <c r="T28" s="24">
        <f t="shared" si="83"/>
        <v>373565.78</v>
      </c>
      <c r="U28" s="24">
        <f t="shared" si="83"/>
        <v>392518.56000000006</v>
      </c>
      <c r="V28" s="24">
        <f t="shared" si="83"/>
        <v>426523.08000000007</v>
      </c>
      <c r="W28" s="24">
        <f t="shared" si="83"/>
        <v>420989.79000000004</v>
      </c>
      <c r="X28" s="24">
        <f t="shared" si="83"/>
        <v>5658596.0899999999</v>
      </c>
      <c r="Y28" s="24">
        <f t="shared" si="83"/>
        <v>5713995.2599999998</v>
      </c>
      <c r="Z28" s="24">
        <f t="shared" si="83"/>
        <v>5697627.2200000007</v>
      </c>
      <c r="AA28" s="24">
        <f t="shared" si="83"/>
        <v>5691533.3300000001</v>
      </c>
      <c r="AB28" s="24">
        <f t="shared" si="83"/>
        <v>5671367.4500000002</v>
      </c>
      <c r="AC28" s="24">
        <f t="shared" ref="AC28:AX28" si="84">SUM(AC23:AC27)</f>
        <v>5655581.3062500004</v>
      </c>
      <c r="AD28" s="24">
        <f t="shared" si="84"/>
        <v>5639795.1624999996</v>
      </c>
      <c r="AE28" s="24">
        <f t="shared" si="84"/>
        <v>6021717.3520833328</v>
      </c>
      <c r="AF28" s="24">
        <f t="shared" si="84"/>
        <v>5988639.541666666</v>
      </c>
      <c r="AG28" s="24">
        <f t="shared" si="84"/>
        <v>5955561.7312500002</v>
      </c>
      <c r="AH28" s="24">
        <f t="shared" si="84"/>
        <v>5922483.9208333334</v>
      </c>
      <c r="AI28" s="24">
        <f t="shared" si="84"/>
        <v>5889406.1104166666</v>
      </c>
      <c r="AJ28" s="24">
        <f t="shared" si="84"/>
        <v>5856328.2999999998</v>
      </c>
      <c r="AK28" s="24">
        <f t="shared" si="84"/>
        <v>5823250.489583333</v>
      </c>
      <c r="AL28" s="24">
        <f t="shared" si="84"/>
        <v>6207047.6791666672</v>
      </c>
      <c r="AM28" s="24">
        <f t="shared" si="84"/>
        <v>6300174.6604166664</v>
      </c>
      <c r="AN28" s="24">
        <f t="shared" si="84"/>
        <v>6766464.1416666666</v>
      </c>
      <c r="AO28" s="24">
        <f t="shared" si="84"/>
        <v>6686213.6229166668</v>
      </c>
      <c r="AP28" s="24">
        <f t="shared" si="84"/>
        <v>6605963.104166666</v>
      </c>
      <c r="AQ28" s="24">
        <f t="shared" si="84"/>
        <v>6525712.5854166672</v>
      </c>
      <c r="AR28" s="24">
        <f t="shared" si="84"/>
        <v>6445462.0666666664</v>
      </c>
      <c r="AS28" s="24">
        <f t="shared" si="84"/>
        <v>6585628.2145833336</v>
      </c>
      <c r="AT28" s="24">
        <f t="shared" si="84"/>
        <v>6495794.3624999998</v>
      </c>
      <c r="AU28" s="24">
        <f t="shared" si="84"/>
        <v>6405960.510416666</v>
      </c>
      <c r="AV28" s="24">
        <f t="shared" si="84"/>
        <v>6316126.6583333332</v>
      </c>
      <c r="AW28" s="24">
        <f t="shared" si="84"/>
        <v>6513792.8062499994</v>
      </c>
      <c r="AX28" s="24">
        <f t="shared" si="84"/>
        <v>6411458.9541666666</v>
      </c>
      <c r="AY28" s="24">
        <f t="shared" ref="AY28:BL28" si="85">SUM(AY23:AY27)</f>
        <v>6309125.1020833328</v>
      </c>
      <c r="AZ28" s="24">
        <f t="shared" si="85"/>
        <v>6206791.25</v>
      </c>
      <c r="BA28" s="24">
        <f t="shared" si="85"/>
        <v>7054618.541666667</v>
      </c>
      <c r="BB28" s="24">
        <f t="shared" si="85"/>
        <v>6927445.833333334</v>
      </c>
      <c r="BC28" s="24">
        <f t="shared" si="85"/>
        <v>6800273.125</v>
      </c>
      <c r="BD28" s="24">
        <f t="shared" si="85"/>
        <v>6673100.416666667</v>
      </c>
      <c r="BE28" s="24">
        <f t="shared" si="85"/>
        <v>6545927.708333334</v>
      </c>
      <c r="BF28" s="24">
        <f t="shared" si="85"/>
        <v>6418755</v>
      </c>
      <c r="BG28" s="24">
        <f t="shared" si="85"/>
        <v>6291582.291666667</v>
      </c>
      <c r="BH28" s="24">
        <f t="shared" si="85"/>
        <v>6164409.583333334</v>
      </c>
      <c r="BI28" s="24">
        <f t="shared" si="85"/>
        <v>6037236.875</v>
      </c>
      <c r="BJ28" s="24">
        <f t="shared" si="85"/>
        <v>5928189.166666667</v>
      </c>
      <c r="BK28" s="24">
        <f t="shared" si="85"/>
        <v>5825416.666666667</v>
      </c>
      <c r="BL28" s="24">
        <f t="shared" si="85"/>
        <v>5745416.666666667</v>
      </c>
      <c r="BM28" s="24">
        <f t="shared" ref="BM28:CZ28" si="86">SUM(BM23:BM27)</f>
        <v>6000833.333333334</v>
      </c>
      <c r="BN28" s="24">
        <f t="shared" si="86"/>
        <v>5906250</v>
      </c>
      <c r="BO28" s="24">
        <f t="shared" si="86"/>
        <v>5811666.666666666</v>
      </c>
      <c r="BP28" s="24">
        <f t="shared" si="86"/>
        <v>5717083.333333333</v>
      </c>
      <c r="BQ28" s="24">
        <f t="shared" si="86"/>
        <v>5632083.333333333</v>
      </c>
      <c r="BR28" s="24">
        <f t="shared" si="86"/>
        <v>5547083.333333333</v>
      </c>
      <c r="BS28" s="24">
        <f t="shared" si="86"/>
        <v>5462083.333333333</v>
      </c>
      <c r="BT28" s="24">
        <f t="shared" si="86"/>
        <v>5377083.333333333</v>
      </c>
      <c r="BU28" s="24">
        <f t="shared" si="86"/>
        <v>5304583.333333333</v>
      </c>
      <c r="BV28" s="24">
        <f t="shared" si="86"/>
        <v>5232083.333333333</v>
      </c>
      <c r="BW28" s="24">
        <f t="shared" si="86"/>
        <v>5159583.333333333</v>
      </c>
      <c r="BX28" s="24">
        <f t="shared" si="86"/>
        <v>5087083.333333333</v>
      </c>
      <c r="BY28" s="24">
        <f t="shared" si="86"/>
        <v>5378125</v>
      </c>
      <c r="BZ28" s="24">
        <f t="shared" si="86"/>
        <v>5319166.666666666</v>
      </c>
      <c r="CA28" s="24">
        <f t="shared" si="86"/>
        <v>5260208.3333333321</v>
      </c>
      <c r="CB28" s="24">
        <f t="shared" si="86"/>
        <v>5201249.9999999991</v>
      </c>
      <c r="CC28" s="24">
        <f t="shared" si="86"/>
        <v>5142291.666666666</v>
      </c>
      <c r="CD28" s="24">
        <f t="shared" si="86"/>
        <v>5418749.9999999991</v>
      </c>
      <c r="CE28" s="24">
        <f t="shared" si="86"/>
        <v>5345208.3333333321</v>
      </c>
      <c r="CF28" s="24">
        <f t="shared" si="86"/>
        <v>3271666.666666666</v>
      </c>
      <c r="CG28" s="24">
        <f t="shared" si="86"/>
        <v>3198124.9999999991</v>
      </c>
      <c r="CH28" s="24">
        <f t="shared" si="86"/>
        <v>3124583.3333333321</v>
      </c>
      <c r="CI28" s="24">
        <f t="shared" si="86"/>
        <v>3051041.6666666651</v>
      </c>
      <c r="CJ28" s="24">
        <f t="shared" si="86"/>
        <v>2977499.9999999981</v>
      </c>
      <c r="CK28" s="24">
        <f t="shared" si="86"/>
        <v>3253958.3333333312</v>
      </c>
      <c r="CL28" s="24">
        <f t="shared" si="86"/>
        <v>3180416.6666666642</v>
      </c>
      <c r="CM28" s="24">
        <f t="shared" si="86"/>
        <v>3106874.9999999972</v>
      </c>
      <c r="CN28" s="24">
        <f t="shared" si="86"/>
        <v>3033333.3333333302</v>
      </c>
      <c r="CO28" s="24">
        <f t="shared" si="86"/>
        <v>2959791.6666666633</v>
      </c>
      <c r="CP28" s="24">
        <f t="shared" si="86"/>
        <v>2886249.9999999963</v>
      </c>
      <c r="CQ28" s="24">
        <f t="shared" si="86"/>
        <v>2812708.3333333293</v>
      </c>
      <c r="CR28" s="24">
        <f t="shared" si="86"/>
        <v>2739166.6666666623</v>
      </c>
      <c r="CS28" s="24">
        <f t="shared" si="86"/>
        <v>2665624.9999999953</v>
      </c>
      <c r="CT28" s="24">
        <f t="shared" si="86"/>
        <v>2592083.3333333284</v>
      </c>
      <c r="CU28" s="24">
        <f t="shared" si="86"/>
        <v>2518541.6666666614</v>
      </c>
      <c r="CV28" s="24">
        <f t="shared" si="86"/>
        <v>2444999.9999999944</v>
      </c>
      <c r="CW28" s="24">
        <f t="shared" si="86"/>
        <v>0</v>
      </c>
      <c r="CX28" s="24">
        <f t="shared" si="86"/>
        <v>0</v>
      </c>
      <c r="CY28" s="24">
        <f t="shared" si="86"/>
        <v>0</v>
      </c>
      <c r="CZ28" s="24">
        <f t="shared" si="86"/>
        <v>0</v>
      </c>
    </row>
    <row r="29" spans="4:104" x14ac:dyDescent="0.25">
      <c r="D29" s="6"/>
      <c r="F29" s="16"/>
      <c r="G29" s="16"/>
      <c r="H29" s="16"/>
      <c r="I29" s="16"/>
      <c r="J29" s="16"/>
      <c r="K29" s="16"/>
      <c r="L29" s="16"/>
      <c r="M29" s="21"/>
      <c r="N29" s="21"/>
      <c r="O29" s="21"/>
      <c r="P29" s="21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</row>
    <row r="30" spans="4:104" ht="15.75" thickBot="1" x14ac:dyDescent="0.3">
      <c r="D30" s="7" t="s">
        <v>10</v>
      </c>
      <c r="F30" s="26">
        <f t="shared" ref="F30" si="87">F21+F28</f>
        <v>11580170.270000001</v>
      </c>
      <c r="G30" s="26">
        <f t="shared" ref="G30:I30" ca="1" si="88">G21+G28</f>
        <v>3420925.9526097812</v>
      </c>
      <c r="H30" s="26">
        <f t="shared" ca="1" si="88"/>
        <v>419450.86290529463</v>
      </c>
      <c r="I30" s="26">
        <f t="shared" ca="1" si="88"/>
        <v>5136453.9717074139</v>
      </c>
      <c r="J30" s="26">
        <f t="shared" ref="J30:L30" ca="1" si="89">J21+J28</f>
        <v>18694383.036004234</v>
      </c>
      <c r="K30" s="26">
        <f t="shared" ca="1" si="89"/>
        <v>39014578.863150693</v>
      </c>
      <c r="L30" s="26">
        <f t="shared" ca="1" si="89"/>
        <v>46460779.129049182</v>
      </c>
      <c r="M30" s="21"/>
      <c r="N30" s="21"/>
      <c r="O30" s="21"/>
      <c r="P30" s="21"/>
      <c r="Q30" s="26">
        <f>Q21+Q28</f>
        <v>15701323.1</v>
      </c>
      <c r="R30" s="26">
        <f t="shared" ref="R30:AB30" si="90">R21+R28</f>
        <v>15434609.76</v>
      </c>
      <c r="S30" s="26">
        <f t="shared" si="90"/>
        <v>15046336.039999999</v>
      </c>
      <c r="T30" s="26">
        <f t="shared" si="90"/>
        <v>14722062.65</v>
      </c>
      <c r="U30" s="26">
        <f t="shared" si="90"/>
        <v>14327616.76</v>
      </c>
      <c r="V30" s="26">
        <f t="shared" si="90"/>
        <v>13837457.689999999</v>
      </c>
      <c r="W30" s="26">
        <f t="shared" si="90"/>
        <v>13444796.790000003</v>
      </c>
      <c r="X30" s="26">
        <f t="shared" si="90"/>
        <v>12914363.59</v>
      </c>
      <c r="Y30" s="26">
        <f t="shared" si="90"/>
        <v>12873949.129999999</v>
      </c>
      <c r="Z30" s="26">
        <f t="shared" si="90"/>
        <v>12863555.93</v>
      </c>
      <c r="AA30" s="26">
        <f t="shared" si="90"/>
        <v>12181555.1</v>
      </c>
      <c r="AB30" s="26">
        <f t="shared" si="90"/>
        <v>11580170.270000001</v>
      </c>
      <c r="AC30" s="26">
        <f t="shared" ref="AC30:AX30" ca="1" si="91">AC21+AC28</f>
        <v>11125830.292916669</v>
      </c>
      <c r="AD30" s="26">
        <f t="shared" ca="1" si="91"/>
        <v>9772119.4858333338</v>
      </c>
      <c r="AE30" s="26">
        <f t="shared" ca="1" si="91"/>
        <v>8950938.9754166678</v>
      </c>
      <c r="AF30" s="26">
        <f t="shared" ca="1" si="91"/>
        <v>8123751.165000001</v>
      </c>
      <c r="AG30" s="26">
        <f t="shared" ca="1" si="91"/>
        <v>7679832.8545833351</v>
      </c>
      <c r="AH30" s="26">
        <f t="shared" ca="1" si="91"/>
        <v>6933589.0033406531</v>
      </c>
      <c r="AI30" s="26">
        <f t="shared" ca="1" si="91"/>
        <v>6310605.2030118108</v>
      </c>
      <c r="AJ30" s="26">
        <f t="shared" ca="1" si="91"/>
        <v>5510661.892595144</v>
      </c>
      <c r="AK30" s="26">
        <f t="shared" ca="1" si="91"/>
        <v>4925977.5005264478</v>
      </c>
      <c r="AL30" s="26">
        <f t="shared" ca="1" si="91"/>
        <v>4413256.1901097819</v>
      </c>
      <c r="AM30" s="26">
        <f t="shared" ca="1" si="91"/>
        <v>3537547.6713597812</v>
      </c>
      <c r="AN30" s="26">
        <f t="shared" ca="1" si="91"/>
        <v>3420925.9526097812</v>
      </c>
      <c r="AO30" s="26">
        <f t="shared" ca="1" si="91"/>
        <v>2696862.9005264477</v>
      </c>
      <c r="AP30" s="26">
        <f t="shared" ca="1" si="91"/>
        <v>1417238.5234727841</v>
      </c>
      <c r="AQ30" s="26">
        <f t="shared" ca="1" si="91"/>
        <v>853044.97138945106</v>
      </c>
      <c r="AR30" s="26">
        <f t="shared" ca="1" si="91"/>
        <v>640716.61930611823</v>
      </c>
      <c r="AS30" s="26">
        <f t="shared" ca="1" si="91"/>
        <v>-356270.35640250146</v>
      </c>
      <c r="AT30" s="26">
        <f t="shared" ca="1" si="91"/>
        <v>-407129.28504252434</v>
      </c>
      <c r="AU30" s="26">
        <f t="shared" ca="1" si="91"/>
        <v>-436285.44807609171</v>
      </c>
      <c r="AV30" s="26">
        <f t="shared" ca="1" si="91"/>
        <v>-1162003.9271473195</v>
      </c>
      <c r="AW30" s="26">
        <f t="shared" ca="1" si="91"/>
        <v>-1821607.093828328</v>
      </c>
      <c r="AX30" s="26">
        <f t="shared" ca="1" si="91"/>
        <v>-1738389.9850049429</v>
      </c>
      <c r="AY30" s="26">
        <f t="shared" ref="AY30:BL30" ca="1" si="92">AY21+AY28</f>
        <v>-595793.27224137448</v>
      </c>
      <c r="AZ30" s="26">
        <f t="shared" ca="1" si="92"/>
        <v>419450.86290529463</v>
      </c>
      <c r="BA30" s="26">
        <f t="shared" ca="1" si="92"/>
        <v>-1846178.3180148741</v>
      </c>
      <c r="BB30" s="26">
        <f t="shared" ca="1" si="92"/>
        <v>-2784964.1221805513</v>
      </c>
      <c r="BC30" s="26">
        <f t="shared" ca="1" si="92"/>
        <v>-3032678.091390932</v>
      </c>
      <c r="BD30" s="26">
        <f t="shared" ca="1" si="92"/>
        <v>-2947389.3485908685</v>
      </c>
      <c r="BE30" s="26">
        <f t="shared" ca="1" si="92"/>
        <v>-706315.13489120826</v>
      </c>
      <c r="BF30" s="26">
        <f t="shared" ca="1" si="92"/>
        <v>-611810.50044623762</v>
      </c>
      <c r="BG30" s="26">
        <f t="shared" ca="1" si="92"/>
        <v>-2353746.1159419259</v>
      </c>
      <c r="BH30" s="26">
        <f t="shared" ca="1" si="92"/>
        <v>-2173411.9306780603</v>
      </c>
      <c r="BI30" s="26">
        <f t="shared" ca="1" si="92"/>
        <v>-2622472.6376366802</v>
      </c>
      <c r="BJ30" s="26">
        <f t="shared" ca="1" si="92"/>
        <v>-2744628.6448801337</v>
      </c>
      <c r="BK30" s="26">
        <f t="shared" ca="1" si="92"/>
        <v>1370501.1581323678</v>
      </c>
      <c r="BL30" s="26">
        <f t="shared" ca="1" si="92"/>
        <v>5136453.9717074139</v>
      </c>
      <c r="BM30" s="26">
        <f t="shared" ref="BM30:CZ30" ca="1" si="93">BM21+BM28</f>
        <v>644783.72410542332</v>
      </c>
      <c r="BN30" s="26">
        <f t="shared" ca="1" si="93"/>
        <v>-1722206.1773631722</v>
      </c>
      <c r="BO30" s="26">
        <f t="shared" ca="1" si="93"/>
        <v>-1138167.4250108544</v>
      </c>
      <c r="BP30" s="26">
        <f t="shared" ca="1" si="93"/>
        <v>-385151.68284456711</v>
      </c>
      <c r="BQ30" s="26">
        <f t="shared" ca="1" si="93"/>
        <v>6265998.0917756306</v>
      </c>
      <c r="BR30" s="26">
        <f t="shared" ca="1" si="93"/>
        <v>6446425.1698233159</v>
      </c>
      <c r="BS30" s="26">
        <f t="shared" ca="1" si="93"/>
        <v>1406938.0649348507</v>
      </c>
      <c r="BT30" s="26">
        <f t="shared" ca="1" si="93"/>
        <v>1895720.6405561166</v>
      </c>
      <c r="BU30" s="26">
        <f t="shared" ca="1" si="93"/>
        <v>2086313.6132966178</v>
      </c>
      <c r="BV30" s="26">
        <f t="shared" ca="1" si="93"/>
        <v>2095670.8462092048</v>
      </c>
      <c r="BW30" s="26">
        <f t="shared" ca="1" si="93"/>
        <v>11554713.268336721</v>
      </c>
      <c r="BX30" s="26">
        <f t="shared" ca="1" si="93"/>
        <v>18694383.036004234</v>
      </c>
      <c r="BY30" s="26">
        <f t="shared" ca="1" si="93"/>
        <v>5878227.2920089476</v>
      </c>
      <c r="BZ30" s="26">
        <f t="shared" ca="1" si="93"/>
        <v>942523.79362604953</v>
      </c>
      <c r="CA30" s="26">
        <f t="shared" ca="1" si="93"/>
        <v>2714824.6690271236</v>
      </c>
      <c r="CB30" s="26">
        <f t="shared" ca="1" si="93"/>
        <v>4832482.8457655022</v>
      </c>
      <c r="CC30" s="26">
        <f t="shared" ca="1" si="93"/>
        <v>22975078.94676955</v>
      </c>
      <c r="CD30" s="26">
        <f t="shared" ca="1" si="93"/>
        <v>22147767.560028914</v>
      </c>
      <c r="CE30" s="26">
        <f t="shared" ca="1" si="93"/>
        <v>7710083.7154073119</v>
      </c>
      <c r="CF30" s="26">
        <f t="shared" ca="1" si="93"/>
        <v>7647939.5092373807</v>
      </c>
      <c r="CG30" s="26">
        <f t="shared" ca="1" si="93"/>
        <v>9094248.2411917076</v>
      </c>
      <c r="CH30" s="26">
        <f t="shared" ca="1" si="93"/>
        <v>10400204.898841202</v>
      </c>
      <c r="CI30" s="26">
        <f t="shared" ca="1" si="93"/>
        <v>28965963.584101811</v>
      </c>
      <c r="CJ30" s="26">
        <f t="shared" ca="1" si="93"/>
        <v>39014578.863150693</v>
      </c>
      <c r="CK30" s="26">
        <f t="shared" ca="1" si="93"/>
        <v>16358394.218145676</v>
      </c>
      <c r="CL30" s="26">
        <f t="shared" ca="1" si="93"/>
        <v>8805336.637996342</v>
      </c>
      <c r="CM30" s="26">
        <f t="shared" ca="1" si="93"/>
        <v>12918658.364658386</v>
      </c>
      <c r="CN30" s="26">
        <f t="shared" ca="1" si="93"/>
        <v>17902415.078743692</v>
      </c>
      <c r="CO30" s="26">
        <f t="shared" ca="1" si="93"/>
        <v>58411826.021017492</v>
      </c>
      <c r="CP30" s="26">
        <f t="shared" ca="1" si="93"/>
        <v>56831981.474586561</v>
      </c>
      <c r="CQ30" s="26">
        <f t="shared" ca="1" si="93"/>
        <v>23489848.981170539</v>
      </c>
      <c r="CR30" s="26">
        <f t="shared" ca="1" si="93"/>
        <v>23281702.730679199</v>
      </c>
      <c r="CS30" s="26">
        <f t="shared" ca="1" si="93"/>
        <v>27212233.545736518</v>
      </c>
      <c r="CT30" s="26">
        <f t="shared" ca="1" si="93"/>
        <v>31548699.622245859</v>
      </c>
      <c r="CU30" s="26">
        <f t="shared" ca="1" si="93"/>
        <v>38978894.751773775</v>
      </c>
      <c r="CV30" s="26">
        <f t="shared" ca="1" si="93"/>
        <v>46460779.129049182</v>
      </c>
      <c r="CW30" s="26">
        <f t="shared" si="93"/>
        <v>0</v>
      </c>
      <c r="CX30" s="26">
        <f t="shared" si="93"/>
        <v>0</v>
      </c>
      <c r="CY30" s="26">
        <f t="shared" si="93"/>
        <v>0</v>
      </c>
      <c r="CZ30" s="26">
        <f t="shared" si="93"/>
        <v>0</v>
      </c>
    </row>
    <row r="31" spans="4:104" x14ac:dyDescent="0.25">
      <c r="D31" s="6"/>
      <c r="F31" s="16"/>
      <c r="G31" s="16"/>
      <c r="H31" s="16"/>
      <c r="I31" s="16"/>
      <c r="J31" s="16"/>
      <c r="K31" s="16"/>
      <c r="L31" s="16"/>
      <c r="M31" s="21"/>
      <c r="N31" s="21"/>
      <c r="O31" s="21"/>
      <c r="P31" s="21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</row>
    <row r="32" spans="4:104" x14ac:dyDescent="0.25">
      <c r="D32" s="6"/>
      <c r="F32" s="16"/>
      <c r="G32" s="16"/>
      <c r="H32" s="16"/>
      <c r="I32" s="16"/>
      <c r="J32" s="16"/>
      <c r="K32" s="16"/>
      <c r="L32" s="16"/>
      <c r="M32" s="21"/>
      <c r="N32" s="21"/>
      <c r="O32" s="21"/>
      <c r="P32" s="21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</row>
    <row r="33" spans="4:104" x14ac:dyDescent="0.25">
      <c r="D33" s="5" t="s">
        <v>11</v>
      </c>
      <c r="F33" s="16"/>
      <c r="G33" s="16"/>
      <c r="H33" s="16"/>
      <c r="I33" s="16"/>
      <c r="J33" s="16"/>
      <c r="K33" s="16"/>
      <c r="L33" s="16"/>
      <c r="M33" s="21"/>
      <c r="N33" s="21"/>
      <c r="O33" s="21"/>
      <c r="P33" s="21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</row>
    <row r="34" spans="4:104" x14ac:dyDescent="0.25">
      <c r="D34" s="6" t="s">
        <v>12</v>
      </c>
      <c r="F34" s="23">
        <f t="shared" ref="F34:F37" si="94">AB34</f>
        <v>644400.83000000007</v>
      </c>
      <c r="G34" s="23">
        <f ca="1">AN34</f>
        <v>919340</v>
      </c>
      <c r="H34" s="23">
        <f ca="1">AZ34</f>
        <v>4589480</v>
      </c>
      <c r="I34" s="23">
        <f ca="1">BL34</f>
        <v>10634794</v>
      </c>
      <c r="J34" s="23">
        <f t="shared" ref="J34:J37" ca="1" si="95">BX34</f>
        <v>22385030.5</v>
      </c>
      <c r="K34" s="23">
        <f t="shared" ref="K34:K37" ca="1" si="96">CJ34</f>
        <v>40251188.399999999</v>
      </c>
      <c r="L34" s="23">
        <f t="shared" ref="L34:L37" ca="1" si="97">CV34</f>
        <v>31901639.112500001</v>
      </c>
      <c r="M34" s="21"/>
      <c r="N34" s="21"/>
      <c r="O34" s="21"/>
      <c r="P34" s="21"/>
      <c r="Q34" s="23">
        <f>SUMIFS(ActBS!C$6:C$164,ActBS!$A$6:$A$164,$D34)</f>
        <v>35637.519999999997</v>
      </c>
      <c r="R34" s="23">
        <f>SUMIFS(ActBS!D$6:D$164,ActBS!$A$6:$A$164,$D34)</f>
        <v>83190.7</v>
      </c>
      <c r="S34" s="23">
        <f>SUMIFS(ActBS!E$6:E$164,ActBS!$A$6:$A$164,$D34)</f>
        <v>89838.76</v>
      </c>
      <c r="T34" s="23">
        <f>SUMIFS(ActBS!F$6:F$164,ActBS!$A$6:$A$164,$D34)</f>
        <v>194874.99</v>
      </c>
      <c r="U34" s="23">
        <f>SUMIFS(ActBS!G$6:G$164,ActBS!$A$6:$A$164,$D34)</f>
        <v>245549.25</v>
      </c>
      <c r="V34" s="23">
        <f>SUMIFS(ActBS!H$6:H$164,ActBS!$A$6:$A$164,$D34)</f>
        <v>192120.98</v>
      </c>
      <c r="W34" s="23">
        <f>SUMIFS(ActBS!I$6:I$164,ActBS!$A$6:$A$164,$D34)</f>
        <v>301156.32999999996</v>
      </c>
      <c r="X34" s="23">
        <f>SUMIFS(ActBS!J$6:J$164,ActBS!$A$6:$A$164,$D34)</f>
        <v>346388.61</v>
      </c>
      <c r="Y34" s="23">
        <f>SUMIFS(ActBS!K$6:K$164,ActBS!$A$6:$A$164,$D34)</f>
        <v>439054.34</v>
      </c>
      <c r="Z34" s="23">
        <f>SUMIFS(ActBS!L$6:L$164,ActBS!$A$6:$A$164,$D34)</f>
        <v>531637.68999999994</v>
      </c>
      <c r="AA34" s="23">
        <f>SUMIFS(ActBS!M$6:M$164,ActBS!$A$6:$A$164,$D34)</f>
        <v>477869.37</v>
      </c>
      <c r="AB34" s="23">
        <f>SUMIFS(ActBS!N$6:N$164,ActBS!$A$6:$A$164,$D34)</f>
        <v>644400.83000000007</v>
      </c>
      <c r="AC34" s="23">
        <f ca="1">SUMIFS(ActBS!O$6:O$164,ActBS!$A$6:$A$164,$D34)</f>
        <v>783120.83000000007</v>
      </c>
      <c r="AD34" s="23">
        <f ca="1">SUMIFS(ActBS!P$6:P$164,ActBS!$A$6:$A$164,$D34)</f>
        <v>153170</v>
      </c>
      <c r="AE34" s="23">
        <f ca="1">SUMIFS(ActBS!Q$6:Q$164,ActBS!$A$6:$A$164,$D34)</f>
        <v>14450</v>
      </c>
      <c r="AF34" s="23">
        <f ca="1">SUMIFS(ActBS!R$6:R$164,ActBS!$A$6:$A$164,$D34)</f>
        <v>14450</v>
      </c>
      <c r="AG34" s="23">
        <f ca="1">SUMIFS(ActBS!S$6:S$164,ActBS!$A$6:$A$164,$D34)</f>
        <v>361250</v>
      </c>
      <c r="AH34" s="23">
        <f ca="1">SUMIFS(ActBS!T$6:T$164,ActBS!$A$6:$A$164,$D34)</f>
        <v>346800</v>
      </c>
      <c r="AI34" s="23">
        <f ca="1">SUMIFS(ActBS!U$6:U$164,ActBS!$A$6:$A$164,$D34)</f>
        <v>28900</v>
      </c>
      <c r="AJ34" s="23">
        <f ca="1">SUMIFS(ActBS!V$6:V$164,ActBS!$A$6:$A$164,$D34)</f>
        <v>53200</v>
      </c>
      <c r="AK34" s="23">
        <f ca="1">SUMIFS(ActBS!W$6:W$164,ActBS!$A$6:$A$164,$D34)</f>
        <v>161160</v>
      </c>
      <c r="AL34" s="23">
        <f ca="1">SUMIFS(ActBS!X$6:X$164,ActBS!$A$6:$A$164,$D34)</f>
        <v>412780</v>
      </c>
      <c r="AM34" s="23">
        <f ca="1">SUMIFS(ActBS!Y$6:Y$164,ActBS!$A$6:$A$164,$D34)</f>
        <v>334240</v>
      </c>
      <c r="AN34" s="23">
        <f ca="1">SUMIFS(ActBS!Z$6:Z$164,ActBS!$A$6:$A$164,$D34)</f>
        <v>919340</v>
      </c>
      <c r="AO34" s="23">
        <f ca="1">SUMIFS(ActBS!AA$6:AA$164,ActBS!$A$6:$A$164,$D34)</f>
        <v>993340</v>
      </c>
      <c r="AP34" s="23">
        <f ca="1">SUMIFS(ActBS!AB$6:AB$164,ActBS!$A$6:$A$164,$D34)</f>
        <v>132320</v>
      </c>
      <c r="AQ34" s="23">
        <f ca="1">SUMIFS(ActBS!AC$6:AC$164,ActBS!$A$6:$A$164,$D34)</f>
        <v>357400</v>
      </c>
      <c r="AR34" s="23">
        <f ca="1">SUMIFS(ActBS!AD$6:AD$164,ActBS!$A$6:$A$164,$D34)</f>
        <v>984740</v>
      </c>
      <c r="AS34" s="23">
        <f ca="1">SUMIFS(ActBS!AE$6:AE$164,ActBS!$A$6:$A$164,$D34)</f>
        <v>813380</v>
      </c>
      <c r="AT34" s="23">
        <f ca="1">SUMIFS(ActBS!AF$6:AF$164,ActBS!$A$6:$A$164,$D34)</f>
        <v>1175040</v>
      </c>
      <c r="AU34" s="23">
        <f ca="1">SUMIFS(ActBS!AG$6:AG$164,ActBS!$A$6:$A$164,$D34)</f>
        <v>1931840</v>
      </c>
      <c r="AV34" s="23">
        <f ca="1">SUMIFS(ActBS!AH$6:AH$164,ActBS!$A$6:$A$164,$D34)</f>
        <v>1534680</v>
      </c>
      <c r="AW34" s="23">
        <f ca="1">SUMIFS(ActBS!AI$6:AI$164,ActBS!$A$6:$A$164,$D34)</f>
        <v>1182400</v>
      </c>
      <c r="AX34" s="23">
        <f ca="1">SUMIFS(ActBS!AJ$6:AJ$164,ActBS!$A$6:$A$164,$D34)</f>
        <v>1799220</v>
      </c>
      <c r="AY34" s="23">
        <f ca="1">SUMIFS(ActBS!AK$6:AK$164,ActBS!$A$6:$A$164,$D34)</f>
        <v>3525820</v>
      </c>
      <c r="AZ34" s="23">
        <f ca="1">SUMIFS(ActBS!AL$6:AL$164,ActBS!$A$6:$A$164,$D34)</f>
        <v>4589480</v>
      </c>
      <c r="BA34" s="23">
        <f ca="1">SUMIFS(ActBS!AM$6:AM$164,ActBS!$A$6:$A$164,$D34)</f>
        <v>2648160</v>
      </c>
      <c r="BB34" s="23">
        <f ca="1">SUMIFS(ActBS!AN$6:AN$164,ActBS!$A$6:$A$164,$D34)</f>
        <v>1258340</v>
      </c>
      <c r="BC34" s="23">
        <f ca="1">SUMIFS(ActBS!AO$6:AO$164,ActBS!$A$6:$A$164,$D34)</f>
        <v>1883380</v>
      </c>
      <c r="BD34" s="23">
        <f ca="1">SUMIFS(ActBS!AP$6:AP$164,ActBS!$A$6:$A$164,$D34)</f>
        <v>2361680</v>
      </c>
      <c r="BE34" s="23">
        <f ca="1">SUMIFS(ActBS!AQ$6:AQ$164,ActBS!$A$6:$A$164,$D34)</f>
        <v>5047400</v>
      </c>
      <c r="BF34" s="23">
        <f ca="1">SUMIFS(ActBS!AR$6:AR$164,ActBS!$A$6:$A$164,$D34)</f>
        <v>5134880</v>
      </c>
      <c r="BG34" s="23">
        <f ca="1">SUMIFS(ActBS!AS$6:AS$164,ActBS!$A$6:$A$164,$D34)</f>
        <v>3027240</v>
      </c>
      <c r="BH34" s="23">
        <f ca="1">SUMIFS(ActBS!AT$6:AT$164,ActBS!$A$6:$A$164,$D34)</f>
        <v>3329780</v>
      </c>
      <c r="BI34" s="23">
        <f ca="1">SUMIFS(ActBS!AU$6:AU$164,ActBS!$A$6:$A$164,$D34)</f>
        <v>3090420</v>
      </c>
      <c r="BJ34" s="23">
        <f ca="1">SUMIFS(ActBS!AV$6:AV$164,ActBS!$A$6:$A$164,$D34)</f>
        <v>2590240</v>
      </c>
      <c r="BK34" s="23">
        <f ca="1">SUMIFS(ActBS!AW$6:AW$164,ActBS!$A$6:$A$164,$D34)</f>
        <v>6723115</v>
      </c>
      <c r="BL34" s="23">
        <f ca="1">SUMIFS(ActBS!AX$6:AX$164,ActBS!$A$6:$A$164,$D34)</f>
        <v>10634794</v>
      </c>
      <c r="BM34" s="23">
        <f ca="1">SUMIFS(ActBS!AY$6:AY$164,ActBS!$A$6:$A$164,$D34)</f>
        <v>5999535</v>
      </c>
      <c r="BN34" s="23">
        <f ca="1">SUMIFS(ActBS!AZ$6:AZ$164,ActBS!$A$6:$A$164,$D34)</f>
        <v>2522753.5</v>
      </c>
      <c r="BO34" s="23">
        <f ca="1">SUMIFS(ActBS!BA$6:BA$164,ActBS!$A$6:$A$164,$D34)</f>
        <v>4214475.5</v>
      </c>
      <c r="BP34" s="23">
        <f ca="1">SUMIFS(ActBS!BB$6:BB$164,ActBS!$A$6:$A$164,$D34)</f>
        <v>5625406</v>
      </c>
      <c r="BQ34" s="23">
        <f ca="1">SUMIFS(ActBS!BC$6:BC$164,ActBS!$A$6:$A$164,$D34)</f>
        <v>12549823</v>
      </c>
      <c r="BR34" s="23">
        <f ca="1">SUMIFS(ActBS!BD$6:BD$164,ActBS!$A$6:$A$164,$D34)</f>
        <v>12472360</v>
      </c>
      <c r="BS34" s="23">
        <f ca="1">SUMIFS(ActBS!BE$6:BE$164,ActBS!$A$6:$A$164,$D34)</f>
        <v>6535107</v>
      </c>
      <c r="BT34" s="23">
        <f ca="1">SUMIFS(ActBS!BF$6:BF$164,ActBS!$A$6:$A$164,$D34)</f>
        <v>6851447.5</v>
      </c>
      <c r="BU34" s="23">
        <f ca="1">SUMIFS(ActBS!BG$6:BG$164,ActBS!$A$6:$A$164,$D34)</f>
        <v>6832903.5</v>
      </c>
      <c r="BV34" s="23">
        <f ca="1">SUMIFS(ActBS!BH$6:BH$164,ActBS!$A$6:$A$164,$D34)</f>
        <v>6463724</v>
      </c>
      <c r="BW34" s="23">
        <f ca="1">SUMIFS(ActBS!BI$6:BI$164,ActBS!$A$6:$A$164,$D34)</f>
        <v>15352185.25</v>
      </c>
      <c r="BX34" s="23">
        <f ca="1">SUMIFS(ActBS!BJ$6:BJ$164,ActBS!$A$6:$A$164,$D34)</f>
        <v>22385030.5</v>
      </c>
      <c r="BY34" s="23">
        <f ca="1">SUMIFS(ActBS!BK$6:BK$164,ActBS!$A$6:$A$164,$D34)</f>
        <v>11408735.25</v>
      </c>
      <c r="BZ34" s="23">
        <f ca="1">SUMIFS(ActBS!BL$6:BL$164,ActBS!$A$6:$A$164,$D34)</f>
        <v>3949014.625</v>
      </c>
      <c r="CA34" s="23">
        <f ca="1">SUMIFS(ActBS!BM$6:BM$164,ActBS!$A$6:$A$164,$D34)</f>
        <v>7863708.125</v>
      </c>
      <c r="CB34" s="23">
        <f ca="1">SUMIFS(ActBS!BN$6:BN$164,ActBS!$A$6:$A$164,$D34)</f>
        <v>11454254.5</v>
      </c>
      <c r="CC34" s="23">
        <f ca="1">SUMIFS(ActBS!BO$6:BO$164,ActBS!$A$6:$A$164,$D34)</f>
        <v>29455068.25</v>
      </c>
      <c r="CD34" s="23">
        <f ca="1">SUMIFS(ActBS!BP$6:BP$164,ActBS!$A$6:$A$164,$D34)</f>
        <v>28187830</v>
      </c>
      <c r="CE34" s="23">
        <f ca="1">SUMIFS(ActBS!BQ$6:BQ$164,ActBS!$A$6:$A$164,$D34)</f>
        <v>11727308.25</v>
      </c>
      <c r="CF34" s="23">
        <f ca="1">SUMIFS(ActBS!BR$6:BR$164,ActBS!$A$6:$A$164,$D34)</f>
        <v>11878712.125</v>
      </c>
      <c r="CG34" s="23">
        <f ca="1">SUMIFS(ActBS!BS$6:BS$164,ActBS!$A$6:$A$164,$D34)</f>
        <v>12833785.125</v>
      </c>
      <c r="CH34" s="23">
        <f ca="1">SUMIFS(ActBS!BT$6:BT$164,ActBS!$A$6:$A$164,$D34)</f>
        <v>14081204</v>
      </c>
      <c r="CI34" s="23">
        <f ca="1">SUMIFS(ActBS!BU$6:BU$164,ActBS!$A$6:$A$164,$D34)</f>
        <v>30708041.774999999</v>
      </c>
      <c r="CJ34" s="23">
        <f ca="1">SUMIFS(ActBS!BV$6:BV$164,ActBS!$A$6:$A$164,$D34)</f>
        <v>40251188.399999999</v>
      </c>
      <c r="CK34" s="23">
        <f ca="1">SUMIFS(ActBS!BW$6:BW$164,ActBS!$A$6:$A$164,$D34)</f>
        <v>17852669.324999999</v>
      </c>
      <c r="CL34" s="23">
        <f ca="1">SUMIFS(ActBS!BX$6:BX$164,ActBS!$A$6:$A$164,$D34)</f>
        <v>5364557.1375000002</v>
      </c>
      <c r="CM34" s="23">
        <f ca="1">SUMIFS(ActBS!BY$6:BY$164,ActBS!$A$6:$A$164,$D34)</f>
        <v>12029490.1875</v>
      </c>
      <c r="CN34" s="23">
        <f ca="1">SUMIFS(ActBS!BZ$6:BZ$164,ActBS!$A$6:$A$164,$D34)</f>
        <v>18697527.600000001</v>
      </c>
      <c r="CO34" s="23">
        <f ca="1">SUMIFS(ActBS!CA$6:CA$164,ActBS!$A$6:$A$164,$D34)</f>
        <v>57669090.225000001</v>
      </c>
      <c r="CP34" s="23">
        <f ca="1">SUMIFS(ActBS!CB$6:CB$164,ActBS!$A$6:$A$164,$D34)</f>
        <v>54473703</v>
      </c>
      <c r="CQ34" s="23">
        <f ca="1">SUMIFS(ActBS!CC$6:CC$164,ActBS!$A$6:$A$164,$D34)</f>
        <v>17834932.350000001</v>
      </c>
      <c r="CR34" s="23">
        <f ca="1">SUMIFS(ActBS!CD$6:CD$164,ActBS!$A$6:$A$164,$D34)</f>
        <v>17579407.762499999</v>
      </c>
      <c r="CS34" s="23">
        <f ca="1">SUMIFS(ActBS!CE$6:CE$164,ActBS!$A$6:$A$164,$D34)</f>
        <v>19674518.287500001</v>
      </c>
      <c r="CT34" s="23">
        <f ca="1">SUMIFS(ActBS!CF$6:CF$164,ActBS!$A$6:$A$164,$D34)</f>
        <v>23651806.574999999</v>
      </c>
      <c r="CU34" s="23">
        <f ca="1">SUMIFS(ActBS!CG$6:CG$164,ActBS!$A$6:$A$164,$D34)</f>
        <v>26461689.381250001</v>
      </c>
      <c r="CV34" s="23">
        <f ca="1">SUMIFS(ActBS!CH$6:CH$164,ActBS!$A$6:$A$164,$D34)</f>
        <v>31901639.112500001</v>
      </c>
      <c r="CW34" s="23">
        <f>SUMIFS(ActBS!CI$6:CI$164,ActBS!$A$6:$A$164,$D34)</f>
        <v>0</v>
      </c>
      <c r="CX34" s="23">
        <f>SUMIFS(ActBS!CJ$6:CJ$164,ActBS!$A$6:$A$164,$D34)</f>
        <v>0</v>
      </c>
      <c r="CY34" s="23">
        <f>SUMIFS(ActBS!CK$6:CK$164,ActBS!$A$6:$A$164,$D34)</f>
        <v>0</v>
      </c>
      <c r="CZ34" s="23">
        <f>SUMIFS(ActBS!CL$6:CL$164,ActBS!$A$6:$A$164,$D34)</f>
        <v>0</v>
      </c>
    </row>
    <row r="35" spans="4:104" x14ac:dyDescent="0.25">
      <c r="D35" s="6" t="s">
        <v>13</v>
      </c>
      <c r="F35" s="23">
        <f t="shared" si="94"/>
        <v>98000.5</v>
      </c>
      <c r="G35" s="23">
        <f>AN35</f>
        <v>98000.5</v>
      </c>
      <c r="H35" s="23">
        <f>AZ35</f>
        <v>98000.5</v>
      </c>
      <c r="I35" s="23">
        <f>BL35</f>
        <v>98000.5</v>
      </c>
      <c r="J35" s="23">
        <f t="shared" si="95"/>
        <v>98000.5</v>
      </c>
      <c r="K35" s="23">
        <f t="shared" si="96"/>
        <v>98000.5</v>
      </c>
      <c r="L35" s="23">
        <f t="shared" si="97"/>
        <v>98000.5</v>
      </c>
      <c r="M35" s="21"/>
      <c r="N35" s="21"/>
      <c r="O35" s="21"/>
      <c r="P35" s="21"/>
      <c r="Q35" s="23">
        <f>SUMIFS(ActBS!C$6:C$164,ActBS!$A$6:$A$164,$D35)</f>
        <v>-28880.7</v>
      </c>
      <c r="R35" s="23">
        <f>SUMIFS(ActBS!D$6:D$164,ActBS!$A$6:$A$164,$D35)</f>
        <v>-30913.1</v>
      </c>
      <c r="S35" s="23">
        <f>SUMIFS(ActBS!E$6:E$164,ActBS!$A$6:$A$164,$D35)</f>
        <v>-30913.1</v>
      </c>
      <c r="T35" s="23">
        <f>SUMIFS(ActBS!F$6:F$164,ActBS!$A$6:$A$164,$D35)</f>
        <v>0</v>
      </c>
      <c r="U35" s="23">
        <f>SUMIFS(ActBS!G$6:G$164,ActBS!$A$6:$A$164,$D35)</f>
        <v>11602</v>
      </c>
      <c r="V35" s="23">
        <f>SUMIFS(ActBS!H$6:H$164,ActBS!$A$6:$A$164,$D35)</f>
        <v>32582.080000000002</v>
      </c>
      <c r="W35" s="23">
        <f>SUMIFS(ActBS!I$6:I$164,ActBS!$A$6:$A$164,$D35)</f>
        <v>140107.25</v>
      </c>
      <c r="X35" s="23">
        <f>SUMIFS(ActBS!J$6:J$164,ActBS!$A$6:$A$164,$D35)</f>
        <v>94625.87</v>
      </c>
      <c r="Y35" s="23">
        <f>SUMIFS(ActBS!K$6:K$164,ActBS!$A$6:$A$164,$D35)</f>
        <v>26998.55</v>
      </c>
      <c r="Z35" s="23">
        <f>SUMIFS(ActBS!L$6:L$164,ActBS!$A$6:$A$164,$D35)</f>
        <v>131057.5</v>
      </c>
      <c r="AA35" s="23">
        <f>SUMIFS(ActBS!M$6:M$164,ActBS!$A$6:$A$164,$D35)</f>
        <v>102738</v>
      </c>
      <c r="AB35" s="23">
        <f>SUMIFS(ActBS!N$6:N$164,ActBS!$A$6:$A$164,$D35)</f>
        <v>98000.5</v>
      </c>
      <c r="AC35" s="23">
        <f>SUMIFS(ActBS!O$6:O$164,ActBS!$A$6:$A$164,$D35)</f>
        <v>98000.5</v>
      </c>
      <c r="AD35" s="23">
        <f>SUMIFS(ActBS!P$6:P$164,ActBS!$A$6:$A$164,$D35)</f>
        <v>98000.5</v>
      </c>
      <c r="AE35" s="23">
        <f>SUMIFS(ActBS!Q$6:Q$164,ActBS!$A$6:$A$164,$D35)</f>
        <v>98000.5</v>
      </c>
      <c r="AF35" s="23">
        <f>SUMIFS(ActBS!R$6:R$164,ActBS!$A$6:$A$164,$D35)</f>
        <v>98000.5</v>
      </c>
      <c r="AG35" s="23">
        <f>SUMIFS(ActBS!S$6:S$164,ActBS!$A$6:$A$164,$D35)</f>
        <v>98000.5</v>
      </c>
      <c r="AH35" s="23">
        <f>SUMIFS(ActBS!T$6:T$164,ActBS!$A$6:$A$164,$D35)</f>
        <v>98000.5</v>
      </c>
      <c r="AI35" s="23">
        <f>SUMIFS(ActBS!U$6:U$164,ActBS!$A$6:$A$164,$D35)</f>
        <v>98000.5</v>
      </c>
      <c r="AJ35" s="23">
        <f>SUMIFS(ActBS!V$6:V$164,ActBS!$A$6:$A$164,$D35)</f>
        <v>98000.5</v>
      </c>
      <c r="AK35" s="23">
        <f>SUMIFS(ActBS!W$6:W$164,ActBS!$A$6:$A$164,$D35)</f>
        <v>98000.5</v>
      </c>
      <c r="AL35" s="23">
        <f>SUMIFS(ActBS!X$6:X$164,ActBS!$A$6:$A$164,$D35)</f>
        <v>98000.5</v>
      </c>
      <c r="AM35" s="23">
        <f>SUMIFS(ActBS!Y$6:Y$164,ActBS!$A$6:$A$164,$D35)</f>
        <v>98000.5</v>
      </c>
      <c r="AN35" s="23">
        <f>SUMIFS(ActBS!Z$6:Z$164,ActBS!$A$6:$A$164,$D35)</f>
        <v>98000.5</v>
      </c>
      <c r="AO35" s="23">
        <f>SUMIFS(ActBS!AA$6:AA$164,ActBS!$A$6:$A$164,$D35)</f>
        <v>98000.5</v>
      </c>
      <c r="AP35" s="23">
        <f>SUMIFS(ActBS!AB$6:AB$164,ActBS!$A$6:$A$164,$D35)</f>
        <v>98000.5</v>
      </c>
      <c r="AQ35" s="23">
        <f>SUMIFS(ActBS!AC$6:AC$164,ActBS!$A$6:$A$164,$D35)</f>
        <v>98000.5</v>
      </c>
      <c r="AR35" s="23">
        <f>SUMIFS(ActBS!AD$6:AD$164,ActBS!$A$6:$A$164,$D35)</f>
        <v>98000.5</v>
      </c>
      <c r="AS35" s="23">
        <f>SUMIFS(ActBS!AE$6:AE$164,ActBS!$A$6:$A$164,$D35)</f>
        <v>98000.5</v>
      </c>
      <c r="AT35" s="23">
        <f>SUMIFS(ActBS!AF$6:AF$164,ActBS!$A$6:$A$164,$D35)</f>
        <v>98000.5</v>
      </c>
      <c r="AU35" s="23">
        <f>SUMIFS(ActBS!AG$6:AG$164,ActBS!$A$6:$A$164,$D35)</f>
        <v>98000.5</v>
      </c>
      <c r="AV35" s="23">
        <f>SUMIFS(ActBS!AH$6:AH$164,ActBS!$A$6:$A$164,$D35)</f>
        <v>98000.5</v>
      </c>
      <c r="AW35" s="23">
        <f>SUMIFS(ActBS!AI$6:AI$164,ActBS!$A$6:$A$164,$D35)</f>
        <v>98000.5</v>
      </c>
      <c r="AX35" s="23">
        <f>SUMIFS(ActBS!AJ$6:AJ$164,ActBS!$A$6:$A$164,$D35)</f>
        <v>98000.5</v>
      </c>
      <c r="AY35" s="23">
        <f>SUMIFS(ActBS!AK$6:AK$164,ActBS!$A$6:$A$164,$D35)</f>
        <v>98000.5</v>
      </c>
      <c r="AZ35" s="23">
        <f>SUMIFS(ActBS!AL$6:AL$164,ActBS!$A$6:$A$164,$D35)</f>
        <v>98000.5</v>
      </c>
      <c r="BA35" s="23">
        <f>SUMIFS(ActBS!AM$6:AM$164,ActBS!$A$6:$A$164,$D35)</f>
        <v>98000.5</v>
      </c>
      <c r="BB35" s="23">
        <f>SUMIFS(ActBS!AN$6:AN$164,ActBS!$A$6:$A$164,$D35)</f>
        <v>98000.5</v>
      </c>
      <c r="BC35" s="23">
        <f>SUMIFS(ActBS!AO$6:AO$164,ActBS!$A$6:$A$164,$D35)</f>
        <v>98000.5</v>
      </c>
      <c r="BD35" s="23">
        <f>SUMIFS(ActBS!AP$6:AP$164,ActBS!$A$6:$A$164,$D35)</f>
        <v>98000.5</v>
      </c>
      <c r="BE35" s="23">
        <f>SUMIFS(ActBS!AQ$6:AQ$164,ActBS!$A$6:$A$164,$D35)</f>
        <v>98000.5</v>
      </c>
      <c r="BF35" s="23">
        <f>SUMIFS(ActBS!AR$6:AR$164,ActBS!$A$6:$A$164,$D35)</f>
        <v>98000.5</v>
      </c>
      <c r="BG35" s="23">
        <f>SUMIFS(ActBS!AS$6:AS$164,ActBS!$A$6:$A$164,$D35)</f>
        <v>98000.5</v>
      </c>
      <c r="BH35" s="23">
        <f>SUMIFS(ActBS!AT$6:AT$164,ActBS!$A$6:$A$164,$D35)</f>
        <v>98000.5</v>
      </c>
      <c r="BI35" s="23">
        <f>SUMIFS(ActBS!AU$6:AU$164,ActBS!$A$6:$A$164,$D35)</f>
        <v>98000.5</v>
      </c>
      <c r="BJ35" s="23">
        <f>SUMIFS(ActBS!AV$6:AV$164,ActBS!$A$6:$A$164,$D35)</f>
        <v>98000.5</v>
      </c>
      <c r="BK35" s="23">
        <f>SUMIFS(ActBS!AW$6:AW$164,ActBS!$A$6:$A$164,$D35)</f>
        <v>98000.5</v>
      </c>
      <c r="BL35" s="23">
        <f>SUMIFS(ActBS!AX$6:AX$164,ActBS!$A$6:$A$164,$D35)</f>
        <v>98000.5</v>
      </c>
      <c r="BM35" s="23">
        <f>SUMIFS(ActBS!AY$6:AY$164,ActBS!$A$6:$A$164,$D35)</f>
        <v>98000.5</v>
      </c>
      <c r="BN35" s="23">
        <f>SUMIFS(ActBS!AZ$6:AZ$164,ActBS!$A$6:$A$164,$D35)</f>
        <v>98000.5</v>
      </c>
      <c r="BO35" s="23">
        <f>SUMIFS(ActBS!BA$6:BA$164,ActBS!$A$6:$A$164,$D35)</f>
        <v>98000.5</v>
      </c>
      <c r="BP35" s="23">
        <f>SUMIFS(ActBS!BB$6:BB$164,ActBS!$A$6:$A$164,$D35)</f>
        <v>98000.5</v>
      </c>
      <c r="BQ35" s="23">
        <f>SUMIFS(ActBS!BC$6:BC$164,ActBS!$A$6:$A$164,$D35)</f>
        <v>98000.5</v>
      </c>
      <c r="BR35" s="23">
        <f>SUMIFS(ActBS!BD$6:BD$164,ActBS!$A$6:$A$164,$D35)</f>
        <v>98000.5</v>
      </c>
      <c r="BS35" s="23">
        <f>SUMIFS(ActBS!BE$6:BE$164,ActBS!$A$6:$A$164,$D35)</f>
        <v>98000.5</v>
      </c>
      <c r="BT35" s="23">
        <f>SUMIFS(ActBS!BF$6:BF$164,ActBS!$A$6:$A$164,$D35)</f>
        <v>98000.5</v>
      </c>
      <c r="BU35" s="23">
        <f>SUMIFS(ActBS!BG$6:BG$164,ActBS!$A$6:$A$164,$D35)</f>
        <v>98000.5</v>
      </c>
      <c r="BV35" s="23">
        <f>SUMIFS(ActBS!BH$6:BH$164,ActBS!$A$6:$A$164,$D35)</f>
        <v>98000.5</v>
      </c>
      <c r="BW35" s="23">
        <f>SUMIFS(ActBS!BI$6:BI$164,ActBS!$A$6:$A$164,$D35)</f>
        <v>98000.5</v>
      </c>
      <c r="BX35" s="23">
        <f>SUMIFS(ActBS!BJ$6:BJ$164,ActBS!$A$6:$A$164,$D35)</f>
        <v>98000.5</v>
      </c>
      <c r="BY35" s="23">
        <f>SUMIFS(ActBS!BK$6:BK$164,ActBS!$A$6:$A$164,$D35)</f>
        <v>98000.5</v>
      </c>
      <c r="BZ35" s="23">
        <f>SUMIFS(ActBS!BL$6:BL$164,ActBS!$A$6:$A$164,$D35)</f>
        <v>98000.5</v>
      </c>
      <c r="CA35" s="23">
        <f>SUMIFS(ActBS!BM$6:BM$164,ActBS!$A$6:$A$164,$D35)</f>
        <v>98000.5</v>
      </c>
      <c r="CB35" s="23">
        <f>SUMIFS(ActBS!BN$6:BN$164,ActBS!$A$6:$A$164,$D35)</f>
        <v>98000.5</v>
      </c>
      <c r="CC35" s="23">
        <f>SUMIFS(ActBS!BO$6:BO$164,ActBS!$A$6:$A$164,$D35)</f>
        <v>98000.5</v>
      </c>
      <c r="CD35" s="23">
        <f>SUMIFS(ActBS!BP$6:BP$164,ActBS!$A$6:$A$164,$D35)</f>
        <v>98000.5</v>
      </c>
      <c r="CE35" s="23">
        <f>SUMIFS(ActBS!BQ$6:BQ$164,ActBS!$A$6:$A$164,$D35)</f>
        <v>98000.5</v>
      </c>
      <c r="CF35" s="23">
        <f>SUMIFS(ActBS!BR$6:BR$164,ActBS!$A$6:$A$164,$D35)</f>
        <v>98000.5</v>
      </c>
      <c r="CG35" s="23">
        <f>SUMIFS(ActBS!BS$6:BS$164,ActBS!$A$6:$A$164,$D35)</f>
        <v>98000.5</v>
      </c>
      <c r="CH35" s="23">
        <f>SUMIFS(ActBS!BT$6:BT$164,ActBS!$A$6:$A$164,$D35)</f>
        <v>98000.5</v>
      </c>
      <c r="CI35" s="23">
        <f>SUMIFS(ActBS!BU$6:BU$164,ActBS!$A$6:$A$164,$D35)</f>
        <v>98000.5</v>
      </c>
      <c r="CJ35" s="23">
        <f>SUMIFS(ActBS!BV$6:BV$164,ActBS!$A$6:$A$164,$D35)</f>
        <v>98000.5</v>
      </c>
      <c r="CK35" s="23">
        <f>SUMIFS(ActBS!BW$6:BW$164,ActBS!$A$6:$A$164,$D35)</f>
        <v>98000.5</v>
      </c>
      <c r="CL35" s="23">
        <f>SUMIFS(ActBS!BX$6:BX$164,ActBS!$A$6:$A$164,$D35)</f>
        <v>98000.5</v>
      </c>
      <c r="CM35" s="23">
        <f>SUMIFS(ActBS!BY$6:BY$164,ActBS!$A$6:$A$164,$D35)</f>
        <v>98000.5</v>
      </c>
      <c r="CN35" s="23">
        <f>SUMIFS(ActBS!BZ$6:BZ$164,ActBS!$A$6:$A$164,$D35)</f>
        <v>98000.5</v>
      </c>
      <c r="CO35" s="23">
        <f>SUMIFS(ActBS!CA$6:CA$164,ActBS!$A$6:$A$164,$D35)</f>
        <v>98000.5</v>
      </c>
      <c r="CP35" s="23">
        <f>SUMIFS(ActBS!CB$6:CB$164,ActBS!$A$6:$A$164,$D35)</f>
        <v>98000.5</v>
      </c>
      <c r="CQ35" s="23">
        <f>SUMIFS(ActBS!CC$6:CC$164,ActBS!$A$6:$A$164,$D35)</f>
        <v>98000.5</v>
      </c>
      <c r="CR35" s="23">
        <f>SUMIFS(ActBS!CD$6:CD$164,ActBS!$A$6:$A$164,$D35)</f>
        <v>98000.5</v>
      </c>
      <c r="CS35" s="23">
        <f>SUMIFS(ActBS!CE$6:CE$164,ActBS!$A$6:$A$164,$D35)</f>
        <v>98000.5</v>
      </c>
      <c r="CT35" s="23">
        <f>SUMIFS(ActBS!CF$6:CF$164,ActBS!$A$6:$A$164,$D35)</f>
        <v>98000.5</v>
      </c>
      <c r="CU35" s="23">
        <f>SUMIFS(ActBS!CG$6:CG$164,ActBS!$A$6:$A$164,$D35)</f>
        <v>98000.5</v>
      </c>
      <c r="CV35" s="23">
        <f>SUMIFS(ActBS!CH$6:CH$164,ActBS!$A$6:$A$164,$D35)</f>
        <v>98000.5</v>
      </c>
      <c r="CW35" s="23">
        <f>SUMIFS(ActBS!CI$6:CI$164,ActBS!$A$6:$A$164,$D35)</f>
        <v>0</v>
      </c>
      <c r="CX35" s="23">
        <f>SUMIFS(ActBS!CJ$6:CJ$164,ActBS!$A$6:$A$164,$D35)</f>
        <v>0</v>
      </c>
      <c r="CY35" s="23">
        <f>SUMIFS(ActBS!CK$6:CK$164,ActBS!$A$6:$A$164,$D35)</f>
        <v>0</v>
      </c>
      <c r="CZ35" s="23">
        <f>SUMIFS(ActBS!CL$6:CL$164,ActBS!$A$6:$A$164,$D35)</f>
        <v>0</v>
      </c>
    </row>
    <row r="36" spans="4:104" x14ac:dyDescent="0.25">
      <c r="D36" s="6" t="s">
        <v>23</v>
      </c>
      <c r="F36" s="23">
        <f t="shared" si="94"/>
        <v>0</v>
      </c>
      <c r="G36" s="23">
        <f>AN36</f>
        <v>0</v>
      </c>
      <c r="H36" s="23">
        <f>AZ36</f>
        <v>0</v>
      </c>
      <c r="I36" s="23">
        <f>BL36</f>
        <v>0</v>
      </c>
      <c r="J36" s="23">
        <f t="shared" si="95"/>
        <v>0</v>
      </c>
      <c r="K36" s="23">
        <f t="shared" si="96"/>
        <v>0</v>
      </c>
      <c r="L36" s="23">
        <f t="shared" si="97"/>
        <v>0</v>
      </c>
      <c r="M36" s="21"/>
      <c r="N36" s="21"/>
      <c r="O36" s="21"/>
      <c r="P36" s="21"/>
      <c r="Q36" s="23">
        <f>SUMIFS(ActBS!C$6:C$164,ActBS!$A$6:$A$164,$D36)</f>
        <v>5000</v>
      </c>
      <c r="R36" s="23">
        <f>SUMIFS(ActBS!D$6:D$164,ActBS!$A$6:$A$164,$D36)</f>
        <v>5000</v>
      </c>
      <c r="S36" s="23">
        <f>SUMIFS(ActBS!E$6:E$164,ActBS!$A$6:$A$164,$D36)</f>
        <v>5000</v>
      </c>
      <c r="T36" s="23">
        <f>SUMIFS(ActBS!F$6:F$164,ActBS!$A$6:$A$164,$D36)</f>
        <v>0</v>
      </c>
      <c r="U36" s="23">
        <f>SUMIFS(ActBS!G$6:G$164,ActBS!$A$6:$A$164,$D36)</f>
        <v>0</v>
      </c>
      <c r="V36" s="23">
        <f>SUMIFS(ActBS!H$6:H$164,ActBS!$A$6:$A$164,$D36)</f>
        <v>0</v>
      </c>
      <c r="W36" s="23">
        <f>SUMIFS(ActBS!I$6:I$164,ActBS!$A$6:$A$164,$D36)</f>
        <v>0</v>
      </c>
      <c r="X36" s="23">
        <f>SUMIFS(ActBS!J$6:J$164,ActBS!$A$6:$A$164,$D36)</f>
        <v>0</v>
      </c>
      <c r="Y36" s="23">
        <f>SUMIFS(ActBS!K$6:K$164,ActBS!$A$6:$A$164,$D36)</f>
        <v>0</v>
      </c>
      <c r="Z36" s="23">
        <f>SUMIFS(ActBS!L$6:L$164,ActBS!$A$6:$A$164,$D36)</f>
        <v>0</v>
      </c>
      <c r="AA36" s="23">
        <f>SUMIFS(ActBS!M$6:M$164,ActBS!$A$6:$A$164,$D36)</f>
        <v>0</v>
      </c>
      <c r="AB36" s="23">
        <f>SUMIFS(ActBS!N$6:N$164,ActBS!$A$6:$A$164,$D36)</f>
        <v>0</v>
      </c>
      <c r="AC36" s="23">
        <f>SUMIFS(ActBS!O$6:O$164,ActBS!$A$6:$A$164,$D36)</f>
        <v>0</v>
      </c>
      <c r="AD36" s="23">
        <f>SUMIFS(ActBS!P$6:P$164,ActBS!$A$6:$A$164,$D36)</f>
        <v>0</v>
      </c>
      <c r="AE36" s="23">
        <f>SUMIFS(ActBS!Q$6:Q$164,ActBS!$A$6:$A$164,$D36)</f>
        <v>0</v>
      </c>
      <c r="AF36" s="23">
        <f>SUMIFS(ActBS!R$6:R$164,ActBS!$A$6:$A$164,$D36)</f>
        <v>0</v>
      </c>
      <c r="AG36" s="23">
        <f>SUMIFS(ActBS!S$6:S$164,ActBS!$A$6:$A$164,$D36)</f>
        <v>0</v>
      </c>
      <c r="AH36" s="23">
        <f>SUMIFS(ActBS!T$6:T$164,ActBS!$A$6:$A$164,$D36)</f>
        <v>0</v>
      </c>
      <c r="AI36" s="23">
        <f>SUMIFS(ActBS!U$6:U$164,ActBS!$A$6:$A$164,$D36)</f>
        <v>0</v>
      </c>
      <c r="AJ36" s="23">
        <f>SUMIFS(ActBS!V$6:V$164,ActBS!$A$6:$A$164,$D36)</f>
        <v>0</v>
      </c>
      <c r="AK36" s="23">
        <f>SUMIFS(ActBS!W$6:W$164,ActBS!$A$6:$A$164,$D36)</f>
        <v>0</v>
      </c>
      <c r="AL36" s="23">
        <f>SUMIFS(ActBS!X$6:X$164,ActBS!$A$6:$A$164,$D36)</f>
        <v>0</v>
      </c>
      <c r="AM36" s="23">
        <f>SUMIFS(ActBS!Y$6:Y$164,ActBS!$A$6:$A$164,$D36)</f>
        <v>0</v>
      </c>
      <c r="AN36" s="23">
        <f>SUMIFS(ActBS!Z$6:Z$164,ActBS!$A$6:$A$164,$D36)</f>
        <v>0</v>
      </c>
      <c r="AO36" s="23">
        <f>SUMIFS(ActBS!AA$6:AA$164,ActBS!$A$6:$A$164,$D36)</f>
        <v>0</v>
      </c>
      <c r="AP36" s="23">
        <f>SUMIFS(ActBS!AB$6:AB$164,ActBS!$A$6:$A$164,$D36)</f>
        <v>0</v>
      </c>
      <c r="AQ36" s="23">
        <f>SUMIFS(ActBS!AC$6:AC$164,ActBS!$A$6:$A$164,$D36)</f>
        <v>0</v>
      </c>
      <c r="AR36" s="23">
        <f>SUMIFS(ActBS!AD$6:AD$164,ActBS!$A$6:$A$164,$D36)</f>
        <v>0</v>
      </c>
      <c r="AS36" s="23">
        <f>SUMIFS(ActBS!AE$6:AE$164,ActBS!$A$6:$A$164,$D36)</f>
        <v>0</v>
      </c>
      <c r="AT36" s="23">
        <f>SUMIFS(ActBS!AF$6:AF$164,ActBS!$A$6:$A$164,$D36)</f>
        <v>0</v>
      </c>
      <c r="AU36" s="23">
        <f>SUMIFS(ActBS!AG$6:AG$164,ActBS!$A$6:$A$164,$D36)</f>
        <v>0</v>
      </c>
      <c r="AV36" s="23">
        <f>SUMIFS(ActBS!AH$6:AH$164,ActBS!$A$6:$A$164,$D36)</f>
        <v>0</v>
      </c>
      <c r="AW36" s="23">
        <f>SUMIFS(ActBS!AI$6:AI$164,ActBS!$A$6:$A$164,$D36)</f>
        <v>0</v>
      </c>
      <c r="AX36" s="23">
        <f>SUMIFS(ActBS!AJ$6:AJ$164,ActBS!$A$6:$A$164,$D36)</f>
        <v>0</v>
      </c>
      <c r="AY36" s="23">
        <f>SUMIFS(ActBS!AK$6:AK$164,ActBS!$A$6:$A$164,$D36)</f>
        <v>0</v>
      </c>
      <c r="AZ36" s="23">
        <f>SUMIFS(ActBS!AL$6:AL$164,ActBS!$A$6:$A$164,$D36)</f>
        <v>0</v>
      </c>
      <c r="BA36" s="23">
        <f>SUMIFS(ActBS!AM$6:AM$164,ActBS!$A$6:$A$164,$D36)</f>
        <v>0</v>
      </c>
      <c r="BB36" s="23">
        <f>SUMIFS(ActBS!AN$6:AN$164,ActBS!$A$6:$A$164,$D36)</f>
        <v>0</v>
      </c>
      <c r="BC36" s="23">
        <f>SUMIFS(ActBS!AO$6:AO$164,ActBS!$A$6:$A$164,$D36)</f>
        <v>0</v>
      </c>
      <c r="BD36" s="23">
        <f>SUMIFS(ActBS!AP$6:AP$164,ActBS!$A$6:$A$164,$D36)</f>
        <v>0</v>
      </c>
      <c r="BE36" s="23">
        <f>SUMIFS(ActBS!AQ$6:AQ$164,ActBS!$A$6:$A$164,$D36)</f>
        <v>0</v>
      </c>
      <c r="BF36" s="23">
        <f>SUMIFS(ActBS!AR$6:AR$164,ActBS!$A$6:$A$164,$D36)</f>
        <v>0</v>
      </c>
      <c r="BG36" s="23">
        <f>SUMIFS(ActBS!AS$6:AS$164,ActBS!$A$6:$A$164,$D36)</f>
        <v>0</v>
      </c>
      <c r="BH36" s="23">
        <f>SUMIFS(ActBS!AT$6:AT$164,ActBS!$A$6:$A$164,$D36)</f>
        <v>0</v>
      </c>
      <c r="BI36" s="23">
        <f>SUMIFS(ActBS!AU$6:AU$164,ActBS!$A$6:$A$164,$D36)</f>
        <v>0</v>
      </c>
      <c r="BJ36" s="23">
        <f>SUMIFS(ActBS!AV$6:AV$164,ActBS!$A$6:$A$164,$D36)</f>
        <v>0</v>
      </c>
      <c r="BK36" s="23">
        <f>SUMIFS(ActBS!AW$6:AW$164,ActBS!$A$6:$A$164,$D36)</f>
        <v>0</v>
      </c>
      <c r="BL36" s="23">
        <f>SUMIFS(ActBS!AX$6:AX$164,ActBS!$A$6:$A$164,$D36)</f>
        <v>0</v>
      </c>
      <c r="BM36" s="23">
        <f>SUMIFS(ActBS!AY$6:AY$164,ActBS!$A$6:$A$164,$D36)</f>
        <v>0</v>
      </c>
      <c r="BN36" s="23">
        <f>SUMIFS(ActBS!AZ$6:AZ$164,ActBS!$A$6:$A$164,$D36)</f>
        <v>0</v>
      </c>
      <c r="BO36" s="23">
        <f>SUMIFS(ActBS!BA$6:BA$164,ActBS!$A$6:$A$164,$D36)</f>
        <v>0</v>
      </c>
      <c r="BP36" s="23">
        <f>SUMIFS(ActBS!BB$6:BB$164,ActBS!$A$6:$A$164,$D36)</f>
        <v>0</v>
      </c>
      <c r="BQ36" s="23">
        <f>SUMIFS(ActBS!BC$6:BC$164,ActBS!$A$6:$A$164,$D36)</f>
        <v>0</v>
      </c>
      <c r="BR36" s="23">
        <f>SUMIFS(ActBS!BD$6:BD$164,ActBS!$A$6:$A$164,$D36)</f>
        <v>0</v>
      </c>
      <c r="BS36" s="23">
        <f>SUMIFS(ActBS!BE$6:BE$164,ActBS!$A$6:$A$164,$D36)</f>
        <v>0</v>
      </c>
      <c r="BT36" s="23">
        <f>SUMIFS(ActBS!BF$6:BF$164,ActBS!$A$6:$A$164,$D36)</f>
        <v>0</v>
      </c>
      <c r="BU36" s="23">
        <f>SUMIFS(ActBS!BG$6:BG$164,ActBS!$A$6:$A$164,$D36)</f>
        <v>0</v>
      </c>
      <c r="BV36" s="23">
        <f>SUMIFS(ActBS!BH$6:BH$164,ActBS!$A$6:$A$164,$D36)</f>
        <v>0</v>
      </c>
      <c r="BW36" s="23">
        <f>SUMIFS(ActBS!BI$6:BI$164,ActBS!$A$6:$A$164,$D36)</f>
        <v>0</v>
      </c>
      <c r="BX36" s="23">
        <f>SUMIFS(ActBS!BJ$6:BJ$164,ActBS!$A$6:$A$164,$D36)</f>
        <v>0</v>
      </c>
      <c r="BY36" s="23">
        <f>SUMIFS(ActBS!BK$6:BK$164,ActBS!$A$6:$A$164,$D36)</f>
        <v>0</v>
      </c>
      <c r="BZ36" s="23">
        <f>SUMIFS(ActBS!BL$6:BL$164,ActBS!$A$6:$A$164,$D36)</f>
        <v>0</v>
      </c>
      <c r="CA36" s="23">
        <f>SUMIFS(ActBS!BM$6:BM$164,ActBS!$A$6:$A$164,$D36)</f>
        <v>0</v>
      </c>
      <c r="CB36" s="23">
        <f>SUMIFS(ActBS!BN$6:BN$164,ActBS!$A$6:$A$164,$D36)</f>
        <v>0</v>
      </c>
      <c r="CC36" s="23">
        <f>SUMIFS(ActBS!BO$6:BO$164,ActBS!$A$6:$A$164,$D36)</f>
        <v>0</v>
      </c>
      <c r="CD36" s="23">
        <f>SUMIFS(ActBS!BP$6:BP$164,ActBS!$A$6:$A$164,$D36)</f>
        <v>0</v>
      </c>
      <c r="CE36" s="23">
        <f>SUMIFS(ActBS!BQ$6:BQ$164,ActBS!$A$6:$A$164,$D36)</f>
        <v>0</v>
      </c>
      <c r="CF36" s="23">
        <f>SUMIFS(ActBS!BR$6:BR$164,ActBS!$A$6:$A$164,$D36)</f>
        <v>0</v>
      </c>
      <c r="CG36" s="23">
        <f>SUMIFS(ActBS!BS$6:BS$164,ActBS!$A$6:$A$164,$D36)</f>
        <v>0</v>
      </c>
      <c r="CH36" s="23">
        <f>SUMIFS(ActBS!BT$6:BT$164,ActBS!$A$6:$A$164,$D36)</f>
        <v>0</v>
      </c>
      <c r="CI36" s="23">
        <f>SUMIFS(ActBS!BU$6:BU$164,ActBS!$A$6:$A$164,$D36)</f>
        <v>0</v>
      </c>
      <c r="CJ36" s="23">
        <f>SUMIFS(ActBS!BV$6:BV$164,ActBS!$A$6:$A$164,$D36)</f>
        <v>0</v>
      </c>
      <c r="CK36" s="23">
        <f>SUMIFS(ActBS!BW$6:BW$164,ActBS!$A$6:$A$164,$D36)</f>
        <v>0</v>
      </c>
      <c r="CL36" s="23">
        <f>SUMIFS(ActBS!BX$6:BX$164,ActBS!$A$6:$A$164,$D36)</f>
        <v>0</v>
      </c>
      <c r="CM36" s="23">
        <f>SUMIFS(ActBS!BY$6:BY$164,ActBS!$A$6:$A$164,$D36)</f>
        <v>0</v>
      </c>
      <c r="CN36" s="23">
        <f>SUMIFS(ActBS!BZ$6:BZ$164,ActBS!$A$6:$A$164,$D36)</f>
        <v>0</v>
      </c>
      <c r="CO36" s="23">
        <f>SUMIFS(ActBS!CA$6:CA$164,ActBS!$A$6:$A$164,$D36)</f>
        <v>0</v>
      </c>
      <c r="CP36" s="23">
        <f>SUMIFS(ActBS!CB$6:CB$164,ActBS!$A$6:$A$164,$D36)</f>
        <v>0</v>
      </c>
      <c r="CQ36" s="23">
        <f>SUMIFS(ActBS!CC$6:CC$164,ActBS!$A$6:$A$164,$D36)</f>
        <v>0</v>
      </c>
      <c r="CR36" s="23">
        <f>SUMIFS(ActBS!CD$6:CD$164,ActBS!$A$6:$A$164,$D36)</f>
        <v>0</v>
      </c>
      <c r="CS36" s="23">
        <f>SUMIFS(ActBS!CE$6:CE$164,ActBS!$A$6:$A$164,$D36)</f>
        <v>0</v>
      </c>
      <c r="CT36" s="23">
        <f>SUMIFS(ActBS!CF$6:CF$164,ActBS!$A$6:$A$164,$D36)</f>
        <v>0</v>
      </c>
      <c r="CU36" s="23">
        <f>SUMIFS(ActBS!CG$6:CG$164,ActBS!$A$6:$A$164,$D36)</f>
        <v>0</v>
      </c>
      <c r="CV36" s="23">
        <f>SUMIFS(ActBS!CH$6:CH$164,ActBS!$A$6:$A$164,$D36)</f>
        <v>0</v>
      </c>
      <c r="CW36" s="23">
        <f>SUMIFS(ActBS!CI$6:CI$164,ActBS!$A$6:$A$164,$D36)</f>
        <v>0</v>
      </c>
      <c r="CX36" s="23">
        <f>SUMIFS(ActBS!CJ$6:CJ$164,ActBS!$A$6:$A$164,$D36)</f>
        <v>0</v>
      </c>
      <c r="CY36" s="23">
        <f>SUMIFS(ActBS!CK$6:CK$164,ActBS!$A$6:$A$164,$D36)</f>
        <v>0</v>
      </c>
      <c r="CZ36" s="23">
        <f>SUMIFS(ActBS!CL$6:CL$164,ActBS!$A$6:$A$164,$D36)</f>
        <v>0</v>
      </c>
    </row>
    <row r="37" spans="4:104" x14ac:dyDescent="0.25">
      <c r="D37" s="6" t="s">
        <v>14</v>
      </c>
      <c r="F37" s="23">
        <f t="shared" si="94"/>
        <v>0</v>
      </c>
      <c r="G37" s="23">
        <f>AN37</f>
        <v>0</v>
      </c>
      <c r="H37" s="23">
        <f>AZ37</f>
        <v>0</v>
      </c>
      <c r="I37" s="23">
        <f>BL37</f>
        <v>0</v>
      </c>
      <c r="J37" s="23">
        <f t="shared" si="95"/>
        <v>0</v>
      </c>
      <c r="K37" s="23">
        <f t="shared" si="96"/>
        <v>0</v>
      </c>
      <c r="L37" s="23">
        <f t="shared" si="97"/>
        <v>0</v>
      </c>
      <c r="M37" s="21"/>
      <c r="N37" s="21"/>
      <c r="O37" s="21"/>
      <c r="P37" s="21"/>
      <c r="Q37" s="23">
        <f>SUMIFS(ActBS!C$6:C$164,ActBS!$A$6:$A$164,$D37)</f>
        <v>0</v>
      </c>
      <c r="R37" s="23">
        <f>SUMIFS(ActBS!D$6:D$164,ActBS!$A$6:$A$164,$D37)</f>
        <v>0</v>
      </c>
      <c r="S37" s="23">
        <f>SUMIFS(ActBS!E$6:E$164,ActBS!$A$6:$A$164,$D37)</f>
        <v>0</v>
      </c>
      <c r="T37" s="23">
        <f>SUMIFS(ActBS!F$6:F$164,ActBS!$A$6:$A$164,$D37)</f>
        <v>0</v>
      </c>
      <c r="U37" s="23">
        <f>SUMIFS(ActBS!G$6:G$164,ActBS!$A$6:$A$164,$D37)</f>
        <v>0</v>
      </c>
      <c r="V37" s="23">
        <f>SUMIFS(ActBS!H$6:H$164,ActBS!$A$6:$A$164,$D37)</f>
        <v>0</v>
      </c>
      <c r="W37" s="23">
        <f>SUMIFS(ActBS!I$6:I$164,ActBS!$A$6:$A$164,$D37)</f>
        <v>0</v>
      </c>
      <c r="X37" s="23">
        <f>SUMIFS(ActBS!J$6:J$164,ActBS!$A$6:$A$164,$D37)</f>
        <v>0</v>
      </c>
      <c r="Y37" s="23">
        <f>SUMIFS(ActBS!K$6:K$164,ActBS!$A$6:$A$164,$D37)</f>
        <v>0</v>
      </c>
      <c r="Z37" s="23">
        <f>SUMIFS(ActBS!L$6:L$164,ActBS!$A$6:$A$164,$D37)</f>
        <v>0</v>
      </c>
      <c r="AA37" s="23">
        <f>SUMIFS(ActBS!M$6:M$164,ActBS!$A$6:$A$164,$D37)</f>
        <v>0</v>
      </c>
      <c r="AB37" s="23">
        <f>SUMIFS(ActBS!N$6:N$164,ActBS!$A$6:$A$164,$D37)</f>
        <v>0</v>
      </c>
      <c r="AC37" s="23">
        <f>SUMIFS(ActBS!O$6:O$164,ActBS!$A$6:$A$164,$D37)</f>
        <v>0</v>
      </c>
      <c r="AD37" s="23">
        <f>SUMIFS(ActBS!P$6:P$164,ActBS!$A$6:$A$164,$D37)</f>
        <v>0</v>
      </c>
      <c r="AE37" s="23">
        <f>SUMIFS(ActBS!Q$6:Q$164,ActBS!$A$6:$A$164,$D37)</f>
        <v>0</v>
      </c>
      <c r="AF37" s="23">
        <f>SUMIFS(ActBS!R$6:R$164,ActBS!$A$6:$A$164,$D37)</f>
        <v>0</v>
      </c>
      <c r="AG37" s="23">
        <f>SUMIFS(ActBS!S$6:S$164,ActBS!$A$6:$A$164,$D37)</f>
        <v>0</v>
      </c>
      <c r="AH37" s="23">
        <f>SUMIFS(ActBS!T$6:T$164,ActBS!$A$6:$A$164,$D37)</f>
        <v>0</v>
      </c>
      <c r="AI37" s="23">
        <f>SUMIFS(ActBS!U$6:U$164,ActBS!$A$6:$A$164,$D37)</f>
        <v>0</v>
      </c>
      <c r="AJ37" s="23">
        <f>SUMIFS(ActBS!V$6:V$164,ActBS!$A$6:$A$164,$D37)</f>
        <v>0</v>
      </c>
      <c r="AK37" s="23">
        <f>SUMIFS(ActBS!W$6:W$164,ActBS!$A$6:$A$164,$D37)</f>
        <v>0</v>
      </c>
      <c r="AL37" s="23">
        <f>SUMIFS(ActBS!X$6:X$164,ActBS!$A$6:$A$164,$D37)</f>
        <v>0</v>
      </c>
      <c r="AM37" s="23">
        <f>SUMIFS(ActBS!Y$6:Y$164,ActBS!$A$6:$A$164,$D37)</f>
        <v>0</v>
      </c>
      <c r="AN37" s="23">
        <f>SUMIFS(ActBS!Z$6:Z$164,ActBS!$A$6:$A$164,$D37)</f>
        <v>0</v>
      </c>
      <c r="AO37" s="23">
        <f>SUMIFS(ActBS!AA$6:AA$164,ActBS!$A$6:$A$164,$D37)</f>
        <v>0</v>
      </c>
      <c r="AP37" s="23">
        <f>SUMIFS(ActBS!AB$6:AB$164,ActBS!$A$6:$A$164,$D37)</f>
        <v>0</v>
      </c>
      <c r="AQ37" s="23">
        <f>SUMIFS(ActBS!AC$6:AC$164,ActBS!$A$6:$A$164,$D37)</f>
        <v>0</v>
      </c>
      <c r="AR37" s="23">
        <f>SUMIFS(ActBS!AD$6:AD$164,ActBS!$A$6:$A$164,$D37)</f>
        <v>0</v>
      </c>
      <c r="AS37" s="23">
        <f>SUMIFS(ActBS!AE$6:AE$164,ActBS!$A$6:$A$164,$D37)</f>
        <v>0</v>
      </c>
      <c r="AT37" s="23">
        <f>SUMIFS(ActBS!AF$6:AF$164,ActBS!$A$6:$A$164,$D37)</f>
        <v>0</v>
      </c>
      <c r="AU37" s="23">
        <f>SUMIFS(ActBS!AG$6:AG$164,ActBS!$A$6:$A$164,$D37)</f>
        <v>0</v>
      </c>
      <c r="AV37" s="23">
        <f>SUMIFS(ActBS!AH$6:AH$164,ActBS!$A$6:$A$164,$D37)</f>
        <v>0</v>
      </c>
      <c r="AW37" s="23">
        <f>SUMIFS(ActBS!AI$6:AI$164,ActBS!$A$6:$A$164,$D37)</f>
        <v>0</v>
      </c>
      <c r="AX37" s="23">
        <f>SUMIFS(ActBS!AJ$6:AJ$164,ActBS!$A$6:$A$164,$D37)</f>
        <v>0</v>
      </c>
      <c r="AY37" s="23">
        <f>SUMIFS(ActBS!AK$6:AK$164,ActBS!$A$6:$A$164,$D37)</f>
        <v>0</v>
      </c>
      <c r="AZ37" s="23">
        <f>SUMIFS(ActBS!AL$6:AL$164,ActBS!$A$6:$A$164,$D37)</f>
        <v>0</v>
      </c>
      <c r="BA37" s="23">
        <f>SUMIFS(ActBS!AM$6:AM$164,ActBS!$A$6:$A$164,$D37)</f>
        <v>0</v>
      </c>
      <c r="BB37" s="23">
        <f>SUMIFS(ActBS!AN$6:AN$164,ActBS!$A$6:$A$164,$D37)</f>
        <v>0</v>
      </c>
      <c r="BC37" s="23">
        <f>SUMIFS(ActBS!AO$6:AO$164,ActBS!$A$6:$A$164,$D37)</f>
        <v>0</v>
      </c>
      <c r="BD37" s="23">
        <f>SUMIFS(ActBS!AP$6:AP$164,ActBS!$A$6:$A$164,$D37)</f>
        <v>0</v>
      </c>
      <c r="BE37" s="23">
        <f>SUMIFS(ActBS!AQ$6:AQ$164,ActBS!$A$6:$A$164,$D37)</f>
        <v>0</v>
      </c>
      <c r="BF37" s="23">
        <f>SUMIFS(ActBS!AR$6:AR$164,ActBS!$A$6:$A$164,$D37)</f>
        <v>0</v>
      </c>
      <c r="BG37" s="23">
        <f>SUMIFS(ActBS!AS$6:AS$164,ActBS!$A$6:$A$164,$D37)</f>
        <v>0</v>
      </c>
      <c r="BH37" s="23">
        <f>SUMIFS(ActBS!AT$6:AT$164,ActBS!$A$6:$A$164,$D37)</f>
        <v>0</v>
      </c>
      <c r="BI37" s="23">
        <f>SUMIFS(ActBS!AU$6:AU$164,ActBS!$A$6:$A$164,$D37)</f>
        <v>0</v>
      </c>
      <c r="BJ37" s="23">
        <f>SUMIFS(ActBS!AV$6:AV$164,ActBS!$A$6:$A$164,$D37)</f>
        <v>0</v>
      </c>
      <c r="BK37" s="23">
        <f>SUMIFS(ActBS!AW$6:AW$164,ActBS!$A$6:$A$164,$D37)</f>
        <v>0</v>
      </c>
      <c r="BL37" s="23">
        <f>SUMIFS(ActBS!AX$6:AX$164,ActBS!$A$6:$A$164,$D37)</f>
        <v>0</v>
      </c>
      <c r="BM37" s="23">
        <f>SUMIFS(ActBS!AY$6:AY$164,ActBS!$A$6:$A$164,$D37)</f>
        <v>0</v>
      </c>
      <c r="BN37" s="23">
        <f>SUMIFS(ActBS!AZ$6:AZ$164,ActBS!$A$6:$A$164,$D37)</f>
        <v>0</v>
      </c>
      <c r="BO37" s="23">
        <f>SUMIFS(ActBS!BA$6:BA$164,ActBS!$A$6:$A$164,$D37)</f>
        <v>0</v>
      </c>
      <c r="BP37" s="23">
        <f>SUMIFS(ActBS!BB$6:BB$164,ActBS!$A$6:$A$164,$D37)</f>
        <v>0</v>
      </c>
      <c r="BQ37" s="23">
        <f>SUMIFS(ActBS!BC$6:BC$164,ActBS!$A$6:$A$164,$D37)</f>
        <v>0</v>
      </c>
      <c r="BR37" s="23">
        <f>SUMIFS(ActBS!BD$6:BD$164,ActBS!$A$6:$A$164,$D37)</f>
        <v>0</v>
      </c>
      <c r="BS37" s="23">
        <f>SUMIFS(ActBS!BE$6:BE$164,ActBS!$A$6:$A$164,$D37)</f>
        <v>0</v>
      </c>
      <c r="BT37" s="23">
        <f>SUMIFS(ActBS!BF$6:BF$164,ActBS!$A$6:$A$164,$D37)</f>
        <v>0</v>
      </c>
      <c r="BU37" s="23">
        <f>SUMIFS(ActBS!BG$6:BG$164,ActBS!$A$6:$A$164,$D37)</f>
        <v>0</v>
      </c>
      <c r="BV37" s="23">
        <f>SUMIFS(ActBS!BH$6:BH$164,ActBS!$A$6:$A$164,$D37)</f>
        <v>0</v>
      </c>
      <c r="BW37" s="23">
        <f>SUMIFS(ActBS!BI$6:BI$164,ActBS!$A$6:$A$164,$D37)</f>
        <v>0</v>
      </c>
      <c r="BX37" s="23">
        <f>SUMIFS(ActBS!BJ$6:BJ$164,ActBS!$A$6:$A$164,$D37)</f>
        <v>0</v>
      </c>
      <c r="BY37" s="23">
        <f>SUMIFS(ActBS!BK$6:BK$164,ActBS!$A$6:$A$164,$D37)</f>
        <v>0</v>
      </c>
      <c r="BZ37" s="23">
        <f>SUMIFS(ActBS!BL$6:BL$164,ActBS!$A$6:$A$164,$D37)</f>
        <v>0</v>
      </c>
      <c r="CA37" s="23">
        <f>SUMIFS(ActBS!BM$6:BM$164,ActBS!$A$6:$A$164,$D37)</f>
        <v>0</v>
      </c>
      <c r="CB37" s="23">
        <f>SUMIFS(ActBS!BN$6:BN$164,ActBS!$A$6:$A$164,$D37)</f>
        <v>0</v>
      </c>
      <c r="CC37" s="23">
        <f>SUMIFS(ActBS!BO$6:BO$164,ActBS!$A$6:$A$164,$D37)</f>
        <v>0</v>
      </c>
      <c r="CD37" s="23">
        <f>SUMIFS(ActBS!BP$6:BP$164,ActBS!$A$6:$A$164,$D37)</f>
        <v>0</v>
      </c>
      <c r="CE37" s="23">
        <f>SUMIFS(ActBS!BQ$6:BQ$164,ActBS!$A$6:$A$164,$D37)</f>
        <v>0</v>
      </c>
      <c r="CF37" s="23">
        <f>SUMIFS(ActBS!BR$6:BR$164,ActBS!$A$6:$A$164,$D37)</f>
        <v>0</v>
      </c>
      <c r="CG37" s="23">
        <f>SUMIFS(ActBS!BS$6:BS$164,ActBS!$A$6:$A$164,$D37)</f>
        <v>0</v>
      </c>
      <c r="CH37" s="23">
        <f>SUMIFS(ActBS!BT$6:BT$164,ActBS!$A$6:$A$164,$D37)</f>
        <v>0</v>
      </c>
      <c r="CI37" s="23">
        <f>SUMIFS(ActBS!BU$6:BU$164,ActBS!$A$6:$A$164,$D37)</f>
        <v>0</v>
      </c>
      <c r="CJ37" s="23">
        <f>SUMIFS(ActBS!BV$6:BV$164,ActBS!$A$6:$A$164,$D37)</f>
        <v>0</v>
      </c>
      <c r="CK37" s="23">
        <f>SUMIFS(ActBS!BW$6:BW$164,ActBS!$A$6:$A$164,$D37)</f>
        <v>0</v>
      </c>
      <c r="CL37" s="23">
        <f>SUMIFS(ActBS!BX$6:BX$164,ActBS!$A$6:$A$164,$D37)</f>
        <v>0</v>
      </c>
      <c r="CM37" s="23">
        <f>SUMIFS(ActBS!BY$6:BY$164,ActBS!$A$6:$A$164,$D37)</f>
        <v>0</v>
      </c>
      <c r="CN37" s="23">
        <f>SUMIFS(ActBS!BZ$6:BZ$164,ActBS!$A$6:$A$164,$D37)</f>
        <v>0</v>
      </c>
      <c r="CO37" s="23">
        <f>SUMIFS(ActBS!CA$6:CA$164,ActBS!$A$6:$A$164,$D37)</f>
        <v>0</v>
      </c>
      <c r="CP37" s="23">
        <f>SUMIFS(ActBS!CB$6:CB$164,ActBS!$A$6:$A$164,$D37)</f>
        <v>0</v>
      </c>
      <c r="CQ37" s="23">
        <f>SUMIFS(ActBS!CC$6:CC$164,ActBS!$A$6:$A$164,$D37)</f>
        <v>0</v>
      </c>
      <c r="CR37" s="23">
        <f>SUMIFS(ActBS!CD$6:CD$164,ActBS!$A$6:$A$164,$D37)</f>
        <v>0</v>
      </c>
      <c r="CS37" s="23">
        <f>SUMIFS(ActBS!CE$6:CE$164,ActBS!$A$6:$A$164,$D37)</f>
        <v>0</v>
      </c>
      <c r="CT37" s="23">
        <f>SUMIFS(ActBS!CF$6:CF$164,ActBS!$A$6:$A$164,$D37)</f>
        <v>0</v>
      </c>
      <c r="CU37" s="23">
        <f>SUMIFS(ActBS!CG$6:CG$164,ActBS!$A$6:$A$164,$D37)</f>
        <v>0</v>
      </c>
      <c r="CV37" s="23">
        <f>SUMIFS(ActBS!CH$6:CH$164,ActBS!$A$6:$A$164,$D37)</f>
        <v>0</v>
      </c>
      <c r="CW37" s="23">
        <f>SUMIFS(ActBS!CI$6:CI$164,ActBS!$A$6:$A$164,$D37)</f>
        <v>0</v>
      </c>
      <c r="CX37" s="23">
        <f>SUMIFS(ActBS!CJ$6:CJ$164,ActBS!$A$6:$A$164,$D37)</f>
        <v>0</v>
      </c>
      <c r="CY37" s="23">
        <f>SUMIFS(ActBS!CK$6:CK$164,ActBS!$A$6:$A$164,$D37)</f>
        <v>0</v>
      </c>
      <c r="CZ37" s="23">
        <f>SUMIFS(ActBS!CL$6:CL$164,ActBS!$A$6:$A$164,$D37)</f>
        <v>0</v>
      </c>
    </row>
    <row r="38" spans="4:104" x14ac:dyDescent="0.25">
      <c r="D38" s="6"/>
      <c r="F38" s="16"/>
      <c r="G38" s="16"/>
      <c r="H38" s="16"/>
      <c r="I38" s="16"/>
      <c r="J38" s="16"/>
      <c r="K38" s="16"/>
      <c r="L38" s="16"/>
      <c r="M38" s="21"/>
      <c r="N38" s="21"/>
      <c r="O38" s="21"/>
      <c r="P38" s="21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</row>
    <row r="39" spans="4:104" ht="15.75" thickBot="1" x14ac:dyDescent="0.3">
      <c r="D39" s="7" t="s">
        <v>15</v>
      </c>
      <c r="F39" s="26">
        <f t="shared" ref="F39:L39" si="98">SUM(F34:F38)</f>
        <v>742401.33000000007</v>
      </c>
      <c r="G39" s="26">
        <f t="shared" ca="1" si="98"/>
        <v>1017340.5</v>
      </c>
      <c r="H39" s="26">
        <f t="shared" ca="1" si="98"/>
        <v>4687480.5</v>
      </c>
      <c r="I39" s="26">
        <f t="shared" ca="1" si="98"/>
        <v>10732794.5</v>
      </c>
      <c r="J39" s="26">
        <f t="shared" ca="1" si="98"/>
        <v>22483031</v>
      </c>
      <c r="K39" s="26">
        <f t="shared" ca="1" si="98"/>
        <v>40349188.899999999</v>
      </c>
      <c r="L39" s="26">
        <f t="shared" ca="1" si="98"/>
        <v>31999639.612500001</v>
      </c>
      <c r="M39" s="21"/>
      <c r="N39" s="21"/>
      <c r="O39" s="21"/>
      <c r="P39" s="21"/>
      <c r="Q39" s="26">
        <f t="shared" ref="Q39:BL39" si="99">SUM(Q34:Q38)</f>
        <v>11756.819999999996</v>
      </c>
      <c r="R39" s="26">
        <f t="shared" si="99"/>
        <v>57277.599999999999</v>
      </c>
      <c r="S39" s="26">
        <f t="shared" si="99"/>
        <v>63925.659999999996</v>
      </c>
      <c r="T39" s="26">
        <f t="shared" si="99"/>
        <v>194874.99</v>
      </c>
      <c r="U39" s="26">
        <f t="shared" si="99"/>
        <v>257151.25</v>
      </c>
      <c r="V39" s="26">
        <f t="shared" si="99"/>
        <v>224703.06</v>
      </c>
      <c r="W39" s="26">
        <f t="shared" si="99"/>
        <v>441263.57999999996</v>
      </c>
      <c r="X39" s="26">
        <f t="shared" si="99"/>
        <v>441014.48</v>
      </c>
      <c r="Y39" s="26">
        <f t="shared" si="99"/>
        <v>466052.89</v>
      </c>
      <c r="Z39" s="26">
        <f t="shared" si="99"/>
        <v>662695.18999999994</v>
      </c>
      <c r="AA39" s="26">
        <f t="shared" si="99"/>
        <v>580607.37</v>
      </c>
      <c r="AB39" s="26">
        <f t="shared" si="99"/>
        <v>742401.33000000007</v>
      </c>
      <c r="AC39" s="26">
        <f t="shared" ca="1" si="99"/>
        <v>881121.33000000007</v>
      </c>
      <c r="AD39" s="26">
        <f t="shared" ca="1" si="99"/>
        <v>251170.5</v>
      </c>
      <c r="AE39" s="26">
        <f t="shared" ca="1" si="99"/>
        <v>112450.5</v>
      </c>
      <c r="AF39" s="26">
        <f t="shared" ca="1" si="99"/>
        <v>112450.5</v>
      </c>
      <c r="AG39" s="26">
        <f t="shared" ca="1" si="99"/>
        <v>459250.5</v>
      </c>
      <c r="AH39" s="26">
        <f t="shared" ca="1" si="99"/>
        <v>444800.5</v>
      </c>
      <c r="AI39" s="26">
        <f t="shared" ca="1" si="99"/>
        <v>126900.5</v>
      </c>
      <c r="AJ39" s="26">
        <f t="shared" ca="1" si="99"/>
        <v>151200.5</v>
      </c>
      <c r="AK39" s="26">
        <f t="shared" ca="1" si="99"/>
        <v>259160.5</v>
      </c>
      <c r="AL39" s="26">
        <f t="shared" ca="1" si="99"/>
        <v>510780.5</v>
      </c>
      <c r="AM39" s="26">
        <f t="shared" ca="1" si="99"/>
        <v>432240.5</v>
      </c>
      <c r="AN39" s="26">
        <f t="shared" ca="1" si="99"/>
        <v>1017340.5</v>
      </c>
      <c r="AO39" s="26">
        <f t="shared" ca="1" si="99"/>
        <v>1091340.5</v>
      </c>
      <c r="AP39" s="26">
        <f t="shared" ca="1" si="99"/>
        <v>230320.5</v>
      </c>
      <c r="AQ39" s="26">
        <f t="shared" ca="1" si="99"/>
        <v>455400.5</v>
      </c>
      <c r="AR39" s="26">
        <f t="shared" ca="1" si="99"/>
        <v>1082740.5</v>
      </c>
      <c r="AS39" s="26">
        <f t="shared" ca="1" si="99"/>
        <v>911380.5</v>
      </c>
      <c r="AT39" s="26">
        <f t="shared" ca="1" si="99"/>
        <v>1273040.5</v>
      </c>
      <c r="AU39" s="26">
        <f t="shared" ca="1" si="99"/>
        <v>2029840.5</v>
      </c>
      <c r="AV39" s="26">
        <f t="shared" ca="1" si="99"/>
        <v>1632680.5</v>
      </c>
      <c r="AW39" s="26">
        <f t="shared" ca="1" si="99"/>
        <v>1280400.5</v>
      </c>
      <c r="AX39" s="26">
        <f t="shared" ca="1" si="99"/>
        <v>1897220.5</v>
      </c>
      <c r="AY39" s="26">
        <f t="shared" ca="1" si="99"/>
        <v>3623820.5</v>
      </c>
      <c r="AZ39" s="26">
        <f t="shared" ca="1" si="99"/>
        <v>4687480.5</v>
      </c>
      <c r="BA39" s="26">
        <f t="shared" ca="1" si="99"/>
        <v>2746160.5</v>
      </c>
      <c r="BB39" s="26">
        <f t="shared" ca="1" si="99"/>
        <v>1356340.5</v>
      </c>
      <c r="BC39" s="26">
        <f t="shared" ca="1" si="99"/>
        <v>1981380.5</v>
      </c>
      <c r="BD39" s="26">
        <f t="shared" ca="1" si="99"/>
        <v>2459680.5</v>
      </c>
      <c r="BE39" s="26">
        <f t="shared" ca="1" si="99"/>
        <v>5145400.5</v>
      </c>
      <c r="BF39" s="26">
        <f t="shared" ca="1" si="99"/>
        <v>5232880.5</v>
      </c>
      <c r="BG39" s="26">
        <f t="shared" ca="1" si="99"/>
        <v>3125240.5</v>
      </c>
      <c r="BH39" s="26">
        <f t="shared" ca="1" si="99"/>
        <v>3427780.5</v>
      </c>
      <c r="BI39" s="26">
        <f t="shared" ca="1" si="99"/>
        <v>3188420.5</v>
      </c>
      <c r="BJ39" s="26">
        <f t="shared" ca="1" si="99"/>
        <v>2688240.5</v>
      </c>
      <c r="BK39" s="26">
        <f t="shared" ca="1" si="99"/>
        <v>6821115.5</v>
      </c>
      <c r="BL39" s="26">
        <f t="shared" ca="1" si="99"/>
        <v>10732794.5</v>
      </c>
      <c r="BM39" s="26">
        <f t="shared" ref="BM39:CZ39" ca="1" si="100">SUM(BM34:BM38)</f>
        <v>6097535.5</v>
      </c>
      <c r="BN39" s="26">
        <f t="shared" ca="1" si="100"/>
        <v>2620754</v>
      </c>
      <c r="BO39" s="26">
        <f t="shared" ca="1" si="100"/>
        <v>4312476</v>
      </c>
      <c r="BP39" s="26">
        <f t="shared" ca="1" si="100"/>
        <v>5723406.5</v>
      </c>
      <c r="BQ39" s="26">
        <f t="shared" ca="1" si="100"/>
        <v>12647823.5</v>
      </c>
      <c r="BR39" s="26">
        <f t="shared" ca="1" si="100"/>
        <v>12570360.5</v>
      </c>
      <c r="BS39" s="26">
        <f t="shared" ca="1" si="100"/>
        <v>6633107.5</v>
      </c>
      <c r="BT39" s="26">
        <f t="shared" ca="1" si="100"/>
        <v>6949448</v>
      </c>
      <c r="BU39" s="26">
        <f t="shared" ca="1" si="100"/>
        <v>6930904</v>
      </c>
      <c r="BV39" s="26">
        <f t="shared" ca="1" si="100"/>
        <v>6561724.5</v>
      </c>
      <c r="BW39" s="26">
        <f t="shared" ca="1" si="100"/>
        <v>15450185.75</v>
      </c>
      <c r="BX39" s="26">
        <f t="shared" ca="1" si="100"/>
        <v>22483031</v>
      </c>
      <c r="BY39" s="26">
        <f t="shared" ca="1" si="100"/>
        <v>11506735.75</v>
      </c>
      <c r="BZ39" s="26">
        <f t="shared" ca="1" si="100"/>
        <v>4047015.125</v>
      </c>
      <c r="CA39" s="26">
        <f t="shared" ca="1" si="100"/>
        <v>7961708.625</v>
      </c>
      <c r="CB39" s="26">
        <f t="shared" ca="1" si="100"/>
        <v>11552255</v>
      </c>
      <c r="CC39" s="26">
        <f t="shared" ca="1" si="100"/>
        <v>29553068.75</v>
      </c>
      <c r="CD39" s="26">
        <f t="shared" ca="1" si="100"/>
        <v>28285830.5</v>
      </c>
      <c r="CE39" s="26">
        <f t="shared" ca="1" si="100"/>
        <v>11825308.75</v>
      </c>
      <c r="CF39" s="26">
        <f t="shared" ca="1" si="100"/>
        <v>11976712.625</v>
      </c>
      <c r="CG39" s="26">
        <f t="shared" ca="1" si="100"/>
        <v>12931785.625</v>
      </c>
      <c r="CH39" s="26">
        <f t="shared" ca="1" si="100"/>
        <v>14179204.5</v>
      </c>
      <c r="CI39" s="26">
        <f t="shared" ca="1" si="100"/>
        <v>30806042.274999999</v>
      </c>
      <c r="CJ39" s="26">
        <f t="shared" ca="1" si="100"/>
        <v>40349188.899999999</v>
      </c>
      <c r="CK39" s="26">
        <f t="shared" ca="1" si="100"/>
        <v>17950669.824999999</v>
      </c>
      <c r="CL39" s="26">
        <f t="shared" ca="1" si="100"/>
        <v>5462557.6375000002</v>
      </c>
      <c r="CM39" s="26">
        <f t="shared" ca="1" si="100"/>
        <v>12127490.6875</v>
      </c>
      <c r="CN39" s="26">
        <f t="shared" ca="1" si="100"/>
        <v>18795528.100000001</v>
      </c>
      <c r="CO39" s="26">
        <f t="shared" ca="1" si="100"/>
        <v>57767090.725000001</v>
      </c>
      <c r="CP39" s="26">
        <f t="shared" ca="1" si="100"/>
        <v>54571703.5</v>
      </c>
      <c r="CQ39" s="26">
        <f t="shared" ca="1" si="100"/>
        <v>17932932.850000001</v>
      </c>
      <c r="CR39" s="26">
        <f t="shared" ca="1" si="100"/>
        <v>17677408.262499999</v>
      </c>
      <c r="CS39" s="26">
        <f t="shared" ca="1" si="100"/>
        <v>19772518.787500001</v>
      </c>
      <c r="CT39" s="26">
        <f t="shared" ca="1" si="100"/>
        <v>23749807.074999999</v>
      </c>
      <c r="CU39" s="26">
        <f t="shared" ca="1" si="100"/>
        <v>26559689.881250001</v>
      </c>
      <c r="CV39" s="26">
        <f t="shared" ca="1" si="100"/>
        <v>31999639.612500001</v>
      </c>
      <c r="CW39" s="26">
        <f t="shared" si="100"/>
        <v>0</v>
      </c>
      <c r="CX39" s="26">
        <f t="shared" si="100"/>
        <v>0</v>
      </c>
      <c r="CY39" s="26">
        <f t="shared" si="100"/>
        <v>0</v>
      </c>
      <c r="CZ39" s="26">
        <f t="shared" si="100"/>
        <v>0</v>
      </c>
    </row>
    <row r="40" spans="4:104" x14ac:dyDescent="0.25">
      <c r="D40" s="6"/>
      <c r="F40" s="16"/>
      <c r="G40" s="16"/>
      <c r="H40" s="16"/>
      <c r="I40" s="16"/>
      <c r="J40" s="16"/>
      <c r="K40" s="16"/>
      <c r="L40" s="16"/>
      <c r="M40" s="21"/>
      <c r="N40" s="21"/>
      <c r="O40" s="21"/>
      <c r="P40" s="21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</row>
    <row r="41" spans="4:104" x14ac:dyDescent="0.25">
      <c r="D41" s="6" t="s">
        <v>22</v>
      </c>
      <c r="F41" s="23">
        <f t="shared" ref="F41:F42" si="101">AB41</f>
        <v>17500000</v>
      </c>
      <c r="G41" s="23">
        <f>AN41</f>
        <v>17500000</v>
      </c>
      <c r="H41" s="23">
        <f>AZ41</f>
        <v>17500000</v>
      </c>
      <c r="I41" s="23">
        <f>BL41</f>
        <v>17500000</v>
      </c>
      <c r="J41" s="23">
        <f t="shared" ref="J41:J42" si="102">BX41</f>
        <v>17500000</v>
      </c>
      <c r="K41" s="23">
        <f t="shared" ref="K41:K42" si="103">CJ41</f>
        <v>17500000</v>
      </c>
      <c r="L41" s="23">
        <f t="shared" ref="L41:L42" si="104">CV41</f>
        <v>17500000</v>
      </c>
      <c r="M41" s="21"/>
      <c r="N41" s="21"/>
      <c r="O41" s="21"/>
      <c r="P41" s="21"/>
      <c r="Q41" s="23">
        <f>SUMIFS(ActBS!C$6:C$164,ActBS!$A$6:$A$164,$D41)</f>
        <v>16337500</v>
      </c>
      <c r="R41" s="23">
        <f>SUMIFS(ActBS!D$6:D$164,ActBS!$A$6:$A$164,$D41)</f>
        <v>16283333.34</v>
      </c>
      <c r="S41" s="23">
        <f>SUMIFS(ActBS!E$6:E$164,ActBS!$A$6:$A$164,$D41)</f>
        <v>16229166.68</v>
      </c>
      <c r="T41" s="23">
        <f>SUMIFS(ActBS!F$6:F$164,ActBS!$A$6:$A$164,$D41)</f>
        <v>16175000.02</v>
      </c>
      <c r="U41" s="23">
        <f>SUMIFS(ActBS!G$6:G$164,ActBS!$A$6:$A$164,$D41)</f>
        <v>16120833.359999999</v>
      </c>
      <c r="V41" s="23">
        <f>SUMIFS(ActBS!H$6:H$164,ActBS!$A$6:$A$164,$D41)</f>
        <v>16066666.699999999</v>
      </c>
      <c r="W41" s="23">
        <f>SUMIFS(ActBS!I$6:I$164,ActBS!$A$6:$A$164,$D41)</f>
        <v>16012500.039999999</v>
      </c>
      <c r="X41" s="23">
        <f>SUMIFS(ActBS!J$6:J$164,ActBS!$A$6:$A$164,$D41)</f>
        <v>15958333.379999999</v>
      </c>
      <c r="Y41" s="23">
        <f>SUMIFS(ActBS!K$6:K$164,ActBS!$A$6:$A$164,$D41)</f>
        <v>16404166.719999999</v>
      </c>
      <c r="Z41" s="23">
        <f>SUMIFS(ActBS!L$6:L$164,ActBS!$A$6:$A$164,$D41)</f>
        <v>16850000.060000002</v>
      </c>
      <c r="AA41" s="23">
        <f>SUMIFS(ActBS!M$6:M$164,ActBS!$A$6:$A$164,$D41)</f>
        <v>16795833.399999999</v>
      </c>
      <c r="AB41" s="23">
        <f>SUMIFS(ActBS!N$6:N$164,ActBS!$A$6:$A$164,$D41)</f>
        <v>17500000</v>
      </c>
      <c r="AC41" s="23">
        <f>SUMIFS(ActBS!O$6:O$164,ActBS!$A$6:$A$164,$D41)</f>
        <v>17500000</v>
      </c>
      <c r="AD41" s="23">
        <f>SUMIFS(ActBS!P$6:P$164,ActBS!$A$6:$A$164,$D41)</f>
        <v>17500000</v>
      </c>
      <c r="AE41" s="23">
        <f>SUMIFS(ActBS!Q$6:Q$164,ActBS!$A$6:$A$164,$D41)</f>
        <v>17500000</v>
      </c>
      <c r="AF41" s="23">
        <f>SUMIFS(ActBS!R$6:R$164,ActBS!$A$6:$A$164,$D41)</f>
        <v>17500000</v>
      </c>
      <c r="AG41" s="23">
        <f>SUMIFS(ActBS!S$6:S$164,ActBS!$A$6:$A$164,$D41)</f>
        <v>17500000</v>
      </c>
      <c r="AH41" s="23">
        <f>SUMIFS(ActBS!T$6:T$164,ActBS!$A$6:$A$164,$D41)</f>
        <v>17500000</v>
      </c>
      <c r="AI41" s="23">
        <f>SUMIFS(ActBS!U$6:U$164,ActBS!$A$6:$A$164,$D41)</f>
        <v>17500000</v>
      </c>
      <c r="AJ41" s="23">
        <f>SUMIFS(ActBS!V$6:V$164,ActBS!$A$6:$A$164,$D41)</f>
        <v>17500000</v>
      </c>
      <c r="AK41" s="23">
        <f>SUMIFS(ActBS!W$6:W$164,ActBS!$A$6:$A$164,$D41)</f>
        <v>17500000</v>
      </c>
      <c r="AL41" s="23">
        <f>SUMIFS(ActBS!X$6:X$164,ActBS!$A$6:$A$164,$D41)</f>
        <v>17500000</v>
      </c>
      <c r="AM41" s="23">
        <f>SUMIFS(ActBS!Y$6:Y$164,ActBS!$A$6:$A$164,$D41)</f>
        <v>17500000</v>
      </c>
      <c r="AN41" s="23">
        <f>SUMIFS(ActBS!Z$6:Z$164,ActBS!$A$6:$A$164,$D41)</f>
        <v>17500000</v>
      </c>
      <c r="AO41" s="23">
        <f>SUMIFS(ActBS!AA$6:AA$164,ActBS!$A$6:$A$164,$D41)</f>
        <v>17500000</v>
      </c>
      <c r="AP41" s="23">
        <f>SUMIFS(ActBS!AB$6:AB$164,ActBS!$A$6:$A$164,$D41)</f>
        <v>17500000</v>
      </c>
      <c r="AQ41" s="23">
        <f>SUMIFS(ActBS!AC$6:AC$164,ActBS!$A$6:$A$164,$D41)</f>
        <v>17500000</v>
      </c>
      <c r="AR41" s="23">
        <f>SUMIFS(ActBS!AD$6:AD$164,ActBS!$A$6:$A$164,$D41)</f>
        <v>17500000</v>
      </c>
      <c r="AS41" s="23">
        <f>SUMIFS(ActBS!AE$6:AE$164,ActBS!$A$6:$A$164,$D41)</f>
        <v>17500000</v>
      </c>
      <c r="AT41" s="23">
        <f>SUMIFS(ActBS!AF$6:AF$164,ActBS!$A$6:$A$164,$D41)</f>
        <v>17500000</v>
      </c>
      <c r="AU41" s="23">
        <f>SUMIFS(ActBS!AG$6:AG$164,ActBS!$A$6:$A$164,$D41)</f>
        <v>17500000</v>
      </c>
      <c r="AV41" s="23">
        <f>SUMIFS(ActBS!AH$6:AH$164,ActBS!$A$6:$A$164,$D41)</f>
        <v>17500000</v>
      </c>
      <c r="AW41" s="23">
        <f>SUMIFS(ActBS!AI$6:AI$164,ActBS!$A$6:$A$164,$D41)</f>
        <v>17500000</v>
      </c>
      <c r="AX41" s="23">
        <f>SUMIFS(ActBS!AJ$6:AJ$164,ActBS!$A$6:$A$164,$D41)</f>
        <v>17500000</v>
      </c>
      <c r="AY41" s="23">
        <f>SUMIFS(ActBS!AK$6:AK$164,ActBS!$A$6:$A$164,$D41)</f>
        <v>17500000</v>
      </c>
      <c r="AZ41" s="23">
        <f>SUMIFS(ActBS!AL$6:AL$164,ActBS!$A$6:$A$164,$D41)</f>
        <v>17500000</v>
      </c>
      <c r="BA41" s="23">
        <f>SUMIFS(ActBS!AM$6:AM$164,ActBS!$A$6:$A$164,$D41)</f>
        <v>17500000</v>
      </c>
      <c r="BB41" s="23">
        <f>SUMIFS(ActBS!AN$6:AN$164,ActBS!$A$6:$A$164,$D41)</f>
        <v>17500000</v>
      </c>
      <c r="BC41" s="23">
        <f>SUMIFS(ActBS!AO$6:AO$164,ActBS!$A$6:$A$164,$D41)</f>
        <v>17500000</v>
      </c>
      <c r="BD41" s="23">
        <f>SUMIFS(ActBS!AP$6:AP$164,ActBS!$A$6:$A$164,$D41)</f>
        <v>17500000</v>
      </c>
      <c r="BE41" s="23">
        <f>SUMIFS(ActBS!AQ$6:AQ$164,ActBS!$A$6:$A$164,$D41)</f>
        <v>17500000</v>
      </c>
      <c r="BF41" s="23">
        <f>SUMIFS(ActBS!AR$6:AR$164,ActBS!$A$6:$A$164,$D41)</f>
        <v>17500000</v>
      </c>
      <c r="BG41" s="23">
        <f>SUMIFS(ActBS!AS$6:AS$164,ActBS!$A$6:$A$164,$D41)</f>
        <v>17500000</v>
      </c>
      <c r="BH41" s="23">
        <f>SUMIFS(ActBS!AT$6:AT$164,ActBS!$A$6:$A$164,$D41)</f>
        <v>17500000</v>
      </c>
      <c r="BI41" s="23">
        <f>SUMIFS(ActBS!AU$6:AU$164,ActBS!$A$6:$A$164,$D41)</f>
        <v>17500000</v>
      </c>
      <c r="BJ41" s="23">
        <f>SUMIFS(ActBS!AV$6:AV$164,ActBS!$A$6:$A$164,$D41)</f>
        <v>17500000</v>
      </c>
      <c r="BK41" s="23">
        <f>SUMIFS(ActBS!AW$6:AW$164,ActBS!$A$6:$A$164,$D41)</f>
        <v>17500000</v>
      </c>
      <c r="BL41" s="23">
        <f>SUMIFS(ActBS!AX$6:AX$164,ActBS!$A$6:$A$164,$D41)</f>
        <v>17500000</v>
      </c>
      <c r="BM41" s="23">
        <f>SUMIFS(ActBS!AY$6:AY$164,ActBS!$A$6:$A$164,$D41)</f>
        <v>17500000</v>
      </c>
      <c r="BN41" s="23">
        <f>SUMIFS(ActBS!AZ$6:AZ$164,ActBS!$A$6:$A$164,$D41)</f>
        <v>17500000</v>
      </c>
      <c r="BO41" s="23">
        <f>SUMIFS(ActBS!BA$6:BA$164,ActBS!$A$6:$A$164,$D41)</f>
        <v>17500000</v>
      </c>
      <c r="BP41" s="23">
        <f>SUMIFS(ActBS!BB$6:BB$164,ActBS!$A$6:$A$164,$D41)</f>
        <v>17500000</v>
      </c>
      <c r="BQ41" s="23">
        <f>SUMIFS(ActBS!BC$6:BC$164,ActBS!$A$6:$A$164,$D41)</f>
        <v>17500000</v>
      </c>
      <c r="BR41" s="23">
        <f>SUMIFS(ActBS!BD$6:BD$164,ActBS!$A$6:$A$164,$D41)</f>
        <v>17500000</v>
      </c>
      <c r="BS41" s="23">
        <f>SUMIFS(ActBS!BE$6:BE$164,ActBS!$A$6:$A$164,$D41)</f>
        <v>17500000</v>
      </c>
      <c r="BT41" s="23">
        <f>SUMIFS(ActBS!BF$6:BF$164,ActBS!$A$6:$A$164,$D41)</f>
        <v>17500000</v>
      </c>
      <c r="BU41" s="23">
        <f>SUMIFS(ActBS!BG$6:BG$164,ActBS!$A$6:$A$164,$D41)</f>
        <v>17500000</v>
      </c>
      <c r="BV41" s="23">
        <f>SUMIFS(ActBS!BH$6:BH$164,ActBS!$A$6:$A$164,$D41)</f>
        <v>17500000</v>
      </c>
      <c r="BW41" s="23">
        <f>SUMIFS(ActBS!BI$6:BI$164,ActBS!$A$6:$A$164,$D41)</f>
        <v>17500000</v>
      </c>
      <c r="BX41" s="23">
        <f>SUMIFS(ActBS!BJ$6:BJ$164,ActBS!$A$6:$A$164,$D41)</f>
        <v>17500000</v>
      </c>
      <c r="BY41" s="23">
        <f>SUMIFS(ActBS!BK$6:BK$164,ActBS!$A$6:$A$164,$D41)</f>
        <v>17500000</v>
      </c>
      <c r="BZ41" s="23">
        <f>SUMIFS(ActBS!BL$6:BL$164,ActBS!$A$6:$A$164,$D41)</f>
        <v>17500000</v>
      </c>
      <c r="CA41" s="23">
        <f>SUMIFS(ActBS!BM$6:BM$164,ActBS!$A$6:$A$164,$D41)</f>
        <v>17500000</v>
      </c>
      <c r="CB41" s="23">
        <f>SUMIFS(ActBS!BN$6:BN$164,ActBS!$A$6:$A$164,$D41)</f>
        <v>17500000</v>
      </c>
      <c r="CC41" s="23">
        <f>SUMIFS(ActBS!BO$6:BO$164,ActBS!$A$6:$A$164,$D41)</f>
        <v>17500000</v>
      </c>
      <c r="CD41" s="23">
        <f>SUMIFS(ActBS!BP$6:BP$164,ActBS!$A$6:$A$164,$D41)</f>
        <v>17500000</v>
      </c>
      <c r="CE41" s="23">
        <f>SUMIFS(ActBS!BQ$6:BQ$164,ActBS!$A$6:$A$164,$D41)</f>
        <v>17500000</v>
      </c>
      <c r="CF41" s="23">
        <f>SUMIFS(ActBS!BR$6:BR$164,ActBS!$A$6:$A$164,$D41)</f>
        <v>17500000</v>
      </c>
      <c r="CG41" s="23">
        <f>SUMIFS(ActBS!BS$6:BS$164,ActBS!$A$6:$A$164,$D41)</f>
        <v>17500000</v>
      </c>
      <c r="CH41" s="23">
        <f>SUMIFS(ActBS!BT$6:BT$164,ActBS!$A$6:$A$164,$D41)</f>
        <v>17500000</v>
      </c>
      <c r="CI41" s="23">
        <f>SUMIFS(ActBS!BU$6:BU$164,ActBS!$A$6:$A$164,$D41)</f>
        <v>17500000</v>
      </c>
      <c r="CJ41" s="23">
        <f>SUMIFS(ActBS!BV$6:BV$164,ActBS!$A$6:$A$164,$D41)</f>
        <v>17500000</v>
      </c>
      <c r="CK41" s="23">
        <f>SUMIFS(ActBS!BW$6:BW$164,ActBS!$A$6:$A$164,$D41)</f>
        <v>17500000</v>
      </c>
      <c r="CL41" s="23">
        <f>SUMIFS(ActBS!BX$6:BX$164,ActBS!$A$6:$A$164,$D41)</f>
        <v>17500000</v>
      </c>
      <c r="CM41" s="23">
        <f>SUMIFS(ActBS!BY$6:BY$164,ActBS!$A$6:$A$164,$D41)</f>
        <v>17500000</v>
      </c>
      <c r="CN41" s="23">
        <f>SUMIFS(ActBS!BZ$6:BZ$164,ActBS!$A$6:$A$164,$D41)</f>
        <v>17500000</v>
      </c>
      <c r="CO41" s="23">
        <f>SUMIFS(ActBS!CA$6:CA$164,ActBS!$A$6:$A$164,$D41)</f>
        <v>17500000</v>
      </c>
      <c r="CP41" s="23">
        <f>SUMIFS(ActBS!CB$6:CB$164,ActBS!$A$6:$A$164,$D41)</f>
        <v>17500000</v>
      </c>
      <c r="CQ41" s="23">
        <f>SUMIFS(ActBS!CC$6:CC$164,ActBS!$A$6:$A$164,$D41)</f>
        <v>17500000</v>
      </c>
      <c r="CR41" s="23">
        <f>SUMIFS(ActBS!CD$6:CD$164,ActBS!$A$6:$A$164,$D41)</f>
        <v>17500000</v>
      </c>
      <c r="CS41" s="23">
        <f>SUMIFS(ActBS!CE$6:CE$164,ActBS!$A$6:$A$164,$D41)</f>
        <v>17500000</v>
      </c>
      <c r="CT41" s="23">
        <f>SUMIFS(ActBS!CF$6:CF$164,ActBS!$A$6:$A$164,$D41)</f>
        <v>17500000</v>
      </c>
      <c r="CU41" s="23">
        <f>SUMIFS(ActBS!CG$6:CG$164,ActBS!$A$6:$A$164,$D41)</f>
        <v>17500000</v>
      </c>
      <c r="CV41" s="23">
        <f>SUMIFS(ActBS!CH$6:CH$164,ActBS!$A$6:$A$164,$D41)</f>
        <v>17500000</v>
      </c>
      <c r="CW41" s="23">
        <f>SUMIFS(ActBS!CI$6:CI$164,ActBS!$A$6:$A$164,$D41)</f>
        <v>0</v>
      </c>
      <c r="CX41" s="23">
        <f>SUMIFS(ActBS!CJ$6:CJ$164,ActBS!$A$6:$A$164,$D41)</f>
        <v>0</v>
      </c>
      <c r="CY41" s="23">
        <f>SUMIFS(ActBS!CK$6:CK$164,ActBS!$A$6:$A$164,$D41)</f>
        <v>0</v>
      </c>
      <c r="CZ41" s="23">
        <f>SUMIFS(ActBS!CL$6:CL$164,ActBS!$A$6:$A$164,$D41)</f>
        <v>0</v>
      </c>
    </row>
    <row r="42" spans="4:104" x14ac:dyDescent="0.25">
      <c r="D42" s="6" t="s">
        <v>16</v>
      </c>
      <c r="F42" s="23">
        <f t="shared" si="101"/>
        <v>-6662231.0600000005</v>
      </c>
      <c r="G42" s="23">
        <f>AN42</f>
        <v>-15096414.547390221</v>
      </c>
      <c r="H42" s="23">
        <f>AZ42</f>
        <v>-21768029.637094706</v>
      </c>
      <c r="I42" s="23">
        <f>BL42</f>
        <v>-23096340.528292589</v>
      </c>
      <c r="J42" s="23">
        <f t="shared" si="102"/>
        <v>-21288647.96399577</v>
      </c>
      <c r="K42" s="23">
        <f t="shared" si="103"/>
        <v>-18834610.036849305</v>
      </c>
      <c r="L42" s="23">
        <f t="shared" si="104"/>
        <v>-3038860.4834508067</v>
      </c>
      <c r="M42" s="21"/>
      <c r="N42" s="21"/>
      <c r="O42" s="21"/>
      <c r="P42" s="21"/>
      <c r="Q42" s="23">
        <f>SUMIFS(ActBS!C$6:C$164,ActBS!$A$6:$A$164,$D42)</f>
        <v>-647933.72</v>
      </c>
      <c r="R42" s="23">
        <f>SUMIFS(ActBS!D$6:D$164,ActBS!$A$6:$A$164,$D42)</f>
        <v>-906001.17999999993</v>
      </c>
      <c r="S42" s="23">
        <f>SUMIFS(ActBS!E$6:E$164,ActBS!$A$6:$A$164,$D42)</f>
        <v>-1246756.2999999998</v>
      </c>
      <c r="T42" s="23">
        <f>SUMIFS(ActBS!F$6:F$164,ActBS!$A$6:$A$164,$D42)</f>
        <v>-1647812.3599999999</v>
      </c>
      <c r="U42" s="23">
        <f>SUMIFS(ActBS!G$6:G$164,ActBS!$A$6:$A$164,$D42)</f>
        <v>-2050367.85</v>
      </c>
      <c r="V42" s="23">
        <f>SUMIFS(ActBS!H$6:H$164,ActBS!$A$6:$A$164,$D42)</f>
        <v>-2453912.0699999998</v>
      </c>
      <c r="W42" s="23">
        <f>SUMIFS(ActBS!I$6:I$164,ActBS!$A$6:$A$164,$D42)</f>
        <v>-3008966.83</v>
      </c>
      <c r="X42" s="23">
        <f>SUMIFS(ActBS!J$6:J$164,ActBS!$A$6:$A$164,$D42)</f>
        <v>-3484984.27</v>
      </c>
      <c r="Y42" s="23">
        <f>SUMIFS(ActBS!K$6:K$164,ActBS!$A$6:$A$164,$D42)</f>
        <v>-3996270.48</v>
      </c>
      <c r="Z42" s="23">
        <f>SUMIFS(ActBS!L$6:L$164,ActBS!$A$6:$A$164,$D42)</f>
        <v>-4649139.32</v>
      </c>
      <c r="AA42" s="23">
        <f>SUMIFS(ActBS!M$6:M$164,ActBS!$A$6:$A$164,$D42)</f>
        <v>-5194885.67</v>
      </c>
      <c r="AB42" s="23">
        <f>SUMIFS(ActBS!N$6:N$164,ActBS!$A$6:$A$164,$D42)</f>
        <v>-6662231.0600000005</v>
      </c>
      <c r="AC42" s="23">
        <f>SUMIFS(ActBS!O$6:O$164,ActBS!$A$6:$A$164,$D42)</f>
        <v>-7255291.0370833334</v>
      </c>
      <c r="AD42" s="23">
        <f>SUMIFS(ActBS!P$6:P$164,ActBS!$A$6:$A$164,$D42)</f>
        <v>-7979051.0141666671</v>
      </c>
      <c r="AE42" s="23">
        <f>SUMIFS(ActBS!Q$6:Q$164,ActBS!$A$6:$A$164,$D42)</f>
        <v>-8661511.5245833341</v>
      </c>
      <c r="AF42" s="23">
        <f>SUMIFS(ActBS!R$6:R$164,ActBS!$A$6:$A$164,$D42)</f>
        <v>-9488699.3350000009</v>
      </c>
      <c r="AG42" s="23">
        <f>SUMIFS(ActBS!S$6:S$164,ActBS!$A$6:$A$164,$D42)</f>
        <v>-10279417.645416666</v>
      </c>
      <c r="AH42" s="23">
        <f>SUMIFS(ActBS!T$6:T$164,ActBS!$A$6:$A$164,$D42)</f>
        <v>-11011211.496659348</v>
      </c>
      <c r="AI42" s="23">
        <f>SUMIFS(ActBS!U$6:U$164,ActBS!$A$6:$A$164,$D42)</f>
        <v>-11316295.296988191</v>
      </c>
      <c r="AJ42" s="23">
        <f>SUMIFS(ActBS!V$6:V$164,ActBS!$A$6:$A$164,$D42)</f>
        <v>-12140538.607404858</v>
      </c>
      <c r="AK42" s="23">
        <f>SUMIFS(ActBS!W$6:W$164,ActBS!$A$6:$A$164,$D42)</f>
        <v>-12833182.999473553</v>
      </c>
      <c r="AL42" s="23">
        <f>SUMIFS(ActBS!X$6:X$164,ActBS!$A$6:$A$164,$D42)</f>
        <v>-13597524.309890222</v>
      </c>
      <c r="AM42" s="23">
        <f>SUMIFS(ActBS!Y$6:Y$164,ActBS!$A$6:$A$164,$D42)</f>
        <v>-14394692.828640221</v>
      </c>
      <c r="AN42" s="23">
        <f>SUMIFS(ActBS!Z$6:Z$164,ActBS!$A$6:$A$164,$D42)</f>
        <v>-15096414.547390221</v>
      </c>
      <c r="AO42" s="23">
        <f>SUMIFS(ActBS!AA$6:AA$164,ActBS!$A$6:$A$164,$D42)</f>
        <v>-15894477.599473555</v>
      </c>
      <c r="AP42" s="23">
        <f>SUMIFS(ActBS!AB$6:AB$164,ActBS!$A$6:$A$164,$D42)</f>
        <v>-16313081.976527218</v>
      </c>
      <c r="AQ42" s="23">
        <f>SUMIFS(ActBS!AC$6:AC$164,ActBS!$A$6:$A$164,$D42)</f>
        <v>-17102355.52861055</v>
      </c>
      <c r="AR42" s="23">
        <f>SUMIFS(ActBS!AD$6:AD$164,ActBS!$A$6:$A$164,$D42)</f>
        <v>-17942023.880693883</v>
      </c>
      <c r="AS42" s="23">
        <f>SUMIFS(ActBS!AE$6:AE$164,ActBS!$A$6:$A$164,$D42)</f>
        <v>-18767650.856402505</v>
      </c>
      <c r="AT42" s="23">
        <f>SUMIFS(ActBS!AF$6:AF$164,ActBS!$A$6:$A$164,$D42)</f>
        <v>-19180169.785042528</v>
      </c>
      <c r="AU42" s="23">
        <f>SUMIFS(ActBS!AG$6:AG$164,ActBS!$A$6:$A$164,$D42)</f>
        <v>-19966125.948076095</v>
      </c>
      <c r="AV42" s="23">
        <f>SUMIFS(ActBS!AH$6:AH$164,ActBS!$A$6:$A$164,$D42)</f>
        <v>-20294684.427147321</v>
      </c>
      <c r="AW42" s="23">
        <f>SUMIFS(ActBS!AI$6:AI$164,ActBS!$A$6:$A$164,$D42)</f>
        <v>-20602007.593828328</v>
      </c>
      <c r="AX42" s="23">
        <f>SUMIFS(ActBS!AJ$6:AJ$164,ActBS!$A$6:$A$164,$D42)</f>
        <v>-21135610.485004947</v>
      </c>
      <c r="AY42" s="23">
        <f>SUMIFS(ActBS!AK$6:AK$164,ActBS!$A$6:$A$164,$D42)</f>
        <v>-21719613.772241376</v>
      </c>
      <c r="AZ42" s="23">
        <f>SUMIFS(ActBS!AL$6:AL$164,ActBS!$A$6:$A$164,$D42)</f>
        <v>-21768029.637094706</v>
      </c>
      <c r="BA42" s="23">
        <f>SUMIFS(ActBS!AM$6:AM$164,ActBS!$A$6:$A$164,$D42)</f>
        <v>-22092338.818014875</v>
      </c>
      <c r="BB42" s="23">
        <f>SUMIFS(ActBS!AN$6:AN$164,ActBS!$A$6:$A$164,$D42)</f>
        <v>-21641304.622180555</v>
      </c>
      <c r="BC42" s="23">
        <f>SUMIFS(ActBS!AO$6:AO$164,ActBS!$A$6:$A$164,$D42)</f>
        <v>-22514058.591390938</v>
      </c>
      <c r="BD42" s="23">
        <f>SUMIFS(ActBS!AP$6:AP$164,ActBS!$A$6:$A$164,$D42)</f>
        <v>-22907069.848590873</v>
      </c>
      <c r="BE42" s="23">
        <f>SUMIFS(ActBS!AQ$6:AQ$164,ActBS!$A$6:$A$164,$D42)</f>
        <v>-23351715.634891212</v>
      </c>
      <c r="BF42" s="23">
        <f>SUMIFS(ActBS!AR$6:AR$164,ActBS!$A$6:$A$164,$D42)</f>
        <v>-23344691.000446241</v>
      </c>
      <c r="BG42" s="23">
        <f>SUMIFS(ActBS!AS$6:AS$164,ActBS!$A$6:$A$164,$D42)</f>
        <v>-22978986.615941931</v>
      </c>
      <c r="BH42" s="23">
        <f>SUMIFS(ActBS!AT$6:AT$164,ActBS!$A$6:$A$164,$D42)</f>
        <v>-23101192.430678062</v>
      </c>
      <c r="BI42" s="23">
        <f>SUMIFS(ActBS!AU$6:AU$164,ActBS!$A$6:$A$164,$D42)</f>
        <v>-23310893.137636684</v>
      </c>
      <c r="BJ42" s="23">
        <f>SUMIFS(ActBS!AV$6:AV$164,ActBS!$A$6:$A$164,$D42)</f>
        <v>-22932869.144880138</v>
      </c>
      <c r="BK42" s="23">
        <f>SUMIFS(ActBS!AW$6:AW$164,ActBS!$A$6:$A$164,$D42)</f>
        <v>-22950614.341867633</v>
      </c>
      <c r="BL42" s="23">
        <f>SUMIFS(ActBS!AX$6:AX$164,ActBS!$A$6:$A$164,$D42)</f>
        <v>-23096340.528292589</v>
      </c>
      <c r="BM42" s="23">
        <f>SUMIFS(ActBS!AY$6:AY$164,ActBS!$A$6:$A$164,$D42)</f>
        <v>-22952751.775894582</v>
      </c>
      <c r="BN42" s="23">
        <f>SUMIFS(ActBS!AZ$6:AZ$164,ActBS!$A$6:$A$164,$D42)</f>
        <v>-21842960.177363172</v>
      </c>
      <c r="BO42" s="23">
        <f>SUMIFS(ActBS!BA$6:BA$164,ActBS!$A$6:$A$164,$D42)</f>
        <v>-22950643.425010856</v>
      </c>
      <c r="BP42" s="23">
        <f>SUMIFS(ActBS!BB$6:BB$164,ActBS!$A$6:$A$164,$D42)</f>
        <v>-23608558.182844572</v>
      </c>
      <c r="BQ42" s="23">
        <f>SUMIFS(ActBS!BC$6:BC$164,ActBS!$A$6:$A$164,$D42)</f>
        <v>-23881825.408224374</v>
      </c>
      <c r="BR42" s="23">
        <f>SUMIFS(ActBS!BD$6:BD$164,ActBS!$A$6:$A$164,$D42)</f>
        <v>-23623935.330176689</v>
      </c>
      <c r="BS42" s="23">
        <f>SUMIFS(ActBS!BE$6:BE$164,ActBS!$A$6:$A$164,$D42)</f>
        <v>-22726169.435065154</v>
      </c>
      <c r="BT42" s="23">
        <f>SUMIFS(ActBS!BF$6:BF$164,ActBS!$A$6:$A$164,$D42)</f>
        <v>-22553727.359443888</v>
      </c>
      <c r="BU42" s="23">
        <f>SUMIFS(ActBS!BG$6:BG$164,ActBS!$A$6:$A$164,$D42)</f>
        <v>-22344590.386703387</v>
      </c>
      <c r="BV42" s="23">
        <f>SUMIFS(ActBS!BH$6:BH$164,ActBS!$A$6:$A$164,$D42)</f>
        <v>-21966053.653790798</v>
      </c>
      <c r="BW42" s="23">
        <f>SUMIFS(ActBS!BI$6:BI$164,ActBS!$A$6:$A$164,$D42)</f>
        <v>-21395472.481663279</v>
      </c>
      <c r="BX42" s="23">
        <f>SUMIFS(ActBS!BJ$6:BJ$164,ActBS!$A$6:$A$164,$D42)</f>
        <v>-21288647.96399577</v>
      </c>
      <c r="BY42" s="23">
        <f>SUMIFS(ActBS!BK$6:BK$164,ActBS!$A$6:$A$164,$D42)</f>
        <v>-23128508.457991056</v>
      </c>
      <c r="BZ42" s="23">
        <f>SUMIFS(ActBS!BL$6:BL$164,ActBS!$A$6:$A$164,$D42)</f>
        <v>-20604491.331373952</v>
      </c>
      <c r="CA42" s="23">
        <f>SUMIFS(ActBS!BM$6:BM$164,ActBS!$A$6:$A$164,$D42)</f>
        <v>-22746883.95597288</v>
      </c>
      <c r="CB42" s="23">
        <f>SUMIFS(ActBS!BN$6:BN$164,ActBS!$A$6:$A$164,$D42)</f>
        <v>-24219772.154234499</v>
      </c>
      <c r="CC42" s="23">
        <f>SUMIFS(ActBS!BO$6:BO$164,ActBS!$A$6:$A$164,$D42)</f>
        <v>-24077989.803230457</v>
      </c>
      <c r="CD42" s="23">
        <f>SUMIFS(ActBS!BP$6:BP$164,ActBS!$A$6:$A$164,$D42)</f>
        <v>-23638062.939971089</v>
      </c>
      <c r="CE42" s="23">
        <f>SUMIFS(ActBS!BQ$6:BQ$164,ActBS!$A$6:$A$164,$D42)</f>
        <v>-21615225.034592688</v>
      </c>
      <c r="CF42" s="23">
        <f>SUMIFS(ActBS!BR$6:BR$164,ActBS!$A$6:$A$164,$D42)</f>
        <v>-21828773.115762621</v>
      </c>
      <c r="CG42" s="23">
        <f>SUMIFS(ActBS!BS$6:BS$164,ActBS!$A$6:$A$164,$D42)</f>
        <v>-21337537.383808292</v>
      </c>
      <c r="CH42" s="23">
        <f>SUMIFS(ActBS!BT$6:BT$164,ActBS!$A$6:$A$164,$D42)</f>
        <v>-21278999.601158798</v>
      </c>
      <c r="CI42" s="23">
        <f>SUMIFS(ActBS!BU$6:BU$164,ActBS!$A$6:$A$164,$D42)</f>
        <v>-19340078.690898187</v>
      </c>
      <c r="CJ42" s="23">
        <f>SUMIFS(ActBS!BV$6:BV$164,ActBS!$A$6:$A$164,$D42)</f>
        <v>-18834610.036849305</v>
      </c>
      <c r="CK42" s="23">
        <f>SUMIFS(ActBS!BW$6:BW$164,ActBS!$A$6:$A$164,$D42)</f>
        <v>-19092275.606854327</v>
      </c>
      <c r="CL42" s="23">
        <f>SUMIFS(ActBS!BX$6:BX$164,ActBS!$A$6:$A$164,$D42)</f>
        <v>-14157220.999503659</v>
      </c>
      <c r="CM42" s="23">
        <f>SUMIFS(ActBS!BY$6:BY$164,ActBS!$A$6:$A$164,$D42)</f>
        <v>-16708832.322841616</v>
      </c>
      <c r="CN42" s="23">
        <f>SUMIFS(ActBS!BZ$6:BZ$164,ActBS!$A$6:$A$164,$D42)</f>
        <v>-18393113.021256313</v>
      </c>
      <c r="CO42" s="23">
        <f>SUMIFS(ActBS!CA$6:CA$164,ActBS!$A$6:$A$164,$D42)</f>
        <v>-16855264.70398251</v>
      </c>
      <c r="CP42" s="23">
        <f>SUMIFS(ActBS!CB$6:CB$164,ActBS!$A$6:$A$164,$D42)</f>
        <v>-15239722.025413429</v>
      </c>
      <c r="CQ42" s="23">
        <f>SUMIFS(ActBS!CC$6:CC$164,ActBS!$A$6:$A$164,$D42)</f>
        <v>-11943083.868829461</v>
      </c>
      <c r="CR42" s="23">
        <f>SUMIFS(ActBS!CD$6:CD$164,ActBS!$A$6:$A$164,$D42)</f>
        <v>-11895705.531820798</v>
      </c>
      <c r="CS42" s="23">
        <f>SUMIFS(ActBS!CE$6:CE$164,ActBS!$A$6:$A$164,$D42)</f>
        <v>-10060285.24176348</v>
      </c>
      <c r="CT42" s="23">
        <f>SUMIFS(ActBS!CF$6:CF$164,ActBS!$A$6:$A$164,$D42)</f>
        <v>-9701107.4527541362</v>
      </c>
      <c r="CU42" s="23">
        <f>SUMIFS(ActBS!CG$6:CG$164,ActBS!$A$6:$A$164,$D42)</f>
        <v>-5080795.1294762259</v>
      </c>
      <c r="CV42" s="23">
        <f>SUMIFS(ActBS!CH$6:CH$164,ActBS!$A$6:$A$164,$D42)</f>
        <v>-3038860.4834508067</v>
      </c>
      <c r="CW42" s="23">
        <f>SUMIFS(ActBS!CI$6:CI$164,ActBS!$A$6:$A$164,$D42)</f>
        <v>0</v>
      </c>
      <c r="CX42" s="23">
        <f>SUMIFS(ActBS!CJ$6:CJ$164,ActBS!$A$6:$A$164,$D42)</f>
        <v>0</v>
      </c>
      <c r="CY42" s="23">
        <f>SUMIFS(ActBS!CK$6:CK$164,ActBS!$A$6:$A$164,$D42)</f>
        <v>0</v>
      </c>
      <c r="CZ42" s="23">
        <f>SUMIFS(ActBS!CL$6:CL$164,ActBS!$A$6:$A$164,$D42)</f>
        <v>0</v>
      </c>
    </row>
    <row r="43" spans="4:104" ht="15.75" x14ac:dyDescent="0.25">
      <c r="D43" s="9"/>
      <c r="F43" s="16"/>
      <c r="G43" s="16"/>
      <c r="H43" s="16"/>
      <c r="I43" s="16"/>
      <c r="J43" s="16"/>
      <c r="K43" s="16"/>
      <c r="L43" s="16"/>
      <c r="M43" s="21"/>
      <c r="N43" s="21"/>
      <c r="O43" s="21"/>
      <c r="P43" s="21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</row>
    <row r="44" spans="4:104" x14ac:dyDescent="0.25">
      <c r="D44" s="6" t="s">
        <v>17</v>
      </c>
      <c r="F44" s="27">
        <f t="shared" ref="F44" si="105">SUM(F41:F43)</f>
        <v>10837768.939999999</v>
      </c>
      <c r="G44" s="27">
        <f t="shared" ref="G44" si="106">SUM(G41:G43)</f>
        <v>2403585.4526097793</v>
      </c>
      <c r="H44" s="27">
        <f t="shared" ref="H44" si="107">SUM(H41:H43)</f>
        <v>-4268029.6370947063</v>
      </c>
      <c r="I44" s="27">
        <f t="shared" ref="I44:K44" si="108">SUM(I41:I43)</f>
        <v>-5596340.5282925889</v>
      </c>
      <c r="J44" s="27">
        <f t="shared" si="108"/>
        <v>-3788647.9639957696</v>
      </c>
      <c r="K44" s="27">
        <f t="shared" si="108"/>
        <v>-1334610.036849305</v>
      </c>
      <c r="L44" s="27">
        <f t="shared" ref="L44" si="109">SUM(L41:L43)</f>
        <v>14461139.516549192</v>
      </c>
      <c r="M44" s="21"/>
      <c r="N44" s="21"/>
      <c r="O44" s="21"/>
      <c r="P44" s="21"/>
      <c r="Q44" s="27">
        <f>SUM(Q41:Q43)</f>
        <v>15689566.279999999</v>
      </c>
      <c r="R44" s="27">
        <f t="shared" ref="R44:AB44" si="110">SUM(R41:R43)</f>
        <v>15377332.16</v>
      </c>
      <c r="S44" s="27">
        <f t="shared" si="110"/>
        <v>14982410.379999999</v>
      </c>
      <c r="T44" s="27">
        <f t="shared" si="110"/>
        <v>14527187.66</v>
      </c>
      <c r="U44" s="27">
        <f t="shared" si="110"/>
        <v>14070465.51</v>
      </c>
      <c r="V44" s="27">
        <f t="shared" si="110"/>
        <v>13612754.629999999</v>
      </c>
      <c r="W44" s="27">
        <f t="shared" si="110"/>
        <v>13003533.209999999</v>
      </c>
      <c r="X44" s="27">
        <f t="shared" si="110"/>
        <v>12473349.109999999</v>
      </c>
      <c r="Y44" s="27">
        <f t="shared" si="110"/>
        <v>12407896.239999998</v>
      </c>
      <c r="Z44" s="27">
        <f t="shared" si="110"/>
        <v>12200860.740000002</v>
      </c>
      <c r="AA44" s="27">
        <f t="shared" si="110"/>
        <v>11600947.729999999</v>
      </c>
      <c r="AB44" s="27">
        <f t="shared" si="110"/>
        <v>10837768.939999999</v>
      </c>
      <c r="AC44" s="27">
        <f t="shared" ref="AC44:AX44" si="111">SUM(AC41:AC43)</f>
        <v>10244708.962916667</v>
      </c>
      <c r="AD44" s="27">
        <f t="shared" si="111"/>
        <v>9520948.9858333319</v>
      </c>
      <c r="AE44" s="27">
        <f t="shared" si="111"/>
        <v>8838488.4754166659</v>
      </c>
      <c r="AF44" s="27">
        <f t="shared" si="111"/>
        <v>8011300.6649999991</v>
      </c>
      <c r="AG44" s="27">
        <f t="shared" si="111"/>
        <v>7220582.3545833342</v>
      </c>
      <c r="AH44" s="27">
        <f t="shared" si="111"/>
        <v>6488788.5033406522</v>
      </c>
      <c r="AI44" s="27">
        <f t="shared" si="111"/>
        <v>6183704.7030118089</v>
      </c>
      <c r="AJ44" s="27">
        <f t="shared" si="111"/>
        <v>5359461.3925951421</v>
      </c>
      <c r="AK44" s="27">
        <f t="shared" si="111"/>
        <v>4666817.0005264468</v>
      </c>
      <c r="AL44" s="27">
        <f t="shared" si="111"/>
        <v>3902475.6901097782</v>
      </c>
      <c r="AM44" s="27">
        <f t="shared" si="111"/>
        <v>3105307.1713597793</v>
      </c>
      <c r="AN44" s="27">
        <f t="shared" si="111"/>
        <v>2403585.4526097793</v>
      </c>
      <c r="AO44" s="27">
        <f t="shared" si="111"/>
        <v>1605522.4005264454</v>
      </c>
      <c r="AP44" s="27">
        <f t="shared" si="111"/>
        <v>1186918.0234727822</v>
      </c>
      <c r="AQ44" s="27">
        <f t="shared" si="111"/>
        <v>397644.47138945013</v>
      </c>
      <c r="AR44" s="27">
        <f t="shared" si="111"/>
        <v>-442023.8806938827</v>
      </c>
      <c r="AS44" s="27">
        <f t="shared" si="111"/>
        <v>-1267650.8564025052</v>
      </c>
      <c r="AT44" s="27">
        <f t="shared" si="111"/>
        <v>-1680169.7850425281</v>
      </c>
      <c r="AU44" s="27">
        <f t="shared" si="111"/>
        <v>-2466125.9480760954</v>
      </c>
      <c r="AV44" s="27">
        <f t="shared" si="111"/>
        <v>-2794684.4271473214</v>
      </c>
      <c r="AW44" s="27">
        <f t="shared" si="111"/>
        <v>-3102007.593828328</v>
      </c>
      <c r="AX44" s="27">
        <f t="shared" si="111"/>
        <v>-3635610.4850049466</v>
      </c>
      <c r="AY44" s="27">
        <f t="shared" ref="AY44:BL44" si="112">SUM(AY41:AY43)</f>
        <v>-4219613.7722413763</v>
      </c>
      <c r="AZ44" s="27">
        <f t="shared" si="112"/>
        <v>-4268029.6370947063</v>
      </c>
      <c r="BA44" s="27">
        <f t="shared" si="112"/>
        <v>-4592338.8180148751</v>
      </c>
      <c r="BB44" s="27">
        <f t="shared" si="112"/>
        <v>-4141304.622180555</v>
      </c>
      <c r="BC44" s="27">
        <f t="shared" si="112"/>
        <v>-5014058.5913909376</v>
      </c>
      <c r="BD44" s="27">
        <f t="shared" si="112"/>
        <v>-5407069.8485908732</v>
      </c>
      <c r="BE44" s="27">
        <f t="shared" si="112"/>
        <v>-5851715.634891212</v>
      </c>
      <c r="BF44" s="27">
        <f t="shared" si="112"/>
        <v>-5844691.0004462413</v>
      </c>
      <c r="BG44" s="27">
        <f t="shared" si="112"/>
        <v>-5478986.6159419306</v>
      </c>
      <c r="BH44" s="27">
        <f t="shared" si="112"/>
        <v>-5601192.4306780621</v>
      </c>
      <c r="BI44" s="27">
        <f t="shared" si="112"/>
        <v>-5810893.1376366839</v>
      </c>
      <c r="BJ44" s="27">
        <f t="shared" si="112"/>
        <v>-5432869.1448801383</v>
      </c>
      <c r="BK44" s="27">
        <f t="shared" si="112"/>
        <v>-5450614.3418676332</v>
      </c>
      <c r="BL44" s="27">
        <f t="shared" si="112"/>
        <v>-5596340.5282925889</v>
      </c>
      <c r="BM44" s="27">
        <f t="shared" ref="BM44:CZ44" si="113">SUM(BM41:BM43)</f>
        <v>-5452751.7758945823</v>
      </c>
      <c r="BN44" s="27">
        <f t="shared" si="113"/>
        <v>-4342960.1773631722</v>
      </c>
      <c r="BO44" s="27">
        <f t="shared" si="113"/>
        <v>-5450643.4250108562</v>
      </c>
      <c r="BP44" s="27">
        <f t="shared" si="113"/>
        <v>-6108558.1828445718</v>
      </c>
      <c r="BQ44" s="27">
        <f t="shared" si="113"/>
        <v>-6381825.4082243741</v>
      </c>
      <c r="BR44" s="27">
        <f t="shared" si="113"/>
        <v>-6123935.3301766887</v>
      </c>
      <c r="BS44" s="27">
        <f t="shared" si="113"/>
        <v>-5226169.435065154</v>
      </c>
      <c r="BT44" s="27">
        <f t="shared" si="113"/>
        <v>-5053727.3594438881</v>
      </c>
      <c r="BU44" s="27">
        <f t="shared" si="113"/>
        <v>-4844590.3867033869</v>
      </c>
      <c r="BV44" s="27">
        <f t="shared" si="113"/>
        <v>-4466053.653790798</v>
      </c>
      <c r="BW44" s="27">
        <f t="shared" si="113"/>
        <v>-3895472.4816632792</v>
      </c>
      <c r="BX44" s="27">
        <f t="shared" si="113"/>
        <v>-3788647.9639957696</v>
      </c>
      <c r="BY44" s="27">
        <f t="shared" si="113"/>
        <v>-5628508.4579910561</v>
      </c>
      <c r="BZ44" s="27">
        <f t="shared" si="113"/>
        <v>-3104491.3313739523</v>
      </c>
      <c r="CA44" s="27">
        <f t="shared" si="113"/>
        <v>-5246883.9559728801</v>
      </c>
      <c r="CB44" s="27">
        <f t="shared" si="113"/>
        <v>-6719772.1542344987</v>
      </c>
      <c r="CC44" s="27">
        <f t="shared" si="113"/>
        <v>-6577989.803230457</v>
      </c>
      <c r="CD44" s="27">
        <f t="shared" si="113"/>
        <v>-6138062.9399710894</v>
      </c>
      <c r="CE44" s="27">
        <f t="shared" si="113"/>
        <v>-4115225.0345926881</v>
      </c>
      <c r="CF44" s="27">
        <f t="shared" si="113"/>
        <v>-4328773.1157626212</v>
      </c>
      <c r="CG44" s="27">
        <f t="shared" si="113"/>
        <v>-3837537.3838082924</v>
      </c>
      <c r="CH44" s="27">
        <f t="shared" si="113"/>
        <v>-3778999.6011587977</v>
      </c>
      <c r="CI44" s="27">
        <f t="shared" si="113"/>
        <v>-1840078.6908981875</v>
      </c>
      <c r="CJ44" s="27">
        <f t="shared" si="113"/>
        <v>-1334610.036849305</v>
      </c>
      <c r="CK44" s="27">
        <f t="shared" si="113"/>
        <v>-1592275.606854327</v>
      </c>
      <c r="CL44" s="27">
        <f t="shared" si="113"/>
        <v>3342779.0004963409</v>
      </c>
      <c r="CM44" s="27">
        <f t="shared" si="113"/>
        <v>791167.67715838365</v>
      </c>
      <c r="CN44" s="27">
        <f t="shared" si="113"/>
        <v>-893113.02125631273</v>
      </c>
      <c r="CO44" s="27">
        <f t="shared" si="113"/>
        <v>644735.29601749033</v>
      </c>
      <c r="CP44" s="27">
        <f t="shared" si="113"/>
        <v>2260277.9745865706</v>
      </c>
      <c r="CQ44" s="27">
        <f t="shared" si="113"/>
        <v>5556916.1311705392</v>
      </c>
      <c r="CR44" s="27">
        <f t="shared" si="113"/>
        <v>5604294.4681792017</v>
      </c>
      <c r="CS44" s="27">
        <f t="shared" si="113"/>
        <v>7439714.75823652</v>
      </c>
      <c r="CT44" s="27">
        <f t="shared" si="113"/>
        <v>7798892.5472458638</v>
      </c>
      <c r="CU44" s="27">
        <f t="shared" si="113"/>
        <v>12419204.870523773</v>
      </c>
      <c r="CV44" s="27">
        <f t="shared" si="113"/>
        <v>14461139.516549192</v>
      </c>
      <c r="CW44" s="27">
        <f t="shared" si="113"/>
        <v>0</v>
      </c>
      <c r="CX44" s="27">
        <f t="shared" si="113"/>
        <v>0</v>
      </c>
      <c r="CY44" s="27">
        <f t="shared" si="113"/>
        <v>0</v>
      </c>
      <c r="CZ44" s="27">
        <f t="shared" si="113"/>
        <v>0</v>
      </c>
    </row>
    <row r="45" spans="4:104" ht="15.75" x14ac:dyDescent="0.25">
      <c r="D45" s="9"/>
      <c r="F45" s="16"/>
      <c r="G45" s="16"/>
      <c r="H45" s="16"/>
      <c r="I45" s="16"/>
      <c r="J45" s="16"/>
      <c r="K45" s="16"/>
      <c r="L45" s="16"/>
      <c r="M45" s="21"/>
      <c r="N45" s="21"/>
      <c r="O45" s="21"/>
      <c r="P45" s="21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</row>
    <row r="46" spans="4:104" ht="16.5" thickBot="1" x14ac:dyDescent="0.3">
      <c r="D46" s="10" t="s">
        <v>18</v>
      </c>
      <c r="F46" s="26">
        <f t="shared" ref="F46" si="114">+F39+F44</f>
        <v>11580170.27</v>
      </c>
      <c r="G46" s="26">
        <f t="shared" ref="G46:I46" ca="1" si="115">+G39+G44</f>
        <v>3420925.9526097793</v>
      </c>
      <c r="H46" s="26">
        <f t="shared" ca="1" si="115"/>
        <v>419450.8629052937</v>
      </c>
      <c r="I46" s="26">
        <f t="shared" ca="1" si="115"/>
        <v>5136453.9717074111</v>
      </c>
      <c r="J46" s="26">
        <f t="shared" ref="J46:L46" ca="1" si="116">+J39+J44</f>
        <v>18694383.03600423</v>
      </c>
      <c r="K46" s="26">
        <f t="shared" ca="1" si="116"/>
        <v>39014578.863150693</v>
      </c>
      <c r="L46" s="26">
        <f t="shared" ca="1" si="116"/>
        <v>46460779.129049197</v>
      </c>
      <c r="M46" s="21"/>
      <c r="N46" s="21"/>
      <c r="O46" s="21"/>
      <c r="P46" s="21"/>
      <c r="Q46" s="26">
        <f>+Q39+Q44</f>
        <v>15701323.1</v>
      </c>
      <c r="R46" s="26">
        <f t="shared" ref="R46:AB46" si="117">+R39+R44</f>
        <v>15434609.76</v>
      </c>
      <c r="S46" s="26">
        <f t="shared" si="117"/>
        <v>15046336.039999999</v>
      </c>
      <c r="T46" s="26">
        <f t="shared" si="117"/>
        <v>14722062.65</v>
      </c>
      <c r="U46" s="26">
        <f t="shared" si="117"/>
        <v>14327616.76</v>
      </c>
      <c r="V46" s="26">
        <f t="shared" si="117"/>
        <v>13837457.689999999</v>
      </c>
      <c r="W46" s="26">
        <f t="shared" si="117"/>
        <v>13444796.789999999</v>
      </c>
      <c r="X46" s="26">
        <f t="shared" si="117"/>
        <v>12914363.59</v>
      </c>
      <c r="Y46" s="26">
        <f t="shared" si="117"/>
        <v>12873949.129999999</v>
      </c>
      <c r="Z46" s="26">
        <f t="shared" si="117"/>
        <v>12863555.930000002</v>
      </c>
      <c r="AA46" s="26">
        <f t="shared" si="117"/>
        <v>12181555.099999998</v>
      </c>
      <c r="AB46" s="26">
        <f t="shared" si="117"/>
        <v>11580170.27</v>
      </c>
      <c r="AC46" s="26">
        <f t="shared" ref="AC46:AX46" ca="1" si="118">+AC39+AC44</f>
        <v>11125830.292916667</v>
      </c>
      <c r="AD46" s="26">
        <f t="shared" ca="1" si="118"/>
        <v>9772119.4858333319</v>
      </c>
      <c r="AE46" s="26">
        <f t="shared" ca="1" si="118"/>
        <v>8950938.9754166659</v>
      </c>
      <c r="AF46" s="26">
        <f t="shared" ca="1" si="118"/>
        <v>8123751.1649999991</v>
      </c>
      <c r="AG46" s="26">
        <f t="shared" ca="1" si="118"/>
        <v>7679832.8545833342</v>
      </c>
      <c r="AH46" s="26">
        <f t="shared" ca="1" si="118"/>
        <v>6933589.0033406522</v>
      </c>
      <c r="AI46" s="26">
        <f t="shared" ca="1" si="118"/>
        <v>6310605.2030118089</v>
      </c>
      <c r="AJ46" s="26">
        <f t="shared" ca="1" si="118"/>
        <v>5510661.8925951421</v>
      </c>
      <c r="AK46" s="26">
        <f t="shared" ca="1" si="118"/>
        <v>4925977.5005264468</v>
      </c>
      <c r="AL46" s="26">
        <f t="shared" ca="1" si="118"/>
        <v>4413256.1901097782</v>
      </c>
      <c r="AM46" s="26">
        <f t="shared" ca="1" si="118"/>
        <v>3537547.6713597793</v>
      </c>
      <c r="AN46" s="26">
        <f t="shared" ca="1" si="118"/>
        <v>3420925.9526097793</v>
      </c>
      <c r="AO46" s="26">
        <f t="shared" ca="1" si="118"/>
        <v>2696862.9005264454</v>
      </c>
      <c r="AP46" s="26">
        <f t="shared" ca="1" si="118"/>
        <v>1417238.5234727822</v>
      </c>
      <c r="AQ46" s="26">
        <f t="shared" ca="1" si="118"/>
        <v>853044.97138945013</v>
      </c>
      <c r="AR46" s="26">
        <f t="shared" ca="1" si="118"/>
        <v>640716.6193061173</v>
      </c>
      <c r="AS46" s="26">
        <f t="shared" ca="1" si="118"/>
        <v>-356270.35640250519</v>
      </c>
      <c r="AT46" s="26">
        <f t="shared" ca="1" si="118"/>
        <v>-407129.28504252806</v>
      </c>
      <c r="AU46" s="26">
        <f t="shared" ca="1" si="118"/>
        <v>-436285.44807609543</v>
      </c>
      <c r="AV46" s="26">
        <f t="shared" ca="1" si="118"/>
        <v>-1162003.9271473214</v>
      </c>
      <c r="AW46" s="26">
        <f t="shared" ca="1" si="118"/>
        <v>-1821607.093828328</v>
      </c>
      <c r="AX46" s="26">
        <f t="shared" ca="1" si="118"/>
        <v>-1738389.9850049466</v>
      </c>
      <c r="AY46" s="26">
        <f t="shared" ref="AY46:BL46" ca="1" si="119">+AY39+AY44</f>
        <v>-595793.27224137634</v>
      </c>
      <c r="AZ46" s="26">
        <f t="shared" ca="1" si="119"/>
        <v>419450.8629052937</v>
      </c>
      <c r="BA46" s="26">
        <f t="shared" ca="1" si="119"/>
        <v>-1846178.3180148751</v>
      </c>
      <c r="BB46" s="26">
        <f t="shared" ca="1" si="119"/>
        <v>-2784964.122180555</v>
      </c>
      <c r="BC46" s="26">
        <f t="shared" ca="1" si="119"/>
        <v>-3032678.0913909376</v>
      </c>
      <c r="BD46" s="26">
        <f t="shared" ca="1" si="119"/>
        <v>-2947389.3485908732</v>
      </c>
      <c r="BE46" s="26">
        <f t="shared" ca="1" si="119"/>
        <v>-706315.13489121199</v>
      </c>
      <c r="BF46" s="26">
        <f t="shared" ca="1" si="119"/>
        <v>-611810.50044624135</v>
      </c>
      <c r="BG46" s="26">
        <f t="shared" ca="1" si="119"/>
        <v>-2353746.1159419306</v>
      </c>
      <c r="BH46" s="26">
        <f t="shared" ca="1" si="119"/>
        <v>-2173411.9306780621</v>
      </c>
      <c r="BI46" s="26">
        <f t="shared" ca="1" si="119"/>
        <v>-2622472.6376366839</v>
      </c>
      <c r="BJ46" s="26">
        <f t="shared" ca="1" si="119"/>
        <v>-2744628.6448801383</v>
      </c>
      <c r="BK46" s="26">
        <f t="shared" ca="1" si="119"/>
        <v>1370501.1581323668</v>
      </c>
      <c r="BL46" s="26">
        <f t="shared" ca="1" si="119"/>
        <v>5136453.9717074111</v>
      </c>
      <c r="BM46" s="26">
        <f t="shared" ref="BM46:CZ46" ca="1" si="120">+BM39+BM44</f>
        <v>644783.72410541773</v>
      </c>
      <c r="BN46" s="26">
        <f t="shared" ca="1" si="120"/>
        <v>-1722206.1773631722</v>
      </c>
      <c r="BO46" s="26">
        <f t="shared" ca="1" si="120"/>
        <v>-1138167.4250108562</v>
      </c>
      <c r="BP46" s="26">
        <f t="shared" ca="1" si="120"/>
        <v>-385151.68284457177</v>
      </c>
      <c r="BQ46" s="26">
        <f t="shared" ca="1" si="120"/>
        <v>6265998.0917756259</v>
      </c>
      <c r="BR46" s="26">
        <f t="shared" ca="1" si="120"/>
        <v>6446425.1698233113</v>
      </c>
      <c r="BS46" s="26">
        <f t="shared" ca="1" si="120"/>
        <v>1406938.064934846</v>
      </c>
      <c r="BT46" s="26">
        <f t="shared" ca="1" si="120"/>
        <v>1895720.6405561119</v>
      </c>
      <c r="BU46" s="26">
        <f t="shared" ca="1" si="120"/>
        <v>2086313.6132966131</v>
      </c>
      <c r="BV46" s="26">
        <f t="shared" ca="1" si="120"/>
        <v>2095670.846209202</v>
      </c>
      <c r="BW46" s="26">
        <f t="shared" ca="1" si="120"/>
        <v>11554713.268336721</v>
      </c>
      <c r="BX46" s="26">
        <f t="shared" ca="1" si="120"/>
        <v>18694383.03600423</v>
      </c>
      <c r="BY46" s="26">
        <f t="shared" ca="1" si="120"/>
        <v>5878227.2920089439</v>
      </c>
      <c r="BZ46" s="26">
        <f t="shared" ca="1" si="120"/>
        <v>942523.79362604767</v>
      </c>
      <c r="CA46" s="26">
        <f t="shared" ca="1" si="120"/>
        <v>2714824.6690271199</v>
      </c>
      <c r="CB46" s="26">
        <f t="shared" ca="1" si="120"/>
        <v>4832482.8457655013</v>
      </c>
      <c r="CC46" s="26">
        <f t="shared" ca="1" si="120"/>
        <v>22975078.946769543</v>
      </c>
      <c r="CD46" s="26">
        <f t="shared" ca="1" si="120"/>
        <v>22147767.560028911</v>
      </c>
      <c r="CE46" s="26">
        <f t="shared" ca="1" si="120"/>
        <v>7710083.7154073119</v>
      </c>
      <c r="CF46" s="26">
        <f t="shared" ca="1" si="120"/>
        <v>7647939.5092373788</v>
      </c>
      <c r="CG46" s="26">
        <f t="shared" ca="1" si="120"/>
        <v>9094248.2411917076</v>
      </c>
      <c r="CH46" s="26">
        <f t="shared" ca="1" si="120"/>
        <v>10400204.898841202</v>
      </c>
      <c r="CI46" s="26">
        <f t="shared" ca="1" si="120"/>
        <v>28965963.584101811</v>
      </c>
      <c r="CJ46" s="26">
        <f t="shared" ca="1" si="120"/>
        <v>39014578.863150693</v>
      </c>
      <c r="CK46" s="26">
        <f t="shared" ca="1" si="120"/>
        <v>16358394.218145672</v>
      </c>
      <c r="CL46" s="26">
        <f t="shared" ca="1" si="120"/>
        <v>8805336.637996342</v>
      </c>
      <c r="CM46" s="26">
        <f t="shared" ca="1" si="120"/>
        <v>12918658.364658384</v>
      </c>
      <c r="CN46" s="26">
        <f t="shared" ca="1" si="120"/>
        <v>17902415.078743689</v>
      </c>
      <c r="CO46" s="26">
        <f t="shared" ca="1" si="120"/>
        <v>58411826.021017492</v>
      </c>
      <c r="CP46" s="26">
        <f t="shared" ca="1" si="120"/>
        <v>56831981.474586569</v>
      </c>
      <c r="CQ46" s="26">
        <f t="shared" ca="1" si="120"/>
        <v>23489848.981170543</v>
      </c>
      <c r="CR46" s="26">
        <f t="shared" ca="1" si="120"/>
        <v>23281702.730679199</v>
      </c>
      <c r="CS46" s="26">
        <f t="shared" ca="1" si="120"/>
        <v>27212233.545736521</v>
      </c>
      <c r="CT46" s="26">
        <f t="shared" ca="1" si="120"/>
        <v>31548699.622245863</v>
      </c>
      <c r="CU46" s="26">
        <f t="shared" ca="1" si="120"/>
        <v>38978894.751773775</v>
      </c>
      <c r="CV46" s="26">
        <f t="shared" ca="1" si="120"/>
        <v>46460779.129049197</v>
      </c>
      <c r="CW46" s="26">
        <f t="shared" si="120"/>
        <v>0</v>
      </c>
      <c r="CX46" s="26">
        <f t="shared" si="120"/>
        <v>0</v>
      </c>
      <c r="CY46" s="26">
        <f t="shared" si="120"/>
        <v>0</v>
      </c>
      <c r="CZ46" s="26">
        <f t="shared" si="120"/>
        <v>0</v>
      </c>
    </row>
    <row r="47" spans="4:104" ht="15.75" x14ac:dyDescent="0.25">
      <c r="D47" s="9"/>
      <c r="F47" s="16"/>
      <c r="G47" s="16"/>
      <c r="H47" s="16"/>
      <c r="I47" s="16"/>
      <c r="J47" s="16"/>
      <c r="K47" s="16"/>
      <c r="L47" s="16"/>
      <c r="M47" s="21"/>
      <c r="N47" s="21"/>
      <c r="O47" s="21"/>
      <c r="P47" s="21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</row>
    <row r="48" spans="4:104" x14ac:dyDescent="0.25">
      <c r="D48" s="11" t="s">
        <v>19</v>
      </c>
      <c r="F48" s="14">
        <f t="shared" ref="F48:L48" si="121">F30-F46</f>
        <v>0</v>
      </c>
      <c r="G48" s="14">
        <f t="shared" ca="1" si="121"/>
        <v>0</v>
      </c>
      <c r="H48" s="14">
        <f t="shared" ca="1" si="121"/>
        <v>9.3132257461547852E-10</v>
      </c>
      <c r="I48" s="14">
        <f t="shared" ca="1" si="121"/>
        <v>0</v>
      </c>
      <c r="J48" s="14">
        <f t="shared" ca="1" si="121"/>
        <v>0</v>
      </c>
      <c r="K48" s="14">
        <f t="shared" ca="1" si="121"/>
        <v>0</v>
      </c>
      <c r="L48" s="14">
        <f t="shared" ca="1" si="121"/>
        <v>0</v>
      </c>
      <c r="M48" s="21"/>
      <c r="N48" s="21"/>
      <c r="O48" s="21"/>
      <c r="P48" s="21"/>
      <c r="Q48" s="14">
        <f t="shared" ref="Q48:BL48" si="122">Q30-Q46</f>
        <v>0</v>
      </c>
      <c r="R48" s="14">
        <f t="shared" si="122"/>
        <v>0</v>
      </c>
      <c r="S48" s="14">
        <f t="shared" si="122"/>
        <v>0</v>
      </c>
      <c r="T48" s="14">
        <f t="shared" si="122"/>
        <v>0</v>
      </c>
      <c r="U48" s="14">
        <f t="shared" si="122"/>
        <v>0</v>
      </c>
      <c r="V48" s="14">
        <f t="shared" si="122"/>
        <v>0</v>
      </c>
      <c r="W48" s="14">
        <f t="shared" si="122"/>
        <v>0</v>
      </c>
      <c r="X48" s="14">
        <f t="shared" si="122"/>
        <v>0</v>
      </c>
      <c r="Y48" s="14">
        <f t="shared" si="122"/>
        <v>0</v>
      </c>
      <c r="Z48" s="14">
        <f t="shared" si="122"/>
        <v>0</v>
      </c>
      <c r="AA48" s="14">
        <f t="shared" si="122"/>
        <v>0</v>
      </c>
      <c r="AB48" s="14">
        <f t="shared" si="122"/>
        <v>0</v>
      </c>
      <c r="AC48" s="14">
        <f t="shared" ca="1" si="122"/>
        <v>0</v>
      </c>
      <c r="AD48" s="14">
        <f t="shared" ca="1" si="122"/>
        <v>0</v>
      </c>
      <c r="AE48" s="14">
        <f t="shared" ca="1" si="122"/>
        <v>0</v>
      </c>
      <c r="AF48" s="14">
        <f t="shared" ca="1" si="122"/>
        <v>0</v>
      </c>
      <c r="AG48" s="14">
        <f t="shared" ca="1" si="122"/>
        <v>0</v>
      </c>
      <c r="AH48" s="14">
        <f t="shared" ca="1" si="122"/>
        <v>0</v>
      </c>
      <c r="AI48" s="14">
        <f t="shared" ca="1" si="122"/>
        <v>0</v>
      </c>
      <c r="AJ48" s="14">
        <f t="shared" ca="1" si="122"/>
        <v>0</v>
      </c>
      <c r="AK48" s="14">
        <f t="shared" ca="1" si="122"/>
        <v>0</v>
      </c>
      <c r="AL48" s="14">
        <f t="shared" ca="1" si="122"/>
        <v>0</v>
      </c>
      <c r="AM48" s="14">
        <f t="shared" ca="1" si="122"/>
        <v>0</v>
      </c>
      <c r="AN48" s="14">
        <f t="shared" ca="1" si="122"/>
        <v>0</v>
      </c>
      <c r="AO48" s="14">
        <f t="shared" ca="1" si="122"/>
        <v>0</v>
      </c>
      <c r="AP48" s="14">
        <f t="shared" ca="1" si="122"/>
        <v>1.862645149230957E-9</v>
      </c>
      <c r="AQ48" s="14">
        <f t="shared" ca="1" si="122"/>
        <v>9.3132257461547852E-10</v>
      </c>
      <c r="AR48" s="14">
        <f t="shared" ca="1" si="122"/>
        <v>9.3132257461547852E-10</v>
      </c>
      <c r="AS48" s="14">
        <f t="shared" ca="1" si="122"/>
        <v>3.7252902984619141E-9</v>
      </c>
      <c r="AT48" s="14">
        <f t="shared" ca="1" si="122"/>
        <v>3.7252902984619141E-9</v>
      </c>
      <c r="AU48" s="14">
        <f t="shared" ca="1" si="122"/>
        <v>3.7252902984619141E-9</v>
      </c>
      <c r="AV48" s="14">
        <f t="shared" ca="1" si="122"/>
        <v>1.862645149230957E-9</v>
      </c>
      <c r="AW48" s="14">
        <f t="shared" ca="1" si="122"/>
        <v>0</v>
      </c>
      <c r="AX48" s="14">
        <f t="shared" ca="1" si="122"/>
        <v>3.7252902984619141E-9</v>
      </c>
      <c r="AY48" s="14">
        <f t="shared" ca="1" si="122"/>
        <v>1.862645149230957E-9</v>
      </c>
      <c r="AZ48" s="14">
        <f t="shared" ca="1" si="122"/>
        <v>9.3132257461547852E-10</v>
      </c>
      <c r="BA48" s="14">
        <f t="shared" ca="1" si="122"/>
        <v>0</v>
      </c>
      <c r="BB48" s="14">
        <f t="shared" ca="1" si="122"/>
        <v>3.7252902984619141E-9</v>
      </c>
      <c r="BC48" s="14">
        <f t="shared" ca="1" si="122"/>
        <v>5.5879354476928711E-9</v>
      </c>
      <c r="BD48" s="14">
        <f t="shared" ca="1" si="122"/>
        <v>4.6566128730773926E-9</v>
      </c>
      <c r="BE48" s="14">
        <f t="shared" ca="1" si="122"/>
        <v>3.7252902984619141E-9</v>
      </c>
      <c r="BF48" s="14">
        <f t="shared" ca="1" si="122"/>
        <v>3.7252902984619141E-9</v>
      </c>
      <c r="BG48" s="14">
        <f t="shared" ca="1" si="122"/>
        <v>4.6566128730773926E-9</v>
      </c>
      <c r="BH48" s="14">
        <f t="shared" ca="1" si="122"/>
        <v>0</v>
      </c>
      <c r="BI48" s="14">
        <f t="shared" ca="1" si="122"/>
        <v>3.7252902984619141E-9</v>
      </c>
      <c r="BJ48" s="14">
        <f t="shared" ca="1" si="122"/>
        <v>4.6566128730773926E-9</v>
      </c>
      <c r="BK48" s="14">
        <f t="shared" ca="1" si="122"/>
        <v>0</v>
      </c>
      <c r="BL48" s="14">
        <f t="shared" ca="1" si="122"/>
        <v>0</v>
      </c>
      <c r="BM48" s="14">
        <f t="shared" ref="BM48:CZ48" ca="1" si="123">BM30-BM46</f>
        <v>5.5879354476928711E-9</v>
      </c>
      <c r="BN48" s="14">
        <f t="shared" ca="1" si="123"/>
        <v>0</v>
      </c>
      <c r="BO48" s="14">
        <f t="shared" ca="1" si="123"/>
        <v>1.862645149230957E-9</v>
      </c>
      <c r="BP48" s="14">
        <f t="shared" ca="1" si="123"/>
        <v>4.6566128730773926E-9</v>
      </c>
      <c r="BQ48" s="14">
        <f t="shared" ca="1" si="123"/>
        <v>0</v>
      </c>
      <c r="BR48" s="14">
        <f t="shared" ca="1" si="123"/>
        <v>0</v>
      </c>
      <c r="BS48" s="14">
        <f t="shared" ca="1" si="123"/>
        <v>4.6566128730773926E-9</v>
      </c>
      <c r="BT48" s="14">
        <f t="shared" ca="1" si="123"/>
        <v>4.6566128730773926E-9</v>
      </c>
      <c r="BU48" s="14">
        <f t="shared" ca="1" si="123"/>
        <v>4.6566128730773926E-9</v>
      </c>
      <c r="BV48" s="14">
        <f t="shared" ca="1" si="123"/>
        <v>2.7939677238464355E-9</v>
      </c>
      <c r="BW48" s="14">
        <f t="shared" ca="1" si="123"/>
        <v>0</v>
      </c>
      <c r="BX48" s="14">
        <f t="shared" ca="1" si="123"/>
        <v>0</v>
      </c>
      <c r="BY48" s="14">
        <f t="shared" ca="1" si="123"/>
        <v>0</v>
      </c>
      <c r="BZ48" s="14">
        <f t="shared" ca="1" si="123"/>
        <v>1.862645149230957E-9</v>
      </c>
      <c r="CA48" s="14">
        <f t="shared" ca="1" si="123"/>
        <v>3.7252902984619141E-9</v>
      </c>
      <c r="CB48" s="14">
        <f t="shared" ca="1" si="123"/>
        <v>0</v>
      </c>
      <c r="CC48" s="14">
        <f t="shared" ca="1" si="123"/>
        <v>0</v>
      </c>
      <c r="CD48" s="14">
        <f t="shared" ca="1" si="123"/>
        <v>0</v>
      </c>
      <c r="CE48" s="14">
        <f t="shared" ca="1" si="123"/>
        <v>0</v>
      </c>
      <c r="CF48" s="14">
        <f t="shared" ca="1" si="123"/>
        <v>0</v>
      </c>
      <c r="CG48" s="14">
        <f t="shared" ca="1" si="123"/>
        <v>0</v>
      </c>
      <c r="CH48" s="14">
        <f t="shared" ca="1" si="123"/>
        <v>0</v>
      </c>
      <c r="CI48" s="14">
        <f t="shared" ca="1" si="123"/>
        <v>0</v>
      </c>
      <c r="CJ48" s="14">
        <f t="shared" ca="1" si="123"/>
        <v>0</v>
      </c>
      <c r="CK48" s="14">
        <f t="shared" ca="1" si="123"/>
        <v>0</v>
      </c>
      <c r="CL48" s="14">
        <f t="shared" ca="1" si="123"/>
        <v>0</v>
      </c>
      <c r="CM48" s="14">
        <f t="shared" ca="1" si="123"/>
        <v>0</v>
      </c>
      <c r="CN48" s="14">
        <f t="shared" ca="1" si="123"/>
        <v>0</v>
      </c>
      <c r="CO48" s="14">
        <f t="shared" ca="1" si="123"/>
        <v>0</v>
      </c>
      <c r="CP48" s="14">
        <f t="shared" ca="1" si="123"/>
        <v>0</v>
      </c>
      <c r="CQ48" s="14">
        <f t="shared" ca="1" si="123"/>
        <v>0</v>
      </c>
      <c r="CR48" s="14">
        <f t="shared" ca="1" si="123"/>
        <v>0</v>
      </c>
      <c r="CS48" s="14">
        <f t="shared" ca="1" si="123"/>
        <v>0</v>
      </c>
      <c r="CT48" s="14">
        <f t="shared" ca="1" si="123"/>
        <v>0</v>
      </c>
      <c r="CU48" s="14">
        <f t="shared" ca="1" si="123"/>
        <v>0</v>
      </c>
      <c r="CV48" s="14">
        <f t="shared" ca="1" si="123"/>
        <v>0</v>
      </c>
      <c r="CW48" s="14">
        <f t="shared" si="123"/>
        <v>0</v>
      </c>
      <c r="CX48" s="14">
        <f t="shared" si="123"/>
        <v>0</v>
      </c>
      <c r="CY48" s="14">
        <f t="shared" si="123"/>
        <v>0</v>
      </c>
      <c r="CZ48" s="14">
        <f t="shared" si="123"/>
        <v>0</v>
      </c>
    </row>
    <row r="49" spans="4:104" ht="15.75" x14ac:dyDescent="0.25">
      <c r="D49" s="9"/>
      <c r="F49" s="15"/>
      <c r="G49" s="15"/>
      <c r="H49" s="15"/>
      <c r="I49" s="15"/>
      <c r="J49" s="15"/>
      <c r="K49" s="15"/>
      <c r="L49" s="15"/>
      <c r="M49" s="21"/>
      <c r="N49" s="21"/>
      <c r="O49" s="21"/>
      <c r="P49" s="21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</row>
    <row r="50" spans="4:104" x14ac:dyDescent="0.25">
      <c r="F50" s="16"/>
      <c r="G50" s="16"/>
      <c r="H50" s="16"/>
      <c r="I50" s="16"/>
      <c r="J50" s="16"/>
      <c r="K50" s="16"/>
      <c r="L50" s="16"/>
      <c r="M50" s="21"/>
      <c r="N50" s="21"/>
      <c r="O50" s="21"/>
      <c r="P50" s="21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</row>
    <row r="51" spans="4:104" x14ac:dyDescent="0.25"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</row>
    <row r="52" spans="4:104" x14ac:dyDescent="0.25"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</row>
    <row r="53" spans="4:104" x14ac:dyDescent="0.25">
      <c r="D53" t="s">
        <v>1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</row>
    <row r="54" spans="4:104" x14ac:dyDescent="0.25">
      <c r="D54" t="s">
        <v>236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35">
        <f ca="1">AC16/AVERAGE([1]ConsolIS!BE$32:BG$32)</f>
        <v>3</v>
      </c>
      <c r="AD54" s="135">
        <f ca="1">AD16/AVERAGE([1]ConsolIS!BF$32:BH$32)</f>
        <v>3</v>
      </c>
      <c r="AE54" s="135">
        <f ca="1">AE16/AVERAGE([1]ConsolIS!BG$32:BI$32)</f>
        <v>0.28301886792452829</v>
      </c>
      <c r="AF54" s="135">
        <f ca="1">AF16/AVERAGE([1]ConsolIS!BH$32:BJ$32)</f>
        <v>1.5</v>
      </c>
      <c r="AG54" s="135">
        <f ca="1">AG16/AVERAGE([1]ConsolIS!BI$32:BK$32)</f>
        <v>3</v>
      </c>
      <c r="AH54" s="135">
        <f ca="1">AH16/AVERAGE([1]ConsolIS!BJ$32:BL$32)</f>
        <v>2.88</v>
      </c>
      <c r="AI54" s="135">
        <f ca="1">AI16/AVERAGE([1]ConsolIS!BK$32:BM$32)</f>
        <v>0.23076923076923078</v>
      </c>
      <c r="AJ54" s="135">
        <f ca="1">AJ16/AVERAGE([1]ConsolIS!BL$32:BN$32)</f>
        <v>3</v>
      </c>
      <c r="AK54" s="135">
        <f ca="1">AK16/AVERAGE([1]ConsolIS!BM$32:BO$32)</f>
        <v>2.5438282647584973</v>
      </c>
      <c r="AL54" s="135">
        <f ca="1">AL16/AVERAGE([1]ConsolIS!BN$32:BP$32)</f>
        <v>2.8332113114304014</v>
      </c>
      <c r="AM54" s="135">
        <f ca="1">AM16/AVERAGE([1]ConsolIS!BO$32:BQ$32)</f>
        <v>2.1284652939927828</v>
      </c>
      <c r="AN54" s="135">
        <f ca="1">AN16/AVERAGE([1]ConsolIS!BP$32:BR$32)</f>
        <v>2.3074644847146226</v>
      </c>
      <c r="AO54" s="135">
        <f ca="1">AO16/AVERAGE([1]ConsolIS!BQ$32:BS$32)</f>
        <v>2.8336344445923589</v>
      </c>
      <c r="AP54" s="135">
        <f ca="1">AP16/AVERAGE([1]ConsolIS!BR$32:BT$32)</f>
        <v>0.39962147905047618</v>
      </c>
      <c r="AQ54" s="135">
        <f ca="1">AQ16/AVERAGE([1]ConsolIS!BS$32:BU$32)</f>
        <v>2.1894143592256801</v>
      </c>
      <c r="AR54" s="135">
        <f ca="1">AR16/AVERAGE([1]ConsolIS!BT$32:BV$32)</f>
        <v>3</v>
      </c>
      <c r="AS54" s="135">
        <f ca="1">AS16/AVERAGE([1]ConsolIS!BU$32:BW$32)</f>
        <v>2.0842002767385845</v>
      </c>
      <c r="AT54" s="135">
        <f ca="1">AT16/AVERAGE([1]ConsolIS!BV$32:BX$32)</f>
        <v>1.9558139792940443</v>
      </c>
      <c r="AU54" s="135">
        <f ca="1">AU16/AVERAGE([1]ConsolIS!BW$32:BY$32)</f>
        <v>2.7364723213779816</v>
      </c>
      <c r="AV54" s="135">
        <f ca="1">AV16/AVERAGE([1]ConsolIS!BX$32:BZ$32)</f>
        <v>1.8243358904456983</v>
      </c>
      <c r="AW54" s="135">
        <f ca="1">AW16/AVERAGE([1]ConsolIS!BY$32:CA$32)</f>
        <v>1.6690820801415369</v>
      </c>
      <c r="AX54" s="135">
        <f ca="1">AX16/AVERAGE([1]ConsolIS!BZ$32:CB$32)</f>
        <v>2.2574339414318336</v>
      </c>
      <c r="AY54" s="135">
        <f ca="1">AY16/AVERAGE([1]ConsolIS!CA$32:CC$32)</f>
        <v>2.5696024176582335</v>
      </c>
      <c r="AZ54" s="135">
        <f ca="1">AZ16/AVERAGE([1]ConsolIS!CB$32:CD$32)</f>
        <v>2.3746304849486215</v>
      </c>
      <c r="BA54" s="135">
        <f ca="1">BA16/AVERAGE([1]ConsolIS!CC$32:CE$32)</f>
        <v>1.5999935552995577</v>
      </c>
      <c r="BB54" s="135">
        <f ca="1">BB16/AVERAGE([1]ConsolIS!CD$32:CF$32)</f>
        <v>1.0692108557606792</v>
      </c>
      <c r="BC54" s="135">
        <f ca="1">BC16/AVERAGE([1]ConsolIS!CE$32:CG$32)</f>
        <v>2.5009250980426874</v>
      </c>
      <c r="BD54" s="135">
        <f ca="1">BD16/AVERAGE([1]ConsolIS!CF$32:CH$32)</f>
        <v>2.1839232101794601</v>
      </c>
      <c r="BE54" s="135">
        <f ca="1">BE16/AVERAGE([1]ConsolIS!CG$32:CI$32)</f>
        <v>2.5035547296090792</v>
      </c>
      <c r="BF54" s="135">
        <f ca="1">BF16/AVERAGE([1]ConsolIS!CH$32:CJ$32)</f>
        <v>2.3715207645696834</v>
      </c>
      <c r="BG54" s="135">
        <f ca="1">BG16/AVERAGE([1]ConsolIS!CI$32:CK$32)</f>
        <v>1.3526863910966005</v>
      </c>
      <c r="BH54" s="135">
        <f ca="1">BH16/AVERAGE([1]ConsolIS!CJ$32:CL$32)</f>
        <v>2.0906685977153905</v>
      </c>
      <c r="BI54" s="135">
        <f ca="1">BI16/AVERAGE([1]ConsolIS!CK$32:CM$32)</f>
        <v>1.9855441193477508</v>
      </c>
      <c r="BJ54" s="135">
        <f ca="1">BJ16/AVERAGE([1]ConsolIS!CL$32:CN$32)</f>
        <v>1.79005127779851</v>
      </c>
      <c r="BK54" s="135">
        <f ca="1">BK16/AVERAGE([1]ConsolIS!CM$32:CO$32)</f>
        <v>2.5015574778471024</v>
      </c>
      <c r="BL54" s="135">
        <f ca="1">BL16/AVERAGE([1]ConsolIS!CN$32:CP$32)</f>
        <v>2.6843262097118203</v>
      </c>
      <c r="BM54" s="135">
        <f ca="1">BM16/AVERAGE([1]ConsolIS!CO$32:CQ$32)</f>
        <v>1.5689146888818959</v>
      </c>
      <c r="BN54" s="135">
        <f ca="1">BN16/AVERAGE([1]ConsolIS!CP$32:CR$32)</f>
        <v>0.98480014339487354</v>
      </c>
      <c r="BO54" s="135">
        <f ca="1">BO16/AVERAGE([1]ConsolIS!CQ$32:CS$32)</f>
        <v>2.5028104942671181</v>
      </c>
      <c r="BP54" s="135">
        <f ca="1">BP16/AVERAGE([1]ConsolIS!CR$32:CT$32)</f>
        <v>2.3083502149893516</v>
      </c>
      <c r="BQ54" s="135">
        <f ca="1">BQ16/AVERAGE([1]ConsolIS!CS$32:CU$32)</f>
        <v>2.496854283982616</v>
      </c>
      <c r="BR54" s="135">
        <f ca="1">BR16/AVERAGE([1]ConsolIS!CT$32:CV$32)</f>
        <v>2.4033331217995344</v>
      </c>
      <c r="BS54" s="135">
        <f ca="1">BS16/AVERAGE([1]ConsolIS!CU$32:CW$32)</f>
        <v>1.2262168181029545</v>
      </c>
      <c r="BT54" s="135">
        <f ca="1">BT16/AVERAGE([1]ConsolIS!CV$32:CX$32)</f>
        <v>2.0824113686783861</v>
      </c>
      <c r="BU54" s="135">
        <f ca="1">BU16/AVERAGE([1]ConsolIS!CW$32:CY$32)</f>
        <v>1.9807420626068852</v>
      </c>
      <c r="BV54" s="135">
        <f ca="1">BV16/AVERAGE([1]ConsolIS!CX$32:CZ$32)</f>
        <v>1.9788789129416828</v>
      </c>
      <c r="BW54" s="135">
        <f ca="1">BW16/AVERAGE([1]ConsolIS!CY$32:DA$32)</f>
        <v>2.4433518875648348</v>
      </c>
      <c r="BX54" s="135">
        <f ca="1">BX16/AVERAGE([1]ConsolIS!CZ$32:DB$32)</f>
        <v>2.6489910052174457</v>
      </c>
      <c r="BY54" s="135">
        <f ca="1">BY16/AVERAGE([1]ConsolIS!DA$32:DC$32)</f>
        <v>1.4383928924334983</v>
      </c>
      <c r="BZ54" s="135">
        <f ca="1">BZ16/AVERAGE([1]ConsolIS!DB$32:DD$32)</f>
        <v>0.8493706551143031</v>
      </c>
      <c r="CA54" s="135">
        <f ca="1">CA16/AVERAGE([1]ConsolIS!DC$32:DE$32)</f>
        <v>2.5439474896679637</v>
      </c>
      <c r="CB54" s="135">
        <f ca="1">CB16/AVERAGE([1]ConsolIS!DD$32:DF$32)</f>
        <v>2.4556152992717775</v>
      </c>
      <c r="CC54" s="135">
        <f ca="1">CC16/AVERAGE([1]ConsolIS!DE$32:DG$32)</f>
        <v>2.5407277550100065</v>
      </c>
      <c r="CD54" s="135">
        <f ca="1">CD16/AVERAGE([1]ConsolIS!DF$32:DH$32)</f>
        <v>2.4641386607079085</v>
      </c>
      <c r="CE54" s="135">
        <f ca="1">CE16/AVERAGE([1]ConsolIS!DG$32:DI$32)</f>
        <v>1.0036911804920725</v>
      </c>
      <c r="CF54" s="135">
        <f ca="1">CF16/AVERAGE([1]ConsolIS!DH$32:DJ$32)</f>
        <v>2.1286347670788355</v>
      </c>
      <c r="CG54" s="135">
        <f ca="1">CG16/AVERAGE([1]ConsolIS!DI$32:DK$32)</f>
        <v>1.9545328771538044</v>
      </c>
      <c r="CH54" s="135">
        <f ca="1">CH16/AVERAGE([1]ConsolIS!DJ$32:DL$32)</f>
        <v>2.2122626285014082</v>
      </c>
      <c r="CI54" s="135">
        <f ca="1">CI16/AVERAGE([1]ConsolIS!DK$32:DM$32)</f>
        <v>2.3911063512812389</v>
      </c>
      <c r="CJ54" s="135">
        <f ca="1">CJ16/AVERAGE([1]ConsolIS!DL$32:DN$32)</f>
        <v>2.5961468397411949</v>
      </c>
      <c r="CK54" s="135">
        <f ca="1">CK16/AVERAGE([1]ConsolIS!DM$32:DO$32)</f>
        <v>1.266168025077187</v>
      </c>
      <c r="CL54" s="135">
        <f ca="1">CL16/AVERAGE([1]ConsolIS!DN$32:DP$32)</f>
        <v>0.76024262755009064</v>
      </c>
      <c r="CM54" s="135">
        <f ca="1">CM16/AVERAGE([1]ConsolIS!DO$32:DQ$32)</f>
        <v>2.5635401375937263</v>
      </c>
      <c r="CN54" s="135">
        <f ca="1">CN16/AVERAGE([1]ConsolIS!DP$32:DR$32)</f>
        <v>2.5480432791479282</v>
      </c>
      <c r="CO54" s="135">
        <f ca="1">CO16/AVERAGE([1]ConsolIS!DQ$32:DS$32)</f>
        <v>2.6062328080529547</v>
      </c>
      <c r="CP54" s="135">
        <f ca="1">CP16/AVERAGE([1]ConsolIS!DR$32:DT$32)</f>
        <v>2.5353037822008497</v>
      </c>
      <c r="CQ54" s="135">
        <f ca="1">CQ16/AVERAGE([1]ConsolIS!DS$32:DU$32)</f>
        <v>0.81662364920632569</v>
      </c>
      <c r="CR54" s="135">
        <f ca="1">CR16/AVERAGE([1]ConsolIS!DT$32:DV$32)</f>
        <v>2.1641953026340448</v>
      </c>
      <c r="CS54" s="135">
        <f ca="1">CS16/AVERAGE([1]ConsolIS!DU$32:DW$32)</f>
        <v>1.9213181297001252</v>
      </c>
      <c r="CT54" s="135">
        <f ca="1">CT16/AVERAGE([1]ConsolIS!DV$32:DX$32)</f>
        <v>2.3506545438657724</v>
      </c>
      <c r="CU54" s="135">
        <f ca="1">CU16/AVERAGE([1]ConsolIS!DW$32:DY$32)</f>
        <v>2.2376040745420314</v>
      </c>
      <c r="CV54" s="135">
        <f ca="1">CV16/AVERAGE([1]ConsolIS!DX$32:DZ$32)</f>
        <v>6.0702186676543688</v>
      </c>
      <c r="CW54" s="135"/>
      <c r="CX54" s="135"/>
      <c r="CY54" s="135"/>
      <c r="CZ54" s="135"/>
    </row>
    <row r="55" spans="4:104" x14ac:dyDescent="0.25"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</row>
    <row r="56" spans="4:104" x14ac:dyDescent="0.25"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</row>
    <row r="57" spans="4:104" x14ac:dyDescent="0.25"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</row>
    <row r="58" spans="4:104" x14ac:dyDescent="0.25"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</row>
    <row r="59" spans="4:104" x14ac:dyDescent="0.25"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</row>
    <row r="60" spans="4:104" x14ac:dyDescent="0.25"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</row>
    <row r="61" spans="4:104" x14ac:dyDescent="0.25"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</row>
    <row r="62" spans="4:104" x14ac:dyDescent="0.25"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</row>
    <row r="63" spans="4:104" x14ac:dyDescent="0.25"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</row>
    <row r="64" spans="4:104" x14ac:dyDescent="0.25"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</row>
    <row r="65" spans="6:104" x14ac:dyDescent="0.25"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</row>
    <row r="66" spans="6:104" x14ac:dyDescent="0.25"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</row>
    <row r="67" spans="6:104" x14ac:dyDescent="0.25"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</row>
    <row r="68" spans="6:104" x14ac:dyDescent="0.25"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</row>
    <row r="69" spans="6:104" x14ac:dyDescent="0.25"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</row>
    <row r="70" spans="6:104" x14ac:dyDescent="0.25"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</row>
    <row r="71" spans="6:104" x14ac:dyDescent="0.25"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</row>
    <row r="72" spans="6:104" x14ac:dyDescent="0.25"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</row>
    <row r="73" spans="6:104" x14ac:dyDescent="0.25"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</row>
    <row r="74" spans="6:104" x14ac:dyDescent="0.25"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</row>
    <row r="75" spans="6:104" x14ac:dyDescent="0.25"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</row>
    <row r="76" spans="6:104" x14ac:dyDescent="0.25"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</row>
    <row r="77" spans="6:104" x14ac:dyDescent="0.25"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</row>
    <row r="78" spans="6:104" x14ac:dyDescent="0.25"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</row>
    <row r="79" spans="6:104" x14ac:dyDescent="0.25"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</row>
    <row r="80" spans="6:104" x14ac:dyDescent="0.25"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</row>
    <row r="81" spans="6:104" x14ac:dyDescent="0.25"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</row>
    <row r="82" spans="6:104" x14ac:dyDescent="0.25"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</row>
    <row r="83" spans="6:104" x14ac:dyDescent="0.25"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</row>
    <row r="84" spans="6:104" x14ac:dyDescent="0.25"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</row>
    <row r="85" spans="6:104" x14ac:dyDescent="0.25"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</row>
    <row r="86" spans="6:104" x14ac:dyDescent="0.25"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</row>
    <row r="87" spans="6:104" x14ac:dyDescent="0.25"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</row>
    <row r="88" spans="6:104" x14ac:dyDescent="0.25"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</row>
    <row r="89" spans="6:104" x14ac:dyDescent="0.25"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</row>
    <row r="90" spans="6:104" x14ac:dyDescent="0.25"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</row>
    <row r="91" spans="6:104" x14ac:dyDescent="0.25"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</row>
    <row r="92" spans="6:104" x14ac:dyDescent="0.25"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</row>
    <row r="93" spans="6:104" x14ac:dyDescent="0.25"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</row>
    <row r="94" spans="6:104" x14ac:dyDescent="0.25"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</row>
    <row r="95" spans="6:104" x14ac:dyDescent="0.25"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</row>
    <row r="96" spans="6:104" x14ac:dyDescent="0.25"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</row>
    <row r="97" spans="6:104" x14ac:dyDescent="0.25"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</row>
    <row r="98" spans="6:104" x14ac:dyDescent="0.25"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</row>
    <row r="99" spans="6:104" x14ac:dyDescent="0.25"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</row>
    <row r="100" spans="6:104" x14ac:dyDescent="0.25"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</row>
    <row r="101" spans="6:104" x14ac:dyDescent="0.25"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</row>
    <row r="102" spans="6:104" x14ac:dyDescent="0.25"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</row>
    <row r="103" spans="6:104" x14ac:dyDescent="0.25"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</row>
    <row r="104" spans="6:104" x14ac:dyDescent="0.25"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</row>
    <row r="105" spans="6:104" x14ac:dyDescent="0.25"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</row>
    <row r="106" spans="6:104" x14ac:dyDescent="0.25"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</row>
    <row r="107" spans="6:104" x14ac:dyDescent="0.25"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</row>
    <row r="108" spans="6:104" x14ac:dyDescent="0.25"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</row>
    <row r="109" spans="6:104" x14ac:dyDescent="0.25"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</row>
    <row r="110" spans="6:104" x14ac:dyDescent="0.25"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</row>
    <row r="111" spans="6:104" x14ac:dyDescent="0.25"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</row>
    <row r="112" spans="6:104" x14ac:dyDescent="0.25"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</row>
    <row r="113" spans="6:104" x14ac:dyDescent="0.25"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</row>
    <row r="114" spans="6:104" x14ac:dyDescent="0.25"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28AC-6EE1-439F-9C80-F9F6D1ECAF4A}">
  <dimension ref="D2:CZ2193"/>
  <sheetViews>
    <sheetView showGridLines="0" zoomScale="85" zoomScaleNormal="85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H45" sqref="H45"/>
    </sheetView>
  </sheetViews>
  <sheetFormatPr defaultRowHeight="15" outlineLevelCol="1" x14ac:dyDescent="0.25"/>
  <cols>
    <col min="4" max="4" width="33" style="62" customWidth="1"/>
    <col min="5" max="5" width="8.7109375" style="62" customWidth="1"/>
    <col min="6" max="6" width="14.7109375" customWidth="1" outlineLevel="1"/>
    <col min="7" max="7" width="17" customWidth="1"/>
    <col min="8" max="8" width="16.85546875" customWidth="1"/>
    <col min="9" max="9" width="17.7109375" customWidth="1" outlineLevel="1"/>
    <col min="10" max="10" width="17" customWidth="1"/>
    <col min="11" max="11" width="16.85546875" customWidth="1"/>
    <col min="12" max="12" width="17.7109375" customWidth="1" outlineLevel="1"/>
    <col min="13" max="15" width="9.140625" customWidth="1"/>
    <col min="16" max="18" width="11.28515625" bestFit="1" customWidth="1"/>
    <col min="19" max="19" width="12.28515625" bestFit="1" customWidth="1"/>
    <col min="20" max="20" width="9.140625" customWidth="1"/>
    <col min="21" max="21" width="14.7109375" style="12" hidden="1" customWidth="1" outlineLevel="1" collapsed="1"/>
    <col min="22" max="31" width="11.5703125" style="12" hidden="1" customWidth="1" outlineLevel="1" collapsed="1"/>
    <col min="32" max="32" width="13.140625" style="12" bestFit="1" customWidth="1" collapsed="1"/>
    <col min="33" max="33" width="13.85546875" style="12" bestFit="1" customWidth="1" collapsed="1"/>
    <col min="34" max="34" width="14" style="12" bestFit="1" customWidth="1" collapsed="1"/>
    <col min="35" max="35" width="13.85546875" style="12" bestFit="1" customWidth="1" collapsed="1"/>
    <col min="36" max="37" width="13.140625" style="12" bestFit="1" customWidth="1" collapsed="1"/>
    <col min="38" max="40" width="12.28515625" style="12" bestFit="1" customWidth="1" collapsed="1"/>
    <col min="41" max="56" width="13.85546875" style="12" bestFit="1" customWidth="1" collapsed="1"/>
    <col min="57" max="60" width="15" style="12" bestFit="1" customWidth="1" collapsed="1"/>
    <col min="61" max="63" width="13.85546875" style="12" bestFit="1" customWidth="1" collapsed="1"/>
    <col min="64" max="65" width="15" style="12" bestFit="1" customWidth="1" collapsed="1"/>
    <col min="66" max="104" width="13.85546875" style="12" bestFit="1" customWidth="1" collapsed="1"/>
  </cols>
  <sheetData>
    <row r="2" spans="4:104" ht="15.75" thickBot="1" x14ac:dyDescent="0.3"/>
    <row r="3" spans="4:104" ht="15.75" thickBot="1" x14ac:dyDescent="0.3">
      <c r="D3" s="114" t="s">
        <v>209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</row>
    <row r="4" spans="4:104" x14ac:dyDescent="0.25">
      <c r="D4" t="s">
        <v>212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</row>
    <row r="5" spans="4:104" x14ac:dyDescent="0.25">
      <c r="D5" t="s">
        <v>213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</row>
    <row r="6" spans="4:104" x14ac:dyDescent="0.25">
      <c r="D6" s="124" t="s">
        <v>210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</row>
    <row r="7" spans="4:104" x14ac:dyDescent="0.25">
      <c r="G7" s="20"/>
      <c r="H7" s="20"/>
      <c r="J7" s="20"/>
      <c r="K7" s="20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</row>
    <row r="8" spans="4:104" x14ac:dyDescent="0.25"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</row>
    <row r="9" spans="4:104" x14ac:dyDescent="0.25"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</row>
    <row r="10" spans="4:104" ht="15.75" x14ac:dyDescent="0.25">
      <c r="D10" s="61"/>
      <c r="E10" s="61"/>
      <c r="F10" s="18"/>
      <c r="G10" s="17"/>
      <c r="H10" s="17"/>
      <c r="I10" s="17"/>
      <c r="J10" s="17"/>
      <c r="K10" s="17"/>
      <c r="L10" s="17"/>
      <c r="P10" s="17">
        <v>2024</v>
      </c>
      <c r="Q10" s="17">
        <v>2024</v>
      </c>
      <c r="R10" s="17">
        <v>2024</v>
      </c>
      <c r="S10" s="17">
        <v>2024</v>
      </c>
      <c r="U10" s="18" t="str">
        <f t="shared" ref="U10:CF10" si="0">"Q"&amp;ROUNDUP(MONTH(U11)/3,0)&amp;"-"&amp;YEAR(U11)</f>
        <v>Q1-2023</v>
      </c>
      <c r="V10" s="18" t="str">
        <f t="shared" si="0"/>
        <v>Q1-2023</v>
      </c>
      <c r="W10" s="18" t="str">
        <f t="shared" si="0"/>
        <v>Q1-2023</v>
      </c>
      <c r="X10" s="18" t="str">
        <f t="shared" si="0"/>
        <v>Q2-2023</v>
      </c>
      <c r="Y10" s="18" t="str">
        <f t="shared" si="0"/>
        <v>Q2-2023</v>
      </c>
      <c r="Z10" s="18" t="str">
        <f t="shared" si="0"/>
        <v>Q2-2023</v>
      </c>
      <c r="AA10" s="18" t="str">
        <f t="shared" si="0"/>
        <v>Q3-2023</v>
      </c>
      <c r="AB10" s="18" t="str">
        <f t="shared" si="0"/>
        <v>Q3-2023</v>
      </c>
      <c r="AC10" s="18" t="str">
        <f t="shared" si="0"/>
        <v>Q3-2023</v>
      </c>
      <c r="AD10" s="18" t="str">
        <f t="shared" si="0"/>
        <v>Q4-2023</v>
      </c>
      <c r="AE10" s="18" t="str">
        <f t="shared" si="0"/>
        <v>Q4-2023</v>
      </c>
      <c r="AF10" s="18" t="str">
        <f t="shared" si="0"/>
        <v>Q4-2023</v>
      </c>
      <c r="AG10" s="18" t="str">
        <f t="shared" si="0"/>
        <v>Q1-2024</v>
      </c>
      <c r="AH10" s="18" t="str">
        <f t="shared" si="0"/>
        <v>Q1-2024</v>
      </c>
      <c r="AI10" s="18" t="str">
        <f t="shared" si="0"/>
        <v>Q1-2024</v>
      </c>
      <c r="AJ10" s="18" t="str">
        <f t="shared" si="0"/>
        <v>Q2-2024</v>
      </c>
      <c r="AK10" s="18" t="str">
        <f t="shared" si="0"/>
        <v>Q2-2024</v>
      </c>
      <c r="AL10" s="18" t="str">
        <f t="shared" si="0"/>
        <v>Q2-2024</v>
      </c>
      <c r="AM10" s="18" t="str">
        <f t="shared" si="0"/>
        <v>Q3-2024</v>
      </c>
      <c r="AN10" s="18" t="str">
        <f t="shared" si="0"/>
        <v>Q3-2024</v>
      </c>
      <c r="AO10" s="18" t="str">
        <f t="shared" si="0"/>
        <v>Q3-2024</v>
      </c>
      <c r="AP10" s="18" t="str">
        <f t="shared" si="0"/>
        <v>Q4-2024</v>
      </c>
      <c r="AQ10" s="18" t="str">
        <f t="shared" si="0"/>
        <v>Q4-2024</v>
      </c>
      <c r="AR10" s="18" t="str">
        <f t="shared" si="0"/>
        <v>Q4-2024</v>
      </c>
      <c r="AS10" s="18" t="str">
        <f t="shared" si="0"/>
        <v>Q1-2025</v>
      </c>
      <c r="AT10" s="18" t="str">
        <f t="shared" si="0"/>
        <v>Q1-2025</v>
      </c>
      <c r="AU10" s="18" t="str">
        <f t="shared" si="0"/>
        <v>Q1-2025</v>
      </c>
      <c r="AV10" s="18" t="str">
        <f t="shared" si="0"/>
        <v>Q2-2025</v>
      </c>
      <c r="AW10" s="18" t="str">
        <f t="shared" si="0"/>
        <v>Q2-2025</v>
      </c>
      <c r="AX10" s="18" t="str">
        <f t="shared" si="0"/>
        <v>Q2-2025</v>
      </c>
      <c r="AY10" s="18" t="str">
        <f t="shared" si="0"/>
        <v>Q3-2025</v>
      </c>
      <c r="AZ10" s="18" t="str">
        <f t="shared" si="0"/>
        <v>Q3-2025</v>
      </c>
      <c r="BA10" s="18" t="str">
        <f t="shared" si="0"/>
        <v>Q3-2025</v>
      </c>
      <c r="BB10" s="18" t="str">
        <f t="shared" si="0"/>
        <v>Q4-2025</v>
      </c>
      <c r="BC10" s="18" t="str">
        <f t="shared" si="0"/>
        <v>Q4-2025</v>
      </c>
      <c r="BD10" s="18" t="str">
        <f t="shared" si="0"/>
        <v>Q4-2025</v>
      </c>
      <c r="BE10" s="18" t="str">
        <f t="shared" si="0"/>
        <v>Q1-2026</v>
      </c>
      <c r="BF10" s="18" t="str">
        <f t="shared" si="0"/>
        <v>Q1-2026</v>
      </c>
      <c r="BG10" s="18" t="str">
        <f t="shared" si="0"/>
        <v>Q1-2026</v>
      </c>
      <c r="BH10" s="18" t="str">
        <f t="shared" si="0"/>
        <v>Q2-2026</v>
      </c>
      <c r="BI10" s="18" t="str">
        <f t="shared" si="0"/>
        <v>Q2-2026</v>
      </c>
      <c r="BJ10" s="18" t="str">
        <f t="shared" si="0"/>
        <v>Q2-2026</v>
      </c>
      <c r="BK10" s="18" t="str">
        <f t="shared" si="0"/>
        <v>Q3-2026</v>
      </c>
      <c r="BL10" s="18" t="str">
        <f t="shared" si="0"/>
        <v>Q3-2026</v>
      </c>
      <c r="BM10" s="18" t="str">
        <f t="shared" si="0"/>
        <v>Q3-2026</v>
      </c>
      <c r="BN10" s="18" t="str">
        <f t="shared" si="0"/>
        <v>Q4-2026</v>
      </c>
      <c r="BO10" s="18" t="str">
        <f t="shared" si="0"/>
        <v>Q4-2026</v>
      </c>
      <c r="BP10" s="18" t="str">
        <f t="shared" si="0"/>
        <v>Q4-2026</v>
      </c>
      <c r="BQ10" s="18" t="str">
        <f t="shared" si="0"/>
        <v>Q1-2027</v>
      </c>
      <c r="BR10" s="18" t="str">
        <f t="shared" si="0"/>
        <v>Q1-2027</v>
      </c>
      <c r="BS10" s="18" t="str">
        <f t="shared" si="0"/>
        <v>Q1-2027</v>
      </c>
      <c r="BT10" s="18" t="str">
        <f t="shared" si="0"/>
        <v>Q2-2027</v>
      </c>
      <c r="BU10" s="18" t="str">
        <f t="shared" si="0"/>
        <v>Q2-2027</v>
      </c>
      <c r="BV10" s="18" t="str">
        <f t="shared" si="0"/>
        <v>Q2-2027</v>
      </c>
      <c r="BW10" s="18" t="str">
        <f t="shared" si="0"/>
        <v>Q3-2027</v>
      </c>
      <c r="BX10" s="18" t="str">
        <f t="shared" si="0"/>
        <v>Q3-2027</v>
      </c>
      <c r="BY10" s="18" t="str">
        <f t="shared" si="0"/>
        <v>Q3-2027</v>
      </c>
      <c r="BZ10" s="18" t="str">
        <f t="shared" si="0"/>
        <v>Q4-2027</v>
      </c>
      <c r="CA10" s="18" t="str">
        <f t="shared" si="0"/>
        <v>Q4-2027</v>
      </c>
      <c r="CB10" s="18" t="str">
        <f t="shared" si="0"/>
        <v>Q4-2027</v>
      </c>
      <c r="CC10" s="18" t="str">
        <f t="shared" si="0"/>
        <v>Q1-2028</v>
      </c>
      <c r="CD10" s="18" t="str">
        <f t="shared" si="0"/>
        <v>Q1-2028</v>
      </c>
      <c r="CE10" s="18" t="str">
        <f t="shared" si="0"/>
        <v>Q1-2028</v>
      </c>
      <c r="CF10" s="18" t="str">
        <f t="shared" si="0"/>
        <v>Q2-2028</v>
      </c>
      <c r="CG10" s="18" t="str">
        <f t="shared" ref="CG10:CZ10" si="1">"Q"&amp;ROUNDUP(MONTH(CG11)/3,0)&amp;"-"&amp;YEAR(CG11)</f>
        <v>Q2-2028</v>
      </c>
      <c r="CH10" s="18" t="str">
        <f t="shared" si="1"/>
        <v>Q2-2028</v>
      </c>
      <c r="CI10" s="18" t="str">
        <f t="shared" si="1"/>
        <v>Q3-2028</v>
      </c>
      <c r="CJ10" s="18" t="str">
        <f t="shared" si="1"/>
        <v>Q3-2028</v>
      </c>
      <c r="CK10" s="18" t="str">
        <f t="shared" si="1"/>
        <v>Q3-2028</v>
      </c>
      <c r="CL10" s="18" t="str">
        <f t="shared" si="1"/>
        <v>Q4-2028</v>
      </c>
      <c r="CM10" s="18" t="str">
        <f t="shared" si="1"/>
        <v>Q4-2028</v>
      </c>
      <c r="CN10" s="18" t="str">
        <f t="shared" si="1"/>
        <v>Q4-2028</v>
      </c>
      <c r="CO10" s="18" t="str">
        <f t="shared" si="1"/>
        <v>Q1-2029</v>
      </c>
      <c r="CP10" s="18" t="str">
        <f t="shared" si="1"/>
        <v>Q1-2029</v>
      </c>
      <c r="CQ10" s="18" t="str">
        <f t="shared" si="1"/>
        <v>Q1-2029</v>
      </c>
      <c r="CR10" s="18" t="str">
        <f t="shared" si="1"/>
        <v>Q2-2029</v>
      </c>
      <c r="CS10" s="18" t="str">
        <f t="shared" si="1"/>
        <v>Q2-2029</v>
      </c>
      <c r="CT10" s="18" t="str">
        <f t="shared" si="1"/>
        <v>Q2-2029</v>
      </c>
      <c r="CU10" s="18" t="str">
        <f t="shared" si="1"/>
        <v>Q3-2029</v>
      </c>
      <c r="CV10" s="18" t="str">
        <f t="shared" si="1"/>
        <v>Q3-2029</v>
      </c>
      <c r="CW10" s="18" t="str">
        <f t="shared" si="1"/>
        <v>Q3-2029</v>
      </c>
      <c r="CX10" s="18" t="str">
        <f t="shared" si="1"/>
        <v>Q4-2029</v>
      </c>
      <c r="CY10" s="18" t="str">
        <f t="shared" si="1"/>
        <v>Q4-2029</v>
      </c>
      <c r="CZ10" s="18" t="str">
        <f t="shared" si="1"/>
        <v>Q4-2029</v>
      </c>
    </row>
    <row r="11" spans="4:104" ht="15.75" x14ac:dyDescent="0.25">
      <c r="D11" s="61" t="s">
        <v>216</v>
      </c>
      <c r="E11" s="61"/>
      <c r="F11" s="17">
        <v>2023</v>
      </c>
      <c r="G11" s="17">
        <v>2024</v>
      </c>
      <c r="H11" s="17">
        <v>2025</v>
      </c>
      <c r="I11" s="17">
        <v>2026</v>
      </c>
      <c r="J11" s="17">
        <v>2027</v>
      </c>
      <c r="K11" s="17">
        <v>2028</v>
      </c>
      <c r="L11" s="17">
        <v>2029</v>
      </c>
      <c r="P11" s="18" t="s">
        <v>218</v>
      </c>
      <c r="Q11" s="18" t="s">
        <v>219</v>
      </c>
      <c r="R11" s="18" t="s">
        <v>220</v>
      </c>
      <c r="S11" s="18" t="s">
        <v>221</v>
      </c>
      <c r="U11" s="19">
        <v>44957</v>
      </c>
      <c r="V11" s="19">
        <f t="shared" ref="V11:BP11" si="2">EOMONTH(U11,1)</f>
        <v>44985</v>
      </c>
      <c r="W11" s="19">
        <f t="shared" si="2"/>
        <v>45016</v>
      </c>
      <c r="X11" s="19">
        <f t="shared" si="2"/>
        <v>45046</v>
      </c>
      <c r="Y11" s="19">
        <f t="shared" si="2"/>
        <v>45077</v>
      </c>
      <c r="Z11" s="19">
        <f t="shared" si="2"/>
        <v>45107</v>
      </c>
      <c r="AA11" s="19">
        <f t="shared" si="2"/>
        <v>45138</v>
      </c>
      <c r="AB11" s="19">
        <f t="shared" si="2"/>
        <v>45169</v>
      </c>
      <c r="AC11" s="19">
        <f t="shared" si="2"/>
        <v>45199</v>
      </c>
      <c r="AD11" s="19">
        <f t="shared" si="2"/>
        <v>45230</v>
      </c>
      <c r="AE11" s="19">
        <f t="shared" si="2"/>
        <v>45260</v>
      </c>
      <c r="AF11" s="19">
        <f t="shared" si="2"/>
        <v>45291</v>
      </c>
      <c r="AG11" s="19">
        <f t="shared" si="2"/>
        <v>45322</v>
      </c>
      <c r="AH11" s="19">
        <f t="shared" si="2"/>
        <v>45351</v>
      </c>
      <c r="AI11" s="19">
        <f t="shared" si="2"/>
        <v>45382</v>
      </c>
      <c r="AJ11" s="19">
        <f t="shared" si="2"/>
        <v>45412</v>
      </c>
      <c r="AK11" s="19">
        <f t="shared" si="2"/>
        <v>45443</v>
      </c>
      <c r="AL11" s="19">
        <f t="shared" si="2"/>
        <v>45473</v>
      </c>
      <c r="AM11" s="19">
        <f t="shared" si="2"/>
        <v>45504</v>
      </c>
      <c r="AN11" s="19">
        <f t="shared" si="2"/>
        <v>45535</v>
      </c>
      <c r="AO11" s="19">
        <f t="shared" si="2"/>
        <v>45565</v>
      </c>
      <c r="AP11" s="19">
        <f t="shared" si="2"/>
        <v>45596</v>
      </c>
      <c r="AQ11" s="19">
        <f t="shared" si="2"/>
        <v>45626</v>
      </c>
      <c r="AR11" s="19">
        <f t="shared" si="2"/>
        <v>45657</v>
      </c>
      <c r="AS11" s="19">
        <f t="shared" si="2"/>
        <v>45688</v>
      </c>
      <c r="AT11" s="19">
        <f t="shared" si="2"/>
        <v>45716</v>
      </c>
      <c r="AU11" s="19">
        <f t="shared" si="2"/>
        <v>45747</v>
      </c>
      <c r="AV11" s="19">
        <f t="shared" si="2"/>
        <v>45777</v>
      </c>
      <c r="AW11" s="19">
        <f t="shared" si="2"/>
        <v>45808</v>
      </c>
      <c r="AX11" s="19">
        <f t="shared" si="2"/>
        <v>45838</v>
      </c>
      <c r="AY11" s="19">
        <f t="shared" si="2"/>
        <v>45869</v>
      </c>
      <c r="AZ11" s="19">
        <f t="shared" si="2"/>
        <v>45900</v>
      </c>
      <c r="BA11" s="19">
        <f t="shared" si="2"/>
        <v>45930</v>
      </c>
      <c r="BB11" s="19">
        <f t="shared" si="2"/>
        <v>45961</v>
      </c>
      <c r="BC11" s="19">
        <f t="shared" si="2"/>
        <v>45991</v>
      </c>
      <c r="BD11" s="19">
        <f t="shared" si="2"/>
        <v>46022</v>
      </c>
      <c r="BE11" s="19">
        <f t="shared" si="2"/>
        <v>46053</v>
      </c>
      <c r="BF11" s="19">
        <f t="shared" si="2"/>
        <v>46081</v>
      </c>
      <c r="BG11" s="19">
        <f t="shared" si="2"/>
        <v>46112</v>
      </c>
      <c r="BH11" s="19">
        <f t="shared" si="2"/>
        <v>46142</v>
      </c>
      <c r="BI11" s="19">
        <f t="shared" si="2"/>
        <v>46173</v>
      </c>
      <c r="BJ11" s="19">
        <f t="shared" si="2"/>
        <v>46203</v>
      </c>
      <c r="BK11" s="19">
        <f t="shared" si="2"/>
        <v>46234</v>
      </c>
      <c r="BL11" s="19">
        <f t="shared" si="2"/>
        <v>46265</v>
      </c>
      <c r="BM11" s="19">
        <f t="shared" si="2"/>
        <v>46295</v>
      </c>
      <c r="BN11" s="19">
        <f t="shared" si="2"/>
        <v>46326</v>
      </c>
      <c r="BO11" s="19">
        <f t="shared" si="2"/>
        <v>46356</v>
      </c>
      <c r="BP11" s="19">
        <f t="shared" si="2"/>
        <v>46387</v>
      </c>
      <c r="BQ11" s="19">
        <f t="shared" ref="BQ11" si="3">EOMONTH(BP11,1)</f>
        <v>46418</v>
      </c>
      <c r="BR11" s="19">
        <f t="shared" ref="BR11" si="4">EOMONTH(BQ11,1)</f>
        <v>46446</v>
      </c>
      <c r="BS11" s="19">
        <f t="shared" ref="BS11" si="5">EOMONTH(BR11,1)</f>
        <v>46477</v>
      </c>
      <c r="BT11" s="19">
        <f t="shared" ref="BT11" si="6">EOMONTH(BS11,1)</f>
        <v>46507</v>
      </c>
      <c r="BU11" s="19">
        <f t="shared" ref="BU11" si="7">EOMONTH(BT11,1)</f>
        <v>46538</v>
      </c>
      <c r="BV11" s="19">
        <f t="shared" ref="BV11" si="8">EOMONTH(BU11,1)</f>
        <v>46568</v>
      </c>
      <c r="BW11" s="19">
        <f t="shared" ref="BW11" si="9">EOMONTH(BV11,1)</f>
        <v>46599</v>
      </c>
      <c r="BX11" s="19">
        <f t="shared" ref="BX11" si="10">EOMONTH(BW11,1)</f>
        <v>46630</v>
      </c>
      <c r="BY11" s="19">
        <f t="shared" ref="BY11" si="11">EOMONTH(BX11,1)</f>
        <v>46660</v>
      </c>
      <c r="BZ11" s="19">
        <f t="shared" ref="BZ11" si="12">EOMONTH(BY11,1)</f>
        <v>46691</v>
      </c>
      <c r="CA11" s="19">
        <f t="shared" ref="CA11" si="13">EOMONTH(BZ11,1)</f>
        <v>46721</v>
      </c>
      <c r="CB11" s="19">
        <f t="shared" ref="CB11" si="14">EOMONTH(CA11,1)</f>
        <v>46752</v>
      </c>
      <c r="CC11" s="19">
        <f t="shared" ref="CC11" si="15">EOMONTH(CB11,1)</f>
        <v>46783</v>
      </c>
      <c r="CD11" s="19">
        <f t="shared" ref="CD11" si="16">EOMONTH(CC11,1)</f>
        <v>46812</v>
      </c>
      <c r="CE11" s="19">
        <f t="shared" ref="CE11" si="17">EOMONTH(CD11,1)</f>
        <v>46843</v>
      </c>
      <c r="CF11" s="19">
        <f t="shared" ref="CF11" si="18">EOMONTH(CE11,1)</f>
        <v>46873</v>
      </c>
      <c r="CG11" s="19">
        <f t="shared" ref="CG11" si="19">EOMONTH(CF11,1)</f>
        <v>46904</v>
      </c>
      <c r="CH11" s="19">
        <f t="shared" ref="CH11" si="20">EOMONTH(CG11,1)</f>
        <v>46934</v>
      </c>
      <c r="CI11" s="19">
        <f t="shared" ref="CI11" si="21">EOMONTH(CH11,1)</f>
        <v>46965</v>
      </c>
      <c r="CJ11" s="19">
        <f t="shared" ref="CJ11" si="22">EOMONTH(CI11,1)</f>
        <v>46996</v>
      </c>
      <c r="CK11" s="19">
        <f t="shared" ref="CK11" si="23">EOMONTH(CJ11,1)</f>
        <v>47026</v>
      </c>
      <c r="CL11" s="19">
        <f t="shared" ref="CL11" si="24">EOMONTH(CK11,1)</f>
        <v>47057</v>
      </c>
      <c r="CM11" s="19">
        <f t="shared" ref="CM11" si="25">EOMONTH(CL11,1)</f>
        <v>47087</v>
      </c>
      <c r="CN11" s="19">
        <f t="shared" ref="CN11" si="26">EOMONTH(CM11,1)</f>
        <v>47118</v>
      </c>
      <c r="CO11" s="19">
        <f t="shared" ref="CO11" si="27">EOMONTH(CN11,1)</f>
        <v>47149</v>
      </c>
      <c r="CP11" s="19">
        <f t="shared" ref="CP11" si="28">EOMONTH(CO11,1)</f>
        <v>47177</v>
      </c>
      <c r="CQ11" s="19">
        <f t="shared" ref="CQ11" si="29">EOMONTH(CP11,1)</f>
        <v>47208</v>
      </c>
      <c r="CR11" s="19">
        <f t="shared" ref="CR11" si="30">EOMONTH(CQ11,1)</f>
        <v>47238</v>
      </c>
      <c r="CS11" s="19">
        <f t="shared" ref="CS11" si="31">EOMONTH(CR11,1)</f>
        <v>47269</v>
      </c>
      <c r="CT11" s="19">
        <f t="shared" ref="CT11" si="32">EOMONTH(CS11,1)</f>
        <v>47299</v>
      </c>
      <c r="CU11" s="19">
        <f t="shared" ref="CU11" si="33">EOMONTH(CT11,1)</f>
        <v>47330</v>
      </c>
      <c r="CV11" s="19">
        <f t="shared" ref="CV11" si="34">EOMONTH(CU11,1)</f>
        <v>47361</v>
      </c>
      <c r="CW11" s="19">
        <f t="shared" ref="CW11" si="35">EOMONTH(CV11,1)</f>
        <v>47391</v>
      </c>
      <c r="CX11" s="19">
        <f t="shared" ref="CX11" si="36">EOMONTH(CW11,1)</f>
        <v>47422</v>
      </c>
      <c r="CY11" s="19">
        <f t="shared" ref="CY11" si="37">EOMONTH(CX11,1)</f>
        <v>47452</v>
      </c>
      <c r="CZ11" s="19">
        <f t="shared" ref="CZ11" si="38">EOMONTH(CY11,1)</f>
        <v>47483</v>
      </c>
    </row>
    <row r="12" spans="4:104" x14ac:dyDescent="0.25">
      <c r="D12" s="64" t="s">
        <v>179</v>
      </c>
      <c r="E12" s="65"/>
      <c r="F12" s="12"/>
      <c r="G12" s="12"/>
      <c r="H12" s="12"/>
      <c r="I12" s="12"/>
      <c r="J12" s="12"/>
      <c r="K12" s="12"/>
      <c r="L12" s="12"/>
      <c r="M12" s="21"/>
      <c r="N12" s="21"/>
      <c r="O12" s="21"/>
      <c r="T12" s="21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</row>
    <row r="13" spans="4:104" x14ac:dyDescent="0.25">
      <c r="D13" s="66" t="s">
        <v>180</v>
      </c>
      <c r="E13" s="65"/>
      <c r="F13" s="100"/>
      <c r="G13" s="100">
        <f>SUM(AG13:AR13)</f>
        <v>-8434183.4873902202</v>
      </c>
      <c r="H13" s="100">
        <f>SUM(AS13:BD13)</f>
        <v>-6671615.0897044856</v>
      </c>
      <c r="I13" s="100">
        <f>SUM(BE13:BP13)</f>
        <v>-1328310.8911978817</v>
      </c>
      <c r="J13" s="100">
        <f>SUM(BQ13:CB13)</f>
        <v>1807692.5642968174</v>
      </c>
      <c r="K13" s="100">
        <f>SUM(CC13:CN13)</f>
        <v>2454037.9271464623</v>
      </c>
      <c r="L13" s="100">
        <f>SUM(CO13:CZ13)</f>
        <v>15795749.553398496</v>
      </c>
      <c r="M13" s="21"/>
      <c r="N13" s="21"/>
      <c r="O13" s="21"/>
      <c r="P13" s="101">
        <f t="shared" ref="P13:S14" si="39">SUMIFS($AG13:$CB13,$AG$10:$CB$10,P$11)</f>
        <v>-1999280.4645833333</v>
      </c>
      <c r="Q13" s="101">
        <f t="shared" si="39"/>
        <v>-2349699.9720760146</v>
      </c>
      <c r="R13" s="101">
        <f t="shared" si="39"/>
        <v>-1821971.5028142056</v>
      </c>
      <c r="S13" s="101">
        <f t="shared" si="39"/>
        <v>-2263231.5479166666</v>
      </c>
      <c r="T13" s="21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36"/>
      <c r="AG13" s="100">
        <f>[1]ConsolIS!BE$102</f>
        <v>-593059.9770833333</v>
      </c>
      <c r="AH13" s="100">
        <f>[1]ConsolIS!BF$102</f>
        <v>-723759.9770833333</v>
      </c>
      <c r="AI13" s="100">
        <f>[1]ConsolIS!BG$102</f>
        <v>-682460.51041666674</v>
      </c>
      <c r="AJ13" s="100">
        <f>[1]ConsolIS!BH$102</f>
        <v>-827187.81041666667</v>
      </c>
      <c r="AK13" s="100">
        <f>[1]ConsolIS!BI$102</f>
        <v>-790718.31041666656</v>
      </c>
      <c r="AL13" s="100">
        <f>[1]ConsolIS!BJ$102</f>
        <v>-731793.85124268127</v>
      </c>
      <c r="AM13" s="100">
        <f>[1]ConsolIS!BK$102</f>
        <v>-305083.80032884306</v>
      </c>
      <c r="AN13" s="100">
        <f>[1]ConsolIS!BL$102</f>
        <v>-824243.31041666667</v>
      </c>
      <c r="AO13" s="100">
        <f>[1]ConsolIS!BM$102</f>
        <v>-692644.39206869598</v>
      </c>
      <c r="AP13" s="100">
        <f>[1]ConsolIS!BN$102</f>
        <v>-764341.31041666667</v>
      </c>
      <c r="AQ13" s="100">
        <f>[1]ConsolIS!BO$102</f>
        <v>-797168.51874999993</v>
      </c>
      <c r="AR13" s="100">
        <f>[1]ConsolIS!BP$102</f>
        <v>-701721.71875</v>
      </c>
      <c r="AS13" s="100">
        <f>[1]ConsolIS!BQ$102</f>
        <v>-798063.05208333326</v>
      </c>
      <c r="AT13" s="100">
        <f>[1]ConsolIS!BR$102</f>
        <v>-418604.37705366325</v>
      </c>
      <c r="AU13" s="100">
        <f>[1]ConsolIS!BS$102</f>
        <v>-789273.55208333326</v>
      </c>
      <c r="AV13" s="100">
        <f>[1]ConsolIS!BT$102</f>
        <v>-839668.3520833333</v>
      </c>
      <c r="AW13" s="100">
        <f>[1]ConsolIS!BU$102</f>
        <v>-825626.97570862004</v>
      </c>
      <c r="AX13" s="100">
        <f>[1]ConsolIS!BV$102</f>
        <v>-412518.92864002287</v>
      </c>
      <c r="AY13" s="100">
        <f>[1]ConsolIS!BW$102</f>
        <v>-785956.16303356667</v>
      </c>
      <c r="AZ13" s="100">
        <f>[1]ConsolIS!BX$102</f>
        <v>-328558.47907122807</v>
      </c>
      <c r="BA13" s="100">
        <f>[1]ConsolIS!BY$102</f>
        <v>-307323.16668100725</v>
      </c>
      <c r="BB13" s="100">
        <f>[1]ConsolIS!BZ$102</f>
        <v>-533602.89117661607</v>
      </c>
      <c r="BC13" s="100">
        <f>[1]ConsolIS!CA$102</f>
        <v>-584003.28723643068</v>
      </c>
      <c r="BD13" s="100">
        <f>[1]ConsolIS!CB$102</f>
        <v>-48415.864853330888</v>
      </c>
      <c r="BE13" s="100">
        <f>[1]ConsolIS!CC$102</f>
        <v>-324309.18092016829</v>
      </c>
      <c r="BF13" s="100">
        <f>[1]ConsolIS!CD$102</f>
        <v>451034.1958343219</v>
      </c>
      <c r="BG13" s="100">
        <f>[1]ConsolIS!CE$102</f>
        <v>-872753.96921038046</v>
      </c>
      <c r="BH13" s="100">
        <f>[1]ConsolIS!CF$102</f>
        <v>-393011.25719993678</v>
      </c>
      <c r="BI13" s="100">
        <f>[1]ConsolIS!CG$102</f>
        <v>-444645.78630034043</v>
      </c>
      <c r="BJ13" s="100">
        <f>[1]ConsolIS!CH$102</f>
        <v>7024.6344449720345</v>
      </c>
      <c r="BK13" s="100">
        <f>[1]ConsolIS!CI$102</f>
        <v>365704.38450431125</v>
      </c>
      <c r="BL13" s="100">
        <f>[1]ConsolIS!CJ$102</f>
        <v>-122205.81473613414</v>
      </c>
      <c r="BM13" s="100">
        <f>[1]ConsolIS!CK$102</f>
        <v>-209700.70695861988</v>
      </c>
      <c r="BN13" s="100">
        <f>[1]ConsolIS!CL$102</f>
        <v>378023.99275654671</v>
      </c>
      <c r="BO13" s="100">
        <f>[1]ConsolIS!CM$102</f>
        <v>-17745.196987499017</v>
      </c>
      <c r="BP13" s="100">
        <f>[1]ConsolIS!CN$102</f>
        <v>-145726.18642495456</v>
      </c>
      <c r="BQ13" s="100">
        <f>[1]ConsolIS!CO$102</f>
        <v>143588.75239800941</v>
      </c>
      <c r="BR13" s="100">
        <f>[1]ConsolIS!CP$102</f>
        <v>1109791.5985314054</v>
      </c>
      <c r="BS13" s="100">
        <f>[1]ConsolIS!CQ$102</f>
        <v>-1107683.2476476827</v>
      </c>
      <c r="BT13" s="100">
        <f>[1]ConsolIS!CR$102</f>
        <v>-657914.75783371413</v>
      </c>
      <c r="BU13" s="100">
        <f>[1]ConsolIS!CS$102</f>
        <v>-273267.22537980229</v>
      </c>
      <c r="BV13" s="100">
        <f>[1]ConsolIS!CT$102</f>
        <v>257890.07804768439</v>
      </c>
      <c r="BW13" s="100">
        <f>[1]ConsolIS!CU$102</f>
        <v>897765.89511153288</v>
      </c>
      <c r="BX13" s="100">
        <f>[1]ConsolIS!CV$102</f>
        <v>172442.07562126732</v>
      </c>
      <c r="BY13" s="100">
        <f>[1]ConsolIS!CW$102</f>
        <v>209136.97274050023</v>
      </c>
      <c r="BZ13" s="100">
        <f>[1]ConsolIS!CX$102</f>
        <v>378536.732912587</v>
      </c>
      <c r="CA13" s="100">
        <f>[1]ConsolIS!CY$102</f>
        <v>570581.17212751694</v>
      </c>
      <c r="CB13" s="100">
        <f>[1]ConsolIS!CZ$102</f>
        <v>106824.51766751288</v>
      </c>
      <c r="CC13" s="100">
        <f>[1]ConsolIS!DA$102</f>
        <v>-1839860.4939952884</v>
      </c>
      <c r="CD13" s="100">
        <f>[1]ConsolIS!DB$102</f>
        <v>2524017.126617102</v>
      </c>
      <c r="CE13" s="100">
        <f>[1]ConsolIS!DC$102</f>
        <v>-2142392.6245989259</v>
      </c>
      <c r="CF13" s="100">
        <f>[1]ConsolIS!DD$102</f>
        <v>-1472888.1982616219</v>
      </c>
      <c r="CG13" s="100">
        <f>[1]ConsolIS!DE$102</f>
        <v>141782.35100404359</v>
      </c>
      <c r="CH13" s="100">
        <f>[1]ConsolIS!DF$102</f>
        <v>439926.86325936392</v>
      </c>
      <c r="CI13" s="100">
        <f>[1]ConsolIS!DG$102</f>
        <v>2022837.9053784013</v>
      </c>
      <c r="CJ13" s="100">
        <f>[1]ConsolIS!DH$102</f>
        <v>-213548.08116993122</v>
      </c>
      <c r="CK13" s="100">
        <f>[1]ConsolIS!DI$102</f>
        <v>491235.73195432592</v>
      </c>
      <c r="CL13" s="100">
        <f>[1]ConsolIS!DJ$102</f>
        <v>58537.782649495639</v>
      </c>
      <c r="CM13" s="100">
        <f>[1]ConsolIS!DK$102</f>
        <v>1938920.9102606121</v>
      </c>
      <c r="CN13" s="100">
        <f>[1]ConsolIS!DL$102</f>
        <v>505468.65404888522</v>
      </c>
      <c r="CO13" s="100">
        <f>[1]ConsolIS!DM$102</f>
        <v>-257665.57000502199</v>
      </c>
      <c r="CP13" s="100">
        <f>[1]ConsolIS!DN$102</f>
        <v>4935054.6073506661</v>
      </c>
      <c r="CQ13" s="100">
        <f>[1]ConsolIS!DO$102</f>
        <v>-2551611.3233379563</v>
      </c>
      <c r="CR13" s="100">
        <f>[1]ConsolIS!DP$102</f>
        <v>-1684280.698414695</v>
      </c>
      <c r="CS13" s="100">
        <f>[1]ConsolIS!DQ$102</f>
        <v>1537848.3172738031</v>
      </c>
      <c r="CT13" s="100">
        <f>[1]ConsolIS!DR$102</f>
        <v>1615542.6785690784</v>
      </c>
      <c r="CU13" s="100">
        <f>[1]ConsolIS!DS$102</f>
        <v>3296638.1565839685</v>
      </c>
      <c r="CV13" s="100">
        <f>[1]ConsolIS!DT$102</f>
        <v>47378.337008662522</v>
      </c>
      <c r="CW13" s="100">
        <f>[1]ConsolIS!DU$102</f>
        <v>1835420.2900573183</v>
      </c>
      <c r="CX13" s="100">
        <f>[1]ConsolIS!DV$102</f>
        <v>359177.7890093429</v>
      </c>
      <c r="CY13" s="100">
        <f>[1]ConsolIS!DW$102</f>
        <v>4620312.3232779112</v>
      </c>
      <c r="CZ13" s="100">
        <f>[1]ConsolIS!DX$102</f>
        <v>2041934.6460254192</v>
      </c>
    </row>
    <row r="14" spans="4:104" x14ac:dyDescent="0.25">
      <c r="D14" s="67" t="s">
        <v>181</v>
      </c>
      <c r="E14" s="65"/>
      <c r="F14" s="100"/>
      <c r="G14" s="100">
        <f>SUM(AG14:AR14)</f>
        <v>452048.30833333335</v>
      </c>
      <c r="H14" s="100">
        <f>SUM(AS14:BD14)</f>
        <v>1089672.8916666666</v>
      </c>
      <c r="I14" s="100">
        <f>SUM(BE14:BP14)</f>
        <v>1436374.5833333333</v>
      </c>
      <c r="J14" s="100">
        <f>SUM(BQ14:CB14)</f>
        <v>1008333.3333333333</v>
      </c>
      <c r="K14" s="100">
        <f>SUM(CC14:CN14)</f>
        <v>809583.33333333326</v>
      </c>
      <c r="L14" s="100">
        <f>SUM(CO14:CZ14)</f>
        <v>882499.99999999988</v>
      </c>
      <c r="M14" s="21"/>
      <c r="N14" s="21"/>
      <c r="O14" s="21"/>
      <c r="P14" s="101">
        <f t="shared" si="39"/>
        <v>64650.097916666666</v>
      </c>
      <c r="Q14" s="101">
        <f t="shared" si="39"/>
        <v>99233.431249999994</v>
      </c>
      <c r="R14" s="101">
        <f t="shared" si="39"/>
        <v>99233.431249999994</v>
      </c>
      <c r="S14" s="101">
        <f t="shared" si="39"/>
        <v>188931.34791666668</v>
      </c>
      <c r="T14" s="21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36"/>
      <c r="AG14" s="100">
        <f>[1]ConsolIS!BE85</f>
        <v>15786.143749999999</v>
      </c>
      <c r="AH14" s="100">
        <f>[1]ConsolIS!BF85</f>
        <v>15786.143749999999</v>
      </c>
      <c r="AI14" s="100">
        <f>[1]ConsolIS!BG85</f>
        <v>33077.810416666667</v>
      </c>
      <c r="AJ14" s="100">
        <f>[1]ConsolIS!BH85</f>
        <v>33077.810416666667</v>
      </c>
      <c r="AK14" s="100">
        <f>[1]ConsolIS!BI85</f>
        <v>33077.810416666667</v>
      </c>
      <c r="AL14" s="100">
        <f>[1]ConsolIS!BJ85</f>
        <v>33077.810416666667</v>
      </c>
      <c r="AM14" s="100">
        <f>[1]ConsolIS!BK85</f>
        <v>33077.810416666667</v>
      </c>
      <c r="AN14" s="100">
        <f>[1]ConsolIS!BL85</f>
        <v>33077.810416666667</v>
      </c>
      <c r="AO14" s="100">
        <f>[1]ConsolIS!BM85</f>
        <v>33077.810416666667</v>
      </c>
      <c r="AP14" s="100">
        <f>[1]ConsolIS!BN85</f>
        <v>51202.810416666674</v>
      </c>
      <c r="AQ14" s="100">
        <f>[1]ConsolIS!BO85</f>
        <v>57478.018750000003</v>
      </c>
      <c r="AR14" s="100">
        <f>[1]ConsolIS!BP85</f>
        <v>80250.518750000003</v>
      </c>
      <c r="AS14" s="100">
        <f>[1]ConsolIS!BQ85</f>
        <v>80250.518750000003</v>
      </c>
      <c r="AT14" s="100">
        <f>[1]ConsolIS!BR85</f>
        <v>80250.518750000003</v>
      </c>
      <c r="AU14" s="100">
        <f>[1]ConsolIS!BS85</f>
        <v>80250.518750000003</v>
      </c>
      <c r="AV14" s="100">
        <f>[1]ConsolIS!BT85</f>
        <v>80250.518750000003</v>
      </c>
      <c r="AW14" s="100">
        <f>[1]ConsolIS!BU85</f>
        <v>89833.852083333331</v>
      </c>
      <c r="AX14" s="100">
        <f>[1]ConsolIS!BV85</f>
        <v>89833.852083333331</v>
      </c>
      <c r="AY14" s="100">
        <f>[1]ConsolIS!BW85</f>
        <v>89833.852083333331</v>
      </c>
      <c r="AZ14" s="100">
        <f>[1]ConsolIS!BX85</f>
        <v>89833.852083333331</v>
      </c>
      <c r="BA14" s="100">
        <f>[1]ConsolIS!BY85</f>
        <v>102333.85208333333</v>
      </c>
      <c r="BB14" s="100">
        <f>[1]ConsolIS!BZ85</f>
        <v>102333.85208333333</v>
      </c>
      <c r="BC14" s="100">
        <f>[1]ConsolIS!CA85</f>
        <v>102333.85208333333</v>
      </c>
      <c r="BD14" s="100">
        <f>[1]ConsolIS!CB85</f>
        <v>102333.85208333333</v>
      </c>
      <c r="BE14" s="100">
        <f>[1]ConsolIS!CC85</f>
        <v>127172.70833333333</v>
      </c>
      <c r="BF14" s="100">
        <f>[1]ConsolIS!CD85</f>
        <v>127172.70833333333</v>
      </c>
      <c r="BG14" s="100">
        <f>[1]ConsolIS!CE85</f>
        <v>127172.70833333333</v>
      </c>
      <c r="BH14" s="100">
        <f>[1]ConsolIS!CF85</f>
        <v>127172.70833333333</v>
      </c>
      <c r="BI14" s="100">
        <f>[1]ConsolIS!CG85</f>
        <v>127172.70833333333</v>
      </c>
      <c r="BJ14" s="100">
        <f>[1]ConsolIS!CH85</f>
        <v>127172.70833333333</v>
      </c>
      <c r="BK14" s="100">
        <f>[1]ConsolIS!CI85</f>
        <v>127172.70833333333</v>
      </c>
      <c r="BL14" s="100">
        <f>[1]ConsolIS!CJ85</f>
        <v>127172.70833333333</v>
      </c>
      <c r="BM14" s="100">
        <f>[1]ConsolIS!CK85</f>
        <v>127172.70833333333</v>
      </c>
      <c r="BN14" s="100">
        <f>[1]ConsolIS!CL85</f>
        <v>109047.70833333333</v>
      </c>
      <c r="BO14" s="100">
        <f>[1]ConsolIS!CM85</f>
        <v>102772.5</v>
      </c>
      <c r="BP14" s="100">
        <f>[1]ConsolIS!CN85</f>
        <v>80000</v>
      </c>
      <c r="BQ14" s="100">
        <f>[1]ConsolIS!CO85</f>
        <v>94583.333333333328</v>
      </c>
      <c r="BR14" s="100">
        <f>[1]ConsolIS!CP85</f>
        <v>94583.333333333328</v>
      </c>
      <c r="BS14" s="100">
        <f>[1]ConsolIS!CQ85</f>
        <v>94583.333333333328</v>
      </c>
      <c r="BT14" s="100">
        <f>[1]ConsolIS!CR85</f>
        <v>94583.333333333328</v>
      </c>
      <c r="BU14" s="100">
        <f>[1]ConsolIS!CS85</f>
        <v>85000</v>
      </c>
      <c r="BV14" s="100">
        <f>[1]ConsolIS!CT85</f>
        <v>85000</v>
      </c>
      <c r="BW14" s="100">
        <f>[1]ConsolIS!CU85</f>
        <v>85000</v>
      </c>
      <c r="BX14" s="100">
        <f>[1]ConsolIS!CV85</f>
        <v>85000</v>
      </c>
      <c r="BY14" s="100">
        <f>[1]ConsolIS!CW85</f>
        <v>72500</v>
      </c>
      <c r="BZ14" s="100">
        <f>[1]ConsolIS!CX85</f>
        <v>72500</v>
      </c>
      <c r="CA14" s="100">
        <f>[1]ConsolIS!CY85</f>
        <v>72500</v>
      </c>
      <c r="CB14" s="100">
        <f>[1]ConsolIS!CZ85</f>
        <v>72500</v>
      </c>
      <c r="CC14" s="100">
        <f>[1]ConsolIS!DA85</f>
        <v>58958.333333333336</v>
      </c>
      <c r="CD14" s="100">
        <f>[1]ConsolIS!DB85</f>
        <v>58958.333333333336</v>
      </c>
      <c r="CE14" s="100">
        <f>[1]ConsolIS!DC85</f>
        <v>58958.333333333336</v>
      </c>
      <c r="CF14" s="100">
        <f>[1]ConsolIS!DD85</f>
        <v>58958.333333333336</v>
      </c>
      <c r="CG14" s="100">
        <f>[1]ConsolIS!DE85</f>
        <v>58958.333333333336</v>
      </c>
      <c r="CH14" s="100">
        <f>[1]ConsolIS!DF85</f>
        <v>73541.666666666672</v>
      </c>
      <c r="CI14" s="100">
        <f>[1]ConsolIS!DG85</f>
        <v>73541.666666666672</v>
      </c>
      <c r="CJ14" s="100">
        <f>[1]ConsolIS!DH85</f>
        <v>73541.666666666672</v>
      </c>
      <c r="CK14" s="100">
        <f>[1]ConsolIS!DI85</f>
        <v>73541.666666666672</v>
      </c>
      <c r="CL14" s="100">
        <f>[1]ConsolIS!DJ85</f>
        <v>73541.666666666672</v>
      </c>
      <c r="CM14" s="100">
        <f>[1]ConsolIS!DK85</f>
        <v>73541.666666666672</v>
      </c>
      <c r="CN14" s="100">
        <f>[1]ConsolIS!DL85</f>
        <v>73541.666666666672</v>
      </c>
      <c r="CO14" s="100">
        <f>[1]ConsolIS!DM85</f>
        <v>73541.666666666672</v>
      </c>
      <c r="CP14" s="100">
        <f>[1]ConsolIS!DN85</f>
        <v>73541.666666666672</v>
      </c>
      <c r="CQ14" s="100">
        <f>[1]ConsolIS!DO85</f>
        <v>73541.666666666672</v>
      </c>
      <c r="CR14" s="100">
        <f>[1]ConsolIS!DP85</f>
        <v>73541.666666666672</v>
      </c>
      <c r="CS14" s="100">
        <f>[1]ConsolIS!DQ85</f>
        <v>73541.666666666672</v>
      </c>
      <c r="CT14" s="100">
        <f>[1]ConsolIS!DR85</f>
        <v>73541.666666666672</v>
      </c>
      <c r="CU14" s="100">
        <f>[1]ConsolIS!DS85</f>
        <v>73541.666666666672</v>
      </c>
      <c r="CV14" s="100">
        <f>[1]ConsolIS!DT85</f>
        <v>73541.666666666672</v>
      </c>
      <c r="CW14" s="100">
        <f>[1]ConsolIS!DU85</f>
        <v>73541.666666666672</v>
      </c>
      <c r="CX14" s="100">
        <f>[1]ConsolIS!DV85</f>
        <v>73541.666666666672</v>
      </c>
      <c r="CY14" s="100">
        <f>[1]ConsolIS!DW85</f>
        <v>73541.666666666672</v>
      </c>
      <c r="CZ14" s="100">
        <f>[1]ConsolIS!DX85</f>
        <v>73541.666666666672</v>
      </c>
    </row>
    <row r="15" spans="4:104" x14ac:dyDescent="0.25">
      <c r="D15" s="67"/>
      <c r="E15" s="65"/>
      <c r="F15" s="101"/>
      <c r="G15" s="101"/>
      <c r="H15" s="101"/>
      <c r="I15" s="101"/>
      <c r="J15" s="101"/>
      <c r="K15" s="101"/>
      <c r="L15" s="101"/>
      <c r="M15" s="21"/>
      <c r="N15" s="21"/>
      <c r="O15" s="21"/>
      <c r="P15" s="21"/>
      <c r="Q15" s="21"/>
      <c r="R15" s="21"/>
      <c r="S15" s="21"/>
      <c r="T15" s="21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36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1"/>
    </row>
    <row r="16" spans="4:104" x14ac:dyDescent="0.25">
      <c r="D16" s="68" t="s">
        <v>182</v>
      </c>
      <c r="E16" s="65"/>
      <c r="F16" s="102"/>
      <c r="G16" s="102"/>
      <c r="H16" s="102"/>
      <c r="I16" s="102"/>
      <c r="J16" s="102"/>
      <c r="K16" s="102"/>
      <c r="L16" s="102"/>
      <c r="M16" s="21"/>
      <c r="N16" s="21"/>
      <c r="O16" s="21"/>
      <c r="P16" s="21"/>
      <c r="Q16" s="21"/>
      <c r="R16" s="21"/>
      <c r="S16" s="21"/>
      <c r="T16" s="21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36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2"/>
      <c r="CF16" s="102"/>
      <c r="CG16" s="102"/>
      <c r="CH16" s="102"/>
      <c r="CI16" s="102"/>
      <c r="CJ16" s="102"/>
      <c r="CK16" s="102"/>
      <c r="CL16" s="102"/>
      <c r="CM16" s="102"/>
      <c r="CN16" s="102"/>
      <c r="CO16" s="102"/>
      <c r="CP16" s="102"/>
      <c r="CQ16" s="102"/>
      <c r="CR16" s="102"/>
      <c r="CS16" s="102"/>
      <c r="CT16" s="102"/>
      <c r="CU16" s="102"/>
      <c r="CV16" s="102"/>
      <c r="CW16" s="102"/>
      <c r="CX16" s="102"/>
      <c r="CY16" s="102"/>
      <c r="CZ16" s="102"/>
    </row>
    <row r="17" spans="4:104" x14ac:dyDescent="0.25">
      <c r="D17" s="67" t="s">
        <v>183</v>
      </c>
      <c r="E17" s="65"/>
      <c r="F17" s="103"/>
      <c r="G17" s="100">
        <f t="shared" ref="G17:G23" ca="1" si="40">SUM(AG17:AR17)</f>
        <v>-49845.140000000014</v>
      </c>
      <c r="H17" s="100">
        <f t="shared" ref="H17:H23" ca="1" si="41">SUM(AS17:BD17)</f>
        <v>-666400</v>
      </c>
      <c r="I17" s="100">
        <f t="shared" ref="I17:I23" ca="1" si="42">SUM(BE17:BP17)</f>
        <v>-850525</v>
      </c>
      <c r="J17" s="100">
        <f t="shared" ref="J17:J23" ca="1" si="43">SUM(BQ17:CB17)</f>
        <v>-2905975</v>
      </c>
      <c r="K17" s="100">
        <f t="shared" ref="K17:K23" ca="1" si="44">SUM(CC17:CN17)</f>
        <v>-5831812.5</v>
      </c>
      <c r="L17" s="100">
        <f t="shared" ref="L17:L23" ca="1" si="45">SUM(CO17:CZ17)</f>
        <v>-7385281.25</v>
      </c>
      <c r="M17" s="21"/>
      <c r="N17" s="21"/>
      <c r="O17" s="21"/>
      <c r="P17" s="101">
        <f t="shared" ref="P17:S23" ca="1" si="46">SUMIFS($AG17:$CB17,$AG$10:$CB$10,P$11)</f>
        <v>-255245.14</v>
      </c>
      <c r="Q17" s="101">
        <f t="shared" ca="1" si="46"/>
        <v>360000</v>
      </c>
      <c r="R17" s="101">
        <f t="shared" ca="1" si="46"/>
        <v>0</v>
      </c>
      <c r="S17" s="101">
        <f t="shared" ca="1" si="46"/>
        <v>-154600</v>
      </c>
      <c r="T17" s="21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36"/>
      <c r="AG17" s="103">
        <f ca="1">-BS!AC15+BS!AB15</f>
        <v>104754.85999999999</v>
      </c>
      <c r="AH17" s="103">
        <f ca="1">-BS!AD15+BS!AC15</f>
        <v>0</v>
      </c>
      <c r="AI17" s="103">
        <f ca="1">-BS!AE15+BS!AD15</f>
        <v>-360000</v>
      </c>
      <c r="AJ17" s="103">
        <f ca="1">-BS!AF15+BS!AE15</f>
        <v>-37500</v>
      </c>
      <c r="AK17" s="103">
        <f ca="1">-BS!AG15+BS!AF15</f>
        <v>360000</v>
      </c>
      <c r="AL17" s="103">
        <f ca="1">-BS!AH15+BS!AG15</f>
        <v>37500</v>
      </c>
      <c r="AM17" s="103">
        <f ca="1">-BS!AI15+BS!AH15</f>
        <v>0</v>
      </c>
      <c r="AN17" s="103">
        <f ca="1">-BS!AJ15+BS!AI15</f>
        <v>0</v>
      </c>
      <c r="AO17" s="103">
        <f ca="1">-BS!AK15+BS!AJ15</f>
        <v>0</v>
      </c>
      <c r="AP17" s="103">
        <f ca="1">-BS!AL15+BS!AK15</f>
        <v>0</v>
      </c>
      <c r="AQ17" s="103">
        <f ca="1">-BS!AM15+BS!AL15</f>
        <v>-87100</v>
      </c>
      <c r="AR17" s="103">
        <f ca="1">-BS!AN15+BS!AM15</f>
        <v>-67500</v>
      </c>
      <c r="AS17" s="103">
        <f ca="1">-BS!AO15+BS!AN15</f>
        <v>91600</v>
      </c>
      <c r="AT17" s="103">
        <f ca="1">-BS!AP15+BS!AO15</f>
        <v>-788300</v>
      </c>
      <c r="AU17" s="103">
        <f ca="1">-BS!AQ15+BS!AP15</f>
        <v>-74700</v>
      </c>
      <c r="AV17" s="103">
        <f ca="1">-BS!AR15+BS!AQ15</f>
        <v>855800</v>
      </c>
      <c r="AW17" s="103">
        <f ca="1">-BS!AS15+BS!AR15</f>
        <v>-44050</v>
      </c>
      <c r="AX17" s="103">
        <f ca="1">-BS!AT15+BS!AS15</f>
        <v>-316875</v>
      </c>
      <c r="AY17" s="103">
        <f ca="1">-BS!AU15+BS!AT15</f>
        <v>33100</v>
      </c>
      <c r="AZ17" s="103">
        <f ca="1">-BS!AV15+BS!AU15</f>
        <v>-880625</v>
      </c>
      <c r="BA17" s="103">
        <f ca="1">-BS!AW15+BS!AV15</f>
        <v>-504450</v>
      </c>
      <c r="BB17" s="103">
        <f ca="1">-BS!AX15+BS!AW15</f>
        <v>747500</v>
      </c>
      <c r="BC17" s="103">
        <f ca="1">-BS!AY15+BS!AX15</f>
        <v>328475</v>
      </c>
      <c r="BD17" s="103">
        <f ca="1">-BS!AZ15+BS!AY15</f>
        <v>-113875</v>
      </c>
      <c r="BE17" s="103">
        <f ca="1">-BS!BA15+BS!AZ15</f>
        <v>-1399375</v>
      </c>
      <c r="BF17" s="103">
        <f ca="1">-BS!BB15+BS!BA15</f>
        <v>-1612075</v>
      </c>
      <c r="BG17" s="103">
        <f ca="1">-BS!BC15+BS!BB15</f>
        <v>1518500</v>
      </c>
      <c r="BH17" s="103">
        <f ca="1">-BS!BD15+BS!BC15</f>
        <v>1416575</v>
      </c>
      <c r="BI17" s="103">
        <f ca="1">-BS!BE15+BS!BD15</f>
        <v>-413150</v>
      </c>
      <c r="BJ17" s="103">
        <f ca="1">-BS!BF15+BS!BE15</f>
        <v>-97125</v>
      </c>
      <c r="BK17" s="103">
        <f ca="1">-BS!BG15+BS!BF15</f>
        <v>-2096350</v>
      </c>
      <c r="BL17" s="103">
        <f ca="1">-BS!BH15+BS!BG15</f>
        <v>-741000</v>
      </c>
      <c r="BM17" s="103">
        <f ca="1">-BS!BI15+BS!BH15</f>
        <v>1332500</v>
      </c>
      <c r="BN17" s="103">
        <f ca="1">-BS!BJ15+BS!BI15</f>
        <v>125625</v>
      </c>
      <c r="BO17" s="103">
        <f ca="1">-BS!BK15+BS!BJ15</f>
        <v>467100</v>
      </c>
      <c r="BP17" s="103">
        <f ca="1">-BS!BL15+BS!BK15</f>
        <v>648250</v>
      </c>
      <c r="BQ17" s="103">
        <f ca="1">-BS!BM15+BS!BL15</f>
        <v>-3228350</v>
      </c>
      <c r="BR17" s="103">
        <f ca="1">-BS!BN15+BS!BM15</f>
        <v>-4154850</v>
      </c>
      <c r="BS17" s="103">
        <f ca="1">-BS!BO15+BS!BN15</f>
        <v>3705750</v>
      </c>
      <c r="BT17" s="103">
        <f ca="1">-BS!BP15+BS!BO15</f>
        <v>3455037.5</v>
      </c>
      <c r="BU17" s="103">
        <f ca="1">-BS!BQ15+BS!BP15</f>
        <v>-1257575</v>
      </c>
      <c r="BV17" s="103">
        <f ca="1">-BS!BR15+BS!BQ15</f>
        <v>-524062.5</v>
      </c>
      <c r="BW17" s="103">
        <f ca="1">-BS!BS15+BS!BR15</f>
        <v>-5442175</v>
      </c>
      <c r="BX17" s="103">
        <f ca="1">-BS!BT15+BS!BS15</f>
        <v>-1296250</v>
      </c>
      <c r="BY17" s="103">
        <f ca="1">-BS!BU15+BS!BT15</f>
        <v>4042550</v>
      </c>
      <c r="BZ17" s="103">
        <f ca="1">-BS!BV15+BS!BU15</f>
        <v>395312.5</v>
      </c>
      <c r="CA17" s="103">
        <f ca="1">-BS!BW15+BS!BV15</f>
        <v>517950</v>
      </c>
      <c r="CB17" s="103">
        <f ca="1">-BS!BX15+BS!BW15</f>
        <v>880687.5</v>
      </c>
      <c r="CC17" s="103">
        <f ca="1">-BS!BY15+BS!BX15</f>
        <v>-6413562.5</v>
      </c>
      <c r="CD17" s="103">
        <f ca="1">-BS!BZ15+BS!BY15</f>
        <v>-7152781.25</v>
      </c>
      <c r="CE17" s="103">
        <f ca="1">-BS!CA15+BS!BZ15</f>
        <v>8280937.5</v>
      </c>
      <c r="CF17" s="103">
        <f ca="1">-BS!CB15+BS!CA15</f>
        <v>6929515.625</v>
      </c>
      <c r="CG17" s="103">
        <f ca="1">-BS!CC15+BS!CB15</f>
        <v>-3080656.25</v>
      </c>
      <c r="CH17" s="103">
        <f ca="1">-BS!CD15+BS!CC15</f>
        <v>-1828359.375</v>
      </c>
      <c r="CI17" s="103">
        <f ca="1">-BS!CE15+BS!CD15</f>
        <v>-13240281.25</v>
      </c>
      <c r="CJ17" s="103">
        <f ca="1">-BS!CF15+BS!CE15</f>
        <v>-1082187.5</v>
      </c>
      <c r="CK17" s="103">
        <f ca="1">-BS!CG15+BS!CF15</f>
        <v>11230537.5</v>
      </c>
      <c r="CL17" s="103">
        <f ca="1">-BS!CH15+BS!CG15</f>
        <v>773046.875</v>
      </c>
      <c r="CM17" s="103">
        <f ca="1">-BS!CI15+BS!CH15</f>
        <v>-210287.5</v>
      </c>
      <c r="CN17" s="103">
        <f ca="1">-BS!CJ15+BS!CI15</f>
        <v>-37734.375</v>
      </c>
      <c r="CO17" s="103">
        <f ca="1">-BS!CK15+BS!CJ15</f>
        <v>-11131343.75</v>
      </c>
      <c r="CP17" s="103">
        <f ca="1">-BS!CL15+BS!CK15</f>
        <v>-9671896.875</v>
      </c>
      <c r="CQ17" s="103">
        <f ca="1">-BS!CM15+BS!CL15</f>
        <v>16134843.75</v>
      </c>
      <c r="CR17" s="103">
        <f ca="1">-BS!CN15+BS!CM15</f>
        <v>11151623.4375</v>
      </c>
      <c r="CS17" s="103">
        <f ca="1">-BS!CO15+BS!CN15</f>
        <v>-5367984.375</v>
      </c>
      <c r="CT17" s="103">
        <f ca="1">-BS!CP15+BS!CO15</f>
        <v>-3788789.0625</v>
      </c>
      <c r="CU17" s="103">
        <f ca="1">-BS!CQ15+BS!CP15</f>
        <v>-27368109.375</v>
      </c>
      <c r="CV17" s="103">
        <f ca="1">-BS!CR15+BS!CQ15</f>
        <v>-247031.25</v>
      </c>
      <c r="CW17" s="103">
        <f ca="1">-BS!CS15+BS!CR15</f>
        <v>24656523.75</v>
      </c>
      <c r="CX17" s="103">
        <f ca="1">-BS!CT15+BS!CS15</f>
        <v>1257070.3125</v>
      </c>
      <c r="CY17" s="103">
        <f ca="1">-BS!CU15+BS!CT15</f>
        <v>-1196711.25</v>
      </c>
      <c r="CZ17" s="103">
        <f ca="1">-BS!CV15+BS!CU15</f>
        <v>-1813476.5625</v>
      </c>
    </row>
    <row r="18" spans="4:104" x14ac:dyDescent="0.25">
      <c r="D18" s="67" t="s">
        <v>184</v>
      </c>
      <c r="E18" s="69"/>
      <c r="F18" s="103"/>
      <c r="G18" s="100">
        <f t="shared" ca="1" si="40"/>
        <v>-918178.16</v>
      </c>
      <c r="H18" s="100">
        <f t="shared" ca="1" si="41"/>
        <v>-3670140</v>
      </c>
      <c r="I18" s="100">
        <f t="shared" ca="1" si="42"/>
        <v>-6045314</v>
      </c>
      <c r="J18" s="100">
        <f t="shared" ca="1" si="43"/>
        <v>-11750236.5</v>
      </c>
      <c r="K18" s="100">
        <f t="shared" ca="1" si="44"/>
        <v>-17866157.899999999</v>
      </c>
      <c r="L18" s="100">
        <f t="shared" ca="1" si="45"/>
        <v>8349549.2875000015</v>
      </c>
      <c r="M18" s="21"/>
      <c r="N18" s="21"/>
      <c r="O18" s="21"/>
      <c r="P18" s="101">
        <f t="shared" ca="1" si="46"/>
        <v>-13288.160000000003</v>
      </c>
      <c r="Q18" s="101">
        <f t="shared" ca="1" si="46"/>
        <v>-332350</v>
      </c>
      <c r="R18" s="101">
        <f t="shared" ca="1" si="46"/>
        <v>185640</v>
      </c>
      <c r="S18" s="101">
        <f t="shared" ca="1" si="46"/>
        <v>-758180</v>
      </c>
      <c r="T18" s="21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36"/>
      <c r="AG18" s="103">
        <f ca="1">-BS!AC16+BS!AB16</f>
        <v>-137558.16</v>
      </c>
      <c r="AH18" s="103">
        <f ca="1">-BS!AD16+BS!AC16</f>
        <v>-14450</v>
      </c>
      <c r="AI18" s="103">
        <f ca="1">-BS!AE16+BS!AD16</f>
        <v>138720</v>
      </c>
      <c r="AJ18" s="103">
        <f ca="1">-BS!AF16+BS!AE16</f>
        <v>0</v>
      </c>
      <c r="AK18" s="103">
        <f ca="1">-BS!AG16+BS!AF16</f>
        <v>-346800</v>
      </c>
      <c r="AL18" s="103">
        <f ca="1">-BS!AH16+BS!AG16</f>
        <v>14450</v>
      </c>
      <c r="AM18" s="103">
        <f ca="1">-BS!AI16+BS!AH16</f>
        <v>317900</v>
      </c>
      <c r="AN18" s="103">
        <f ca="1">-BS!AJ16+BS!AI16</f>
        <v>-24300</v>
      </c>
      <c r="AO18" s="103">
        <f ca="1">-BS!AK16+BS!AJ16</f>
        <v>-107960</v>
      </c>
      <c r="AP18" s="103">
        <f ca="1">-BS!AL16+BS!AK16</f>
        <v>-251620</v>
      </c>
      <c r="AQ18" s="103">
        <f ca="1">-BS!AM16+BS!AL16</f>
        <v>78540</v>
      </c>
      <c r="AR18" s="103">
        <f ca="1">-BS!AN16+BS!AM16</f>
        <v>-585100</v>
      </c>
      <c r="AS18" s="103">
        <f ca="1">-BS!AO16+BS!AN16</f>
        <v>-74000</v>
      </c>
      <c r="AT18" s="103">
        <f ca="1">-BS!AP16+BS!AO16</f>
        <v>861020</v>
      </c>
      <c r="AU18" s="103">
        <f ca="1">-BS!AQ16+BS!AP16</f>
        <v>-225080</v>
      </c>
      <c r="AV18" s="103">
        <f ca="1">-BS!AR16+BS!AQ16</f>
        <v>-627340</v>
      </c>
      <c r="AW18" s="103">
        <f ca="1">-BS!AS16+BS!AR16</f>
        <v>171360</v>
      </c>
      <c r="AX18" s="103">
        <f ca="1">-BS!AT16+BS!AS16</f>
        <v>-361660</v>
      </c>
      <c r="AY18" s="103">
        <f ca="1">-BS!AU16+BS!AT16</f>
        <v>-756800</v>
      </c>
      <c r="AZ18" s="103">
        <f ca="1">-BS!AV16+BS!AU16</f>
        <v>397160</v>
      </c>
      <c r="BA18" s="103">
        <f ca="1">-BS!AW16+BS!AV16</f>
        <v>352280</v>
      </c>
      <c r="BB18" s="103">
        <f ca="1">-BS!AX16+BS!AW16</f>
        <v>-616820</v>
      </c>
      <c r="BC18" s="103">
        <f ca="1">-BS!AY16+BS!AX16</f>
        <v>-1726600</v>
      </c>
      <c r="BD18" s="103">
        <f ca="1">-BS!AZ16+BS!AY16</f>
        <v>-1063660</v>
      </c>
      <c r="BE18" s="103">
        <f ca="1">-BS!BA16+BS!AZ16</f>
        <v>1941320</v>
      </c>
      <c r="BF18" s="103">
        <f ca="1">-BS!BB16+BS!BA16</f>
        <v>1389820</v>
      </c>
      <c r="BG18" s="103">
        <f ca="1">-BS!BC16+BS!BB16</f>
        <v>-625040</v>
      </c>
      <c r="BH18" s="103">
        <f ca="1">-BS!BD16+BS!BC16</f>
        <v>-478300</v>
      </c>
      <c r="BI18" s="103">
        <f ca="1">-BS!BE16+BS!BD16</f>
        <v>-2685720</v>
      </c>
      <c r="BJ18" s="103">
        <f ca="1">-BS!BF16+BS!BE16</f>
        <v>-87480</v>
      </c>
      <c r="BK18" s="103">
        <f ca="1">-BS!BG16+BS!BF16</f>
        <v>2107640</v>
      </c>
      <c r="BL18" s="103">
        <f ca="1">-BS!BH16+BS!BG16</f>
        <v>-302540</v>
      </c>
      <c r="BM18" s="103">
        <f ca="1">-BS!BI16+BS!BH16</f>
        <v>239360</v>
      </c>
      <c r="BN18" s="103">
        <f ca="1">-BS!BJ16+BS!BI16</f>
        <v>500180</v>
      </c>
      <c r="BO18" s="103">
        <f ca="1">-BS!BK16+BS!BJ16</f>
        <v>-4132875</v>
      </c>
      <c r="BP18" s="103">
        <f ca="1">-BS!BL16+BS!BK16</f>
        <v>-3911679</v>
      </c>
      <c r="BQ18" s="103">
        <f ca="1">-BS!BM16+BS!BL16</f>
        <v>4635259</v>
      </c>
      <c r="BR18" s="103">
        <f ca="1">-BS!BN16+BS!BM16</f>
        <v>3476781.5</v>
      </c>
      <c r="BS18" s="103">
        <f ca="1">-BS!BO16+BS!BN16</f>
        <v>-1691722</v>
      </c>
      <c r="BT18" s="103">
        <f ca="1">-BS!BP16+BS!BO16</f>
        <v>-1410930.5</v>
      </c>
      <c r="BU18" s="103">
        <f ca="1">-BS!BQ16+BS!BP16</f>
        <v>-6924417</v>
      </c>
      <c r="BV18" s="103">
        <f ca="1">-BS!BR16+BS!BQ16</f>
        <v>77463</v>
      </c>
      <c r="BW18" s="103">
        <f ca="1">-BS!BS16+BS!BR16</f>
        <v>5937253</v>
      </c>
      <c r="BX18" s="103">
        <f ca="1">-BS!BT16+BS!BS16</f>
        <v>-316340.5</v>
      </c>
      <c r="BY18" s="103">
        <f ca="1">-BS!BU16+BS!BT16</f>
        <v>18544</v>
      </c>
      <c r="BZ18" s="103">
        <f ca="1">-BS!BV16+BS!BU16</f>
        <v>369179.5</v>
      </c>
      <c r="CA18" s="103">
        <f ca="1">-BS!BW16+BS!BV16</f>
        <v>-8888461.25</v>
      </c>
      <c r="CB18" s="103">
        <f ca="1">-BS!BX16+BS!BW16</f>
        <v>-7032845.25</v>
      </c>
      <c r="CC18" s="103">
        <f ca="1">-BS!BY16+BS!BX16</f>
        <v>10976295.25</v>
      </c>
      <c r="CD18" s="103">
        <f ca="1">-BS!BZ16+BS!BY16</f>
        <v>7459720.625</v>
      </c>
      <c r="CE18" s="103">
        <f ca="1">-BS!CA16+BS!BZ16</f>
        <v>-3914693.5</v>
      </c>
      <c r="CF18" s="103">
        <f ca="1">-BS!CB16+BS!CA16</f>
        <v>-3590546.375</v>
      </c>
      <c r="CG18" s="103">
        <f ca="1">-BS!CC16+BS!CB16</f>
        <v>-18000813.75</v>
      </c>
      <c r="CH18" s="103">
        <f ca="1">-BS!CD16+BS!CC16</f>
        <v>1267238.25</v>
      </c>
      <c r="CI18" s="103">
        <f ca="1">-BS!CE16+BS!CD16</f>
        <v>16460521.75</v>
      </c>
      <c r="CJ18" s="103">
        <f ca="1">-BS!CF16+BS!CE16</f>
        <v>-151403.875</v>
      </c>
      <c r="CK18" s="103">
        <f ca="1">-BS!CG16+BS!CF16</f>
        <v>-955073</v>
      </c>
      <c r="CL18" s="103">
        <f ca="1">-BS!CH16+BS!CG16</f>
        <v>-1247418.875</v>
      </c>
      <c r="CM18" s="103">
        <f ca="1">-BS!CI16+BS!CH16</f>
        <v>-16626837.774999999</v>
      </c>
      <c r="CN18" s="103">
        <f ca="1">-BS!CJ16+BS!CI16</f>
        <v>-9543146.625</v>
      </c>
      <c r="CO18" s="103">
        <f ca="1">-BS!CK16+BS!CJ16</f>
        <v>22398519.074999999</v>
      </c>
      <c r="CP18" s="103">
        <f ca="1">-BS!CL16+BS!CK16</f>
        <v>12488112.1875</v>
      </c>
      <c r="CQ18" s="103">
        <f ca="1">-BS!CM16+BS!CL16</f>
        <v>-6664933.0499999998</v>
      </c>
      <c r="CR18" s="103">
        <f ca="1">-BS!CN16+BS!CM16</f>
        <v>-6668037.4125000015</v>
      </c>
      <c r="CS18" s="103">
        <f ca="1">-BS!CO16+BS!CN16</f>
        <v>-38971562.625</v>
      </c>
      <c r="CT18" s="103">
        <f ca="1">-BS!CP16+BS!CO16</f>
        <v>3195387.2250000015</v>
      </c>
      <c r="CU18" s="103">
        <f ca="1">-BS!CQ16+BS!CP16</f>
        <v>36638770.649999999</v>
      </c>
      <c r="CV18" s="103">
        <f ca="1">-BS!CR16+BS!CQ16</f>
        <v>255524.58750000224</v>
      </c>
      <c r="CW18" s="103">
        <f ca="1">-BS!CS16+BS!CR16</f>
        <v>-2095110.5250000022</v>
      </c>
      <c r="CX18" s="103">
        <f ca="1">-BS!CT16+BS!CS16</f>
        <v>-3977288.2874999978</v>
      </c>
      <c r="CY18" s="103">
        <f ca="1">-BS!CU16+BS!CT16</f>
        <v>-2809882.8062500022</v>
      </c>
      <c r="CZ18" s="103">
        <f ca="1">-BS!CV16+BS!CU16</f>
        <v>-5439949.7312499993</v>
      </c>
    </row>
    <row r="19" spans="4:104" x14ac:dyDescent="0.25">
      <c r="D19" s="67" t="s">
        <v>185</v>
      </c>
      <c r="E19" s="65"/>
      <c r="F19" s="103"/>
      <c r="G19" s="100">
        <f t="shared" si="40"/>
        <v>-583333.33333333372</v>
      </c>
      <c r="H19" s="100">
        <f t="shared" si="41"/>
        <v>500000</v>
      </c>
      <c r="I19" s="100">
        <f t="shared" si="42"/>
        <v>83333.333333333343</v>
      </c>
      <c r="J19" s="100">
        <f t="shared" si="43"/>
        <v>0</v>
      </c>
      <c r="K19" s="100">
        <f t="shared" si="44"/>
        <v>0</v>
      </c>
      <c r="L19" s="100">
        <f t="shared" si="45"/>
        <v>0</v>
      </c>
      <c r="M19" s="21"/>
      <c r="N19" s="21"/>
      <c r="O19" s="21"/>
      <c r="P19" s="101">
        <f t="shared" si="46"/>
        <v>-958333.33333333349</v>
      </c>
      <c r="Q19" s="101">
        <f t="shared" si="46"/>
        <v>125000</v>
      </c>
      <c r="R19" s="101">
        <f t="shared" si="46"/>
        <v>124999.99999999988</v>
      </c>
      <c r="S19" s="101">
        <f t="shared" si="46"/>
        <v>124999.99999999988</v>
      </c>
      <c r="T19" s="21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36"/>
      <c r="AG19" s="103">
        <f>-BS!AC17+BS!AB17</f>
        <v>0</v>
      </c>
      <c r="AH19" s="103">
        <f>-BS!AD17+BS!AC17</f>
        <v>-1000000</v>
      </c>
      <c r="AI19" s="103">
        <f>-BS!AE17+BS!AD17</f>
        <v>41666.666666666511</v>
      </c>
      <c r="AJ19" s="103">
        <f>-BS!AF17+BS!AE17</f>
        <v>41666.666666666744</v>
      </c>
      <c r="AK19" s="103">
        <f>-BS!AG17+BS!AF17</f>
        <v>41666.666666666628</v>
      </c>
      <c r="AL19" s="103">
        <f>-BS!AH17+BS!AG17</f>
        <v>41666.666666666628</v>
      </c>
      <c r="AM19" s="103">
        <f>-BS!AI17+BS!AH17</f>
        <v>41666.666666666628</v>
      </c>
      <c r="AN19" s="103">
        <f>-BS!AJ17+BS!AI17</f>
        <v>41666.666666666628</v>
      </c>
      <c r="AO19" s="103">
        <f>-BS!AK17+BS!AJ17</f>
        <v>41666.666666666628</v>
      </c>
      <c r="AP19" s="103">
        <f>-BS!AL17+BS!AK17</f>
        <v>41666.666666666628</v>
      </c>
      <c r="AQ19" s="103">
        <f>-BS!AM17+BS!AL17</f>
        <v>41666.666666666628</v>
      </c>
      <c r="AR19" s="103">
        <f>-BS!AN17+BS!AM17</f>
        <v>41666.666666666628</v>
      </c>
      <c r="AS19" s="103">
        <f>-BS!AO17+BS!AN17</f>
        <v>41666.666666666628</v>
      </c>
      <c r="AT19" s="103">
        <f>-BS!AP17+BS!AO17</f>
        <v>41666.666666666628</v>
      </c>
      <c r="AU19" s="103">
        <f>-BS!AQ17+BS!AP17</f>
        <v>41666.666666666744</v>
      </c>
      <c r="AV19" s="103">
        <f>-BS!AR17+BS!AQ17</f>
        <v>41666.666666666686</v>
      </c>
      <c r="AW19" s="103">
        <f>-BS!AS17+BS!AR17</f>
        <v>41666.666666666686</v>
      </c>
      <c r="AX19" s="103">
        <f>-BS!AT17+BS!AS17</f>
        <v>41666.666666666686</v>
      </c>
      <c r="AY19" s="103">
        <f>-BS!AU17+BS!AT17</f>
        <v>41666.666666666686</v>
      </c>
      <c r="AZ19" s="103">
        <f>-BS!AV17+BS!AU17</f>
        <v>41666.666666666628</v>
      </c>
      <c r="BA19" s="103">
        <f>-BS!AW17+BS!AV17</f>
        <v>41666.666666666686</v>
      </c>
      <c r="BB19" s="103">
        <f>-BS!AX17+BS!AW17</f>
        <v>41666.666666666628</v>
      </c>
      <c r="BC19" s="103">
        <f>-BS!AY17+BS!AX17</f>
        <v>41666.666666666686</v>
      </c>
      <c r="BD19" s="103">
        <f>-BS!AZ17+BS!AY17</f>
        <v>41666.666666666628</v>
      </c>
      <c r="BE19" s="103">
        <f>-BS!BA17+BS!AZ17</f>
        <v>41666.666666666686</v>
      </c>
      <c r="BF19" s="103">
        <f>-BS!BB17+BS!BA17</f>
        <v>41666.666666666657</v>
      </c>
      <c r="BG19" s="103">
        <f>-BS!BC17+BS!BB17</f>
        <v>0</v>
      </c>
      <c r="BH19" s="103">
        <f>-BS!BD17+BS!BC17</f>
        <v>0</v>
      </c>
      <c r="BI19" s="103">
        <f>-BS!BE17+BS!BD17</f>
        <v>0</v>
      </c>
      <c r="BJ19" s="103">
        <f>-BS!BF17+BS!BE17</f>
        <v>0</v>
      </c>
      <c r="BK19" s="103">
        <f>-BS!BG17+BS!BF17</f>
        <v>0</v>
      </c>
      <c r="BL19" s="103">
        <f>-BS!BH17+BS!BG17</f>
        <v>0</v>
      </c>
      <c r="BM19" s="103">
        <f>-BS!BI17+BS!BH17</f>
        <v>0</v>
      </c>
      <c r="BN19" s="103">
        <f>-BS!BJ17+BS!BI17</f>
        <v>0</v>
      </c>
      <c r="BO19" s="103">
        <f>-BS!BK17+BS!BJ17</f>
        <v>0</v>
      </c>
      <c r="BP19" s="103">
        <f>-BS!BL17+BS!BK17</f>
        <v>0</v>
      </c>
      <c r="BQ19" s="103">
        <f>-BS!BM17+BS!BL17</f>
        <v>0</v>
      </c>
      <c r="BR19" s="103">
        <f>-BS!BN17+BS!BM17</f>
        <v>0</v>
      </c>
      <c r="BS19" s="103">
        <f>-BS!BO17+BS!BN17</f>
        <v>0</v>
      </c>
      <c r="BT19" s="103">
        <f>-BS!BP17+BS!BO17</f>
        <v>0</v>
      </c>
      <c r="BU19" s="103">
        <f>-BS!BQ17+BS!BP17</f>
        <v>0</v>
      </c>
      <c r="BV19" s="103">
        <f>-BS!BR17+BS!BQ17</f>
        <v>0</v>
      </c>
      <c r="BW19" s="103">
        <f>-BS!BS17+BS!BR17</f>
        <v>0</v>
      </c>
      <c r="BX19" s="103">
        <f>-BS!BT17+BS!BS17</f>
        <v>0</v>
      </c>
      <c r="BY19" s="103">
        <f>-BS!BU17+BS!BT17</f>
        <v>0</v>
      </c>
      <c r="BZ19" s="103">
        <f>-BS!BV17+BS!BU17</f>
        <v>0</v>
      </c>
      <c r="CA19" s="103">
        <f>-BS!BW17+BS!BV17</f>
        <v>0</v>
      </c>
      <c r="CB19" s="103">
        <f>-BS!BX17+BS!BW17</f>
        <v>0</v>
      </c>
      <c r="CC19" s="103">
        <f>-BS!BY17+BS!BX17</f>
        <v>0</v>
      </c>
      <c r="CD19" s="103">
        <f>-BS!BZ17+BS!BY17</f>
        <v>0</v>
      </c>
      <c r="CE19" s="103">
        <f>-BS!CA17+BS!BZ17</f>
        <v>0</v>
      </c>
      <c r="CF19" s="103">
        <f>-BS!CB17+BS!CA17</f>
        <v>0</v>
      </c>
      <c r="CG19" s="103">
        <f>-BS!CC17+BS!CB17</f>
        <v>0</v>
      </c>
      <c r="CH19" s="103">
        <f>-BS!CD17+BS!CC17</f>
        <v>0</v>
      </c>
      <c r="CI19" s="103">
        <f>-BS!CE17+BS!CD17</f>
        <v>0</v>
      </c>
      <c r="CJ19" s="103">
        <f>-BS!CF17+BS!CE17</f>
        <v>0</v>
      </c>
      <c r="CK19" s="103">
        <f>-BS!CG17+BS!CF17</f>
        <v>0</v>
      </c>
      <c r="CL19" s="103">
        <f>-BS!CH17+BS!CG17</f>
        <v>0</v>
      </c>
      <c r="CM19" s="103">
        <f>-BS!CI17+BS!CH17</f>
        <v>0</v>
      </c>
      <c r="CN19" s="103">
        <f>-BS!CJ17+BS!CI17</f>
        <v>0</v>
      </c>
      <c r="CO19" s="103">
        <f>-BS!CK17+BS!CJ17</f>
        <v>0</v>
      </c>
      <c r="CP19" s="103">
        <f>-BS!CL17+BS!CK17</f>
        <v>0</v>
      </c>
      <c r="CQ19" s="103">
        <f>-BS!CM17+BS!CL17</f>
        <v>0</v>
      </c>
      <c r="CR19" s="103">
        <f>-BS!CN17+BS!CM17</f>
        <v>0</v>
      </c>
      <c r="CS19" s="103">
        <f>-BS!CO17+BS!CN17</f>
        <v>0</v>
      </c>
      <c r="CT19" s="103">
        <f>-BS!CP17+BS!CO17</f>
        <v>0</v>
      </c>
      <c r="CU19" s="103">
        <f>-BS!CQ17+BS!CP17</f>
        <v>0</v>
      </c>
      <c r="CV19" s="103">
        <f>-BS!CR17+BS!CQ17</f>
        <v>0</v>
      </c>
      <c r="CW19" s="103">
        <f>-BS!CS17+BS!CR17</f>
        <v>0</v>
      </c>
      <c r="CX19" s="103">
        <f>-BS!CT17+BS!CS17</f>
        <v>0</v>
      </c>
      <c r="CY19" s="103">
        <f>-BS!CU17+BS!CT17</f>
        <v>0</v>
      </c>
      <c r="CZ19" s="103">
        <f>-BS!CV17+BS!CU17</f>
        <v>0</v>
      </c>
    </row>
    <row r="20" spans="4:104" x14ac:dyDescent="0.25">
      <c r="D20" s="67" t="s">
        <v>186</v>
      </c>
      <c r="E20" s="65"/>
      <c r="F20" s="103"/>
      <c r="G20" s="100">
        <f t="shared" si="40"/>
        <v>389084</v>
      </c>
      <c r="H20" s="100">
        <f t="shared" si="41"/>
        <v>0</v>
      </c>
      <c r="I20" s="100">
        <f t="shared" si="42"/>
        <v>0</v>
      </c>
      <c r="J20" s="100">
        <f t="shared" si="43"/>
        <v>0</v>
      </c>
      <c r="K20" s="100">
        <f t="shared" si="44"/>
        <v>0</v>
      </c>
      <c r="L20" s="100">
        <f t="shared" si="45"/>
        <v>0</v>
      </c>
      <c r="M20" s="21"/>
      <c r="N20" s="21"/>
      <c r="O20" s="21"/>
      <c r="P20" s="101">
        <f t="shared" si="46"/>
        <v>389084</v>
      </c>
      <c r="Q20" s="101">
        <f t="shared" si="46"/>
        <v>0</v>
      </c>
      <c r="R20" s="101">
        <f t="shared" si="46"/>
        <v>0</v>
      </c>
      <c r="S20" s="101">
        <f t="shared" si="46"/>
        <v>0</v>
      </c>
      <c r="T20" s="21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36"/>
      <c r="AG20" s="103">
        <f>-BS!AC19+BS!AB19</f>
        <v>389084</v>
      </c>
      <c r="AH20" s="103">
        <f>-BS!AD19+BS!AC19</f>
        <v>0</v>
      </c>
      <c r="AI20" s="103">
        <f>-BS!AE19+BS!AD19</f>
        <v>0</v>
      </c>
      <c r="AJ20" s="103">
        <f>-BS!AF19+BS!AE19</f>
        <v>0</v>
      </c>
      <c r="AK20" s="103">
        <f>-BS!AG19+BS!AF19</f>
        <v>0</v>
      </c>
      <c r="AL20" s="103">
        <f>-BS!AH19+BS!AG19</f>
        <v>0</v>
      </c>
      <c r="AM20" s="103">
        <f>-BS!AI19+BS!AH19</f>
        <v>0</v>
      </c>
      <c r="AN20" s="103">
        <f>-BS!AJ19+BS!AI19</f>
        <v>0</v>
      </c>
      <c r="AO20" s="103">
        <f>-BS!AK19+BS!AJ19</f>
        <v>0</v>
      </c>
      <c r="AP20" s="103">
        <f>-BS!AL19+BS!AK19</f>
        <v>0</v>
      </c>
      <c r="AQ20" s="103">
        <f>-BS!AM19+BS!AL19</f>
        <v>0</v>
      </c>
      <c r="AR20" s="103">
        <f>-BS!AN19+BS!AM19</f>
        <v>0</v>
      </c>
      <c r="AS20" s="103">
        <f>-BS!AO19+BS!AN19</f>
        <v>0</v>
      </c>
      <c r="AT20" s="103">
        <f>-BS!AP19+BS!AO19</f>
        <v>0</v>
      </c>
      <c r="AU20" s="103">
        <f>-BS!AQ19+BS!AP19</f>
        <v>0</v>
      </c>
      <c r="AV20" s="103">
        <f>-BS!AR19+BS!AQ19</f>
        <v>0</v>
      </c>
      <c r="AW20" s="103">
        <f>-BS!AS19+BS!AR19</f>
        <v>0</v>
      </c>
      <c r="AX20" s="103">
        <f>-BS!AT19+BS!AS19</f>
        <v>0</v>
      </c>
      <c r="AY20" s="103">
        <f>-BS!AU19+BS!AT19</f>
        <v>0</v>
      </c>
      <c r="AZ20" s="103">
        <f>-BS!AV19+BS!AU19</f>
        <v>0</v>
      </c>
      <c r="BA20" s="103">
        <f>-BS!AW19+BS!AV19</f>
        <v>0</v>
      </c>
      <c r="BB20" s="103">
        <f>-BS!AX19+BS!AW19</f>
        <v>0</v>
      </c>
      <c r="BC20" s="103">
        <f>-BS!AY19+BS!AX19</f>
        <v>0</v>
      </c>
      <c r="BD20" s="103">
        <f>-BS!AZ19+BS!AY19</f>
        <v>0</v>
      </c>
      <c r="BE20" s="103">
        <f>-BS!BA19+BS!AZ19</f>
        <v>0</v>
      </c>
      <c r="BF20" s="103">
        <f>-BS!BB19+BS!BA19</f>
        <v>0</v>
      </c>
      <c r="BG20" s="103">
        <f>-BS!BC19+BS!BB19</f>
        <v>0</v>
      </c>
      <c r="BH20" s="103">
        <f>-BS!BD19+BS!BC19</f>
        <v>0</v>
      </c>
      <c r="BI20" s="103">
        <f>-BS!BE19+BS!BD19</f>
        <v>0</v>
      </c>
      <c r="BJ20" s="103">
        <f>-BS!BF19+BS!BE19</f>
        <v>0</v>
      </c>
      <c r="BK20" s="103">
        <f>-BS!BG19+BS!BF19</f>
        <v>0</v>
      </c>
      <c r="BL20" s="103">
        <f>-BS!BH19+BS!BG19</f>
        <v>0</v>
      </c>
      <c r="BM20" s="103">
        <f>-BS!BI19+BS!BH19</f>
        <v>0</v>
      </c>
      <c r="BN20" s="103">
        <f>-BS!BJ19+BS!BI19</f>
        <v>0</v>
      </c>
      <c r="BO20" s="103">
        <f>-BS!BK19+BS!BJ19</f>
        <v>0</v>
      </c>
      <c r="BP20" s="103">
        <f>-BS!BL19+BS!BK19</f>
        <v>0</v>
      </c>
      <c r="BQ20" s="103">
        <f>-BS!BM19+BS!BL19</f>
        <v>0</v>
      </c>
      <c r="BR20" s="103">
        <f>-BS!BN19+BS!BM19</f>
        <v>0</v>
      </c>
      <c r="BS20" s="103">
        <f>-BS!BO19+BS!BN19</f>
        <v>0</v>
      </c>
      <c r="BT20" s="103">
        <f>-BS!BP19+BS!BO19</f>
        <v>0</v>
      </c>
      <c r="BU20" s="103">
        <f>-BS!BQ19+BS!BP19</f>
        <v>0</v>
      </c>
      <c r="BV20" s="103">
        <f>-BS!BR19+BS!BQ19</f>
        <v>0</v>
      </c>
      <c r="BW20" s="103">
        <f>-BS!BS19+BS!BR19</f>
        <v>0</v>
      </c>
      <c r="BX20" s="103">
        <f>-BS!BT19+BS!BS19</f>
        <v>0</v>
      </c>
      <c r="BY20" s="103">
        <f>-BS!BU19+BS!BT19</f>
        <v>0</v>
      </c>
      <c r="BZ20" s="103">
        <f>-BS!BV19+BS!BU19</f>
        <v>0</v>
      </c>
      <c r="CA20" s="103">
        <f>-BS!BW19+BS!BV19</f>
        <v>0</v>
      </c>
      <c r="CB20" s="103">
        <f>-BS!BX19+BS!BW19</f>
        <v>0</v>
      </c>
      <c r="CC20" s="103">
        <f>-BS!BY19+BS!BX19</f>
        <v>0</v>
      </c>
      <c r="CD20" s="103">
        <f>-BS!BZ19+BS!BY19</f>
        <v>0</v>
      </c>
      <c r="CE20" s="103">
        <f>-BS!CA19+BS!BZ19</f>
        <v>0</v>
      </c>
      <c r="CF20" s="103">
        <f>-BS!CB19+BS!CA19</f>
        <v>0</v>
      </c>
      <c r="CG20" s="103">
        <f>-BS!CC19+BS!CB19</f>
        <v>0</v>
      </c>
      <c r="CH20" s="103">
        <f>-BS!CD19+BS!CC19</f>
        <v>0</v>
      </c>
      <c r="CI20" s="103">
        <f>-BS!CE19+BS!CD19</f>
        <v>0</v>
      </c>
      <c r="CJ20" s="103">
        <f>-BS!CF19+BS!CE19</f>
        <v>0</v>
      </c>
      <c r="CK20" s="103">
        <f>-BS!CG19+BS!CF19</f>
        <v>0</v>
      </c>
      <c r="CL20" s="103">
        <f>-BS!CH19+BS!CG19</f>
        <v>0</v>
      </c>
      <c r="CM20" s="103">
        <f>-BS!CI19+BS!CH19</f>
        <v>0</v>
      </c>
      <c r="CN20" s="103">
        <f>-BS!CJ19+BS!CI19</f>
        <v>0</v>
      </c>
      <c r="CO20" s="103">
        <f>-BS!CK19+BS!CJ19</f>
        <v>0</v>
      </c>
      <c r="CP20" s="103">
        <f>-BS!CL19+BS!CK19</f>
        <v>0</v>
      </c>
      <c r="CQ20" s="103">
        <f>-BS!CM19+BS!CL19</f>
        <v>0</v>
      </c>
      <c r="CR20" s="103">
        <f>-BS!CN19+BS!CM19</f>
        <v>0</v>
      </c>
      <c r="CS20" s="103">
        <f>-BS!CO19+BS!CN19</f>
        <v>0</v>
      </c>
      <c r="CT20" s="103">
        <f>-BS!CP19+BS!CO19</f>
        <v>0</v>
      </c>
      <c r="CU20" s="103">
        <f>-BS!CQ19+BS!CP19</f>
        <v>0</v>
      </c>
      <c r="CV20" s="103">
        <f>-BS!CR19+BS!CQ19</f>
        <v>0</v>
      </c>
      <c r="CW20" s="103">
        <f>-BS!CS19+BS!CR19</f>
        <v>0</v>
      </c>
      <c r="CX20" s="103">
        <f>-BS!CT19+BS!CS19</f>
        <v>0</v>
      </c>
      <c r="CY20" s="103">
        <f>-BS!CU19+BS!CT19</f>
        <v>0</v>
      </c>
      <c r="CZ20" s="103">
        <f>-BS!CV19+BS!CU19</f>
        <v>0</v>
      </c>
    </row>
    <row r="21" spans="4:104" x14ac:dyDescent="0.25">
      <c r="D21" s="67" t="s">
        <v>187</v>
      </c>
      <c r="E21" s="65"/>
      <c r="F21" s="103"/>
      <c r="G21" s="100">
        <f t="shared" ca="1" si="40"/>
        <v>274939.16999999993</v>
      </c>
      <c r="H21" s="100">
        <f t="shared" ca="1" si="41"/>
        <v>3670140</v>
      </c>
      <c r="I21" s="100">
        <f t="shared" ca="1" si="42"/>
        <v>6045314</v>
      </c>
      <c r="J21" s="100">
        <f t="shared" ca="1" si="43"/>
        <v>11750236.5</v>
      </c>
      <c r="K21" s="100">
        <f t="shared" ca="1" si="44"/>
        <v>17866157.899999999</v>
      </c>
      <c r="L21" s="100">
        <f t="shared" ca="1" si="45"/>
        <v>-8349549.2875000015</v>
      </c>
      <c r="M21" s="21"/>
      <c r="N21" s="21"/>
      <c r="O21" s="21"/>
      <c r="P21" s="101">
        <f t="shared" ca="1" si="46"/>
        <v>-629950.83000000007</v>
      </c>
      <c r="Q21" s="101">
        <f t="shared" ca="1" si="46"/>
        <v>332350</v>
      </c>
      <c r="R21" s="101">
        <f t="shared" ca="1" si="46"/>
        <v>-185640</v>
      </c>
      <c r="S21" s="101">
        <f t="shared" ca="1" si="46"/>
        <v>758180</v>
      </c>
      <c r="T21" s="21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36"/>
      <c r="AG21" s="103">
        <f ca="1">BS!AC34-BS!AB34</f>
        <v>138720</v>
      </c>
      <c r="AH21" s="103">
        <f ca="1">BS!AD34-BS!AC34</f>
        <v>-629950.83000000007</v>
      </c>
      <c r="AI21" s="103">
        <f ca="1">BS!AE34-BS!AD34</f>
        <v>-138720</v>
      </c>
      <c r="AJ21" s="103">
        <f ca="1">BS!AF34-BS!AE34</f>
        <v>0</v>
      </c>
      <c r="AK21" s="103">
        <f ca="1">BS!AG34-BS!AF34</f>
        <v>346800</v>
      </c>
      <c r="AL21" s="103">
        <f ca="1">BS!AH34-BS!AG34</f>
        <v>-14450</v>
      </c>
      <c r="AM21" s="103">
        <f ca="1">BS!AI34-BS!AH34</f>
        <v>-317900</v>
      </c>
      <c r="AN21" s="103">
        <f ca="1">BS!AJ34-BS!AI34</f>
        <v>24300</v>
      </c>
      <c r="AO21" s="103">
        <f ca="1">BS!AK34-BS!AJ34</f>
        <v>107960</v>
      </c>
      <c r="AP21" s="103">
        <f ca="1">BS!AL34-BS!AK34</f>
        <v>251620</v>
      </c>
      <c r="AQ21" s="103">
        <f ca="1">BS!AM34-BS!AL34</f>
        <v>-78540</v>
      </c>
      <c r="AR21" s="103">
        <f ca="1">BS!AN34-BS!AM34</f>
        <v>585100</v>
      </c>
      <c r="AS21" s="103">
        <f ca="1">BS!AO34-BS!AN34</f>
        <v>74000</v>
      </c>
      <c r="AT21" s="103">
        <f ca="1">BS!AP34-BS!AO34</f>
        <v>-861020</v>
      </c>
      <c r="AU21" s="103">
        <f ca="1">BS!AQ34-BS!AP34</f>
        <v>225080</v>
      </c>
      <c r="AV21" s="103">
        <f ca="1">BS!AR34-BS!AQ34</f>
        <v>627340</v>
      </c>
      <c r="AW21" s="103">
        <f ca="1">BS!AS34-BS!AR34</f>
        <v>-171360</v>
      </c>
      <c r="AX21" s="103">
        <f ca="1">BS!AT34-BS!AS34</f>
        <v>361660</v>
      </c>
      <c r="AY21" s="103">
        <f ca="1">BS!AU34-BS!AT34</f>
        <v>756800</v>
      </c>
      <c r="AZ21" s="103">
        <f ca="1">BS!AV34-BS!AU34</f>
        <v>-397160</v>
      </c>
      <c r="BA21" s="103">
        <f ca="1">BS!AW34-BS!AV34</f>
        <v>-352280</v>
      </c>
      <c r="BB21" s="103">
        <f ca="1">BS!AX34-BS!AW34</f>
        <v>616820</v>
      </c>
      <c r="BC21" s="103">
        <f ca="1">BS!AY34-BS!AX34</f>
        <v>1726600</v>
      </c>
      <c r="BD21" s="103">
        <f ca="1">BS!AZ34-BS!AY34</f>
        <v>1063660</v>
      </c>
      <c r="BE21" s="103">
        <f ca="1">BS!BA34-BS!AZ34</f>
        <v>-1941320</v>
      </c>
      <c r="BF21" s="103">
        <f ca="1">BS!BB34-BS!BA34</f>
        <v>-1389820</v>
      </c>
      <c r="BG21" s="103">
        <f ca="1">BS!BC34-BS!BB34</f>
        <v>625040</v>
      </c>
      <c r="BH21" s="103">
        <f ca="1">BS!BD34-BS!BC34</f>
        <v>478300</v>
      </c>
      <c r="BI21" s="103">
        <f ca="1">BS!BE34-BS!BD34</f>
        <v>2685720</v>
      </c>
      <c r="BJ21" s="103">
        <f ca="1">BS!BF34-BS!BE34</f>
        <v>87480</v>
      </c>
      <c r="BK21" s="103">
        <f ca="1">BS!BG34-BS!BF34</f>
        <v>-2107640</v>
      </c>
      <c r="BL21" s="103">
        <f ca="1">BS!BH34-BS!BG34</f>
        <v>302540</v>
      </c>
      <c r="BM21" s="103">
        <f ca="1">BS!BI34-BS!BH34</f>
        <v>-239360</v>
      </c>
      <c r="BN21" s="103">
        <f ca="1">BS!BJ34-BS!BI34</f>
        <v>-500180</v>
      </c>
      <c r="BO21" s="103">
        <f ca="1">BS!BK34-BS!BJ34</f>
        <v>4132875</v>
      </c>
      <c r="BP21" s="103">
        <f ca="1">BS!BL34-BS!BK34</f>
        <v>3911679</v>
      </c>
      <c r="BQ21" s="103">
        <f ca="1">BS!BM34-BS!BL34</f>
        <v>-4635259</v>
      </c>
      <c r="BR21" s="103">
        <f ca="1">BS!BN34-BS!BM34</f>
        <v>-3476781.5</v>
      </c>
      <c r="BS21" s="103">
        <f ca="1">BS!BO34-BS!BN34</f>
        <v>1691722</v>
      </c>
      <c r="BT21" s="103">
        <f ca="1">BS!BP34-BS!BO34</f>
        <v>1410930.5</v>
      </c>
      <c r="BU21" s="103">
        <f ca="1">BS!BQ34-BS!BP34</f>
        <v>6924417</v>
      </c>
      <c r="BV21" s="103">
        <f ca="1">BS!BR34-BS!BQ34</f>
        <v>-77463</v>
      </c>
      <c r="BW21" s="103">
        <f ca="1">BS!BS34-BS!BR34</f>
        <v>-5937253</v>
      </c>
      <c r="BX21" s="103">
        <f ca="1">BS!BT34-BS!BS34</f>
        <v>316340.5</v>
      </c>
      <c r="BY21" s="103">
        <f ca="1">BS!BU34-BS!BT34</f>
        <v>-18544</v>
      </c>
      <c r="BZ21" s="103">
        <f ca="1">BS!BV34-BS!BU34</f>
        <v>-369179.5</v>
      </c>
      <c r="CA21" s="103">
        <f ca="1">BS!BW34-BS!BV34</f>
        <v>8888461.25</v>
      </c>
      <c r="CB21" s="103">
        <f ca="1">BS!BX34-BS!BW34</f>
        <v>7032845.25</v>
      </c>
      <c r="CC21" s="103">
        <f ca="1">BS!BY34-BS!BX34</f>
        <v>-10976295.25</v>
      </c>
      <c r="CD21" s="103">
        <f ca="1">BS!BZ34-BS!BY34</f>
        <v>-7459720.625</v>
      </c>
      <c r="CE21" s="103">
        <f ca="1">BS!CA34-BS!BZ34</f>
        <v>3914693.5</v>
      </c>
      <c r="CF21" s="103">
        <f ca="1">BS!CB34-BS!CA34</f>
        <v>3590546.375</v>
      </c>
      <c r="CG21" s="103">
        <f ca="1">BS!CC34-BS!CB34</f>
        <v>18000813.75</v>
      </c>
      <c r="CH21" s="103">
        <f ca="1">BS!CD34-BS!CC34</f>
        <v>-1267238.25</v>
      </c>
      <c r="CI21" s="103">
        <f ca="1">BS!CE34-BS!CD34</f>
        <v>-16460521.75</v>
      </c>
      <c r="CJ21" s="103">
        <f ca="1">BS!CF34-BS!CE34</f>
        <v>151403.875</v>
      </c>
      <c r="CK21" s="103">
        <f ca="1">BS!CG34-BS!CF34</f>
        <v>955073</v>
      </c>
      <c r="CL21" s="103">
        <f ca="1">BS!CH34-BS!CG34</f>
        <v>1247418.875</v>
      </c>
      <c r="CM21" s="103">
        <f ca="1">BS!CI34-BS!CH34</f>
        <v>16626837.774999999</v>
      </c>
      <c r="CN21" s="103">
        <f ca="1">BS!CJ34-BS!CI34</f>
        <v>9543146.625</v>
      </c>
      <c r="CO21" s="103">
        <f ca="1">BS!CK34-BS!CJ34</f>
        <v>-22398519.074999999</v>
      </c>
      <c r="CP21" s="103">
        <f ca="1">BS!CL34-BS!CK34</f>
        <v>-12488112.1875</v>
      </c>
      <c r="CQ21" s="103">
        <f ca="1">BS!CM34-BS!CL34</f>
        <v>6664933.0499999998</v>
      </c>
      <c r="CR21" s="103">
        <f ca="1">BS!CN34-BS!CM34</f>
        <v>6668037.4125000015</v>
      </c>
      <c r="CS21" s="103">
        <f ca="1">BS!CO34-BS!CN34</f>
        <v>38971562.625</v>
      </c>
      <c r="CT21" s="103">
        <f ca="1">BS!CP34-BS!CO34</f>
        <v>-3195387.2250000015</v>
      </c>
      <c r="CU21" s="103">
        <f ca="1">BS!CQ34-BS!CP34</f>
        <v>-36638770.649999999</v>
      </c>
      <c r="CV21" s="103">
        <f ca="1">BS!CR34-BS!CQ34</f>
        <v>-255524.58750000224</v>
      </c>
      <c r="CW21" s="103">
        <f ca="1">BS!CS34-BS!CR34</f>
        <v>2095110.5250000022</v>
      </c>
      <c r="CX21" s="103">
        <f ca="1">BS!CT34-BS!CS34</f>
        <v>3977288.2874999978</v>
      </c>
      <c r="CY21" s="103">
        <f ca="1">BS!CU34-BS!CT34</f>
        <v>2809882.8062500022</v>
      </c>
      <c r="CZ21" s="103">
        <f ca="1">BS!CV34-BS!CU34</f>
        <v>5439949.7312499993</v>
      </c>
    </row>
    <row r="22" spans="4:104" x14ac:dyDescent="0.25">
      <c r="D22" s="67" t="s">
        <v>188</v>
      </c>
      <c r="E22" s="65"/>
      <c r="F22" s="103"/>
      <c r="G22" s="100">
        <f t="shared" si="40"/>
        <v>0</v>
      </c>
      <c r="H22" s="100">
        <f t="shared" si="41"/>
        <v>0</v>
      </c>
      <c r="I22" s="100">
        <f t="shared" si="42"/>
        <v>0</v>
      </c>
      <c r="J22" s="100">
        <f t="shared" si="43"/>
        <v>0</v>
      </c>
      <c r="K22" s="100">
        <f t="shared" si="44"/>
        <v>0</v>
      </c>
      <c r="L22" s="100">
        <f t="shared" si="45"/>
        <v>0</v>
      </c>
      <c r="M22" s="21"/>
      <c r="N22" s="21"/>
      <c r="O22" s="21"/>
      <c r="P22" s="101">
        <f t="shared" si="46"/>
        <v>0</v>
      </c>
      <c r="Q22" s="101">
        <f t="shared" si="46"/>
        <v>0</v>
      </c>
      <c r="R22" s="101">
        <f t="shared" si="46"/>
        <v>0</v>
      </c>
      <c r="S22" s="101">
        <f t="shared" si="46"/>
        <v>0</v>
      </c>
      <c r="T22" s="21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36"/>
      <c r="AG22" s="103">
        <f>BS!AC35-BS!AB35</f>
        <v>0</v>
      </c>
      <c r="AH22" s="103">
        <f>BS!AD35-BS!AC35</f>
        <v>0</v>
      </c>
      <c r="AI22" s="103">
        <f>BS!AE35-BS!AD35</f>
        <v>0</v>
      </c>
      <c r="AJ22" s="103">
        <f>BS!AF35-BS!AE35</f>
        <v>0</v>
      </c>
      <c r="AK22" s="103">
        <f>BS!AG35-BS!AF35</f>
        <v>0</v>
      </c>
      <c r="AL22" s="103">
        <f>BS!AH35-BS!AG35</f>
        <v>0</v>
      </c>
      <c r="AM22" s="103">
        <f>BS!AI35-BS!AH35</f>
        <v>0</v>
      </c>
      <c r="AN22" s="103">
        <f>BS!AJ35-BS!AI35</f>
        <v>0</v>
      </c>
      <c r="AO22" s="103">
        <f>BS!AK35-BS!AJ35</f>
        <v>0</v>
      </c>
      <c r="AP22" s="103">
        <f>BS!AL35-BS!AK35</f>
        <v>0</v>
      </c>
      <c r="AQ22" s="103">
        <f>BS!AM35-BS!AL35</f>
        <v>0</v>
      </c>
      <c r="AR22" s="103">
        <f>BS!AN35-BS!AM35</f>
        <v>0</v>
      </c>
      <c r="AS22" s="103">
        <f>BS!AO35-BS!AN35</f>
        <v>0</v>
      </c>
      <c r="AT22" s="103">
        <f>BS!AP35-BS!AO35</f>
        <v>0</v>
      </c>
      <c r="AU22" s="103">
        <f>BS!AQ35-BS!AP35</f>
        <v>0</v>
      </c>
      <c r="AV22" s="103">
        <f>BS!AR35-BS!AQ35</f>
        <v>0</v>
      </c>
      <c r="AW22" s="103">
        <f>BS!AS35-BS!AR35</f>
        <v>0</v>
      </c>
      <c r="AX22" s="103">
        <f>BS!AT35-BS!AS35</f>
        <v>0</v>
      </c>
      <c r="AY22" s="103">
        <f>BS!AU35-BS!AT35</f>
        <v>0</v>
      </c>
      <c r="AZ22" s="103">
        <f>BS!AV35-BS!AU35</f>
        <v>0</v>
      </c>
      <c r="BA22" s="103">
        <f>BS!AW35-BS!AV35</f>
        <v>0</v>
      </c>
      <c r="BB22" s="103">
        <f>BS!AX35-BS!AW35</f>
        <v>0</v>
      </c>
      <c r="BC22" s="103">
        <f>BS!AY35-BS!AX35</f>
        <v>0</v>
      </c>
      <c r="BD22" s="103">
        <f>BS!AZ35-BS!AY35</f>
        <v>0</v>
      </c>
      <c r="BE22" s="103">
        <f>BS!BA35-BS!AZ35</f>
        <v>0</v>
      </c>
      <c r="BF22" s="103">
        <f>BS!BB35-BS!BA35</f>
        <v>0</v>
      </c>
      <c r="BG22" s="103">
        <f>BS!BC35-BS!BB35</f>
        <v>0</v>
      </c>
      <c r="BH22" s="103">
        <f>BS!BD35-BS!BC35</f>
        <v>0</v>
      </c>
      <c r="BI22" s="103">
        <f>BS!BE35-BS!BD35</f>
        <v>0</v>
      </c>
      <c r="BJ22" s="103">
        <f>BS!BF35-BS!BE35</f>
        <v>0</v>
      </c>
      <c r="BK22" s="103">
        <f>BS!BG35-BS!BF35</f>
        <v>0</v>
      </c>
      <c r="BL22" s="103">
        <f>BS!BH35-BS!BG35</f>
        <v>0</v>
      </c>
      <c r="BM22" s="103">
        <f>BS!BI35-BS!BH35</f>
        <v>0</v>
      </c>
      <c r="BN22" s="103">
        <f>BS!BJ35-BS!BI35</f>
        <v>0</v>
      </c>
      <c r="BO22" s="103">
        <f>BS!BK35-BS!BJ35</f>
        <v>0</v>
      </c>
      <c r="BP22" s="103">
        <f>BS!BL35-BS!BK35</f>
        <v>0</v>
      </c>
      <c r="BQ22" s="103">
        <f>BS!BM35-BS!BL35</f>
        <v>0</v>
      </c>
      <c r="BR22" s="103">
        <f>BS!BN35-BS!BM35</f>
        <v>0</v>
      </c>
      <c r="BS22" s="103">
        <f>BS!BO35-BS!BN35</f>
        <v>0</v>
      </c>
      <c r="BT22" s="103">
        <f>BS!BP35-BS!BO35</f>
        <v>0</v>
      </c>
      <c r="BU22" s="103">
        <f>BS!BQ35-BS!BP35</f>
        <v>0</v>
      </c>
      <c r="BV22" s="103">
        <f>BS!BR35-BS!BQ35</f>
        <v>0</v>
      </c>
      <c r="BW22" s="103">
        <f>BS!BS35-BS!BR35</f>
        <v>0</v>
      </c>
      <c r="BX22" s="103">
        <f>BS!BT35-BS!BS35</f>
        <v>0</v>
      </c>
      <c r="BY22" s="103">
        <f>BS!BU35-BS!BT35</f>
        <v>0</v>
      </c>
      <c r="BZ22" s="103">
        <f>BS!BV35-BS!BU35</f>
        <v>0</v>
      </c>
      <c r="CA22" s="103">
        <f>BS!BW35-BS!BV35</f>
        <v>0</v>
      </c>
      <c r="CB22" s="103">
        <f>BS!BX35-BS!BW35</f>
        <v>0</v>
      </c>
      <c r="CC22" s="103">
        <f>BS!BY35-BS!BX35</f>
        <v>0</v>
      </c>
      <c r="CD22" s="103">
        <f>BS!BZ35-BS!BY35</f>
        <v>0</v>
      </c>
      <c r="CE22" s="103">
        <f>BS!CA35-BS!BZ35</f>
        <v>0</v>
      </c>
      <c r="CF22" s="103">
        <f>BS!CB35-BS!CA35</f>
        <v>0</v>
      </c>
      <c r="CG22" s="103">
        <f>BS!CC35-BS!CB35</f>
        <v>0</v>
      </c>
      <c r="CH22" s="103">
        <f>BS!CD35-BS!CC35</f>
        <v>0</v>
      </c>
      <c r="CI22" s="103">
        <f>BS!CE35-BS!CD35</f>
        <v>0</v>
      </c>
      <c r="CJ22" s="103">
        <f>BS!CF35-BS!CE35</f>
        <v>0</v>
      </c>
      <c r="CK22" s="103">
        <f>BS!CG35-BS!CF35</f>
        <v>0</v>
      </c>
      <c r="CL22" s="103">
        <f>BS!CH35-BS!CG35</f>
        <v>0</v>
      </c>
      <c r="CM22" s="103">
        <f>BS!CI35-BS!CH35</f>
        <v>0</v>
      </c>
      <c r="CN22" s="103">
        <f>BS!CJ35-BS!CI35</f>
        <v>0</v>
      </c>
      <c r="CO22" s="103">
        <f>BS!CK35-BS!CJ35</f>
        <v>0</v>
      </c>
      <c r="CP22" s="103">
        <f>BS!CL35-BS!CK35</f>
        <v>0</v>
      </c>
      <c r="CQ22" s="103">
        <f>BS!CM35-BS!CL35</f>
        <v>0</v>
      </c>
      <c r="CR22" s="103">
        <f>BS!CN35-BS!CM35</f>
        <v>0</v>
      </c>
      <c r="CS22" s="103">
        <f>BS!CO35-BS!CN35</f>
        <v>0</v>
      </c>
      <c r="CT22" s="103">
        <f>BS!CP35-BS!CO35</f>
        <v>0</v>
      </c>
      <c r="CU22" s="103">
        <f>BS!CQ35-BS!CP35</f>
        <v>0</v>
      </c>
      <c r="CV22" s="103">
        <f>BS!CR35-BS!CQ35</f>
        <v>0</v>
      </c>
      <c r="CW22" s="103">
        <f>BS!CS35-BS!CR35</f>
        <v>0</v>
      </c>
      <c r="CX22" s="103">
        <f>BS!CT35-BS!CS35</f>
        <v>0</v>
      </c>
      <c r="CY22" s="103">
        <f>BS!CU35-BS!CT35</f>
        <v>0</v>
      </c>
      <c r="CZ22" s="103">
        <f>BS!CV35-BS!CU35</f>
        <v>0</v>
      </c>
    </row>
    <row r="23" spans="4:104" x14ac:dyDescent="0.25">
      <c r="D23" s="67" t="s">
        <v>189</v>
      </c>
      <c r="E23" s="69"/>
      <c r="F23" s="103"/>
      <c r="G23" s="100">
        <f t="shared" si="40"/>
        <v>0</v>
      </c>
      <c r="H23" s="100">
        <f t="shared" si="41"/>
        <v>0</v>
      </c>
      <c r="I23" s="100">
        <f t="shared" si="42"/>
        <v>0</v>
      </c>
      <c r="J23" s="100">
        <f t="shared" si="43"/>
        <v>0</v>
      </c>
      <c r="K23" s="100">
        <f t="shared" si="44"/>
        <v>0</v>
      </c>
      <c r="L23" s="100">
        <f t="shared" si="45"/>
        <v>0</v>
      </c>
      <c r="M23" s="21"/>
      <c r="N23" s="21"/>
      <c r="O23" s="21"/>
      <c r="P23" s="101">
        <f t="shared" si="46"/>
        <v>0</v>
      </c>
      <c r="Q23" s="101">
        <f t="shared" si="46"/>
        <v>0</v>
      </c>
      <c r="R23" s="101">
        <f t="shared" si="46"/>
        <v>0</v>
      </c>
      <c r="S23" s="101">
        <f t="shared" si="46"/>
        <v>0</v>
      </c>
      <c r="T23" s="21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36"/>
      <c r="AG23" s="103">
        <f>BS!AC37-BS!AB37</f>
        <v>0</v>
      </c>
      <c r="AH23" s="103">
        <f>BS!AD37-BS!AC37</f>
        <v>0</v>
      </c>
      <c r="AI23" s="103">
        <f>BS!AE37-BS!AD37</f>
        <v>0</v>
      </c>
      <c r="AJ23" s="103">
        <f>BS!AF37-BS!AE37</f>
        <v>0</v>
      </c>
      <c r="AK23" s="103">
        <f>BS!AG37-BS!AF37</f>
        <v>0</v>
      </c>
      <c r="AL23" s="103">
        <f>BS!AH37-BS!AG37</f>
        <v>0</v>
      </c>
      <c r="AM23" s="103">
        <f>BS!AI37-BS!AH37</f>
        <v>0</v>
      </c>
      <c r="AN23" s="103">
        <f>BS!AJ37-BS!AI37</f>
        <v>0</v>
      </c>
      <c r="AO23" s="103">
        <f>BS!AK37-BS!AJ37</f>
        <v>0</v>
      </c>
      <c r="AP23" s="103">
        <f>BS!AL37-BS!AK37</f>
        <v>0</v>
      </c>
      <c r="AQ23" s="103">
        <f>BS!AM37-BS!AL37</f>
        <v>0</v>
      </c>
      <c r="AR23" s="103">
        <f>BS!AN37-BS!AM37</f>
        <v>0</v>
      </c>
      <c r="AS23" s="103">
        <f>BS!AO37-BS!AN37</f>
        <v>0</v>
      </c>
      <c r="AT23" s="103">
        <f>BS!AP37-BS!AO37</f>
        <v>0</v>
      </c>
      <c r="AU23" s="103">
        <f>BS!AQ37-BS!AP37</f>
        <v>0</v>
      </c>
      <c r="AV23" s="103">
        <f>BS!AR37-BS!AQ37</f>
        <v>0</v>
      </c>
      <c r="AW23" s="103">
        <f>BS!AS37-BS!AR37</f>
        <v>0</v>
      </c>
      <c r="AX23" s="103">
        <f>BS!AT37-BS!AS37</f>
        <v>0</v>
      </c>
      <c r="AY23" s="103">
        <f>BS!AU37-BS!AT37</f>
        <v>0</v>
      </c>
      <c r="AZ23" s="103">
        <f>BS!AV37-BS!AU37</f>
        <v>0</v>
      </c>
      <c r="BA23" s="103">
        <f>BS!AW37-BS!AV37</f>
        <v>0</v>
      </c>
      <c r="BB23" s="103">
        <f>BS!AX37-BS!AW37</f>
        <v>0</v>
      </c>
      <c r="BC23" s="103">
        <f>BS!AY37-BS!AX37</f>
        <v>0</v>
      </c>
      <c r="BD23" s="103">
        <f>BS!AZ37-BS!AY37</f>
        <v>0</v>
      </c>
      <c r="BE23" s="103">
        <f>BS!BA37-BS!AZ37</f>
        <v>0</v>
      </c>
      <c r="BF23" s="103">
        <f>BS!BB37-BS!BA37</f>
        <v>0</v>
      </c>
      <c r="BG23" s="103">
        <f>BS!BC37-BS!BB37</f>
        <v>0</v>
      </c>
      <c r="BH23" s="103">
        <f>BS!BD37-BS!BC37</f>
        <v>0</v>
      </c>
      <c r="BI23" s="103">
        <f>BS!BE37-BS!BD37</f>
        <v>0</v>
      </c>
      <c r="BJ23" s="103">
        <f>BS!BF37-BS!BE37</f>
        <v>0</v>
      </c>
      <c r="BK23" s="103">
        <f>BS!BG37-BS!BF37</f>
        <v>0</v>
      </c>
      <c r="BL23" s="103">
        <f>BS!BH37-BS!BG37</f>
        <v>0</v>
      </c>
      <c r="BM23" s="103">
        <f>BS!BI37-BS!BH37</f>
        <v>0</v>
      </c>
      <c r="BN23" s="103">
        <f>BS!BJ37-BS!BI37</f>
        <v>0</v>
      </c>
      <c r="BO23" s="103">
        <f>BS!BK37-BS!BJ37</f>
        <v>0</v>
      </c>
      <c r="BP23" s="103">
        <f>BS!BL37-BS!BK37</f>
        <v>0</v>
      </c>
      <c r="BQ23" s="103">
        <f>BS!BM37-BS!BL37</f>
        <v>0</v>
      </c>
      <c r="BR23" s="103">
        <f>BS!BN37-BS!BM37</f>
        <v>0</v>
      </c>
      <c r="BS23" s="103">
        <f>BS!BO37-BS!BN37</f>
        <v>0</v>
      </c>
      <c r="BT23" s="103">
        <f>BS!BP37-BS!BO37</f>
        <v>0</v>
      </c>
      <c r="BU23" s="103">
        <f>BS!BQ37-BS!BP37</f>
        <v>0</v>
      </c>
      <c r="BV23" s="103">
        <f>BS!BR37-BS!BQ37</f>
        <v>0</v>
      </c>
      <c r="BW23" s="103">
        <f>BS!BS37-BS!BR37</f>
        <v>0</v>
      </c>
      <c r="BX23" s="103">
        <f>BS!BT37-BS!BS37</f>
        <v>0</v>
      </c>
      <c r="BY23" s="103">
        <f>BS!BU37-BS!BT37</f>
        <v>0</v>
      </c>
      <c r="BZ23" s="103">
        <f>BS!BV37-BS!BU37</f>
        <v>0</v>
      </c>
      <c r="CA23" s="103">
        <f>BS!BW37-BS!BV37</f>
        <v>0</v>
      </c>
      <c r="CB23" s="103">
        <f>BS!BX37-BS!BW37</f>
        <v>0</v>
      </c>
      <c r="CC23" s="103">
        <f>BS!BY37-BS!BX37</f>
        <v>0</v>
      </c>
      <c r="CD23" s="103">
        <f>BS!BZ37-BS!BY37</f>
        <v>0</v>
      </c>
      <c r="CE23" s="103">
        <f>BS!CA37-BS!BZ37</f>
        <v>0</v>
      </c>
      <c r="CF23" s="103">
        <f>BS!CB37-BS!CA37</f>
        <v>0</v>
      </c>
      <c r="CG23" s="103">
        <f>BS!CC37-BS!CB37</f>
        <v>0</v>
      </c>
      <c r="CH23" s="103">
        <f>BS!CD37-BS!CC37</f>
        <v>0</v>
      </c>
      <c r="CI23" s="103">
        <f>BS!CE37-BS!CD37</f>
        <v>0</v>
      </c>
      <c r="CJ23" s="103">
        <f>BS!CF37-BS!CE37</f>
        <v>0</v>
      </c>
      <c r="CK23" s="103">
        <f>BS!CG37-BS!CF37</f>
        <v>0</v>
      </c>
      <c r="CL23" s="103">
        <f>BS!CH37-BS!CG37</f>
        <v>0</v>
      </c>
      <c r="CM23" s="103">
        <f>BS!CI37-BS!CH37</f>
        <v>0</v>
      </c>
      <c r="CN23" s="103">
        <f>BS!CJ37-BS!CI37</f>
        <v>0</v>
      </c>
      <c r="CO23" s="103">
        <f>BS!CK37-BS!CJ37</f>
        <v>0</v>
      </c>
      <c r="CP23" s="103">
        <f>BS!CL37-BS!CK37</f>
        <v>0</v>
      </c>
      <c r="CQ23" s="103">
        <f>BS!CM37-BS!CL37</f>
        <v>0</v>
      </c>
      <c r="CR23" s="103">
        <f>BS!CN37-BS!CM37</f>
        <v>0</v>
      </c>
      <c r="CS23" s="103">
        <f>BS!CO37-BS!CN37</f>
        <v>0</v>
      </c>
      <c r="CT23" s="103">
        <f>BS!CP37-BS!CO37</f>
        <v>0</v>
      </c>
      <c r="CU23" s="103">
        <f>BS!CQ37-BS!CP37</f>
        <v>0</v>
      </c>
      <c r="CV23" s="103">
        <f>BS!CR37-BS!CQ37</f>
        <v>0</v>
      </c>
      <c r="CW23" s="103">
        <f>BS!CS37-BS!CR37</f>
        <v>0</v>
      </c>
      <c r="CX23" s="103">
        <f>BS!CT37-BS!CS37</f>
        <v>0</v>
      </c>
      <c r="CY23" s="103">
        <f>BS!CU37-BS!CT37</f>
        <v>0</v>
      </c>
      <c r="CZ23" s="103">
        <f>BS!CV37-BS!CU37</f>
        <v>0</v>
      </c>
    </row>
    <row r="24" spans="4:104" x14ac:dyDescent="0.25">
      <c r="D24" s="70" t="s">
        <v>190</v>
      </c>
      <c r="E24" s="65"/>
      <c r="F24" s="104"/>
      <c r="G24" s="104">
        <f t="shared" ref="G24:I24" ca="1" si="47">SUM(G13:G23)</f>
        <v>-8869468.6423902195</v>
      </c>
      <c r="H24" s="104">
        <f t="shared" ca="1" si="47"/>
        <v>-5748342.1980378181</v>
      </c>
      <c r="I24" s="104">
        <f t="shared" ca="1" si="47"/>
        <v>-659127.97453121562</v>
      </c>
      <c r="J24" s="104">
        <f t="shared" ref="J24:L24" ca="1" si="48">SUM(J13:J23)</f>
        <v>-89949.102369848639</v>
      </c>
      <c r="K24" s="104">
        <f t="shared" ca="1" si="48"/>
        <v>-2568191.2395202033</v>
      </c>
      <c r="L24" s="104">
        <f t="shared" ca="1" si="48"/>
        <v>9292968.3033984974</v>
      </c>
      <c r="M24" s="21"/>
      <c r="N24" s="21"/>
      <c r="O24" s="21"/>
      <c r="P24" s="104">
        <f t="shared" ref="P24:S24" ca="1" si="49">SUM(P13:P23)</f>
        <v>-3402363.8300000005</v>
      </c>
      <c r="Q24" s="104">
        <f t="shared" ca="1" si="49"/>
        <v>-1765466.5408260147</v>
      </c>
      <c r="R24" s="104">
        <f t="shared" ca="1" si="49"/>
        <v>-1597738.0715642059</v>
      </c>
      <c r="S24" s="104">
        <f t="shared" ca="1" si="49"/>
        <v>-2103900.2000000002</v>
      </c>
      <c r="T24" s="21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36"/>
      <c r="AG24" s="104">
        <f ca="1">SUM(AG13:AG23)</f>
        <v>-82273.133333333302</v>
      </c>
      <c r="AH24" s="104">
        <f t="shared" ref="AH24:BP24" ca="1" si="50">SUM(AH13:AH23)</f>
        <v>-2352374.6633333331</v>
      </c>
      <c r="AI24" s="104">
        <f t="shared" ca="1" si="50"/>
        <v>-967716.03333333356</v>
      </c>
      <c r="AJ24" s="104">
        <f t="shared" ca="1" si="50"/>
        <v>-789943.33333333326</v>
      </c>
      <c r="AK24" s="104">
        <f t="shared" ca="1" si="50"/>
        <v>-355973.83333333326</v>
      </c>
      <c r="AL24" s="104">
        <f t="shared" ca="1" si="50"/>
        <v>-619549.37415934796</v>
      </c>
      <c r="AM24" s="104">
        <f t="shared" ca="1" si="50"/>
        <v>-230339.32324550976</v>
      </c>
      <c r="AN24" s="104">
        <f t="shared" ca="1" si="50"/>
        <v>-749498.83333333337</v>
      </c>
      <c r="AO24" s="104">
        <f t="shared" ca="1" si="50"/>
        <v>-617899.91498536267</v>
      </c>
      <c r="AP24" s="104">
        <f t="shared" ca="1" si="50"/>
        <v>-671471.83333333337</v>
      </c>
      <c r="AQ24" s="104">
        <f t="shared" ca="1" si="50"/>
        <v>-785123.83333333326</v>
      </c>
      <c r="AR24" s="104">
        <f t="shared" ca="1" si="50"/>
        <v>-647304.53333333321</v>
      </c>
      <c r="AS24" s="104">
        <f t="shared" ca="1" si="50"/>
        <v>-584545.86666666658</v>
      </c>
      <c r="AT24" s="104">
        <f t="shared" ca="1" si="50"/>
        <v>-1084987.1916369968</v>
      </c>
      <c r="AU24" s="104">
        <f t="shared" ca="1" si="50"/>
        <v>-742056.36666666646</v>
      </c>
      <c r="AV24" s="104">
        <f t="shared" ca="1" si="50"/>
        <v>138048.83333333343</v>
      </c>
      <c r="AW24" s="104">
        <f t="shared" ca="1" si="50"/>
        <v>-738176.45695862011</v>
      </c>
      <c r="AX24" s="104">
        <f t="shared" ca="1" si="50"/>
        <v>-597893.40989002283</v>
      </c>
      <c r="AY24" s="104">
        <f t="shared" ca="1" si="50"/>
        <v>-621355.64428356662</v>
      </c>
      <c r="AZ24" s="104">
        <f t="shared" ca="1" si="50"/>
        <v>-1077682.960321228</v>
      </c>
      <c r="BA24" s="104">
        <f t="shared" ca="1" si="50"/>
        <v>-667772.6479310072</v>
      </c>
      <c r="BB24" s="104">
        <f t="shared" ca="1" si="50"/>
        <v>357897.62757338386</v>
      </c>
      <c r="BC24" s="104">
        <f t="shared" ca="1" si="50"/>
        <v>-111527.76848643064</v>
      </c>
      <c r="BD24" s="104">
        <f t="shared" ca="1" si="50"/>
        <v>-18290.346103331074</v>
      </c>
      <c r="BE24" s="104">
        <f t="shared" ca="1" si="50"/>
        <v>-1554844.8059201683</v>
      </c>
      <c r="BF24" s="104">
        <f t="shared" ca="1" si="50"/>
        <v>-992201.4291656781</v>
      </c>
      <c r="BG24" s="104">
        <f t="shared" ca="1" si="50"/>
        <v>772918.73912295292</v>
      </c>
      <c r="BH24" s="104">
        <f t="shared" ca="1" si="50"/>
        <v>1150736.4511333965</v>
      </c>
      <c r="BI24" s="104">
        <f t="shared" ca="1" si="50"/>
        <v>-730623.07796700718</v>
      </c>
      <c r="BJ24" s="104">
        <f t="shared" ca="1" si="50"/>
        <v>37072.342778305348</v>
      </c>
      <c r="BK24" s="104">
        <f t="shared" ca="1" si="50"/>
        <v>-1603472.9071623555</v>
      </c>
      <c r="BL24" s="104">
        <f t="shared" ca="1" si="50"/>
        <v>-736033.10640280077</v>
      </c>
      <c r="BM24" s="104">
        <f t="shared" ca="1" si="50"/>
        <v>1249972.0013747134</v>
      </c>
      <c r="BN24" s="104">
        <f t="shared" ca="1" si="50"/>
        <v>612696.70108987996</v>
      </c>
      <c r="BO24" s="104">
        <f t="shared" ca="1" si="50"/>
        <v>552127.30301250098</v>
      </c>
      <c r="BP24" s="104">
        <f t="shared" ca="1" si="50"/>
        <v>582523.81357504521</v>
      </c>
      <c r="BQ24" s="104">
        <f t="shared" ref="BQ24:CZ24" ca="1" si="51">SUM(BQ13:BQ23)</f>
        <v>-2990177.9142686571</v>
      </c>
      <c r="BR24" s="104">
        <f t="shared" ca="1" si="51"/>
        <v>-2950475.0681352615</v>
      </c>
      <c r="BS24" s="104">
        <f t="shared" ca="1" si="51"/>
        <v>2692650.0856856508</v>
      </c>
      <c r="BT24" s="104">
        <f t="shared" ca="1" si="51"/>
        <v>2891706.0754996194</v>
      </c>
      <c r="BU24" s="104">
        <f t="shared" ca="1" si="51"/>
        <v>-1445842.2253798023</v>
      </c>
      <c r="BV24" s="104">
        <f t="shared" ca="1" si="51"/>
        <v>-181172.42195231561</v>
      </c>
      <c r="BW24" s="104">
        <f t="shared" ca="1" si="51"/>
        <v>-4459409.1048884671</v>
      </c>
      <c r="BX24" s="104">
        <f t="shared" ca="1" si="51"/>
        <v>-1038807.9243787327</v>
      </c>
      <c r="BY24" s="104">
        <f t="shared" ca="1" si="51"/>
        <v>4324186.9727405002</v>
      </c>
      <c r="BZ24" s="104">
        <f t="shared" ca="1" si="51"/>
        <v>846349.232912587</v>
      </c>
      <c r="CA24" s="104">
        <f t="shared" ca="1" si="51"/>
        <v>1161031.1721275169</v>
      </c>
      <c r="CB24" s="104">
        <f t="shared" ca="1" si="51"/>
        <v>1060012.0176675133</v>
      </c>
      <c r="CC24" s="104">
        <f t="shared" ca="1" si="51"/>
        <v>-8194464.6606619554</v>
      </c>
      <c r="CD24" s="104">
        <f t="shared" ca="1" si="51"/>
        <v>-4569805.7900495641</v>
      </c>
      <c r="CE24" s="104">
        <f t="shared" ca="1" si="51"/>
        <v>6197503.2087344071</v>
      </c>
      <c r="CF24" s="104">
        <f t="shared" ca="1" si="51"/>
        <v>5515585.7600717116</v>
      </c>
      <c r="CG24" s="104">
        <f t="shared" ca="1" si="51"/>
        <v>-2879915.5656626225</v>
      </c>
      <c r="CH24" s="104">
        <f t="shared" ca="1" si="51"/>
        <v>-1314890.8450739693</v>
      </c>
      <c r="CI24" s="104">
        <f t="shared" ca="1" si="51"/>
        <v>-11143901.677954933</v>
      </c>
      <c r="CJ24" s="104">
        <f t="shared" ca="1" si="51"/>
        <v>-1222193.9145032645</v>
      </c>
      <c r="CK24" s="104">
        <f t="shared" ca="1" si="51"/>
        <v>11795314.898620993</v>
      </c>
      <c r="CL24" s="104">
        <f t="shared" ca="1" si="51"/>
        <v>905126.32431616238</v>
      </c>
      <c r="CM24" s="104">
        <f t="shared" ca="1" si="51"/>
        <v>1802175.0769272782</v>
      </c>
      <c r="CN24" s="104">
        <f t="shared" ca="1" si="51"/>
        <v>541275.9457155522</v>
      </c>
      <c r="CO24" s="104">
        <f t="shared" ca="1" si="51"/>
        <v>-11315467.653338356</v>
      </c>
      <c r="CP24" s="104">
        <f t="shared" ca="1" si="51"/>
        <v>-4663300.6009826669</v>
      </c>
      <c r="CQ24" s="104">
        <f t="shared" ca="1" si="51"/>
        <v>13656774.093328711</v>
      </c>
      <c r="CR24" s="104">
        <f t="shared" ca="1" si="51"/>
        <v>9540884.4057519715</v>
      </c>
      <c r="CS24" s="104">
        <f t="shared" ca="1" si="51"/>
        <v>-3756594.3910595328</v>
      </c>
      <c r="CT24" s="104">
        <f t="shared" ca="1" si="51"/>
        <v>-2099704.7172642546</v>
      </c>
      <c r="CU24" s="104">
        <f t="shared" ca="1" si="51"/>
        <v>-23997929.551749364</v>
      </c>
      <c r="CV24" s="104">
        <f t="shared" ca="1" si="51"/>
        <v>-126111.24632467081</v>
      </c>
      <c r="CW24" s="104">
        <f t="shared" ca="1" si="51"/>
        <v>26565485.706723984</v>
      </c>
      <c r="CX24" s="104">
        <f t="shared" ca="1" si="51"/>
        <v>1689789.7681760099</v>
      </c>
      <c r="CY24" s="104">
        <f t="shared" ca="1" si="51"/>
        <v>3497142.7399445781</v>
      </c>
      <c r="CZ24" s="104">
        <f t="shared" ca="1" si="51"/>
        <v>301999.75019208528</v>
      </c>
    </row>
    <row r="25" spans="4:104" x14ac:dyDescent="0.25">
      <c r="D25" s="65"/>
      <c r="E25" s="65"/>
      <c r="F25" s="105"/>
      <c r="G25" s="105"/>
      <c r="H25" s="105"/>
      <c r="I25" s="105"/>
      <c r="J25" s="105"/>
      <c r="K25" s="105"/>
      <c r="L25" s="105"/>
      <c r="M25" s="21"/>
      <c r="N25" s="21"/>
      <c r="O25" s="21"/>
      <c r="P25" s="105"/>
      <c r="Q25" s="105"/>
      <c r="R25" s="105"/>
      <c r="S25" s="105"/>
      <c r="T25" s="21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36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5"/>
      <c r="CL25" s="105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</row>
    <row r="26" spans="4:104" x14ac:dyDescent="0.25">
      <c r="D26" s="64" t="s">
        <v>191</v>
      </c>
      <c r="E26" s="65"/>
      <c r="F26" s="102"/>
      <c r="G26" s="102"/>
      <c r="H26" s="102"/>
      <c r="I26" s="102"/>
      <c r="J26" s="102"/>
      <c r="K26" s="102"/>
      <c r="L26" s="102"/>
      <c r="M26" s="21"/>
      <c r="N26" s="21"/>
      <c r="O26" s="21"/>
      <c r="P26" s="102"/>
      <c r="Q26" s="102"/>
      <c r="R26" s="102"/>
      <c r="S26" s="102"/>
      <c r="T26" s="21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36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2"/>
      <c r="CG26" s="102"/>
      <c r="CH26" s="102"/>
      <c r="CI26" s="102"/>
      <c r="CJ26" s="102"/>
      <c r="CK26" s="102"/>
      <c r="CL26" s="102"/>
      <c r="CM26" s="102"/>
      <c r="CN26" s="102"/>
      <c r="CO26" s="102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</row>
    <row r="27" spans="4:104" x14ac:dyDescent="0.25">
      <c r="D27" s="66" t="s">
        <v>192</v>
      </c>
      <c r="E27" s="69"/>
      <c r="F27" s="106"/>
      <c r="G27" s="100">
        <f t="shared" ref="G27:G28" si="52">SUM(AG27:AR27)</f>
        <v>-1547145</v>
      </c>
      <c r="H27" s="100">
        <f t="shared" ref="H27:H28" si="53">SUM(AS27:BD27)</f>
        <v>-529999.99999999977</v>
      </c>
      <c r="I27" s="100">
        <f t="shared" ref="I27:I28" si="54">SUM(BE27:BP27)</f>
        <v>-975000.00000000012</v>
      </c>
      <c r="J27" s="100">
        <f>SUM(BQ27:CB27)</f>
        <v>-349999.9999999993</v>
      </c>
      <c r="K27" s="100">
        <f>SUM(CC27:CN27)</f>
        <v>-699999.99999999814</v>
      </c>
      <c r="L27" s="100">
        <f>SUM(CO27:CZ27)</f>
        <v>-349999.99999999651</v>
      </c>
      <c r="M27" s="21"/>
      <c r="N27" s="21"/>
      <c r="O27" s="21"/>
      <c r="P27" s="101">
        <f t="shared" ref="P27:S28" si="55">SUMIFS($AG27:$CB27,$AG$10:$CB$10,P$11)</f>
        <v>-415000.00000000006</v>
      </c>
      <c r="Q27" s="101">
        <f t="shared" si="55"/>
        <v>1.4551915228366852E-11</v>
      </c>
      <c r="R27" s="101">
        <f t="shared" si="55"/>
        <v>1.2369127944111824E-10</v>
      </c>
      <c r="S27" s="101">
        <f t="shared" si="55"/>
        <v>-1132145</v>
      </c>
      <c r="T27" s="21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36"/>
      <c r="AG27" s="106">
        <f>-BS!AC23+BS!AB23-AG14</f>
        <v>4.7293724492192268E-11</v>
      </c>
      <c r="AH27" s="106">
        <f>-BS!AD23+BS!AC23-AH14</f>
        <v>0</v>
      </c>
      <c r="AI27" s="106">
        <f>-BS!AE23+BS!AD23-AI14</f>
        <v>-415000.00000000012</v>
      </c>
      <c r="AJ27" s="106">
        <f>-BS!AF23+BS!AE23-AJ14</f>
        <v>1.2369127944111824E-10</v>
      </c>
      <c r="AK27" s="106">
        <f>-BS!AG23+BS!AF23-AK14</f>
        <v>0</v>
      </c>
      <c r="AL27" s="106">
        <f>-BS!AH23+BS!AG23-AL14</f>
        <v>-1.0913936421275139E-10</v>
      </c>
      <c r="AM27" s="106">
        <f>-BS!AI23+BS!AH23-AM14</f>
        <v>1.2369127944111824E-10</v>
      </c>
      <c r="AN27" s="106">
        <f>-BS!AJ23+BS!AI23-AN14</f>
        <v>0</v>
      </c>
      <c r="AO27" s="106">
        <f>-BS!AK23+BS!AJ23-AO14</f>
        <v>0</v>
      </c>
      <c r="AP27" s="106">
        <f>-BS!AL23+BS!AK23-AP14</f>
        <v>-435000</v>
      </c>
      <c r="AQ27" s="106">
        <f>-BS!AM23+BS!AL23-AQ14</f>
        <v>-150604.99999999994</v>
      </c>
      <c r="AR27" s="106">
        <f>-BS!AN23+BS!AM23-AR14</f>
        <v>-546540.00000000012</v>
      </c>
      <c r="AS27" s="106">
        <f>-BS!AO23+BS!AN23-AS14</f>
        <v>-1.8917489796876907E-10</v>
      </c>
      <c r="AT27" s="106">
        <f>-BS!AP23+BS!AO23-AT14</f>
        <v>2.7648638933897018E-10</v>
      </c>
      <c r="AU27" s="106">
        <f>-BS!AQ23+BS!AP23-AU14</f>
        <v>-1.8917489796876907E-10</v>
      </c>
      <c r="AV27" s="106">
        <f>-BS!AR23+BS!AQ23-AV14</f>
        <v>2.7648638933897018E-10</v>
      </c>
      <c r="AW27" s="106">
        <f>-BS!AS23+BS!AR23-AW14</f>
        <v>-230000.00000000026</v>
      </c>
      <c r="AX27" s="106">
        <f>-BS!AT23+BS!AS23-AX14</f>
        <v>2.0372681319713593E-10</v>
      </c>
      <c r="AY27" s="106">
        <f>-BS!AU23+BS!AT23-AY14</f>
        <v>0</v>
      </c>
      <c r="AZ27" s="106">
        <f>-BS!AV23+BS!AU23-AZ14</f>
        <v>0</v>
      </c>
      <c r="BA27" s="106">
        <f>-BS!AW23+BS!AV23-BA14</f>
        <v>-299999.99999999988</v>
      </c>
      <c r="BB27" s="106">
        <f>-BS!AX23+BS!AW23-BB14</f>
        <v>-2.6193447411060333E-10</v>
      </c>
      <c r="BC27" s="106">
        <f>-BS!AY23+BS!AX23-BC14</f>
        <v>2.0372681319713593E-10</v>
      </c>
      <c r="BD27" s="106">
        <f>-BS!AZ23+BS!AY23-BD14</f>
        <v>0</v>
      </c>
      <c r="BE27" s="106">
        <f>-BS!BA23+BS!AZ23-BE14</f>
        <v>-975000.00000000035</v>
      </c>
      <c r="BF27" s="106">
        <f>-BS!BB23+BS!BA23-BF14</f>
        <v>0</v>
      </c>
      <c r="BG27" s="106">
        <f>-BS!BC23+BS!BB23-BG14</f>
        <v>0</v>
      </c>
      <c r="BH27" s="106">
        <f>-BS!BD23+BS!BC23-BH14</f>
        <v>0</v>
      </c>
      <c r="BI27" s="106">
        <f>-BS!BE23+BS!BD23-BI14</f>
        <v>0</v>
      </c>
      <c r="BJ27" s="106">
        <f>-BS!BF23+BS!BE23-BJ14</f>
        <v>0</v>
      </c>
      <c r="BK27" s="106">
        <f>-BS!BG23+BS!BF23-BK14</f>
        <v>0</v>
      </c>
      <c r="BL27" s="106">
        <f>-BS!BH23+BS!BG23-BL14</f>
        <v>0</v>
      </c>
      <c r="BM27" s="106">
        <f>-BS!BI23+BS!BH23-BM14</f>
        <v>1.6007106751203537E-10</v>
      </c>
      <c r="BN27" s="106">
        <f>-BS!BJ23+BS!BI23-BN14</f>
        <v>1.6007106751203537E-10</v>
      </c>
      <c r="BO27" s="106">
        <f>-BS!BK23+BS!BJ23-BO14</f>
        <v>0</v>
      </c>
      <c r="BP27" s="106">
        <f>-BS!BL23+BS!BK23-BP14</f>
        <v>0</v>
      </c>
      <c r="BQ27" s="106">
        <f>-BS!BM23+BS!BL23-BQ14</f>
        <v>-349999.99999999983</v>
      </c>
      <c r="BR27" s="106">
        <f>-BS!BN23+BS!BM23-BR14</f>
        <v>1.6007106751203537E-10</v>
      </c>
      <c r="BS27" s="106">
        <f>-BS!BO23+BS!BN23-BS14</f>
        <v>1.6007106751203537E-10</v>
      </c>
      <c r="BT27" s="106">
        <f>-BS!BP23+BS!BO23-BT14</f>
        <v>1.6007106751203537E-10</v>
      </c>
      <c r="BU27" s="106">
        <f>-BS!BQ23+BS!BP23-BU14</f>
        <v>0</v>
      </c>
      <c r="BV27" s="106">
        <f>-BS!BR23+BS!BQ23-BV14</f>
        <v>0</v>
      </c>
      <c r="BW27" s="106">
        <f>-BS!BS23+BS!BR23-BW14</f>
        <v>0</v>
      </c>
      <c r="BX27" s="106">
        <f>-BS!BT23+BS!BS23-BX14</f>
        <v>0</v>
      </c>
      <c r="BY27" s="106">
        <f>-BS!BU23+BS!BT23-BY14</f>
        <v>0</v>
      </c>
      <c r="BZ27" s="106">
        <f>-BS!BV23+BS!BU23-BZ14</f>
        <v>0</v>
      </c>
      <c r="CA27" s="106">
        <f>-BS!BW23+BS!BV23-CA14</f>
        <v>0</v>
      </c>
      <c r="CB27" s="106">
        <f>-BS!BX23+BS!BW23-CB14</f>
        <v>0</v>
      </c>
      <c r="CC27" s="106">
        <f>-BS!BY23+BS!BX23-CC14</f>
        <v>-349999.99999999983</v>
      </c>
      <c r="CD27" s="106">
        <f>-BS!BZ23+BS!BY23-CD14</f>
        <v>1.5279510989785194E-10</v>
      </c>
      <c r="CE27" s="106">
        <f>-BS!CA23+BS!BZ23-CE14</f>
        <v>1.5279510989785194E-10</v>
      </c>
      <c r="CF27" s="106">
        <f>-BS!CB23+BS!CA23-CF14</f>
        <v>1.5279510989785194E-10</v>
      </c>
      <c r="CG27" s="106">
        <f>-BS!CC23+BS!CB23-CG14</f>
        <v>1.5279510989785194E-10</v>
      </c>
      <c r="CH27" s="106">
        <f>-BS!CD23+BS!CC23-CH14</f>
        <v>-350000.00000000017</v>
      </c>
      <c r="CI27" s="106">
        <f>-BS!CE23+BS!CD23-CI14</f>
        <v>-1.6007106751203537E-10</v>
      </c>
      <c r="CJ27" s="106">
        <f>-BS!CF23+BS!CE23-CJ14</f>
        <v>-1.6007106751203537E-10</v>
      </c>
      <c r="CK27" s="106">
        <f>-BS!CG23+BS!CF23-CK14</f>
        <v>3.0559021979570389E-10</v>
      </c>
      <c r="CL27" s="106">
        <f>-BS!CH23+BS!CG23-CL14</f>
        <v>3.0559021979570389E-10</v>
      </c>
      <c r="CM27" s="106">
        <f>-BS!CI23+BS!CH23-CM14</f>
        <v>3.0559021979570389E-10</v>
      </c>
      <c r="CN27" s="106">
        <f>-BS!CJ23+BS!CI23-CN14</f>
        <v>3.0559021979570389E-10</v>
      </c>
      <c r="CO27" s="106">
        <f>-BS!CK23+BS!CJ23-CO14</f>
        <v>-349999.99999999971</v>
      </c>
      <c r="CP27" s="106">
        <f>-BS!CL23+BS!CK23-CP14</f>
        <v>3.0559021979570389E-10</v>
      </c>
      <c r="CQ27" s="106">
        <f>-BS!CM23+BS!CL23-CQ14</f>
        <v>3.0559021979570389E-10</v>
      </c>
      <c r="CR27" s="106">
        <f>-BS!CN23+BS!CM23-CR14</f>
        <v>3.0559021979570389E-10</v>
      </c>
      <c r="CS27" s="106">
        <f>-BS!CO23+BS!CN23-CS14</f>
        <v>3.0559021979570389E-10</v>
      </c>
      <c r="CT27" s="106">
        <f>-BS!CP23+BS!CO23-CT14</f>
        <v>3.0559021979570389E-10</v>
      </c>
      <c r="CU27" s="106">
        <f>-BS!CQ23+BS!CP23-CU14</f>
        <v>3.0559021979570389E-10</v>
      </c>
      <c r="CV27" s="106">
        <f>-BS!CR23+BS!CQ23-CV14</f>
        <v>3.0559021979570389E-10</v>
      </c>
      <c r="CW27" s="106">
        <f>-BS!CS23+BS!CR23-CW14</f>
        <v>3.0559021979570389E-10</v>
      </c>
      <c r="CX27" s="106">
        <f>-BS!CT23+BS!CS23-CX14</f>
        <v>3.0559021979570389E-10</v>
      </c>
      <c r="CY27" s="106">
        <f>-BS!CU23+BS!CT23-CY14</f>
        <v>3.0559021979570389E-10</v>
      </c>
      <c r="CZ27" s="106">
        <f>-BS!CV23+BS!CU23-CZ14</f>
        <v>3.0559021979570389E-10</v>
      </c>
    </row>
    <row r="28" spans="4:104" x14ac:dyDescent="0.25">
      <c r="D28" s="66" t="s">
        <v>193</v>
      </c>
      <c r="E28" s="65"/>
      <c r="F28" s="106"/>
      <c r="G28" s="100">
        <f t="shared" si="52"/>
        <v>0</v>
      </c>
      <c r="H28" s="100">
        <f t="shared" si="53"/>
        <v>0</v>
      </c>
      <c r="I28" s="100">
        <f t="shared" si="54"/>
        <v>0</v>
      </c>
      <c r="J28" s="100">
        <f>SUM(BQ28:CB28)</f>
        <v>0</v>
      </c>
      <c r="K28" s="100">
        <f>SUM(CC28:CN28)</f>
        <v>0</v>
      </c>
      <c r="L28" s="100">
        <f>SUM(CO28:CZ28)</f>
        <v>0</v>
      </c>
      <c r="M28" s="21"/>
      <c r="N28" s="21"/>
      <c r="O28" s="21"/>
      <c r="P28" s="101">
        <f t="shared" si="55"/>
        <v>0</v>
      </c>
      <c r="Q28" s="101">
        <f t="shared" si="55"/>
        <v>0</v>
      </c>
      <c r="R28" s="101">
        <f t="shared" si="55"/>
        <v>0</v>
      </c>
      <c r="S28" s="101">
        <f t="shared" si="55"/>
        <v>0</v>
      </c>
      <c r="T28" s="21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36"/>
      <c r="AG28" s="107">
        <f>-BS!AC26+BS!AB26</f>
        <v>0</v>
      </c>
      <c r="AH28" s="107">
        <f>-BS!AD26+BS!AC26</f>
        <v>0</v>
      </c>
      <c r="AI28" s="107">
        <f>-BS!AE26+BS!AD26</f>
        <v>0</v>
      </c>
      <c r="AJ28" s="107">
        <f>-BS!AF26+BS!AE26</f>
        <v>0</v>
      </c>
      <c r="AK28" s="107">
        <f>-BS!AG26+BS!AF26</f>
        <v>0</v>
      </c>
      <c r="AL28" s="107">
        <f>-BS!AH26+BS!AG26</f>
        <v>0</v>
      </c>
      <c r="AM28" s="107">
        <f>-BS!AI26+BS!AH26</f>
        <v>0</v>
      </c>
      <c r="AN28" s="107">
        <f>-BS!AJ26+BS!AI26</f>
        <v>0</v>
      </c>
      <c r="AO28" s="107">
        <f>-BS!AK26+BS!AJ26</f>
        <v>0</v>
      </c>
      <c r="AP28" s="107">
        <f>-BS!AL26+BS!AK26</f>
        <v>0</v>
      </c>
      <c r="AQ28" s="107">
        <f>-BS!AM26+BS!AL26</f>
        <v>0</v>
      </c>
      <c r="AR28" s="107">
        <f>-BS!AN26+BS!AM26</f>
        <v>0</v>
      </c>
      <c r="AS28" s="107">
        <f>-BS!AO26+BS!AN26</f>
        <v>0</v>
      </c>
      <c r="AT28" s="107">
        <f>-BS!AP26+BS!AO26</f>
        <v>0</v>
      </c>
      <c r="AU28" s="107">
        <f>-BS!AQ26+BS!AP26</f>
        <v>0</v>
      </c>
      <c r="AV28" s="107">
        <f>-BS!AR26+BS!AQ26</f>
        <v>0</v>
      </c>
      <c r="AW28" s="107">
        <f>-BS!AS26+BS!AR26</f>
        <v>0</v>
      </c>
      <c r="AX28" s="107">
        <f>-BS!AT26+BS!AS26</f>
        <v>0</v>
      </c>
      <c r="AY28" s="107">
        <f>-BS!AU26+BS!AT26</f>
        <v>0</v>
      </c>
      <c r="AZ28" s="107">
        <f>-BS!AV26+BS!AU26</f>
        <v>0</v>
      </c>
      <c r="BA28" s="107">
        <f>-BS!AW26+BS!AV26</f>
        <v>0</v>
      </c>
      <c r="BB28" s="107">
        <f>-BS!AX26+BS!AW26</f>
        <v>0</v>
      </c>
      <c r="BC28" s="107">
        <f>-BS!AY26+BS!AX26</f>
        <v>0</v>
      </c>
      <c r="BD28" s="107">
        <f>-BS!AZ26+BS!AY26</f>
        <v>0</v>
      </c>
      <c r="BE28" s="107">
        <f>-BS!BA26+BS!AZ26</f>
        <v>0</v>
      </c>
      <c r="BF28" s="107">
        <f>-BS!BB26+BS!BA26</f>
        <v>0</v>
      </c>
      <c r="BG28" s="107">
        <f>-BS!BC26+BS!BB26</f>
        <v>0</v>
      </c>
      <c r="BH28" s="107">
        <f>-BS!BD26+BS!BC26</f>
        <v>0</v>
      </c>
      <c r="BI28" s="107">
        <f>-BS!BE26+BS!BD26</f>
        <v>0</v>
      </c>
      <c r="BJ28" s="107">
        <f>-BS!BF26+BS!BE26</f>
        <v>0</v>
      </c>
      <c r="BK28" s="107">
        <f>-BS!BG26+BS!BF26</f>
        <v>0</v>
      </c>
      <c r="BL28" s="107">
        <f>-BS!BH26+BS!BG26</f>
        <v>0</v>
      </c>
      <c r="BM28" s="107">
        <f>-BS!BI26+BS!BH26</f>
        <v>0</v>
      </c>
      <c r="BN28" s="107">
        <f>-BS!BJ26+BS!BI26</f>
        <v>0</v>
      </c>
      <c r="BO28" s="107">
        <f>-BS!BK26+BS!BJ26</f>
        <v>0</v>
      </c>
      <c r="BP28" s="107">
        <f>-BS!BL26+BS!BK26</f>
        <v>0</v>
      </c>
      <c r="BQ28" s="107">
        <f>-BS!BM26+BS!BL26</f>
        <v>0</v>
      </c>
      <c r="BR28" s="107">
        <f>-BS!BN26+BS!BM26</f>
        <v>0</v>
      </c>
      <c r="BS28" s="107">
        <f>-BS!BO26+BS!BN26</f>
        <v>0</v>
      </c>
      <c r="BT28" s="107">
        <f>-BS!BP26+BS!BO26</f>
        <v>0</v>
      </c>
      <c r="BU28" s="107">
        <f>-BS!BQ26+BS!BP26</f>
        <v>0</v>
      </c>
      <c r="BV28" s="107">
        <f>-BS!BR26+BS!BQ26</f>
        <v>0</v>
      </c>
      <c r="BW28" s="107">
        <f>-BS!BS26+BS!BR26</f>
        <v>0</v>
      </c>
      <c r="BX28" s="107">
        <f>-BS!BT26+BS!BS26</f>
        <v>0</v>
      </c>
      <c r="BY28" s="107">
        <f>-BS!BU26+BS!BT26</f>
        <v>0</v>
      </c>
      <c r="BZ28" s="107">
        <f>-BS!BV26+BS!BU26</f>
        <v>0</v>
      </c>
      <c r="CA28" s="107">
        <f>-BS!BW26+BS!BV26</f>
        <v>0</v>
      </c>
      <c r="CB28" s="107">
        <f>-BS!BX26+BS!BW26</f>
        <v>0</v>
      </c>
      <c r="CC28" s="107">
        <f>-BS!BY26+BS!BX26</f>
        <v>0</v>
      </c>
      <c r="CD28" s="107">
        <f>-BS!BZ26+BS!BY26</f>
        <v>0</v>
      </c>
      <c r="CE28" s="107">
        <f>-BS!CA26+BS!BZ26</f>
        <v>0</v>
      </c>
      <c r="CF28" s="107">
        <f>-BS!CB26+BS!CA26</f>
        <v>0</v>
      </c>
      <c r="CG28" s="107">
        <f>-BS!CC26+BS!CB26</f>
        <v>0</v>
      </c>
      <c r="CH28" s="107">
        <f>-BS!CD26+BS!CC26</f>
        <v>0</v>
      </c>
      <c r="CI28" s="107">
        <f>-BS!CE26+BS!CD26</f>
        <v>0</v>
      </c>
      <c r="CJ28" s="107">
        <f>-BS!CF26+BS!CE26</f>
        <v>0</v>
      </c>
      <c r="CK28" s="107">
        <f>-BS!CG26+BS!CF26</f>
        <v>0</v>
      </c>
      <c r="CL28" s="107">
        <f>-BS!CH26+BS!CG26</f>
        <v>0</v>
      </c>
      <c r="CM28" s="107">
        <f>-BS!CI26+BS!CH26</f>
        <v>0</v>
      </c>
      <c r="CN28" s="107">
        <f>-BS!CJ26+BS!CI26</f>
        <v>0</v>
      </c>
      <c r="CO28" s="107">
        <f>-BS!CK26+BS!CJ26</f>
        <v>0</v>
      </c>
      <c r="CP28" s="107">
        <f>-BS!CL26+BS!CK26</f>
        <v>0</v>
      </c>
      <c r="CQ28" s="107">
        <f>-BS!CM26+BS!CL26</f>
        <v>0</v>
      </c>
      <c r="CR28" s="107">
        <f>-BS!CN26+BS!CM26</f>
        <v>0</v>
      </c>
      <c r="CS28" s="107">
        <f>-BS!CO26+BS!CN26</f>
        <v>0</v>
      </c>
      <c r="CT28" s="107">
        <f>-BS!CP26+BS!CO26</f>
        <v>0</v>
      </c>
      <c r="CU28" s="107">
        <f>-BS!CQ26+BS!CP26</f>
        <v>0</v>
      </c>
      <c r="CV28" s="107">
        <f>-BS!CR26+BS!CQ26</f>
        <v>0</v>
      </c>
      <c r="CW28" s="107">
        <f>-BS!CS26+BS!CR26</f>
        <v>0</v>
      </c>
      <c r="CX28" s="107">
        <f>-BS!CT26+BS!CS26</f>
        <v>0</v>
      </c>
      <c r="CY28" s="107">
        <f>-BS!CU26+BS!CT26</f>
        <v>0</v>
      </c>
      <c r="CZ28" s="107">
        <f>-BS!CV26+BS!CU26</f>
        <v>0</v>
      </c>
    </row>
    <row r="29" spans="4:104" x14ac:dyDescent="0.25">
      <c r="D29" s="70" t="s">
        <v>194</v>
      </c>
      <c r="E29" s="70"/>
      <c r="F29" s="106"/>
      <c r="G29" s="129">
        <f t="shared" ref="G29:I29" si="56">SUM(G27:G28)</f>
        <v>-1547145</v>
      </c>
      <c r="H29" s="129">
        <f t="shared" si="56"/>
        <v>-529999.99999999977</v>
      </c>
      <c r="I29" s="129">
        <f t="shared" si="56"/>
        <v>-975000.00000000012</v>
      </c>
      <c r="J29" s="129">
        <f t="shared" ref="J29:L29" si="57">SUM(J27:J28)</f>
        <v>-349999.9999999993</v>
      </c>
      <c r="K29" s="129">
        <f t="shared" si="57"/>
        <v>-699999.99999999814</v>
      </c>
      <c r="L29" s="129">
        <f t="shared" si="57"/>
        <v>-349999.99999999651</v>
      </c>
      <c r="M29" s="21"/>
      <c r="N29" s="21"/>
      <c r="O29" s="21"/>
      <c r="P29" s="129">
        <f t="shared" ref="P29:S29" si="58">SUM(P27:P28)</f>
        <v>-415000.00000000006</v>
      </c>
      <c r="Q29" s="129">
        <f t="shared" si="58"/>
        <v>1.4551915228366852E-11</v>
      </c>
      <c r="R29" s="129">
        <f t="shared" si="58"/>
        <v>1.2369127944111824E-10</v>
      </c>
      <c r="S29" s="129">
        <f t="shared" si="58"/>
        <v>-1132145</v>
      </c>
      <c r="T29" s="21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36"/>
      <c r="AG29" s="108">
        <f t="shared" ref="AG29:BP29" si="59">SUM(AG27:AG28)</f>
        <v>4.7293724492192268E-11</v>
      </c>
      <c r="AH29" s="108">
        <f t="shared" si="59"/>
        <v>0</v>
      </c>
      <c r="AI29" s="108">
        <f t="shared" si="59"/>
        <v>-415000.00000000012</v>
      </c>
      <c r="AJ29" s="108">
        <f t="shared" si="59"/>
        <v>1.2369127944111824E-10</v>
      </c>
      <c r="AK29" s="108">
        <f t="shared" si="59"/>
        <v>0</v>
      </c>
      <c r="AL29" s="108">
        <f t="shared" si="59"/>
        <v>-1.0913936421275139E-10</v>
      </c>
      <c r="AM29" s="108">
        <f t="shared" si="59"/>
        <v>1.2369127944111824E-10</v>
      </c>
      <c r="AN29" s="108">
        <f t="shared" si="59"/>
        <v>0</v>
      </c>
      <c r="AO29" s="108">
        <f t="shared" si="59"/>
        <v>0</v>
      </c>
      <c r="AP29" s="108">
        <f t="shared" si="59"/>
        <v>-435000</v>
      </c>
      <c r="AQ29" s="108">
        <f t="shared" si="59"/>
        <v>-150604.99999999994</v>
      </c>
      <c r="AR29" s="108">
        <f t="shared" si="59"/>
        <v>-546540.00000000012</v>
      </c>
      <c r="AS29" s="108">
        <f t="shared" si="59"/>
        <v>-1.8917489796876907E-10</v>
      </c>
      <c r="AT29" s="108">
        <f t="shared" si="59"/>
        <v>2.7648638933897018E-10</v>
      </c>
      <c r="AU29" s="108">
        <f t="shared" si="59"/>
        <v>-1.8917489796876907E-10</v>
      </c>
      <c r="AV29" s="108">
        <f t="shared" si="59"/>
        <v>2.7648638933897018E-10</v>
      </c>
      <c r="AW29" s="108">
        <f t="shared" si="59"/>
        <v>-230000.00000000026</v>
      </c>
      <c r="AX29" s="108">
        <f t="shared" si="59"/>
        <v>2.0372681319713593E-10</v>
      </c>
      <c r="AY29" s="108">
        <f t="shared" si="59"/>
        <v>0</v>
      </c>
      <c r="AZ29" s="108">
        <f t="shared" si="59"/>
        <v>0</v>
      </c>
      <c r="BA29" s="108">
        <f t="shared" si="59"/>
        <v>-299999.99999999988</v>
      </c>
      <c r="BB29" s="108">
        <f t="shared" si="59"/>
        <v>-2.6193447411060333E-10</v>
      </c>
      <c r="BC29" s="108">
        <f t="shared" si="59"/>
        <v>2.0372681319713593E-10</v>
      </c>
      <c r="BD29" s="108">
        <f t="shared" si="59"/>
        <v>0</v>
      </c>
      <c r="BE29" s="108">
        <f t="shared" si="59"/>
        <v>-975000.00000000035</v>
      </c>
      <c r="BF29" s="108">
        <f t="shared" si="59"/>
        <v>0</v>
      </c>
      <c r="BG29" s="108">
        <f t="shared" si="59"/>
        <v>0</v>
      </c>
      <c r="BH29" s="108">
        <f t="shared" si="59"/>
        <v>0</v>
      </c>
      <c r="BI29" s="108">
        <f t="shared" si="59"/>
        <v>0</v>
      </c>
      <c r="BJ29" s="108">
        <f t="shared" si="59"/>
        <v>0</v>
      </c>
      <c r="BK29" s="108">
        <f t="shared" si="59"/>
        <v>0</v>
      </c>
      <c r="BL29" s="108">
        <f t="shared" si="59"/>
        <v>0</v>
      </c>
      <c r="BM29" s="108">
        <f t="shared" si="59"/>
        <v>1.6007106751203537E-10</v>
      </c>
      <c r="BN29" s="108">
        <f t="shared" si="59"/>
        <v>1.6007106751203537E-10</v>
      </c>
      <c r="BO29" s="108">
        <f t="shared" si="59"/>
        <v>0</v>
      </c>
      <c r="BP29" s="108">
        <f t="shared" si="59"/>
        <v>0</v>
      </c>
      <c r="BQ29" s="108">
        <f t="shared" ref="BQ29:CZ29" si="60">SUM(BQ27:BQ28)</f>
        <v>-349999.99999999983</v>
      </c>
      <c r="BR29" s="108">
        <f t="shared" si="60"/>
        <v>1.6007106751203537E-10</v>
      </c>
      <c r="BS29" s="108">
        <f t="shared" si="60"/>
        <v>1.6007106751203537E-10</v>
      </c>
      <c r="BT29" s="108">
        <f t="shared" si="60"/>
        <v>1.6007106751203537E-10</v>
      </c>
      <c r="BU29" s="108">
        <f t="shared" si="60"/>
        <v>0</v>
      </c>
      <c r="BV29" s="108">
        <f t="shared" si="60"/>
        <v>0</v>
      </c>
      <c r="BW29" s="108">
        <f t="shared" si="60"/>
        <v>0</v>
      </c>
      <c r="BX29" s="108">
        <f t="shared" si="60"/>
        <v>0</v>
      </c>
      <c r="BY29" s="108">
        <f t="shared" si="60"/>
        <v>0</v>
      </c>
      <c r="BZ29" s="108">
        <f t="shared" si="60"/>
        <v>0</v>
      </c>
      <c r="CA29" s="108">
        <f t="shared" si="60"/>
        <v>0</v>
      </c>
      <c r="CB29" s="108">
        <f t="shared" si="60"/>
        <v>0</v>
      </c>
      <c r="CC29" s="108">
        <f t="shared" si="60"/>
        <v>-349999.99999999983</v>
      </c>
      <c r="CD29" s="108">
        <f t="shared" si="60"/>
        <v>1.5279510989785194E-10</v>
      </c>
      <c r="CE29" s="108">
        <f t="shared" si="60"/>
        <v>1.5279510989785194E-10</v>
      </c>
      <c r="CF29" s="108">
        <f t="shared" si="60"/>
        <v>1.5279510989785194E-10</v>
      </c>
      <c r="CG29" s="108">
        <f t="shared" si="60"/>
        <v>1.5279510989785194E-10</v>
      </c>
      <c r="CH29" s="108">
        <f t="shared" si="60"/>
        <v>-350000.00000000017</v>
      </c>
      <c r="CI29" s="108">
        <f t="shared" si="60"/>
        <v>-1.6007106751203537E-10</v>
      </c>
      <c r="CJ29" s="108">
        <f t="shared" si="60"/>
        <v>-1.6007106751203537E-10</v>
      </c>
      <c r="CK29" s="108">
        <f t="shared" si="60"/>
        <v>3.0559021979570389E-10</v>
      </c>
      <c r="CL29" s="108">
        <f t="shared" si="60"/>
        <v>3.0559021979570389E-10</v>
      </c>
      <c r="CM29" s="108">
        <f t="shared" si="60"/>
        <v>3.0559021979570389E-10</v>
      </c>
      <c r="CN29" s="108">
        <f t="shared" si="60"/>
        <v>3.0559021979570389E-10</v>
      </c>
      <c r="CO29" s="108">
        <f t="shared" si="60"/>
        <v>-349999.99999999971</v>
      </c>
      <c r="CP29" s="108">
        <f t="shared" si="60"/>
        <v>3.0559021979570389E-10</v>
      </c>
      <c r="CQ29" s="108">
        <f t="shared" si="60"/>
        <v>3.0559021979570389E-10</v>
      </c>
      <c r="CR29" s="108">
        <f t="shared" si="60"/>
        <v>3.0559021979570389E-10</v>
      </c>
      <c r="CS29" s="108">
        <f t="shared" si="60"/>
        <v>3.0559021979570389E-10</v>
      </c>
      <c r="CT29" s="108">
        <f t="shared" si="60"/>
        <v>3.0559021979570389E-10</v>
      </c>
      <c r="CU29" s="108">
        <f t="shared" si="60"/>
        <v>3.0559021979570389E-10</v>
      </c>
      <c r="CV29" s="108">
        <f t="shared" si="60"/>
        <v>3.0559021979570389E-10</v>
      </c>
      <c r="CW29" s="108">
        <f t="shared" si="60"/>
        <v>3.0559021979570389E-10</v>
      </c>
      <c r="CX29" s="108">
        <f t="shared" si="60"/>
        <v>3.0559021979570389E-10</v>
      </c>
      <c r="CY29" s="108">
        <f t="shared" si="60"/>
        <v>3.0559021979570389E-10</v>
      </c>
      <c r="CZ29" s="108">
        <f t="shared" si="60"/>
        <v>3.0559021979570389E-10</v>
      </c>
    </row>
    <row r="30" spans="4:104" x14ac:dyDescent="0.25">
      <c r="D30" s="63"/>
      <c r="E30" s="65"/>
      <c r="F30" s="106"/>
      <c r="G30" s="105"/>
      <c r="H30" s="105"/>
      <c r="I30" s="105"/>
      <c r="J30" s="105"/>
      <c r="K30" s="105"/>
      <c r="L30" s="105"/>
      <c r="M30" s="21"/>
      <c r="N30" s="21"/>
      <c r="O30" s="21"/>
      <c r="P30" s="105"/>
      <c r="Q30" s="105"/>
      <c r="R30" s="105"/>
      <c r="S30" s="105"/>
      <c r="T30" s="21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36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  <c r="BO30" s="105"/>
      <c r="BP30" s="105"/>
      <c r="BQ30" s="105"/>
      <c r="BR30" s="105"/>
      <c r="BS30" s="105"/>
      <c r="BT30" s="105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5"/>
      <c r="CL30" s="105"/>
      <c r="CM30" s="105"/>
      <c r="CN30" s="105"/>
      <c r="CO30" s="105"/>
      <c r="CP30" s="105"/>
      <c r="CQ30" s="105"/>
      <c r="CR30" s="105"/>
      <c r="CS30" s="105"/>
      <c r="CT30" s="105"/>
      <c r="CU30" s="105"/>
      <c r="CV30" s="105"/>
      <c r="CW30" s="105"/>
      <c r="CX30" s="105"/>
      <c r="CY30" s="105"/>
      <c r="CZ30" s="105"/>
    </row>
    <row r="31" spans="4:104" x14ac:dyDescent="0.25">
      <c r="D31" s="64" t="s">
        <v>195</v>
      </c>
      <c r="E31" s="65"/>
      <c r="F31" s="105"/>
      <c r="G31" s="105"/>
      <c r="H31" s="105"/>
      <c r="I31" s="105"/>
      <c r="J31" s="105"/>
      <c r="K31" s="105"/>
      <c r="L31" s="105"/>
      <c r="M31" s="21"/>
      <c r="N31" s="21"/>
      <c r="O31" s="21"/>
      <c r="P31" s="105"/>
      <c r="Q31" s="105"/>
      <c r="R31" s="105"/>
      <c r="S31" s="105"/>
      <c r="T31" s="21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36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5"/>
      <c r="CL31" s="105"/>
      <c r="CM31" s="105"/>
      <c r="CN31" s="105"/>
      <c r="CO31" s="105"/>
      <c r="CP31" s="105"/>
      <c r="CQ31" s="105"/>
      <c r="CR31" s="105"/>
      <c r="CS31" s="105"/>
      <c r="CT31" s="105"/>
      <c r="CU31" s="105"/>
      <c r="CV31" s="105"/>
      <c r="CW31" s="105"/>
      <c r="CX31" s="105"/>
      <c r="CY31" s="105"/>
      <c r="CZ31" s="105"/>
    </row>
    <row r="32" spans="4:104" x14ac:dyDescent="0.25">
      <c r="D32" s="66" t="s">
        <v>196</v>
      </c>
      <c r="E32" s="65"/>
      <c r="F32" s="103"/>
      <c r="G32" s="100">
        <f t="shared" ref="G32:G33" si="61">SUM(AG32:AR32)</f>
        <v>0</v>
      </c>
      <c r="H32" s="100">
        <f t="shared" ref="H32:H33" si="62">SUM(AS32:BD32)</f>
        <v>0</v>
      </c>
      <c r="I32" s="100">
        <f t="shared" ref="I32:I33" si="63">SUM(BE32:BP32)</f>
        <v>0</v>
      </c>
      <c r="J32" s="100">
        <f>SUM(BQ32:CB32)</f>
        <v>0</v>
      </c>
      <c r="K32" s="100">
        <f>SUM(CC32:CN32)</f>
        <v>2000000</v>
      </c>
      <c r="L32" s="100">
        <f>SUM(CO32:CZ32)</f>
        <v>0</v>
      </c>
      <c r="M32" s="21"/>
      <c r="N32" s="21"/>
      <c r="O32" s="21"/>
      <c r="P32" s="101">
        <f t="shared" ref="P32:S33" si="64">SUMIFS($AG32:$CB32,$AG$10:$CB$10,P$11)</f>
        <v>0</v>
      </c>
      <c r="Q32" s="101">
        <f t="shared" si="64"/>
        <v>0</v>
      </c>
      <c r="R32" s="101">
        <f t="shared" si="64"/>
        <v>0</v>
      </c>
      <c r="S32" s="101">
        <f t="shared" si="64"/>
        <v>0</v>
      </c>
      <c r="T32" s="21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36"/>
      <c r="AG32" s="103">
        <f>(BS!AC36-BS!AB36)-(BS!AC25-BS!AB25)</f>
        <v>0</v>
      </c>
      <c r="AH32" s="103">
        <f>(BS!AD36-BS!AC36)-(BS!AD25-BS!AC25)</f>
        <v>0</v>
      </c>
      <c r="AI32" s="103">
        <f>(BS!AE36-BS!AD36)-(BS!AE25-BS!AD25)</f>
        <v>0</v>
      </c>
      <c r="AJ32" s="103">
        <f>(BS!AF36-BS!AE36)-(BS!AF25-BS!AE25)</f>
        <v>0</v>
      </c>
      <c r="AK32" s="103">
        <f>(BS!AG36-BS!AF36)-(BS!AG25-BS!AF25)</f>
        <v>0</v>
      </c>
      <c r="AL32" s="103">
        <f>(BS!AH36-BS!AG36)-(BS!AH25-BS!AG25)</f>
        <v>0</v>
      </c>
      <c r="AM32" s="103">
        <f>(BS!AI36-BS!AH36)-(BS!AI25-BS!AH25)</f>
        <v>0</v>
      </c>
      <c r="AN32" s="103">
        <f>(BS!AJ36-BS!AI36)-(BS!AJ25-BS!AI25)</f>
        <v>0</v>
      </c>
      <c r="AO32" s="103">
        <f>(BS!AK36-BS!AJ36)-(BS!AK25-BS!AJ25)</f>
        <v>0</v>
      </c>
      <c r="AP32" s="103">
        <f>(BS!AL36-BS!AK36)-(BS!AL25-BS!AK25)</f>
        <v>0</v>
      </c>
      <c r="AQ32" s="103">
        <f>(BS!AM36-BS!AL36)-(BS!AM25-BS!AL25)</f>
        <v>0</v>
      </c>
      <c r="AR32" s="103">
        <f>(BS!AN36-BS!AM36)-(BS!AN25-BS!AM25)</f>
        <v>0</v>
      </c>
      <c r="AS32" s="103">
        <f>(BS!AO36-BS!AN36)-(BS!AO25-BS!AN25)</f>
        <v>0</v>
      </c>
      <c r="AT32" s="103">
        <f>(BS!AP36-BS!AO36)-(BS!AP25-BS!AO25)</f>
        <v>0</v>
      </c>
      <c r="AU32" s="103">
        <f>(BS!AQ36-BS!AP36)-(BS!AQ25-BS!AP25)</f>
        <v>0</v>
      </c>
      <c r="AV32" s="103">
        <f>(BS!AR36-BS!AQ36)-(BS!AR25-BS!AQ25)</f>
        <v>0</v>
      </c>
      <c r="AW32" s="103">
        <f>(BS!AS36-BS!AR36)-(BS!AS25-BS!AR25)</f>
        <v>0</v>
      </c>
      <c r="AX32" s="103">
        <f>(BS!AT36-BS!AS36)-(BS!AT25-BS!AS25)</f>
        <v>0</v>
      </c>
      <c r="AY32" s="103">
        <f>(BS!AU36-BS!AT36)-(BS!AU25-BS!AT25)</f>
        <v>0</v>
      </c>
      <c r="AZ32" s="103">
        <f>(BS!AV36-BS!AU36)-(BS!AV25-BS!AU25)</f>
        <v>0</v>
      </c>
      <c r="BA32" s="103">
        <f>(BS!AW36-BS!AV36)-(BS!AW25-BS!AV25)</f>
        <v>0</v>
      </c>
      <c r="BB32" s="103">
        <f>(BS!AX36-BS!AW36)-(BS!AX25-BS!AW25)</f>
        <v>0</v>
      </c>
      <c r="BC32" s="103">
        <f>(BS!AY36-BS!AX36)-(BS!AY25-BS!AX25)</f>
        <v>0</v>
      </c>
      <c r="BD32" s="103">
        <f>(BS!AZ36-BS!AY36)-(BS!AZ25-BS!AY25)</f>
        <v>0</v>
      </c>
      <c r="BE32" s="103">
        <f>(BS!BA36-BS!AZ36)-(BS!BA25-BS!AZ25)</f>
        <v>0</v>
      </c>
      <c r="BF32" s="103">
        <f>(BS!BB36-BS!BA36)-(BS!BB25-BS!BA25)</f>
        <v>0</v>
      </c>
      <c r="BG32" s="103">
        <f>(BS!BC36-BS!BB36)-(BS!BC25-BS!BB25)</f>
        <v>0</v>
      </c>
      <c r="BH32" s="103">
        <f>(BS!BD36-BS!BC36)-(BS!BD25-BS!BC25)</f>
        <v>0</v>
      </c>
      <c r="BI32" s="103">
        <f>(BS!BE36-BS!BD36)-(BS!BE25-BS!BD25)</f>
        <v>0</v>
      </c>
      <c r="BJ32" s="103">
        <f>(BS!BF36-BS!BE36)-(BS!BF25-BS!BE25)</f>
        <v>0</v>
      </c>
      <c r="BK32" s="103">
        <f>(BS!BG36-BS!BF36)-(BS!BG25-BS!BF25)</f>
        <v>0</v>
      </c>
      <c r="BL32" s="103">
        <f>(BS!BH36-BS!BG36)-(BS!BH25-BS!BG25)</f>
        <v>0</v>
      </c>
      <c r="BM32" s="103">
        <f>(BS!BI36-BS!BH36)-(BS!BI25-BS!BH25)</f>
        <v>0</v>
      </c>
      <c r="BN32" s="103">
        <f>(BS!BJ36-BS!BI36)-(BS!BJ25-BS!BI25)</f>
        <v>0</v>
      </c>
      <c r="BO32" s="103">
        <f>(BS!BK36-BS!BJ36)-(BS!BK25-BS!BJ25)</f>
        <v>0</v>
      </c>
      <c r="BP32" s="103">
        <f>(BS!BL36-BS!BK36)-(BS!BL25-BS!BK25)</f>
        <v>0</v>
      </c>
      <c r="BQ32" s="103">
        <f>(BS!BM36-BS!BL36)-(BS!BM25-BS!BL25)</f>
        <v>0</v>
      </c>
      <c r="BR32" s="103">
        <f>(BS!BN36-BS!BM36)-(BS!BN25-BS!BM25)</f>
        <v>0</v>
      </c>
      <c r="BS32" s="103">
        <f>(BS!BO36-BS!BN36)-(BS!BO25-BS!BN25)</f>
        <v>0</v>
      </c>
      <c r="BT32" s="103">
        <f>(BS!BP36-BS!BO36)-(BS!BP25-BS!BO25)</f>
        <v>0</v>
      </c>
      <c r="BU32" s="103">
        <f>(BS!BQ36-BS!BP36)-(BS!BQ25-BS!BP25)</f>
        <v>0</v>
      </c>
      <c r="BV32" s="103">
        <f>(BS!BR36-BS!BQ36)-(BS!BR25-BS!BQ25)</f>
        <v>0</v>
      </c>
      <c r="BW32" s="103">
        <f>(BS!BS36-BS!BR36)-(BS!BS25-BS!BR25)</f>
        <v>0</v>
      </c>
      <c r="BX32" s="103">
        <f>(BS!BT36-BS!BS36)-(BS!BT25-BS!BS25)</f>
        <v>0</v>
      </c>
      <c r="BY32" s="103">
        <f>(BS!BU36-BS!BT36)-(BS!BU25-BS!BT25)</f>
        <v>0</v>
      </c>
      <c r="BZ32" s="103">
        <f>(BS!BV36-BS!BU36)-(BS!BV25-BS!BU25)</f>
        <v>0</v>
      </c>
      <c r="CA32" s="103">
        <f>(BS!BW36-BS!BV36)-(BS!BW25-BS!BV25)</f>
        <v>0</v>
      </c>
      <c r="CB32" s="103">
        <f>(BS!BX36-BS!BW36)-(BS!BX25-BS!BW25)</f>
        <v>0</v>
      </c>
      <c r="CC32" s="103">
        <f>(BS!BY36-BS!BX36)-(BS!BY25-BS!BX25)</f>
        <v>0</v>
      </c>
      <c r="CD32" s="103">
        <f>(BS!BZ36-BS!BY36)-(BS!BZ25-BS!BY25)</f>
        <v>0</v>
      </c>
      <c r="CE32" s="103">
        <f>(BS!CA36-BS!BZ36)-(BS!CA25-BS!BZ25)</f>
        <v>0</v>
      </c>
      <c r="CF32" s="103">
        <f>(BS!CB36-BS!CA36)-(BS!CB25-BS!CA25)</f>
        <v>0</v>
      </c>
      <c r="CG32" s="103">
        <f>(BS!CC36-BS!CB36)-(BS!CC25-BS!CB25)</f>
        <v>0</v>
      </c>
      <c r="CH32" s="103">
        <f>(BS!CD36-BS!CC36)-(BS!CD25-BS!CC25)</f>
        <v>0</v>
      </c>
      <c r="CI32" s="103">
        <f>(BS!CE36-BS!CD36)-(BS!CE25-BS!CD25)</f>
        <v>0</v>
      </c>
      <c r="CJ32" s="103">
        <f>(BS!CF36-BS!CE36)-(BS!CF25-BS!CE25)</f>
        <v>2000000</v>
      </c>
      <c r="CK32" s="103">
        <f>(BS!CG36-BS!CF36)-(BS!CG25-BS!CF25)</f>
        <v>0</v>
      </c>
      <c r="CL32" s="103">
        <f>(BS!CH36-BS!CG36)-(BS!CH25-BS!CG25)</f>
        <v>0</v>
      </c>
      <c r="CM32" s="103">
        <f>(BS!CI36-BS!CH36)-(BS!CI25-BS!CH25)</f>
        <v>0</v>
      </c>
      <c r="CN32" s="103">
        <f>(BS!CJ36-BS!CI36)-(BS!CJ25-BS!CI25)</f>
        <v>0</v>
      </c>
      <c r="CO32" s="103">
        <f>(BS!CK36-BS!CJ36)-(BS!CK25-BS!CJ25)</f>
        <v>0</v>
      </c>
      <c r="CP32" s="103">
        <f>(BS!CL36-BS!CK36)-(BS!CL25-BS!CK25)</f>
        <v>0</v>
      </c>
      <c r="CQ32" s="103">
        <f>(BS!CM36-BS!CL36)-(BS!CM25-BS!CL25)</f>
        <v>0</v>
      </c>
      <c r="CR32" s="103">
        <f>(BS!CN36-BS!CM36)-(BS!CN25-BS!CM25)</f>
        <v>0</v>
      </c>
      <c r="CS32" s="103">
        <f>(BS!CO36-BS!CN36)-(BS!CO25-BS!CN25)</f>
        <v>0</v>
      </c>
      <c r="CT32" s="103">
        <f>(BS!CP36-BS!CO36)-(BS!CP25-BS!CO25)</f>
        <v>0</v>
      </c>
      <c r="CU32" s="103">
        <f>(BS!CQ36-BS!CP36)-(BS!CQ25-BS!CP25)</f>
        <v>0</v>
      </c>
      <c r="CV32" s="103">
        <f>(BS!CR36-BS!CQ36)-(BS!CR25-BS!CQ25)</f>
        <v>0</v>
      </c>
      <c r="CW32" s="103">
        <f>(BS!CS36-BS!CR36)-(BS!CS25-BS!CR25)</f>
        <v>0</v>
      </c>
      <c r="CX32" s="103">
        <f>(BS!CT36-BS!CS36)-(BS!CT25-BS!CS25)</f>
        <v>0</v>
      </c>
      <c r="CY32" s="103">
        <f>(BS!CU36-BS!CT36)-(BS!CU25-BS!CT25)</f>
        <v>0</v>
      </c>
      <c r="CZ32" s="103">
        <f>(BS!CV36-BS!CU36)-(BS!CV25-BS!CU25)</f>
        <v>0</v>
      </c>
    </row>
    <row r="33" spans="4:104" x14ac:dyDescent="0.25">
      <c r="D33" s="66" t="s">
        <v>197</v>
      </c>
      <c r="E33" s="65"/>
      <c r="F33" s="103"/>
      <c r="G33" s="100">
        <f t="shared" si="61"/>
        <v>0</v>
      </c>
      <c r="H33" s="100">
        <f t="shared" si="62"/>
        <v>0</v>
      </c>
      <c r="I33" s="100">
        <f t="shared" si="63"/>
        <v>0</v>
      </c>
      <c r="J33" s="100">
        <f>SUM(BQ33:CB33)</f>
        <v>0</v>
      </c>
      <c r="K33" s="100">
        <f>SUM(CC33:CN33)</f>
        <v>0</v>
      </c>
      <c r="L33" s="100">
        <f>SUM(CO33:CZ33)</f>
        <v>0</v>
      </c>
      <c r="M33" s="21"/>
      <c r="N33" s="21"/>
      <c r="O33" s="21"/>
      <c r="P33" s="101">
        <f t="shared" si="64"/>
        <v>0</v>
      </c>
      <c r="Q33" s="101">
        <f t="shared" si="64"/>
        <v>0</v>
      </c>
      <c r="R33" s="101">
        <f t="shared" si="64"/>
        <v>0</v>
      </c>
      <c r="S33" s="101">
        <f t="shared" si="64"/>
        <v>0</v>
      </c>
      <c r="T33" s="21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36"/>
      <c r="AG33" s="103">
        <f>BS!AC41-BS!AB41</f>
        <v>0</v>
      </c>
      <c r="AH33" s="103">
        <f>BS!AD41-BS!AC41</f>
        <v>0</v>
      </c>
      <c r="AI33" s="103">
        <f>BS!AE41-BS!AD41</f>
        <v>0</v>
      </c>
      <c r="AJ33" s="103">
        <f>BS!AF41-BS!AE41</f>
        <v>0</v>
      </c>
      <c r="AK33" s="103">
        <f>BS!AG41-BS!AF41</f>
        <v>0</v>
      </c>
      <c r="AL33" s="103">
        <f>BS!AH41-BS!AG41</f>
        <v>0</v>
      </c>
      <c r="AM33" s="103">
        <f>BS!AI41-BS!AH41</f>
        <v>0</v>
      </c>
      <c r="AN33" s="103">
        <f>BS!AJ41-BS!AI41</f>
        <v>0</v>
      </c>
      <c r="AO33" s="103">
        <f>BS!AK41-BS!AJ41</f>
        <v>0</v>
      </c>
      <c r="AP33" s="103">
        <f>BS!AL41-BS!AK41</f>
        <v>0</v>
      </c>
      <c r="AQ33" s="103">
        <f>BS!AM41-BS!AL41</f>
        <v>0</v>
      </c>
      <c r="AR33" s="103">
        <f>BS!AN41-BS!AM41</f>
        <v>0</v>
      </c>
      <c r="AS33" s="103">
        <f>BS!AO41-BS!AN41</f>
        <v>0</v>
      </c>
      <c r="AT33" s="103">
        <f>BS!AP41-BS!AO41</f>
        <v>0</v>
      </c>
      <c r="AU33" s="103">
        <f>BS!AQ41-BS!AP41</f>
        <v>0</v>
      </c>
      <c r="AV33" s="103">
        <f>BS!AR41-BS!AQ41</f>
        <v>0</v>
      </c>
      <c r="AW33" s="103">
        <f>BS!AS41-BS!AR41</f>
        <v>0</v>
      </c>
      <c r="AX33" s="103">
        <f>BS!AT41-BS!AS41</f>
        <v>0</v>
      </c>
      <c r="AY33" s="103">
        <f>BS!AU41-BS!AT41</f>
        <v>0</v>
      </c>
      <c r="AZ33" s="103">
        <f>BS!AV41-BS!AU41</f>
        <v>0</v>
      </c>
      <c r="BA33" s="103">
        <f>BS!AW41-BS!AV41</f>
        <v>0</v>
      </c>
      <c r="BB33" s="103">
        <f>BS!AX41-BS!AW41</f>
        <v>0</v>
      </c>
      <c r="BC33" s="103">
        <f>BS!AY41-BS!AX41</f>
        <v>0</v>
      </c>
      <c r="BD33" s="103">
        <f>BS!AZ41-BS!AY41</f>
        <v>0</v>
      </c>
      <c r="BE33" s="103">
        <f>BS!BA41-BS!AZ41</f>
        <v>0</v>
      </c>
      <c r="BF33" s="103">
        <f>BS!BB41-BS!BA41</f>
        <v>0</v>
      </c>
      <c r="BG33" s="103">
        <f>BS!BC41-BS!BB41</f>
        <v>0</v>
      </c>
      <c r="BH33" s="103">
        <f>BS!BD41-BS!BC41</f>
        <v>0</v>
      </c>
      <c r="BI33" s="103">
        <f>BS!BE41-BS!BD41</f>
        <v>0</v>
      </c>
      <c r="BJ33" s="103">
        <f>BS!BF41-BS!BE41</f>
        <v>0</v>
      </c>
      <c r="BK33" s="103">
        <f>BS!BG41-BS!BF41</f>
        <v>0</v>
      </c>
      <c r="BL33" s="103">
        <f>BS!BH41-BS!BG41</f>
        <v>0</v>
      </c>
      <c r="BM33" s="103">
        <f>BS!BI41-BS!BH41</f>
        <v>0</v>
      </c>
      <c r="BN33" s="103">
        <f>BS!BJ41-BS!BI41</f>
        <v>0</v>
      </c>
      <c r="BO33" s="103">
        <f>BS!BK41-BS!BJ41</f>
        <v>0</v>
      </c>
      <c r="BP33" s="103">
        <f>BS!BL41-BS!BK41</f>
        <v>0</v>
      </c>
      <c r="BQ33" s="103">
        <f>BS!BM41-BS!BL41</f>
        <v>0</v>
      </c>
      <c r="BR33" s="103">
        <f>BS!BN41-BS!BM41</f>
        <v>0</v>
      </c>
      <c r="BS33" s="103">
        <f>BS!BO41-BS!BN41</f>
        <v>0</v>
      </c>
      <c r="BT33" s="103">
        <f>BS!BP41-BS!BO41</f>
        <v>0</v>
      </c>
      <c r="BU33" s="103">
        <f>BS!BQ41-BS!BP41</f>
        <v>0</v>
      </c>
      <c r="BV33" s="103">
        <f>BS!BR41-BS!BQ41</f>
        <v>0</v>
      </c>
      <c r="BW33" s="103">
        <f>BS!BS41-BS!BR41</f>
        <v>0</v>
      </c>
      <c r="BX33" s="103">
        <f>BS!BT41-BS!BS41</f>
        <v>0</v>
      </c>
      <c r="BY33" s="103">
        <f>BS!BU41-BS!BT41</f>
        <v>0</v>
      </c>
      <c r="BZ33" s="103">
        <f>BS!BV41-BS!BU41</f>
        <v>0</v>
      </c>
      <c r="CA33" s="103">
        <f>BS!BW41-BS!BV41</f>
        <v>0</v>
      </c>
      <c r="CB33" s="103">
        <f>BS!BX41-BS!BW41</f>
        <v>0</v>
      </c>
      <c r="CC33" s="103">
        <f>BS!BY41-BS!BX41</f>
        <v>0</v>
      </c>
      <c r="CD33" s="103">
        <f>BS!BZ41-BS!BY41</f>
        <v>0</v>
      </c>
      <c r="CE33" s="103">
        <f>BS!CA41-BS!BZ41</f>
        <v>0</v>
      </c>
      <c r="CF33" s="103">
        <f>BS!CB41-BS!CA41</f>
        <v>0</v>
      </c>
      <c r="CG33" s="103">
        <f>BS!CC41-BS!CB41</f>
        <v>0</v>
      </c>
      <c r="CH33" s="103">
        <f>BS!CD41-BS!CC41</f>
        <v>0</v>
      </c>
      <c r="CI33" s="103">
        <f>BS!CE41-BS!CD41</f>
        <v>0</v>
      </c>
      <c r="CJ33" s="103">
        <f>BS!CF41-BS!CE41</f>
        <v>0</v>
      </c>
      <c r="CK33" s="103">
        <f>BS!CG41-BS!CF41</f>
        <v>0</v>
      </c>
      <c r="CL33" s="103">
        <f>BS!CH41-BS!CG41</f>
        <v>0</v>
      </c>
      <c r="CM33" s="103">
        <f>BS!CI41-BS!CH41</f>
        <v>0</v>
      </c>
      <c r="CN33" s="103">
        <f>BS!CJ41-BS!CI41</f>
        <v>0</v>
      </c>
      <c r="CO33" s="103">
        <f>BS!CK41-BS!CJ41</f>
        <v>0</v>
      </c>
      <c r="CP33" s="103">
        <f>BS!CL41-BS!CK41</f>
        <v>0</v>
      </c>
      <c r="CQ33" s="103">
        <f>BS!CM41-BS!CL41</f>
        <v>0</v>
      </c>
      <c r="CR33" s="103">
        <f>BS!CN41-BS!CM41</f>
        <v>0</v>
      </c>
      <c r="CS33" s="103">
        <f>BS!CO41-BS!CN41</f>
        <v>0</v>
      </c>
      <c r="CT33" s="103">
        <f>BS!CP41-BS!CO41</f>
        <v>0</v>
      </c>
      <c r="CU33" s="103">
        <f>BS!CQ41-BS!CP41</f>
        <v>0</v>
      </c>
      <c r="CV33" s="103">
        <f>BS!CR41-BS!CQ41</f>
        <v>0</v>
      </c>
      <c r="CW33" s="103">
        <f>BS!CS41-BS!CR41</f>
        <v>0</v>
      </c>
      <c r="CX33" s="103">
        <f>BS!CT41-BS!CS41</f>
        <v>0</v>
      </c>
      <c r="CY33" s="103">
        <f>BS!CU41-BS!CT41</f>
        <v>0</v>
      </c>
      <c r="CZ33" s="103">
        <f>BS!CV41-BS!CU41</f>
        <v>0</v>
      </c>
    </row>
    <row r="34" spans="4:104" x14ac:dyDescent="0.25">
      <c r="D34" s="70" t="s">
        <v>198</v>
      </c>
      <c r="E34" s="65"/>
      <c r="F34" s="108"/>
      <c r="G34" s="129">
        <f t="shared" ref="G34:I34" si="65">SUM(G32:G33)</f>
        <v>0</v>
      </c>
      <c r="H34" s="129">
        <f t="shared" si="65"/>
        <v>0</v>
      </c>
      <c r="I34" s="129">
        <f t="shared" si="65"/>
        <v>0</v>
      </c>
      <c r="J34" s="129">
        <f t="shared" ref="J34:L34" si="66">SUM(J32:J33)</f>
        <v>0</v>
      </c>
      <c r="K34" s="129">
        <f t="shared" si="66"/>
        <v>2000000</v>
      </c>
      <c r="L34" s="129">
        <f t="shared" si="66"/>
        <v>0</v>
      </c>
      <c r="M34" s="21"/>
      <c r="N34" s="21"/>
      <c r="O34" s="21"/>
      <c r="P34" s="129">
        <f t="shared" ref="P34:S34" si="67">SUM(P32:P33)</f>
        <v>0</v>
      </c>
      <c r="Q34" s="129">
        <f t="shared" si="67"/>
        <v>0</v>
      </c>
      <c r="R34" s="129">
        <f t="shared" si="67"/>
        <v>0</v>
      </c>
      <c r="S34" s="129">
        <f t="shared" si="67"/>
        <v>0</v>
      </c>
      <c r="T34" s="21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36"/>
      <c r="AG34" s="129">
        <f>SUM(AG32:AG33)</f>
        <v>0</v>
      </c>
      <c r="AH34" s="129">
        <f t="shared" ref="AH34:BP34" si="68">SUM(AH32:AH33)</f>
        <v>0</v>
      </c>
      <c r="AI34" s="129">
        <f t="shared" si="68"/>
        <v>0</v>
      </c>
      <c r="AJ34" s="129">
        <f t="shared" si="68"/>
        <v>0</v>
      </c>
      <c r="AK34" s="129">
        <f t="shared" si="68"/>
        <v>0</v>
      </c>
      <c r="AL34" s="129">
        <f t="shared" si="68"/>
        <v>0</v>
      </c>
      <c r="AM34" s="129">
        <f t="shared" si="68"/>
        <v>0</v>
      </c>
      <c r="AN34" s="129">
        <f t="shared" si="68"/>
        <v>0</v>
      </c>
      <c r="AO34" s="129">
        <f t="shared" si="68"/>
        <v>0</v>
      </c>
      <c r="AP34" s="129">
        <f t="shared" si="68"/>
        <v>0</v>
      </c>
      <c r="AQ34" s="129">
        <f t="shared" si="68"/>
        <v>0</v>
      </c>
      <c r="AR34" s="129">
        <f t="shared" si="68"/>
        <v>0</v>
      </c>
      <c r="AS34" s="129">
        <f t="shared" si="68"/>
        <v>0</v>
      </c>
      <c r="AT34" s="129">
        <f t="shared" si="68"/>
        <v>0</v>
      </c>
      <c r="AU34" s="129">
        <f t="shared" si="68"/>
        <v>0</v>
      </c>
      <c r="AV34" s="129">
        <f t="shared" si="68"/>
        <v>0</v>
      </c>
      <c r="AW34" s="129">
        <f t="shared" si="68"/>
        <v>0</v>
      </c>
      <c r="AX34" s="129">
        <f t="shared" si="68"/>
        <v>0</v>
      </c>
      <c r="AY34" s="129">
        <f t="shared" si="68"/>
        <v>0</v>
      </c>
      <c r="AZ34" s="129">
        <f t="shared" si="68"/>
        <v>0</v>
      </c>
      <c r="BA34" s="129">
        <f t="shared" si="68"/>
        <v>0</v>
      </c>
      <c r="BB34" s="129">
        <f t="shared" si="68"/>
        <v>0</v>
      </c>
      <c r="BC34" s="129">
        <f t="shared" si="68"/>
        <v>0</v>
      </c>
      <c r="BD34" s="129">
        <f t="shared" si="68"/>
        <v>0</v>
      </c>
      <c r="BE34" s="129">
        <f t="shared" si="68"/>
        <v>0</v>
      </c>
      <c r="BF34" s="129">
        <f t="shared" si="68"/>
        <v>0</v>
      </c>
      <c r="BG34" s="129">
        <f t="shared" si="68"/>
        <v>0</v>
      </c>
      <c r="BH34" s="129">
        <f t="shared" si="68"/>
        <v>0</v>
      </c>
      <c r="BI34" s="129">
        <f t="shared" si="68"/>
        <v>0</v>
      </c>
      <c r="BJ34" s="129">
        <f t="shared" si="68"/>
        <v>0</v>
      </c>
      <c r="BK34" s="129">
        <f t="shared" si="68"/>
        <v>0</v>
      </c>
      <c r="BL34" s="129">
        <f t="shared" si="68"/>
        <v>0</v>
      </c>
      <c r="BM34" s="129">
        <f t="shared" si="68"/>
        <v>0</v>
      </c>
      <c r="BN34" s="129">
        <f t="shared" si="68"/>
        <v>0</v>
      </c>
      <c r="BO34" s="129">
        <f t="shared" si="68"/>
        <v>0</v>
      </c>
      <c r="BP34" s="129">
        <f t="shared" si="68"/>
        <v>0</v>
      </c>
      <c r="BQ34" s="129">
        <f t="shared" ref="BQ34:CZ34" si="69">SUM(BQ32:BQ33)</f>
        <v>0</v>
      </c>
      <c r="BR34" s="129">
        <f t="shared" si="69"/>
        <v>0</v>
      </c>
      <c r="BS34" s="129">
        <f t="shared" si="69"/>
        <v>0</v>
      </c>
      <c r="BT34" s="129">
        <f t="shared" si="69"/>
        <v>0</v>
      </c>
      <c r="BU34" s="129">
        <f t="shared" si="69"/>
        <v>0</v>
      </c>
      <c r="BV34" s="129">
        <f t="shared" si="69"/>
        <v>0</v>
      </c>
      <c r="BW34" s="129">
        <f t="shared" si="69"/>
        <v>0</v>
      </c>
      <c r="BX34" s="129">
        <f t="shared" si="69"/>
        <v>0</v>
      </c>
      <c r="BY34" s="129">
        <f t="shared" si="69"/>
        <v>0</v>
      </c>
      <c r="BZ34" s="129">
        <f t="shared" si="69"/>
        <v>0</v>
      </c>
      <c r="CA34" s="129">
        <f t="shared" si="69"/>
        <v>0</v>
      </c>
      <c r="CB34" s="129">
        <f t="shared" si="69"/>
        <v>0</v>
      </c>
      <c r="CC34" s="129">
        <f t="shared" si="69"/>
        <v>0</v>
      </c>
      <c r="CD34" s="129">
        <f t="shared" si="69"/>
        <v>0</v>
      </c>
      <c r="CE34" s="129">
        <f t="shared" si="69"/>
        <v>0</v>
      </c>
      <c r="CF34" s="129">
        <f t="shared" si="69"/>
        <v>0</v>
      </c>
      <c r="CG34" s="129">
        <f t="shared" si="69"/>
        <v>0</v>
      </c>
      <c r="CH34" s="129">
        <f t="shared" si="69"/>
        <v>0</v>
      </c>
      <c r="CI34" s="129">
        <f t="shared" si="69"/>
        <v>0</v>
      </c>
      <c r="CJ34" s="129">
        <f t="shared" si="69"/>
        <v>2000000</v>
      </c>
      <c r="CK34" s="129">
        <f t="shared" si="69"/>
        <v>0</v>
      </c>
      <c r="CL34" s="129">
        <f t="shared" si="69"/>
        <v>0</v>
      </c>
      <c r="CM34" s="129">
        <f t="shared" si="69"/>
        <v>0</v>
      </c>
      <c r="CN34" s="129">
        <f t="shared" si="69"/>
        <v>0</v>
      </c>
      <c r="CO34" s="129">
        <f t="shared" si="69"/>
        <v>0</v>
      </c>
      <c r="CP34" s="129">
        <f t="shared" si="69"/>
        <v>0</v>
      </c>
      <c r="CQ34" s="129">
        <f t="shared" si="69"/>
        <v>0</v>
      </c>
      <c r="CR34" s="129">
        <f t="shared" si="69"/>
        <v>0</v>
      </c>
      <c r="CS34" s="129">
        <f t="shared" si="69"/>
        <v>0</v>
      </c>
      <c r="CT34" s="129">
        <f t="shared" si="69"/>
        <v>0</v>
      </c>
      <c r="CU34" s="129">
        <f t="shared" si="69"/>
        <v>0</v>
      </c>
      <c r="CV34" s="129">
        <f t="shared" si="69"/>
        <v>0</v>
      </c>
      <c r="CW34" s="129">
        <f t="shared" si="69"/>
        <v>0</v>
      </c>
      <c r="CX34" s="129">
        <f t="shared" si="69"/>
        <v>0</v>
      </c>
      <c r="CY34" s="129">
        <f t="shared" si="69"/>
        <v>0</v>
      </c>
      <c r="CZ34" s="129">
        <f t="shared" si="69"/>
        <v>0</v>
      </c>
    </row>
    <row r="35" spans="4:104" x14ac:dyDescent="0.25">
      <c r="D35" s="63"/>
      <c r="E35" s="65"/>
      <c r="F35" s="105"/>
      <c r="G35" s="105"/>
      <c r="H35" s="105"/>
      <c r="I35" s="105"/>
      <c r="J35" s="105"/>
      <c r="K35" s="105"/>
      <c r="L35" s="105"/>
      <c r="M35" s="21"/>
      <c r="N35" s="21"/>
      <c r="O35" s="21"/>
      <c r="P35" s="105"/>
      <c r="Q35" s="105"/>
      <c r="R35" s="105"/>
      <c r="S35" s="105"/>
      <c r="T35" s="21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36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5"/>
      <c r="CL35" s="105"/>
      <c r="CM35" s="105"/>
      <c r="CN35" s="105"/>
      <c r="CO35" s="105"/>
      <c r="CP35" s="105"/>
      <c r="CQ35" s="105"/>
      <c r="CR35" s="105"/>
      <c r="CS35" s="105"/>
      <c r="CT35" s="105"/>
      <c r="CU35" s="105"/>
      <c r="CV35" s="105"/>
      <c r="CW35" s="105"/>
      <c r="CX35" s="105"/>
      <c r="CY35" s="105"/>
      <c r="CZ35" s="105"/>
    </row>
    <row r="36" spans="4:104" x14ac:dyDescent="0.25">
      <c r="D36" s="63"/>
      <c r="E36" s="65"/>
      <c r="F36" s="105"/>
      <c r="G36" s="105"/>
      <c r="H36" s="105"/>
      <c r="I36" s="105"/>
      <c r="J36" s="105"/>
      <c r="K36" s="105"/>
      <c r="L36" s="105"/>
      <c r="M36" s="21"/>
      <c r="N36" s="21"/>
      <c r="O36" s="21"/>
      <c r="P36" s="105"/>
      <c r="Q36" s="105"/>
      <c r="R36" s="105"/>
      <c r="S36" s="105"/>
      <c r="T36" s="21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36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05"/>
      <c r="BR36" s="105"/>
      <c r="BS36" s="105"/>
      <c r="BT36" s="105"/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5"/>
      <c r="CL36" s="105"/>
      <c r="CM36" s="105"/>
      <c r="CN36" s="105"/>
      <c r="CO36" s="105"/>
      <c r="CP36" s="105"/>
      <c r="CQ36" s="105"/>
      <c r="CR36" s="105"/>
      <c r="CS36" s="105"/>
      <c r="CT36" s="105"/>
      <c r="CU36" s="105"/>
      <c r="CV36" s="105"/>
      <c r="CW36" s="105"/>
      <c r="CX36" s="105"/>
      <c r="CY36" s="105"/>
      <c r="CZ36" s="105"/>
    </row>
    <row r="37" spans="4:104" x14ac:dyDescent="0.25">
      <c r="D37" s="66" t="s">
        <v>199</v>
      </c>
      <c r="E37" s="65"/>
      <c r="F37" s="102"/>
      <c r="G37" s="102">
        <f t="shared" ref="G37:I37" ca="1" si="70">SUM(G24,G29,G34)</f>
        <v>-10416613.642390219</v>
      </c>
      <c r="H37" s="102">
        <f t="shared" ca="1" si="70"/>
        <v>-6278342.1980378181</v>
      </c>
      <c r="I37" s="102">
        <f t="shared" ca="1" si="70"/>
        <v>-1634127.9745312156</v>
      </c>
      <c r="J37" s="102">
        <f t="shared" ref="J37:L37" ca="1" si="71">SUM(J24,J29,J34)</f>
        <v>-439949.10236984794</v>
      </c>
      <c r="K37" s="102">
        <f t="shared" ca="1" si="71"/>
        <v>-1268191.2395202015</v>
      </c>
      <c r="L37" s="102">
        <f t="shared" ca="1" si="71"/>
        <v>8942968.3033985011</v>
      </c>
      <c r="M37" s="21"/>
      <c r="N37" s="21"/>
      <c r="O37" s="21"/>
      <c r="P37" s="101">
        <f t="shared" ref="P37:S37" ca="1" si="72">SUMIFS($AG37:$CB37,$AG$10:$CB$10,P$11)</f>
        <v>-3817363.83</v>
      </c>
      <c r="Q37" s="101">
        <f t="shared" ca="1" si="72"/>
        <v>-1765466.5408260147</v>
      </c>
      <c r="R37" s="101">
        <f t="shared" ca="1" si="72"/>
        <v>-1597738.0715642057</v>
      </c>
      <c r="S37" s="101">
        <f t="shared" ca="1" si="72"/>
        <v>-3236045.2</v>
      </c>
      <c r="T37" s="21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36"/>
      <c r="AG37" s="102">
        <f ca="1">SUM(AG24,AG29,AG34)</f>
        <v>-82273.133333333259</v>
      </c>
      <c r="AH37" s="102">
        <f t="shared" ref="AH37:BP37" ca="1" si="73">SUM(AH24,AH29,AH34)</f>
        <v>-2352374.6633333331</v>
      </c>
      <c r="AI37" s="102">
        <f t="shared" ca="1" si="73"/>
        <v>-1382716.0333333337</v>
      </c>
      <c r="AJ37" s="102">
        <f t="shared" ca="1" si="73"/>
        <v>-789943.33333333314</v>
      </c>
      <c r="AK37" s="102">
        <f t="shared" ca="1" si="73"/>
        <v>-355973.83333333326</v>
      </c>
      <c r="AL37" s="102">
        <f t="shared" ca="1" si="73"/>
        <v>-619549.37415934808</v>
      </c>
      <c r="AM37" s="102">
        <f t="shared" ca="1" si="73"/>
        <v>-230339.32324550964</v>
      </c>
      <c r="AN37" s="102">
        <f t="shared" ca="1" si="73"/>
        <v>-749498.83333333337</v>
      </c>
      <c r="AO37" s="102">
        <f t="shared" ca="1" si="73"/>
        <v>-617899.91498536267</v>
      </c>
      <c r="AP37" s="102">
        <f t="shared" ca="1" si="73"/>
        <v>-1106471.8333333335</v>
      </c>
      <c r="AQ37" s="102">
        <f t="shared" ca="1" si="73"/>
        <v>-935728.83333333326</v>
      </c>
      <c r="AR37" s="102">
        <f t="shared" ca="1" si="73"/>
        <v>-1193844.5333333332</v>
      </c>
      <c r="AS37" s="102">
        <f t="shared" ca="1" si="73"/>
        <v>-584545.86666666681</v>
      </c>
      <c r="AT37" s="102">
        <f t="shared" ca="1" si="73"/>
        <v>-1084987.1916369966</v>
      </c>
      <c r="AU37" s="102">
        <f t="shared" ca="1" si="73"/>
        <v>-742056.3666666667</v>
      </c>
      <c r="AV37" s="102">
        <f t="shared" ca="1" si="73"/>
        <v>138048.83333333372</v>
      </c>
      <c r="AW37" s="102">
        <f t="shared" ca="1" si="73"/>
        <v>-968176.45695862034</v>
      </c>
      <c r="AX37" s="102">
        <f t="shared" ca="1" si="73"/>
        <v>-597893.40989002259</v>
      </c>
      <c r="AY37" s="102">
        <f t="shared" ca="1" si="73"/>
        <v>-621355.64428356662</v>
      </c>
      <c r="AZ37" s="102">
        <f t="shared" ca="1" si="73"/>
        <v>-1077682.960321228</v>
      </c>
      <c r="BA37" s="102">
        <f t="shared" ca="1" si="73"/>
        <v>-967772.64793100709</v>
      </c>
      <c r="BB37" s="102">
        <f t="shared" ca="1" si="73"/>
        <v>357897.62757338362</v>
      </c>
      <c r="BC37" s="102">
        <f t="shared" ca="1" si="73"/>
        <v>-111527.76848643043</v>
      </c>
      <c r="BD37" s="102">
        <f t="shared" ca="1" si="73"/>
        <v>-18290.346103331074</v>
      </c>
      <c r="BE37" s="102">
        <f t="shared" ca="1" si="73"/>
        <v>-2529844.8059201688</v>
      </c>
      <c r="BF37" s="102">
        <f t="shared" ca="1" si="73"/>
        <v>-992201.4291656781</v>
      </c>
      <c r="BG37" s="102">
        <f t="shared" ca="1" si="73"/>
        <v>772918.73912295292</v>
      </c>
      <c r="BH37" s="102">
        <f t="shared" ca="1" si="73"/>
        <v>1150736.4511333965</v>
      </c>
      <c r="BI37" s="102">
        <f t="shared" ca="1" si="73"/>
        <v>-730623.07796700718</v>
      </c>
      <c r="BJ37" s="102">
        <f t="shared" ca="1" si="73"/>
        <v>37072.342778305348</v>
      </c>
      <c r="BK37" s="102">
        <f t="shared" ca="1" si="73"/>
        <v>-1603472.9071623555</v>
      </c>
      <c r="BL37" s="102">
        <f t="shared" ca="1" si="73"/>
        <v>-736033.10640280077</v>
      </c>
      <c r="BM37" s="102">
        <f t="shared" ca="1" si="73"/>
        <v>1249972.0013747136</v>
      </c>
      <c r="BN37" s="102">
        <f t="shared" ca="1" si="73"/>
        <v>612696.70108988008</v>
      </c>
      <c r="BO37" s="102">
        <f t="shared" ca="1" si="73"/>
        <v>552127.30301250098</v>
      </c>
      <c r="BP37" s="102">
        <f t="shared" ca="1" si="73"/>
        <v>582523.81357504521</v>
      </c>
      <c r="BQ37" s="102">
        <f t="shared" ref="BQ37:CZ37" ca="1" si="74">SUM(BQ24,BQ29,BQ34)</f>
        <v>-3340177.9142686571</v>
      </c>
      <c r="BR37" s="102">
        <f t="shared" ca="1" si="74"/>
        <v>-2950475.0681352615</v>
      </c>
      <c r="BS37" s="102">
        <f t="shared" ca="1" si="74"/>
        <v>2692650.0856856508</v>
      </c>
      <c r="BT37" s="102">
        <f t="shared" ca="1" si="74"/>
        <v>2891706.0754996194</v>
      </c>
      <c r="BU37" s="102">
        <f t="shared" ca="1" si="74"/>
        <v>-1445842.2253798023</v>
      </c>
      <c r="BV37" s="102">
        <f t="shared" ca="1" si="74"/>
        <v>-181172.42195231561</v>
      </c>
      <c r="BW37" s="102">
        <f t="shared" ca="1" si="74"/>
        <v>-4459409.1048884671</v>
      </c>
      <c r="BX37" s="102">
        <f t="shared" ca="1" si="74"/>
        <v>-1038807.9243787327</v>
      </c>
      <c r="BY37" s="102">
        <f t="shared" ca="1" si="74"/>
        <v>4324186.9727405002</v>
      </c>
      <c r="BZ37" s="102">
        <f t="shared" ca="1" si="74"/>
        <v>846349.232912587</v>
      </c>
      <c r="CA37" s="102">
        <f t="shared" ca="1" si="74"/>
        <v>1161031.1721275169</v>
      </c>
      <c r="CB37" s="102">
        <f t="shared" ca="1" si="74"/>
        <v>1060012.0176675133</v>
      </c>
      <c r="CC37" s="102">
        <f t="shared" ca="1" si="74"/>
        <v>-8544464.6606619544</v>
      </c>
      <c r="CD37" s="102">
        <f t="shared" ca="1" si="74"/>
        <v>-4569805.7900495641</v>
      </c>
      <c r="CE37" s="102">
        <f t="shared" ca="1" si="74"/>
        <v>6197503.2087344071</v>
      </c>
      <c r="CF37" s="102">
        <f t="shared" ca="1" si="74"/>
        <v>5515585.7600717116</v>
      </c>
      <c r="CG37" s="102">
        <f t="shared" ca="1" si="74"/>
        <v>-2879915.5656626225</v>
      </c>
      <c r="CH37" s="102">
        <f t="shared" ca="1" si="74"/>
        <v>-1664890.8450739696</v>
      </c>
      <c r="CI37" s="102">
        <f t="shared" ca="1" si="74"/>
        <v>-11143901.677954933</v>
      </c>
      <c r="CJ37" s="102">
        <f t="shared" ca="1" si="74"/>
        <v>777806.08549673529</v>
      </c>
      <c r="CK37" s="102">
        <f t="shared" ca="1" si="74"/>
        <v>11795314.898620993</v>
      </c>
      <c r="CL37" s="102">
        <f t="shared" ca="1" si="74"/>
        <v>905126.32431616273</v>
      </c>
      <c r="CM37" s="102">
        <f t="shared" ca="1" si="74"/>
        <v>1802175.0769272784</v>
      </c>
      <c r="CN37" s="102">
        <f t="shared" ca="1" si="74"/>
        <v>541275.94571555255</v>
      </c>
      <c r="CO37" s="102">
        <f t="shared" ca="1" si="74"/>
        <v>-11665467.653338356</v>
      </c>
      <c r="CP37" s="102">
        <f t="shared" ca="1" si="74"/>
        <v>-4663300.6009826669</v>
      </c>
      <c r="CQ37" s="102">
        <f t="shared" ca="1" si="74"/>
        <v>13656774.093328711</v>
      </c>
      <c r="CR37" s="102">
        <f t="shared" ca="1" si="74"/>
        <v>9540884.4057519715</v>
      </c>
      <c r="CS37" s="102">
        <f t="shared" ca="1" si="74"/>
        <v>-3756594.3910595323</v>
      </c>
      <c r="CT37" s="102">
        <f t="shared" ca="1" si="74"/>
        <v>-2099704.7172642541</v>
      </c>
      <c r="CU37" s="102">
        <f t="shared" ca="1" si="74"/>
        <v>-23997929.551749364</v>
      </c>
      <c r="CV37" s="102">
        <f t="shared" ca="1" si="74"/>
        <v>-126111.2463246705</v>
      </c>
      <c r="CW37" s="102">
        <f t="shared" ca="1" si="74"/>
        <v>26565485.706723984</v>
      </c>
      <c r="CX37" s="102">
        <f t="shared" ca="1" si="74"/>
        <v>1689789.7681760101</v>
      </c>
      <c r="CY37" s="102">
        <f t="shared" ca="1" si="74"/>
        <v>3497142.7399445786</v>
      </c>
      <c r="CZ37" s="102">
        <f t="shared" ca="1" si="74"/>
        <v>301999.75019208557</v>
      </c>
    </row>
    <row r="38" spans="4:104" x14ac:dyDescent="0.25">
      <c r="D38" s="71" t="s">
        <v>200</v>
      </c>
      <c r="E38" s="65"/>
      <c r="F38" s="102"/>
      <c r="G38" s="102">
        <f t="shared" ref="G38:I38" si="75">F39</f>
        <v>5223205.8900000006</v>
      </c>
      <c r="H38" s="102">
        <f t="shared" ca="1" si="75"/>
        <v>-5193407.7523902189</v>
      </c>
      <c r="I38" s="102">
        <f t="shared" ca="1" si="75"/>
        <v>-11471749.950428037</v>
      </c>
      <c r="J38" s="102">
        <f t="shared" ref="J38" ca="1" si="76">I39</f>
        <v>-13105877.924959254</v>
      </c>
      <c r="K38" s="102">
        <f t="shared" ref="K38" ca="1" si="77">J39</f>
        <v>-13545827.027329102</v>
      </c>
      <c r="L38" s="102">
        <f t="shared" ref="L38" ca="1" si="78">K39</f>
        <v>-14814018.266849304</v>
      </c>
      <c r="M38" s="21"/>
      <c r="N38" s="21"/>
      <c r="O38" s="21"/>
      <c r="P38" s="101">
        <f>+AG38</f>
        <v>5223205.8900000006</v>
      </c>
      <c r="Q38" s="101"/>
      <c r="R38" s="101"/>
      <c r="S38" s="101"/>
      <c r="T38" s="21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36"/>
      <c r="AG38" s="102">
        <f>AF39</f>
        <v>5223205.8900000006</v>
      </c>
      <c r="AH38" s="102">
        <f t="shared" ref="AH38:BP38" ca="1" si="79">AG39</f>
        <v>5140932.7566666678</v>
      </c>
      <c r="AI38" s="102">
        <f t="shared" ca="1" si="79"/>
        <v>2788558.0933333347</v>
      </c>
      <c r="AJ38" s="102">
        <f t="shared" ca="1" si="79"/>
        <v>1405842.060000001</v>
      </c>
      <c r="AK38" s="102">
        <f t="shared" ca="1" si="79"/>
        <v>615898.72666666785</v>
      </c>
      <c r="AL38" s="102">
        <f t="shared" ca="1" si="79"/>
        <v>259924.89333333459</v>
      </c>
      <c r="AM38" s="102">
        <f t="shared" ca="1" si="79"/>
        <v>-359624.48082601349</v>
      </c>
      <c r="AN38" s="102">
        <f t="shared" ca="1" si="79"/>
        <v>-589963.80407152313</v>
      </c>
      <c r="AO38" s="102">
        <f t="shared" ca="1" si="79"/>
        <v>-1339462.6374048565</v>
      </c>
      <c r="AP38" s="102">
        <f t="shared" ca="1" si="79"/>
        <v>-1957362.5523902192</v>
      </c>
      <c r="AQ38" s="102">
        <f t="shared" ca="1" si="79"/>
        <v>-3063834.3857235527</v>
      </c>
      <c r="AR38" s="102">
        <f t="shared" ca="1" si="79"/>
        <v>-3999563.2190568857</v>
      </c>
      <c r="AS38" s="102">
        <f t="shared" ca="1" si="79"/>
        <v>-5193407.7523902189</v>
      </c>
      <c r="AT38" s="102">
        <f t="shared" ca="1" si="79"/>
        <v>-5777953.6190568861</v>
      </c>
      <c r="AU38" s="102">
        <f t="shared" ca="1" si="79"/>
        <v>-6862940.8106938824</v>
      </c>
      <c r="AV38" s="102">
        <f t="shared" ca="1" si="79"/>
        <v>-7604997.1773605496</v>
      </c>
      <c r="AW38" s="102">
        <f t="shared" ca="1" si="79"/>
        <v>-7466948.3440272156</v>
      </c>
      <c r="AX38" s="102">
        <f t="shared" ca="1" si="79"/>
        <v>-8435124.8009858355</v>
      </c>
      <c r="AY38" s="102">
        <f t="shared" ca="1" si="79"/>
        <v>-9033018.2108758576</v>
      </c>
      <c r="AZ38" s="102">
        <f t="shared" ca="1" si="79"/>
        <v>-9654373.8551594242</v>
      </c>
      <c r="BA38" s="102">
        <f t="shared" ca="1" si="79"/>
        <v>-10732056.815480653</v>
      </c>
      <c r="BB38" s="102">
        <f t="shared" ca="1" si="79"/>
        <v>-11699829.463411661</v>
      </c>
      <c r="BC38" s="102">
        <f t="shared" ca="1" si="79"/>
        <v>-11341931.835838277</v>
      </c>
      <c r="BD38" s="102">
        <f t="shared" ca="1" si="79"/>
        <v>-11453459.604324708</v>
      </c>
      <c r="BE38" s="102">
        <f t="shared" ca="1" si="79"/>
        <v>-11471749.950428039</v>
      </c>
      <c r="BF38" s="102">
        <f t="shared" ca="1" si="79"/>
        <v>-14001594.756348208</v>
      </c>
      <c r="BG38" s="102">
        <f t="shared" ca="1" si="79"/>
        <v>-14993796.185513886</v>
      </c>
      <c r="BH38" s="102">
        <f t="shared" ca="1" si="79"/>
        <v>-14220877.446390932</v>
      </c>
      <c r="BI38" s="102">
        <f t="shared" ca="1" si="79"/>
        <v>-13070140.995257536</v>
      </c>
      <c r="BJ38" s="102">
        <f t="shared" ca="1" si="79"/>
        <v>-13800764.073224543</v>
      </c>
      <c r="BK38" s="102">
        <f t="shared" ca="1" si="79"/>
        <v>-13763691.730446238</v>
      </c>
      <c r="BL38" s="102">
        <f t="shared" ca="1" si="79"/>
        <v>-15367164.637608593</v>
      </c>
      <c r="BM38" s="102">
        <f t="shared" ca="1" si="79"/>
        <v>-16103197.744011395</v>
      </c>
      <c r="BN38" s="102">
        <f t="shared" ca="1" si="79"/>
        <v>-14853225.742636681</v>
      </c>
      <c r="BO38" s="102">
        <f t="shared" ca="1" si="79"/>
        <v>-14240529.041546801</v>
      </c>
      <c r="BP38" s="102">
        <f t="shared" ca="1" si="79"/>
        <v>-13688401.7385343</v>
      </c>
      <c r="BQ38" s="102">
        <f t="shared" ref="BQ38" ca="1" si="80">BP39</f>
        <v>-13105877.924959254</v>
      </c>
      <c r="BR38" s="102">
        <f t="shared" ref="BR38" ca="1" si="81">BQ39</f>
        <v>-16446055.839227911</v>
      </c>
      <c r="BS38" s="102">
        <f t="shared" ref="BS38" ca="1" si="82">BR39</f>
        <v>-19396530.907363173</v>
      </c>
      <c r="BT38" s="102">
        <f t="shared" ref="BT38" ca="1" si="83">BS39</f>
        <v>-16703880.821677521</v>
      </c>
      <c r="BU38" s="102">
        <f t="shared" ref="BU38" ca="1" si="84">BT39</f>
        <v>-13812174.746177901</v>
      </c>
      <c r="BV38" s="102">
        <f t="shared" ref="BV38" ca="1" si="85">BU39</f>
        <v>-15258016.971557703</v>
      </c>
      <c r="BW38" s="102">
        <f t="shared" ref="BW38" ca="1" si="86">BV39</f>
        <v>-15439189.393510018</v>
      </c>
      <c r="BX38" s="102">
        <f t="shared" ref="BX38" ca="1" si="87">BW39</f>
        <v>-19898598.498398483</v>
      </c>
      <c r="BY38" s="102">
        <f t="shared" ref="BY38" ca="1" si="88">BX39</f>
        <v>-20937406.422777217</v>
      </c>
      <c r="BZ38" s="102">
        <f t="shared" ref="BZ38" ca="1" si="89">BY39</f>
        <v>-16613219.450036716</v>
      </c>
      <c r="CA38" s="102">
        <f t="shared" ref="CA38" ca="1" si="90">BZ39</f>
        <v>-15766870.217124129</v>
      </c>
      <c r="CB38" s="102">
        <f t="shared" ref="CB38" ca="1" si="91">CA39</f>
        <v>-14605839.044996612</v>
      </c>
      <c r="CC38" s="102">
        <f t="shared" ref="CC38" ca="1" si="92">CB39</f>
        <v>-13545827.027329098</v>
      </c>
      <c r="CD38" s="102">
        <f t="shared" ref="CD38" ca="1" si="93">CC39</f>
        <v>-22090291.687991053</v>
      </c>
      <c r="CE38" s="102">
        <f t="shared" ref="CE38" ca="1" si="94">CD39</f>
        <v>-26660097.478040617</v>
      </c>
      <c r="CF38" s="102">
        <f t="shared" ref="CF38" ca="1" si="95">CE39</f>
        <v>-20462594.269306209</v>
      </c>
      <c r="CG38" s="102">
        <f t="shared" ref="CG38" ca="1" si="96">CF39</f>
        <v>-14947008.509234497</v>
      </c>
      <c r="CH38" s="102">
        <f t="shared" ref="CH38" ca="1" si="97">CG39</f>
        <v>-17826924.074897118</v>
      </c>
      <c r="CI38" s="102">
        <f t="shared" ref="CI38" ca="1" si="98">CH39</f>
        <v>-19491814.919971086</v>
      </c>
      <c r="CJ38" s="102">
        <f t="shared" ref="CJ38" ca="1" si="99">CI39</f>
        <v>-30635716.597926021</v>
      </c>
      <c r="CK38" s="102">
        <f t="shared" ref="CK38" ca="1" si="100">CJ39</f>
        <v>-29857910.512429286</v>
      </c>
      <c r="CL38" s="102">
        <f t="shared" ref="CL38" ca="1" si="101">CK39</f>
        <v>-18062595.613808293</v>
      </c>
      <c r="CM38" s="102">
        <f t="shared" ref="CM38" ca="1" si="102">CL39</f>
        <v>-17157469.28949213</v>
      </c>
      <c r="CN38" s="102">
        <f t="shared" ref="CN38" ca="1" si="103">CM39</f>
        <v>-15355294.212564852</v>
      </c>
      <c r="CO38" s="102">
        <f t="shared" ref="CO38" ca="1" si="104">CN39</f>
        <v>-14814018.2668493</v>
      </c>
      <c r="CP38" s="102">
        <f t="shared" ref="CP38" ca="1" si="105">CO39</f>
        <v>-26479485.920187656</v>
      </c>
      <c r="CQ38" s="102">
        <f t="shared" ref="CQ38" ca="1" si="106">CP39</f>
        <v>-31142786.521170322</v>
      </c>
      <c r="CR38" s="102">
        <f t="shared" ref="CR38" ca="1" si="107">CQ39</f>
        <v>-17486012.427841611</v>
      </c>
      <c r="CS38" s="102">
        <f t="shared" ref="CS38" ca="1" si="108">CR39</f>
        <v>-7945128.0220896397</v>
      </c>
      <c r="CT38" s="102">
        <f t="shared" ref="CT38" ca="1" si="109">CS39</f>
        <v>-11701722.413149172</v>
      </c>
      <c r="CU38" s="102">
        <f t="shared" ref="CU38" ca="1" si="110">CT39</f>
        <v>-13801427.130413426</v>
      </c>
      <c r="CV38" s="102">
        <f t="shared" ref="CV38" ca="1" si="111">CU39</f>
        <v>-37799356.682162791</v>
      </c>
      <c r="CW38" s="102">
        <f t="shared" ref="CW38" ca="1" si="112">CV39</f>
        <v>-37925467.928487465</v>
      </c>
      <c r="CX38" s="102">
        <f t="shared" ref="CX38" ca="1" si="113">CW39</f>
        <v>-11359982.22176348</v>
      </c>
      <c r="CY38" s="102">
        <f t="shared" ref="CY38" ca="1" si="114">CX39</f>
        <v>-9670192.4535874706</v>
      </c>
      <c r="CZ38" s="102">
        <f t="shared" ref="CZ38" ca="1" si="115">CY39</f>
        <v>-6173049.7136428915</v>
      </c>
    </row>
    <row r="39" spans="4:104" ht="15.75" thickBot="1" x14ac:dyDescent="0.3">
      <c r="D39" s="70" t="s">
        <v>201</v>
      </c>
      <c r="E39" s="65"/>
      <c r="F39" s="137">
        <f>ActBS!N17</f>
        <v>5223205.8900000006</v>
      </c>
      <c r="G39" s="110">
        <f t="shared" ref="G39:I39" ca="1" si="116">+G37+G38</f>
        <v>-5193407.7523902189</v>
      </c>
      <c r="H39" s="110">
        <f t="shared" ca="1" si="116"/>
        <v>-11471749.950428037</v>
      </c>
      <c r="I39" s="110">
        <f t="shared" ca="1" si="116"/>
        <v>-13105877.924959254</v>
      </c>
      <c r="J39" s="110">
        <f t="shared" ref="J39:L39" ca="1" si="117">+J37+J38</f>
        <v>-13545827.027329102</v>
      </c>
      <c r="K39" s="110">
        <f t="shared" ca="1" si="117"/>
        <v>-14814018.266849304</v>
      </c>
      <c r="L39" s="110">
        <f t="shared" ca="1" si="117"/>
        <v>-5871049.9634508025</v>
      </c>
      <c r="M39" s="21"/>
      <c r="N39" s="21"/>
      <c r="O39" s="21"/>
      <c r="P39" s="110">
        <f t="shared" ref="P39" ca="1" si="118">+P37+P38</f>
        <v>1405842.0600000005</v>
      </c>
      <c r="Q39" s="110">
        <f ca="1">+Q37+Q38+P39</f>
        <v>-359624.48082601419</v>
      </c>
      <c r="R39" s="110">
        <f t="shared" ref="R39:S39" ca="1" si="119">+R37+R38+Q39</f>
        <v>-1957362.5523902199</v>
      </c>
      <c r="S39" s="110">
        <f t="shared" ca="1" si="119"/>
        <v>-5193407.7523902198</v>
      </c>
      <c r="T39" s="21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09">
        <f>ActBS!N17</f>
        <v>5223205.8900000006</v>
      </c>
      <c r="AG39" s="110">
        <f t="shared" ref="AG39" ca="1" si="120">+AG37+AG38</f>
        <v>5140932.7566666678</v>
      </c>
      <c r="AH39" s="110">
        <f t="shared" ref="AH39:BP39" ca="1" si="121">+AH37+AH38</f>
        <v>2788558.0933333347</v>
      </c>
      <c r="AI39" s="110">
        <f t="shared" ca="1" si="121"/>
        <v>1405842.060000001</v>
      </c>
      <c r="AJ39" s="110">
        <f t="shared" ca="1" si="121"/>
        <v>615898.72666666785</v>
      </c>
      <c r="AK39" s="110">
        <f t="shared" ca="1" si="121"/>
        <v>259924.89333333459</v>
      </c>
      <c r="AL39" s="110">
        <f t="shared" ca="1" si="121"/>
        <v>-359624.48082601349</v>
      </c>
      <c r="AM39" s="110">
        <f t="shared" ca="1" si="121"/>
        <v>-589963.80407152313</v>
      </c>
      <c r="AN39" s="110">
        <f t="shared" ca="1" si="121"/>
        <v>-1339462.6374048565</v>
      </c>
      <c r="AO39" s="110">
        <f t="shared" ca="1" si="121"/>
        <v>-1957362.5523902192</v>
      </c>
      <c r="AP39" s="110">
        <f t="shared" ca="1" si="121"/>
        <v>-3063834.3857235527</v>
      </c>
      <c r="AQ39" s="110">
        <f t="shared" ca="1" si="121"/>
        <v>-3999563.2190568857</v>
      </c>
      <c r="AR39" s="110">
        <f t="shared" ca="1" si="121"/>
        <v>-5193407.7523902189</v>
      </c>
      <c r="AS39" s="110">
        <f t="shared" ca="1" si="121"/>
        <v>-5777953.6190568861</v>
      </c>
      <c r="AT39" s="110">
        <f t="shared" ca="1" si="121"/>
        <v>-6862940.8106938824</v>
      </c>
      <c r="AU39" s="110">
        <f t="shared" ca="1" si="121"/>
        <v>-7604997.1773605496</v>
      </c>
      <c r="AV39" s="110">
        <f t="shared" ca="1" si="121"/>
        <v>-7466948.3440272156</v>
      </c>
      <c r="AW39" s="110">
        <f t="shared" ca="1" si="121"/>
        <v>-8435124.8009858355</v>
      </c>
      <c r="AX39" s="110">
        <f t="shared" ca="1" si="121"/>
        <v>-9033018.2108758576</v>
      </c>
      <c r="AY39" s="110">
        <f t="shared" ca="1" si="121"/>
        <v>-9654373.8551594242</v>
      </c>
      <c r="AZ39" s="110">
        <f t="shared" ca="1" si="121"/>
        <v>-10732056.815480653</v>
      </c>
      <c r="BA39" s="110">
        <f t="shared" ca="1" si="121"/>
        <v>-11699829.463411661</v>
      </c>
      <c r="BB39" s="110">
        <f t="shared" ca="1" si="121"/>
        <v>-11341931.835838277</v>
      </c>
      <c r="BC39" s="110">
        <f t="shared" ca="1" si="121"/>
        <v>-11453459.604324708</v>
      </c>
      <c r="BD39" s="110">
        <f t="shared" ca="1" si="121"/>
        <v>-11471749.950428039</v>
      </c>
      <c r="BE39" s="110">
        <f t="shared" ca="1" si="121"/>
        <v>-14001594.756348208</v>
      </c>
      <c r="BF39" s="110">
        <f t="shared" ca="1" si="121"/>
        <v>-14993796.185513886</v>
      </c>
      <c r="BG39" s="110">
        <f t="shared" ca="1" si="121"/>
        <v>-14220877.446390932</v>
      </c>
      <c r="BH39" s="110">
        <f t="shared" ca="1" si="121"/>
        <v>-13070140.995257536</v>
      </c>
      <c r="BI39" s="110">
        <f t="shared" ca="1" si="121"/>
        <v>-13800764.073224543</v>
      </c>
      <c r="BJ39" s="110">
        <f t="shared" ca="1" si="121"/>
        <v>-13763691.730446238</v>
      </c>
      <c r="BK39" s="110">
        <f t="shared" ca="1" si="121"/>
        <v>-15367164.637608593</v>
      </c>
      <c r="BL39" s="110">
        <f t="shared" ca="1" si="121"/>
        <v>-16103197.744011395</v>
      </c>
      <c r="BM39" s="110">
        <f t="shared" ca="1" si="121"/>
        <v>-14853225.742636681</v>
      </c>
      <c r="BN39" s="110">
        <f t="shared" ca="1" si="121"/>
        <v>-14240529.041546801</v>
      </c>
      <c r="BO39" s="110">
        <f t="shared" ca="1" si="121"/>
        <v>-13688401.7385343</v>
      </c>
      <c r="BP39" s="110">
        <f t="shared" ca="1" si="121"/>
        <v>-13105877.924959254</v>
      </c>
      <c r="BQ39" s="110">
        <f t="shared" ref="BQ39:CZ39" ca="1" si="122">+BQ37+BQ38</f>
        <v>-16446055.839227911</v>
      </c>
      <c r="BR39" s="110">
        <f t="shared" ca="1" si="122"/>
        <v>-19396530.907363173</v>
      </c>
      <c r="BS39" s="110">
        <f t="shared" ca="1" si="122"/>
        <v>-16703880.821677521</v>
      </c>
      <c r="BT39" s="110">
        <f t="shared" ca="1" si="122"/>
        <v>-13812174.746177901</v>
      </c>
      <c r="BU39" s="110">
        <f t="shared" ca="1" si="122"/>
        <v>-15258016.971557703</v>
      </c>
      <c r="BV39" s="110">
        <f t="shared" ca="1" si="122"/>
        <v>-15439189.393510018</v>
      </c>
      <c r="BW39" s="110">
        <f t="shared" ca="1" si="122"/>
        <v>-19898598.498398483</v>
      </c>
      <c r="BX39" s="110">
        <f t="shared" ca="1" si="122"/>
        <v>-20937406.422777217</v>
      </c>
      <c r="BY39" s="110">
        <f t="shared" ca="1" si="122"/>
        <v>-16613219.450036716</v>
      </c>
      <c r="BZ39" s="110">
        <f t="shared" ca="1" si="122"/>
        <v>-15766870.217124129</v>
      </c>
      <c r="CA39" s="110">
        <f t="shared" ca="1" si="122"/>
        <v>-14605839.044996612</v>
      </c>
      <c r="CB39" s="110">
        <f t="shared" ca="1" si="122"/>
        <v>-13545827.027329098</v>
      </c>
      <c r="CC39" s="110">
        <f t="shared" ca="1" si="122"/>
        <v>-22090291.687991053</v>
      </c>
      <c r="CD39" s="110">
        <f t="shared" ca="1" si="122"/>
        <v>-26660097.478040617</v>
      </c>
      <c r="CE39" s="110">
        <f t="shared" ca="1" si="122"/>
        <v>-20462594.269306209</v>
      </c>
      <c r="CF39" s="110">
        <f t="shared" ca="1" si="122"/>
        <v>-14947008.509234497</v>
      </c>
      <c r="CG39" s="110">
        <f t="shared" ca="1" si="122"/>
        <v>-17826924.074897118</v>
      </c>
      <c r="CH39" s="110">
        <f t="shared" ca="1" si="122"/>
        <v>-19491814.919971086</v>
      </c>
      <c r="CI39" s="110">
        <f t="shared" ca="1" si="122"/>
        <v>-30635716.597926021</v>
      </c>
      <c r="CJ39" s="110">
        <f t="shared" ca="1" si="122"/>
        <v>-29857910.512429286</v>
      </c>
      <c r="CK39" s="110">
        <f t="shared" ca="1" si="122"/>
        <v>-18062595.613808293</v>
      </c>
      <c r="CL39" s="110">
        <f t="shared" ca="1" si="122"/>
        <v>-17157469.28949213</v>
      </c>
      <c r="CM39" s="110">
        <f t="shared" ca="1" si="122"/>
        <v>-15355294.212564852</v>
      </c>
      <c r="CN39" s="110">
        <f t="shared" ca="1" si="122"/>
        <v>-14814018.2668493</v>
      </c>
      <c r="CO39" s="110">
        <f t="shared" ca="1" si="122"/>
        <v>-26479485.920187656</v>
      </c>
      <c r="CP39" s="110">
        <f t="shared" ca="1" si="122"/>
        <v>-31142786.521170322</v>
      </c>
      <c r="CQ39" s="110">
        <f t="shared" ca="1" si="122"/>
        <v>-17486012.427841611</v>
      </c>
      <c r="CR39" s="110">
        <f t="shared" ca="1" si="122"/>
        <v>-7945128.0220896397</v>
      </c>
      <c r="CS39" s="110">
        <f t="shared" ca="1" si="122"/>
        <v>-11701722.413149172</v>
      </c>
      <c r="CT39" s="110">
        <f t="shared" ca="1" si="122"/>
        <v>-13801427.130413426</v>
      </c>
      <c r="CU39" s="110">
        <f t="shared" ca="1" si="122"/>
        <v>-37799356.682162791</v>
      </c>
      <c r="CV39" s="110">
        <f t="shared" ca="1" si="122"/>
        <v>-37925467.928487465</v>
      </c>
      <c r="CW39" s="110">
        <f t="shared" ca="1" si="122"/>
        <v>-11359982.22176348</v>
      </c>
      <c r="CX39" s="110">
        <f t="shared" ca="1" si="122"/>
        <v>-9670192.4535874706</v>
      </c>
      <c r="CY39" s="110">
        <f t="shared" ca="1" si="122"/>
        <v>-6173049.7136428915</v>
      </c>
      <c r="CZ39" s="110">
        <f t="shared" ca="1" si="122"/>
        <v>-5871049.9634508062</v>
      </c>
    </row>
    <row r="40" spans="4:104" x14ac:dyDescent="0.25">
      <c r="D40" s="72" t="s">
        <v>202</v>
      </c>
      <c r="E40" s="73"/>
      <c r="F40" s="82">
        <f>BS!F14-F39</f>
        <v>0</v>
      </c>
      <c r="G40" s="82">
        <f ca="1">AR39-G39</f>
        <v>0</v>
      </c>
      <c r="H40" s="82">
        <f ca="1">BD39-H39</f>
        <v>0</v>
      </c>
      <c r="I40" s="82">
        <f ca="1">BP39-I39</f>
        <v>0</v>
      </c>
      <c r="J40" s="82">
        <f ca="1">CB39-J39</f>
        <v>0</v>
      </c>
      <c r="K40" s="82">
        <f ca="1">CN39-K39</f>
        <v>0</v>
      </c>
      <c r="L40" s="82">
        <f ca="1">CZ39-L39</f>
        <v>0</v>
      </c>
      <c r="M40" s="21"/>
      <c r="N40" s="21"/>
      <c r="O40" s="21"/>
      <c r="P40" s="82">
        <f ca="1">+AI39-P39</f>
        <v>0</v>
      </c>
      <c r="Q40" s="82">
        <f ca="1">+AL39-Q39</f>
        <v>6.9849193096160889E-10</v>
      </c>
      <c r="R40" s="82">
        <f ca="1">+AO39-R39</f>
        <v>0</v>
      </c>
      <c r="S40" s="82">
        <f ca="1">+AR39-S39</f>
        <v>0</v>
      </c>
      <c r="T40" s="21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82">
        <f ca="1">BS!AC14-AG39</f>
        <v>0</v>
      </c>
      <c r="AH40" s="82">
        <f ca="1">BS!AD14-AH39</f>
        <v>0</v>
      </c>
      <c r="AI40" s="82">
        <f ca="1">BS!AE14-AI39</f>
        <v>0</v>
      </c>
      <c r="AJ40" s="82">
        <f ca="1">BS!AF14-AJ39</f>
        <v>0</v>
      </c>
      <c r="AK40" s="82">
        <f ca="1">BS!AG14-AK39</f>
        <v>0</v>
      </c>
      <c r="AL40" s="82">
        <f ca="1">BS!AH14-AL39</f>
        <v>0</v>
      </c>
      <c r="AM40" s="82">
        <f ca="1">BS!AI14-AM39</f>
        <v>0</v>
      </c>
      <c r="AN40" s="82">
        <f ca="1">BS!AJ14-AN39</f>
        <v>0</v>
      </c>
      <c r="AO40" s="82">
        <f ca="1">BS!AK14-AO39</f>
        <v>0</v>
      </c>
      <c r="AP40" s="82">
        <f ca="1">BS!AL14-AP39</f>
        <v>0</v>
      </c>
      <c r="AQ40" s="82">
        <f ca="1">BS!AM14-AQ39</f>
        <v>0</v>
      </c>
      <c r="AR40" s="82">
        <f ca="1">BS!AN14-AR39</f>
        <v>0</v>
      </c>
      <c r="AS40" s="82">
        <f ca="1">BS!AO14-AS39</f>
        <v>0</v>
      </c>
      <c r="AT40" s="82">
        <f ca="1">BS!AP14-AT39</f>
        <v>0</v>
      </c>
      <c r="AU40" s="82">
        <f ca="1">BS!AQ14-AU39</f>
        <v>0</v>
      </c>
      <c r="AV40" s="82">
        <f ca="1">BS!AR14-AV39</f>
        <v>0</v>
      </c>
      <c r="AW40" s="82">
        <f ca="1">BS!AS14-AW39</f>
        <v>0</v>
      </c>
      <c r="AX40" s="82">
        <f ca="1">BS!AT14-AX39</f>
        <v>0</v>
      </c>
      <c r="AY40" s="82">
        <f ca="1">BS!AU14-AY39</f>
        <v>0</v>
      </c>
      <c r="AZ40" s="82">
        <f ca="1">BS!AV14-AZ39</f>
        <v>0</v>
      </c>
      <c r="BA40" s="82">
        <f ca="1">BS!AW14-BA39</f>
        <v>0</v>
      </c>
      <c r="BB40" s="82">
        <f ca="1">BS!AX14-BB39</f>
        <v>0</v>
      </c>
      <c r="BC40" s="82">
        <f ca="1">BS!AY14-BC39</f>
        <v>0</v>
      </c>
      <c r="BD40" s="82">
        <f ca="1">BS!AZ14-BD39</f>
        <v>0</v>
      </c>
      <c r="BE40" s="82">
        <f ca="1">BS!BA14-BE39</f>
        <v>0</v>
      </c>
      <c r="BF40" s="82">
        <f ca="1">BS!BB14-BF39</f>
        <v>0</v>
      </c>
      <c r="BG40" s="82">
        <f ca="1">BS!BC14-BG39</f>
        <v>0</v>
      </c>
      <c r="BH40" s="82">
        <f ca="1">BS!BD14-BH39</f>
        <v>0</v>
      </c>
      <c r="BI40" s="82">
        <f ca="1">BS!BE14-BI39</f>
        <v>0</v>
      </c>
      <c r="BJ40" s="82">
        <f ca="1">BS!BF14-BJ39</f>
        <v>0</v>
      </c>
      <c r="BK40" s="82">
        <f ca="1">BS!BG14-BK39</f>
        <v>0</v>
      </c>
      <c r="BL40" s="82">
        <f ca="1">BS!BH14-BL39</f>
        <v>0</v>
      </c>
      <c r="BM40" s="82">
        <f ca="1">BS!BI14-BM39</f>
        <v>0</v>
      </c>
      <c r="BN40" s="82">
        <f ca="1">BS!BJ14-BN39</f>
        <v>0</v>
      </c>
      <c r="BO40" s="82">
        <f ca="1">BS!BK14-BO39</f>
        <v>0</v>
      </c>
      <c r="BP40" s="82">
        <f ca="1">BS!BL14-BP39</f>
        <v>0</v>
      </c>
      <c r="BQ40" s="82">
        <f ca="1">BS!BM14-BQ39</f>
        <v>0</v>
      </c>
      <c r="BR40" s="82">
        <f ca="1">BS!BN14-BR39</f>
        <v>0</v>
      </c>
      <c r="BS40" s="82">
        <f ca="1">BS!BO14-BS39</f>
        <v>0</v>
      </c>
      <c r="BT40" s="82">
        <f ca="1">BS!BP14-BT39</f>
        <v>0</v>
      </c>
      <c r="BU40" s="82">
        <f ca="1">BS!BQ14-BU39</f>
        <v>0</v>
      </c>
      <c r="BV40" s="82">
        <f ca="1">BS!BR14-BV39</f>
        <v>0</v>
      </c>
      <c r="BW40" s="82">
        <f ca="1">BS!BS14-BW39</f>
        <v>0</v>
      </c>
      <c r="BX40" s="82">
        <f ca="1">BS!BT14-BX39</f>
        <v>0</v>
      </c>
      <c r="BY40" s="82">
        <f ca="1">BS!BU14-BY39</f>
        <v>0</v>
      </c>
      <c r="BZ40" s="82">
        <f ca="1">BS!BV14-BZ39</f>
        <v>0</v>
      </c>
      <c r="CA40" s="82">
        <f ca="1">BS!BW14-CA39</f>
        <v>0</v>
      </c>
      <c r="CB40" s="82">
        <f ca="1">BS!BX14-CB39</f>
        <v>0</v>
      </c>
      <c r="CC40" s="82">
        <f ca="1">BS!BY14-CC39</f>
        <v>0</v>
      </c>
      <c r="CD40" s="82">
        <f ca="1">BS!BZ14-CD39</f>
        <v>0</v>
      </c>
      <c r="CE40" s="82">
        <f ca="1">BS!CA14-CE39</f>
        <v>0</v>
      </c>
      <c r="CF40" s="82">
        <f ca="1">BS!CB14-CF39</f>
        <v>0</v>
      </c>
      <c r="CG40" s="82">
        <f ca="1">BS!CC14-CG39</f>
        <v>0</v>
      </c>
      <c r="CH40" s="82">
        <f ca="1">BS!CD14-CH39</f>
        <v>0</v>
      </c>
      <c r="CI40" s="82">
        <f ca="1">BS!CE14-CI39</f>
        <v>0</v>
      </c>
      <c r="CJ40" s="82">
        <f ca="1">BS!CF14-CJ39</f>
        <v>0</v>
      </c>
      <c r="CK40" s="82">
        <f ca="1">BS!CG14-CK39</f>
        <v>0</v>
      </c>
      <c r="CL40" s="82">
        <f ca="1">BS!CH14-CL39</f>
        <v>0</v>
      </c>
      <c r="CM40" s="82">
        <f ca="1">BS!CI14-CM39</f>
        <v>0</v>
      </c>
      <c r="CN40" s="82">
        <f ca="1">BS!CJ14-CN39</f>
        <v>0</v>
      </c>
      <c r="CO40" s="82">
        <f ca="1">BS!CK14-CO39</f>
        <v>0</v>
      </c>
      <c r="CP40" s="82">
        <f ca="1">BS!CL14-CP39</f>
        <v>0</v>
      </c>
      <c r="CQ40" s="82">
        <f ca="1">BS!CM14-CQ39</f>
        <v>0</v>
      </c>
      <c r="CR40" s="82">
        <f ca="1">BS!CN14-CR39</f>
        <v>0</v>
      </c>
      <c r="CS40" s="82">
        <f ca="1">BS!CO14-CS39</f>
        <v>0</v>
      </c>
      <c r="CT40" s="82">
        <f ca="1">BS!CP14-CT39</f>
        <v>0</v>
      </c>
      <c r="CU40" s="82">
        <f ca="1">BS!CQ14-CU39</f>
        <v>0</v>
      </c>
      <c r="CV40" s="82">
        <f ca="1">BS!CR14-CV39</f>
        <v>0</v>
      </c>
      <c r="CW40" s="82">
        <f ca="1">BS!CS14-CW39</f>
        <v>0</v>
      </c>
      <c r="CX40" s="82">
        <f ca="1">BS!CT14-CX39</f>
        <v>0</v>
      </c>
      <c r="CY40" s="82">
        <f ca="1">BS!CU14-CY39</f>
        <v>0</v>
      </c>
      <c r="CZ40" s="82">
        <f ca="1">BS!CV14-CZ39</f>
        <v>0</v>
      </c>
    </row>
    <row r="41" spans="4:104" x14ac:dyDescent="0.25">
      <c r="D41" s="74"/>
      <c r="E41" s="73"/>
      <c r="F41" s="83"/>
      <c r="G41" s="83"/>
      <c r="H41" s="83"/>
      <c r="I41" s="83"/>
      <c r="J41" s="83"/>
      <c r="K41" s="83"/>
      <c r="L41" s="83"/>
      <c r="M41" s="21"/>
      <c r="N41" s="21"/>
      <c r="O41" s="21"/>
      <c r="P41" s="83"/>
      <c r="Q41" s="83"/>
      <c r="R41" s="83"/>
      <c r="S41" s="83"/>
      <c r="T41" s="21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</row>
    <row r="42" spans="4:104" x14ac:dyDescent="0.25">
      <c r="D42" s="63"/>
      <c r="E42" s="75"/>
      <c r="F42" s="63"/>
      <c r="G42" s="63"/>
      <c r="H42" s="63"/>
      <c r="I42" s="63"/>
      <c r="J42" s="63"/>
      <c r="K42" s="63"/>
      <c r="L42" s="63"/>
      <c r="M42" s="21"/>
      <c r="N42" s="21"/>
      <c r="O42" s="21"/>
      <c r="P42" s="63"/>
      <c r="Q42" s="63"/>
      <c r="R42" s="63"/>
      <c r="S42" s="63"/>
      <c r="T42" s="21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</row>
    <row r="43" spans="4:104" x14ac:dyDescent="0.25">
      <c r="D43" s="66"/>
      <c r="E43" s="69"/>
      <c r="F43" s="81"/>
      <c r="G43" s="81"/>
      <c r="H43" s="81"/>
      <c r="I43" s="81"/>
      <c r="J43" s="81"/>
      <c r="K43" s="81"/>
      <c r="L43" s="81"/>
      <c r="M43" s="21"/>
      <c r="N43" s="21"/>
      <c r="O43" s="21"/>
      <c r="P43" s="81"/>
      <c r="Q43" s="81"/>
      <c r="R43" s="81"/>
      <c r="S43" s="81"/>
      <c r="T43" s="21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</row>
    <row r="44" spans="4:104" x14ac:dyDescent="0.25">
      <c r="D44" s="63" t="s">
        <v>203</v>
      </c>
      <c r="E44" s="75"/>
      <c r="F44" s="63"/>
      <c r="G44" s="63"/>
      <c r="H44" s="63"/>
      <c r="I44" s="63"/>
      <c r="J44" s="63"/>
      <c r="K44" s="63"/>
      <c r="L44" s="63"/>
      <c r="M44" s="21"/>
      <c r="N44" s="21"/>
      <c r="O44" s="21"/>
      <c r="P44" s="63"/>
      <c r="Q44" s="63"/>
      <c r="R44" s="63"/>
      <c r="S44" s="63"/>
      <c r="T44" s="21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</row>
    <row r="45" spans="4:104" x14ac:dyDescent="0.25">
      <c r="D45" s="76" t="s">
        <v>180</v>
      </c>
      <c r="E45" s="77"/>
      <c r="F45" s="84"/>
      <c r="G45" s="100">
        <f t="shared" ref="G45" si="123">SUM(AG45:AR45)</f>
        <v>-8434183.4873902202</v>
      </c>
      <c r="H45" s="100">
        <f t="shared" ref="H45" si="124">SUM(AS45:BD45)</f>
        <v>-6671615.0897044856</v>
      </c>
      <c r="I45" s="100">
        <f t="shared" ref="I45" si="125">SUM(BE45:BP45)</f>
        <v>-1328310.8911978817</v>
      </c>
      <c r="J45" s="100">
        <f t="shared" ref="J45" si="126">SUM(BQ45:CB45)</f>
        <v>1807692.5642968174</v>
      </c>
      <c r="K45" s="100">
        <f t="shared" ref="K45" si="127">SUM(CC45:CN45)</f>
        <v>2454037.9271464623</v>
      </c>
      <c r="L45" s="100">
        <f t="shared" ref="L45" si="128">SUM(CO45:CZ45)</f>
        <v>15795749.553398496</v>
      </c>
      <c r="M45" s="21"/>
      <c r="N45" s="21"/>
      <c r="O45" s="21"/>
      <c r="P45" s="21"/>
      <c r="Q45" s="21"/>
      <c r="R45" s="21"/>
      <c r="S45" s="21"/>
      <c r="T45" s="21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84">
        <f>+AG13</f>
        <v>-593059.9770833333</v>
      </c>
      <c r="AH45" s="84">
        <f t="shared" ref="AH45:BP45" si="129">+AH13</f>
        <v>-723759.9770833333</v>
      </c>
      <c r="AI45" s="84">
        <f t="shared" si="129"/>
        <v>-682460.51041666674</v>
      </c>
      <c r="AJ45" s="84">
        <f t="shared" si="129"/>
        <v>-827187.81041666667</v>
      </c>
      <c r="AK45" s="84">
        <f t="shared" si="129"/>
        <v>-790718.31041666656</v>
      </c>
      <c r="AL45" s="84">
        <f t="shared" si="129"/>
        <v>-731793.85124268127</v>
      </c>
      <c r="AM45" s="84">
        <f t="shared" si="129"/>
        <v>-305083.80032884306</v>
      </c>
      <c r="AN45" s="84">
        <f t="shared" si="129"/>
        <v>-824243.31041666667</v>
      </c>
      <c r="AO45" s="84">
        <f t="shared" si="129"/>
        <v>-692644.39206869598</v>
      </c>
      <c r="AP45" s="84">
        <f t="shared" si="129"/>
        <v>-764341.31041666667</v>
      </c>
      <c r="AQ45" s="84">
        <f t="shared" si="129"/>
        <v>-797168.51874999993</v>
      </c>
      <c r="AR45" s="84">
        <f t="shared" si="129"/>
        <v>-701721.71875</v>
      </c>
      <c r="AS45" s="84">
        <f t="shared" si="129"/>
        <v>-798063.05208333326</v>
      </c>
      <c r="AT45" s="84">
        <f t="shared" si="129"/>
        <v>-418604.37705366325</v>
      </c>
      <c r="AU45" s="84">
        <f t="shared" si="129"/>
        <v>-789273.55208333326</v>
      </c>
      <c r="AV45" s="84">
        <f t="shared" si="129"/>
        <v>-839668.3520833333</v>
      </c>
      <c r="AW45" s="84">
        <f t="shared" si="129"/>
        <v>-825626.97570862004</v>
      </c>
      <c r="AX45" s="84">
        <f t="shared" si="129"/>
        <v>-412518.92864002287</v>
      </c>
      <c r="AY45" s="84">
        <f t="shared" si="129"/>
        <v>-785956.16303356667</v>
      </c>
      <c r="AZ45" s="84">
        <f t="shared" si="129"/>
        <v>-328558.47907122807</v>
      </c>
      <c r="BA45" s="84">
        <f t="shared" si="129"/>
        <v>-307323.16668100725</v>
      </c>
      <c r="BB45" s="84">
        <f t="shared" si="129"/>
        <v>-533602.89117661607</v>
      </c>
      <c r="BC45" s="84">
        <f t="shared" si="129"/>
        <v>-584003.28723643068</v>
      </c>
      <c r="BD45" s="84">
        <f t="shared" si="129"/>
        <v>-48415.864853330888</v>
      </c>
      <c r="BE45" s="84">
        <f t="shared" si="129"/>
        <v>-324309.18092016829</v>
      </c>
      <c r="BF45" s="84">
        <f t="shared" si="129"/>
        <v>451034.1958343219</v>
      </c>
      <c r="BG45" s="84">
        <f t="shared" si="129"/>
        <v>-872753.96921038046</v>
      </c>
      <c r="BH45" s="84">
        <f t="shared" si="129"/>
        <v>-393011.25719993678</v>
      </c>
      <c r="BI45" s="84">
        <f t="shared" si="129"/>
        <v>-444645.78630034043</v>
      </c>
      <c r="BJ45" s="84">
        <f t="shared" si="129"/>
        <v>7024.6344449720345</v>
      </c>
      <c r="BK45" s="84">
        <f t="shared" si="129"/>
        <v>365704.38450431125</v>
      </c>
      <c r="BL45" s="84">
        <f t="shared" si="129"/>
        <v>-122205.81473613414</v>
      </c>
      <c r="BM45" s="84">
        <f t="shared" si="129"/>
        <v>-209700.70695861988</v>
      </c>
      <c r="BN45" s="84">
        <f t="shared" si="129"/>
        <v>378023.99275654671</v>
      </c>
      <c r="BO45" s="84">
        <f t="shared" si="129"/>
        <v>-17745.196987499017</v>
      </c>
      <c r="BP45" s="84">
        <f t="shared" si="129"/>
        <v>-145726.18642495456</v>
      </c>
      <c r="BQ45" s="84">
        <f t="shared" ref="BQ45:CZ45" si="130">+BQ13</f>
        <v>143588.75239800941</v>
      </c>
      <c r="BR45" s="84">
        <f t="shared" si="130"/>
        <v>1109791.5985314054</v>
      </c>
      <c r="BS45" s="84">
        <f t="shared" si="130"/>
        <v>-1107683.2476476827</v>
      </c>
      <c r="BT45" s="84">
        <f t="shared" si="130"/>
        <v>-657914.75783371413</v>
      </c>
      <c r="BU45" s="84">
        <f t="shared" si="130"/>
        <v>-273267.22537980229</v>
      </c>
      <c r="BV45" s="84">
        <f t="shared" si="130"/>
        <v>257890.07804768439</v>
      </c>
      <c r="BW45" s="84">
        <f t="shared" si="130"/>
        <v>897765.89511153288</v>
      </c>
      <c r="BX45" s="84">
        <f t="shared" si="130"/>
        <v>172442.07562126732</v>
      </c>
      <c r="BY45" s="84">
        <f t="shared" si="130"/>
        <v>209136.97274050023</v>
      </c>
      <c r="BZ45" s="84">
        <f t="shared" si="130"/>
        <v>378536.732912587</v>
      </c>
      <c r="CA45" s="84">
        <f t="shared" si="130"/>
        <v>570581.17212751694</v>
      </c>
      <c r="CB45" s="84">
        <f t="shared" si="130"/>
        <v>106824.51766751288</v>
      </c>
      <c r="CC45" s="84">
        <f t="shared" si="130"/>
        <v>-1839860.4939952884</v>
      </c>
      <c r="CD45" s="84">
        <f t="shared" si="130"/>
        <v>2524017.126617102</v>
      </c>
      <c r="CE45" s="84">
        <f t="shared" si="130"/>
        <v>-2142392.6245989259</v>
      </c>
      <c r="CF45" s="84">
        <f t="shared" si="130"/>
        <v>-1472888.1982616219</v>
      </c>
      <c r="CG45" s="84">
        <f t="shared" si="130"/>
        <v>141782.35100404359</v>
      </c>
      <c r="CH45" s="84">
        <f t="shared" si="130"/>
        <v>439926.86325936392</v>
      </c>
      <c r="CI45" s="84">
        <f t="shared" si="130"/>
        <v>2022837.9053784013</v>
      </c>
      <c r="CJ45" s="84">
        <f t="shared" si="130"/>
        <v>-213548.08116993122</v>
      </c>
      <c r="CK45" s="84">
        <f t="shared" si="130"/>
        <v>491235.73195432592</v>
      </c>
      <c r="CL45" s="84">
        <f t="shared" si="130"/>
        <v>58537.782649495639</v>
      </c>
      <c r="CM45" s="84">
        <f t="shared" si="130"/>
        <v>1938920.9102606121</v>
      </c>
      <c r="CN45" s="84">
        <f t="shared" si="130"/>
        <v>505468.65404888522</v>
      </c>
      <c r="CO45" s="84">
        <f t="shared" si="130"/>
        <v>-257665.57000502199</v>
      </c>
      <c r="CP45" s="84">
        <f t="shared" si="130"/>
        <v>4935054.6073506661</v>
      </c>
      <c r="CQ45" s="84">
        <f t="shared" si="130"/>
        <v>-2551611.3233379563</v>
      </c>
      <c r="CR45" s="84">
        <f t="shared" si="130"/>
        <v>-1684280.698414695</v>
      </c>
      <c r="CS45" s="84">
        <f t="shared" si="130"/>
        <v>1537848.3172738031</v>
      </c>
      <c r="CT45" s="84">
        <f t="shared" si="130"/>
        <v>1615542.6785690784</v>
      </c>
      <c r="CU45" s="84">
        <f t="shared" si="130"/>
        <v>3296638.1565839685</v>
      </c>
      <c r="CV45" s="84">
        <f t="shared" si="130"/>
        <v>47378.337008662522</v>
      </c>
      <c r="CW45" s="84">
        <f t="shared" si="130"/>
        <v>1835420.2900573183</v>
      </c>
      <c r="CX45" s="84">
        <f t="shared" si="130"/>
        <v>359177.7890093429</v>
      </c>
      <c r="CY45" s="84">
        <f t="shared" si="130"/>
        <v>4620312.3232779112</v>
      </c>
      <c r="CZ45" s="84">
        <f t="shared" si="130"/>
        <v>2041934.6460254192</v>
      </c>
    </row>
    <row r="46" spans="4:104" x14ac:dyDescent="0.25">
      <c r="D46" s="78" t="s">
        <v>204</v>
      </c>
      <c r="E46" s="75"/>
      <c r="F46" s="84"/>
      <c r="G46" s="85">
        <f>BS!G42-BS!F42</f>
        <v>-8434183.4873902202</v>
      </c>
      <c r="H46" s="85">
        <f>BS!H42-BS!G42</f>
        <v>-6671615.0897044856</v>
      </c>
      <c r="I46" s="85">
        <f>BS!I42-BS!H42</f>
        <v>-1328310.8911978826</v>
      </c>
      <c r="J46" s="85">
        <f>BS!J42-BS!I42</f>
        <v>1807692.5642968193</v>
      </c>
      <c r="K46" s="85">
        <f>BS!K42-BS!J42</f>
        <v>2454037.9271464646</v>
      </c>
      <c r="L46" s="85">
        <f>BS!L42-BS!K42</f>
        <v>15795749.553398497</v>
      </c>
      <c r="M46" s="21"/>
      <c r="N46" s="21"/>
      <c r="O46" s="21"/>
      <c r="P46" s="21"/>
      <c r="Q46" s="21"/>
      <c r="R46" s="21"/>
      <c r="S46" s="21"/>
      <c r="T46" s="21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85">
        <f>BS!AC42-BS!AB42</f>
        <v>-593059.97708333284</v>
      </c>
      <c r="AH46" s="85">
        <f>BS!AD42-BS!AC42</f>
        <v>-723759.97708333377</v>
      </c>
      <c r="AI46" s="85">
        <f>BS!AE42-BS!AD42</f>
        <v>-682460.51041666698</v>
      </c>
      <c r="AJ46" s="85">
        <f>BS!AF42-BS!AE42</f>
        <v>-827187.81041666679</v>
      </c>
      <c r="AK46" s="85">
        <f>BS!AG42-BS!AF42</f>
        <v>-790718.31041666493</v>
      </c>
      <c r="AL46" s="85">
        <f>BS!AH42-BS!AG42</f>
        <v>-731793.85124268197</v>
      </c>
      <c r="AM46" s="85">
        <f>BS!AI42-BS!AH42</f>
        <v>-305083.8003288433</v>
      </c>
      <c r="AN46" s="85">
        <f>BS!AJ42-BS!AI42</f>
        <v>-824243.31041666679</v>
      </c>
      <c r="AO46" s="85">
        <f>BS!AK42-BS!AJ42</f>
        <v>-692644.39206869528</v>
      </c>
      <c r="AP46" s="85">
        <f>BS!AL42-BS!AK42</f>
        <v>-764341.31041666865</v>
      </c>
      <c r="AQ46" s="85">
        <f>BS!AM42-BS!AL42</f>
        <v>-797168.51874999888</v>
      </c>
      <c r="AR46" s="85">
        <f>BS!AN42-BS!AM42</f>
        <v>-701721.71875</v>
      </c>
      <c r="AS46" s="85">
        <f>BS!AO42-BS!AN42</f>
        <v>-798063.05208333395</v>
      </c>
      <c r="AT46" s="85">
        <f>BS!AP42-BS!AO42</f>
        <v>-418604.37705366313</v>
      </c>
      <c r="AU46" s="85">
        <f>BS!AQ42-BS!AP42</f>
        <v>-789273.55208333209</v>
      </c>
      <c r="AV46" s="85">
        <f>BS!AR42-BS!AQ42</f>
        <v>-839668.35208333284</v>
      </c>
      <c r="AW46" s="85">
        <f>BS!AS42-BS!AR42</f>
        <v>-825626.97570862249</v>
      </c>
      <c r="AX46" s="85">
        <f>BS!AT42-BS!AS42</f>
        <v>-412518.92864002287</v>
      </c>
      <c r="AY46" s="85">
        <f>BS!AU42-BS!AT42</f>
        <v>-785956.16303356737</v>
      </c>
      <c r="AZ46" s="85">
        <f>BS!AV42-BS!AU42</f>
        <v>-328558.47907122597</v>
      </c>
      <c r="BA46" s="85">
        <f>BS!AW42-BS!AV42</f>
        <v>-307323.16668100655</v>
      </c>
      <c r="BB46" s="85">
        <f>BS!AX42-BS!AW42</f>
        <v>-533602.89117661864</v>
      </c>
      <c r="BC46" s="85">
        <f>BS!AY42-BS!AX42</f>
        <v>-584003.28723642975</v>
      </c>
      <c r="BD46" s="85">
        <f>BS!AZ42-BS!AY42</f>
        <v>-48415.864853329957</v>
      </c>
      <c r="BE46" s="85">
        <f>BS!BA42-BS!AZ42</f>
        <v>-324309.18092016876</v>
      </c>
      <c r="BF46" s="85">
        <f>BS!BB42-BS!BA42</f>
        <v>451034.19583432004</v>
      </c>
      <c r="BG46" s="85">
        <f>BS!BC42-BS!BB42</f>
        <v>-872753.96921038255</v>
      </c>
      <c r="BH46" s="85">
        <f>BS!BD42-BS!BC42</f>
        <v>-393011.25719993562</v>
      </c>
      <c r="BI46" s="85">
        <f>BS!BE42-BS!BD42</f>
        <v>-444645.7863003388</v>
      </c>
      <c r="BJ46" s="85">
        <f>BS!BF42-BS!BE42</f>
        <v>7024.6344449706376</v>
      </c>
      <c r="BK46" s="85">
        <f>BS!BG42-BS!BF42</f>
        <v>365704.38450431079</v>
      </c>
      <c r="BL46" s="85">
        <f>BS!BH42-BS!BG42</f>
        <v>-122205.81473613158</v>
      </c>
      <c r="BM46" s="85">
        <f>BS!BI42-BS!BH42</f>
        <v>-209700.70695862174</v>
      </c>
      <c r="BN46" s="85">
        <f>BS!BJ42-BS!BI42</f>
        <v>378023.99275654554</v>
      </c>
      <c r="BO46" s="85">
        <f>BS!BK42-BS!BJ42</f>
        <v>-17745.196987494826</v>
      </c>
      <c r="BP46" s="85">
        <f>BS!BL42-BS!BK42</f>
        <v>-145726.18642495573</v>
      </c>
      <c r="BQ46" s="85">
        <f>BS!BM42-BS!BL42</f>
        <v>143588.75239800662</v>
      </c>
      <c r="BR46" s="85">
        <f>BS!BN42-BS!BM42</f>
        <v>1109791.5985314101</v>
      </c>
      <c r="BS46" s="85">
        <f>BS!BO42-BS!BN42</f>
        <v>-1107683.2476476841</v>
      </c>
      <c r="BT46" s="85">
        <f>BS!BP42-BS!BO42</f>
        <v>-657914.75783371553</v>
      </c>
      <c r="BU46" s="85">
        <f>BS!BQ42-BS!BP42</f>
        <v>-273267.22537980229</v>
      </c>
      <c r="BV46" s="85">
        <f>BS!BR42-BS!BQ42</f>
        <v>257890.07804768533</v>
      </c>
      <c r="BW46" s="85">
        <f>BS!BS42-BS!BR42</f>
        <v>897765.89511153474</v>
      </c>
      <c r="BX46" s="85">
        <f>BS!BT42-BS!BS42</f>
        <v>172442.07562126592</v>
      </c>
      <c r="BY46" s="85">
        <f>BS!BU42-BS!BT42</f>
        <v>209136.97274050117</v>
      </c>
      <c r="BZ46" s="85">
        <f>BS!BV42-BS!BU42</f>
        <v>378536.73291258886</v>
      </c>
      <c r="CA46" s="85">
        <f>BS!BW42-BS!BV42</f>
        <v>570581.1721275188</v>
      </c>
      <c r="CB46" s="85">
        <f>BS!BX42-BS!BW42</f>
        <v>106824.51766750962</v>
      </c>
      <c r="CC46" s="85">
        <f>BS!BY42-BS!BX42</f>
        <v>-1839860.4939952865</v>
      </c>
      <c r="CD46" s="85">
        <f>BS!BZ42-BS!BY42</f>
        <v>2524017.1266171038</v>
      </c>
      <c r="CE46" s="85">
        <f>BS!CA42-BS!BZ42</f>
        <v>-2142392.6245989278</v>
      </c>
      <c r="CF46" s="85">
        <f>BS!CB42-BS!CA42</f>
        <v>-1472888.1982616186</v>
      </c>
      <c r="CG46" s="85">
        <f>BS!CC42-BS!CB42</f>
        <v>141782.35100404173</v>
      </c>
      <c r="CH46" s="85">
        <f>BS!CD42-BS!CC42</f>
        <v>439926.86325936764</v>
      </c>
      <c r="CI46" s="85">
        <f>BS!CE42-BS!CD42</f>
        <v>2022837.9053784013</v>
      </c>
      <c r="CJ46" s="85">
        <f>BS!CF42-BS!CE42</f>
        <v>-213548.08116993308</v>
      </c>
      <c r="CK46" s="85">
        <f>BS!CG42-BS!CF42</f>
        <v>491235.73195432872</v>
      </c>
      <c r="CL46" s="85">
        <f>BS!CH42-BS!CG42</f>
        <v>58537.782649494708</v>
      </c>
      <c r="CM46" s="85">
        <f>BS!CI42-BS!CH42</f>
        <v>1938920.9102606103</v>
      </c>
      <c r="CN46" s="85">
        <f>BS!CJ42-BS!CI42</f>
        <v>505468.65404888242</v>
      </c>
      <c r="CO46" s="85">
        <f>BS!CK42-BS!CJ42</f>
        <v>-257665.57000502199</v>
      </c>
      <c r="CP46" s="85">
        <f>BS!CL42-BS!CK42</f>
        <v>4935054.6073506679</v>
      </c>
      <c r="CQ46" s="85">
        <f>BS!CM42-BS!CL42</f>
        <v>-2551611.3233379573</v>
      </c>
      <c r="CR46" s="85">
        <f>BS!CN42-BS!CM42</f>
        <v>-1684280.6984146964</v>
      </c>
      <c r="CS46" s="85">
        <f>BS!CO42-BS!CN42</f>
        <v>1537848.3172738031</v>
      </c>
      <c r="CT46" s="85">
        <f>BS!CP42-BS!CO42</f>
        <v>1615542.6785690803</v>
      </c>
      <c r="CU46" s="85">
        <f>BS!CQ42-BS!CP42</f>
        <v>3296638.1565839685</v>
      </c>
      <c r="CV46" s="85">
        <f>BS!CR42-BS!CQ42</f>
        <v>47378.337008662522</v>
      </c>
      <c r="CW46" s="85">
        <f>BS!CS42-BS!CR42</f>
        <v>1835420.2900573183</v>
      </c>
      <c r="CX46" s="85">
        <f>BS!CT42-BS!CS42</f>
        <v>359177.78900934383</v>
      </c>
      <c r="CY46" s="85">
        <f>BS!CU42-BS!CT42</f>
        <v>4620312.3232779102</v>
      </c>
      <c r="CZ46" s="85">
        <f>BS!CV42-BS!CU42</f>
        <v>2041934.6460254192</v>
      </c>
    </row>
    <row r="47" spans="4:104" x14ac:dyDescent="0.25">
      <c r="D47" s="78" t="s">
        <v>205</v>
      </c>
      <c r="E47" s="79"/>
      <c r="F47" s="84"/>
      <c r="G47" s="98">
        <f t="shared" ref="G47:I47" si="131">-G45+G46</f>
        <v>0</v>
      </c>
      <c r="H47" s="98">
        <f t="shared" si="131"/>
        <v>0</v>
      </c>
      <c r="I47" s="98">
        <f t="shared" si="131"/>
        <v>0</v>
      </c>
      <c r="J47" s="98">
        <f t="shared" ref="J47:L47" si="132">-J45+J46</f>
        <v>1.862645149230957E-9</v>
      </c>
      <c r="K47" s="98">
        <f t="shared" si="132"/>
        <v>0</v>
      </c>
      <c r="L47" s="98">
        <f t="shared" si="132"/>
        <v>0</v>
      </c>
      <c r="M47" s="21"/>
      <c r="N47" s="21"/>
      <c r="O47" s="21"/>
      <c r="P47" s="21"/>
      <c r="Q47" s="21"/>
      <c r="R47" s="21"/>
      <c r="S47" s="21"/>
      <c r="T47" s="21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98">
        <f t="shared" ref="AG47:BP47" si="133">-AG45+AG46</f>
        <v>0</v>
      </c>
      <c r="AH47" s="98">
        <f t="shared" si="133"/>
        <v>0</v>
      </c>
      <c r="AI47" s="98">
        <f t="shared" si="133"/>
        <v>0</v>
      </c>
      <c r="AJ47" s="98">
        <f t="shared" si="133"/>
        <v>0</v>
      </c>
      <c r="AK47" s="98">
        <f t="shared" si="133"/>
        <v>1.6298145055770874E-9</v>
      </c>
      <c r="AL47" s="98">
        <f t="shared" si="133"/>
        <v>0</v>
      </c>
      <c r="AM47" s="98">
        <f t="shared" si="133"/>
        <v>0</v>
      </c>
      <c r="AN47" s="98">
        <f t="shared" si="133"/>
        <v>0</v>
      </c>
      <c r="AO47" s="98">
        <f t="shared" si="133"/>
        <v>0</v>
      </c>
      <c r="AP47" s="98">
        <f t="shared" si="133"/>
        <v>-1.9790604710578918E-9</v>
      </c>
      <c r="AQ47" s="98">
        <f t="shared" si="133"/>
        <v>1.0477378964424133E-9</v>
      </c>
      <c r="AR47" s="98">
        <f t="shared" si="133"/>
        <v>0</v>
      </c>
      <c r="AS47" s="98">
        <f t="shared" si="133"/>
        <v>0</v>
      </c>
      <c r="AT47" s="98">
        <f t="shared" si="133"/>
        <v>0</v>
      </c>
      <c r="AU47" s="98">
        <f t="shared" si="133"/>
        <v>1.1641532182693481E-9</v>
      </c>
      <c r="AV47" s="98">
        <f t="shared" si="133"/>
        <v>0</v>
      </c>
      <c r="AW47" s="98">
        <f t="shared" si="133"/>
        <v>-2.4447217583656311E-9</v>
      </c>
      <c r="AX47" s="98">
        <f t="shared" si="133"/>
        <v>0</v>
      </c>
      <c r="AY47" s="98">
        <f t="shared" si="133"/>
        <v>0</v>
      </c>
      <c r="AZ47" s="98">
        <f t="shared" si="133"/>
        <v>2.0954757928848267E-9</v>
      </c>
      <c r="BA47" s="98">
        <f t="shared" si="133"/>
        <v>6.9849193096160889E-10</v>
      </c>
      <c r="BB47" s="98">
        <f t="shared" si="133"/>
        <v>-2.5611370801925659E-9</v>
      </c>
      <c r="BC47" s="98">
        <f t="shared" si="133"/>
        <v>9.3132257461547852E-10</v>
      </c>
      <c r="BD47" s="98">
        <f t="shared" si="133"/>
        <v>9.3132257461547852E-10</v>
      </c>
      <c r="BE47" s="98">
        <f t="shared" si="133"/>
        <v>-4.6566128730773926E-10</v>
      </c>
      <c r="BF47" s="98">
        <f t="shared" si="133"/>
        <v>-1.862645149230957E-9</v>
      </c>
      <c r="BG47" s="98">
        <f t="shared" si="133"/>
        <v>-2.0954757928848267E-9</v>
      </c>
      <c r="BH47" s="98">
        <f t="shared" si="133"/>
        <v>1.1641532182693481E-9</v>
      </c>
      <c r="BI47" s="98">
        <f t="shared" si="133"/>
        <v>1.6298145055770874E-9</v>
      </c>
      <c r="BJ47" s="98">
        <f t="shared" si="133"/>
        <v>-1.3969838619232178E-9</v>
      </c>
      <c r="BK47" s="98">
        <f t="shared" si="133"/>
        <v>-4.6566128730773926E-10</v>
      </c>
      <c r="BL47" s="98">
        <f t="shared" si="133"/>
        <v>2.5611370801925659E-9</v>
      </c>
      <c r="BM47" s="98">
        <f t="shared" si="133"/>
        <v>-1.862645149230957E-9</v>
      </c>
      <c r="BN47" s="98">
        <f t="shared" si="133"/>
        <v>-1.1641532182693481E-9</v>
      </c>
      <c r="BO47" s="98">
        <f t="shared" si="133"/>
        <v>4.1909515857696533E-9</v>
      </c>
      <c r="BP47" s="98">
        <f t="shared" si="133"/>
        <v>-1.1641532182693481E-9</v>
      </c>
      <c r="BQ47" s="98">
        <f t="shared" ref="BQ47:CZ47" si="134">-BQ45+BQ46</f>
        <v>-2.7939677238464355E-9</v>
      </c>
      <c r="BR47" s="98">
        <f t="shared" si="134"/>
        <v>4.6566128730773926E-9</v>
      </c>
      <c r="BS47" s="98">
        <f t="shared" si="134"/>
        <v>0</v>
      </c>
      <c r="BT47" s="98">
        <f t="shared" si="134"/>
        <v>-1.3969838619232178E-9</v>
      </c>
      <c r="BU47" s="98">
        <f t="shared" si="134"/>
        <v>0</v>
      </c>
      <c r="BV47" s="98">
        <f t="shared" si="134"/>
        <v>9.3132257461547852E-10</v>
      </c>
      <c r="BW47" s="98">
        <f t="shared" si="134"/>
        <v>1.862645149230957E-9</v>
      </c>
      <c r="BX47" s="98">
        <f t="shared" si="134"/>
        <v>-1.3969838619232178E-9</v>
      </c>
      <c r="BY47" s="98">
        <f t="shared" si="134"/>
        <v>9.3132257461547852E-10</v>
      </c>
      <c r="BZ47" s="98">
        <f t="shared" si="134"/>
        <v>1.862645149230957E-9</v>
      </c>
      <c r="CA47" s="98">
        <f t="shared" si="134"/>
        <v>1.862645149230957E-9</v>
      </c>
      <c r="CB47" s="98">
        <f t="shared" si="134"/>
        <v>-3.2596290111541748E-9</v>
      </c>
      <c r="CC47" s="98">
        <f t="shared" si="134"/>
        <v>1.862645149230957E-9</v>
      </c>
      <c r="CD47" s="98">
        <f t="shared" si="134"/>
        <v>0</v>
      </c>
      <c r="CE47" s="98">
        <f t="shared" si="134"/>
        <v>0</v>
      </c>
      <c r="CF47" s="98">
        <f t="shared" si="134"/>
        <v>3.2596290111541748E-9</v>
      </c>
      <c r="CG47" s="98">
        <f t="shared" si="134"/>
        <v>-1.862645149230957E-9</v>
      </c>
      <c r="CH47" s="98">
        <f t="shared" si="134"/>
        <v>3.7252902984619141E-9</v>
      </c>
      <c r="CI47" s="98">
        <f t="shared" si="134"/>
        <v>0</v>
      </c>
      <c r="CJ47" s="98">
        <f t="shared" si="134"/>
        <v>-1.862645149230957E-9</v>
      </c>
      <c r="CK47" s="98">
        <f t="shared" si="134"/>
        <v>2.7939677238464355E-9</v>
      </c>
      <c r="CL47" s="98">
        <f t="shared" si="134"/>
        <v>-9.3132257461547852E-10</v>
      </c>
      <c r="CM47" s="98">
        <f t="shared" si="134"/>
        <v>-1.862645149230957E-9</v>
      </c>
      <c r="CN47" s="98">
        <f t="shared" si="134"/>
        <v>-2.7939677238464355E-9</v>
      </c>
      <c r="CO47" s="98">
        <f t="shared" si="134"/>
        <v>0</v>
      </c>
      <c r="CP47" s="98">
        <f t="shared" si="134"/>
        <v>0</v>
      </c>
      <c r="CQ47" s="98">
        <f t="shared" si="134"/>
        <v>0</v>
      </c>
      <c r="CR47" s="98">
        <f t="shared" si="134"/>
        <v>0</v>
      </c>
      <c r="CS47" s="98">
        <f t="shared" si="134"/>
        <v>0</v>
      </c>
      <c r="CT47" s="98">
        <f t="shared" si="134"/>
        <v>1.862645149230957E-9</v>
      </c>
      <c r="CU47" s="98">
        <f t="shared" si="134"/>
        <v>0</v>
      </c>
      <c r="CV47" s="98">
        <f t="shared" si="134"/>
        <v>0</v>
      </c>
      <c r="CW47" s="98">
        <f t="shared" si="134"/>
        <v>0</v>
      </c>
      <c r="CX47" s="98">
        <f t="shared" si="134"/>
        <v>9.3132257461547852E-10</v>
      </c>
      <c r="CY47" s="98">
        <f t="shared" si="134"/>
        <v>0</v>
      </c>
      <c r="CZ47" s="98">
        <f t="shared" si="134"/>
        <v>0</v>
      </c>
    </row>
    <row r="48" spans="4:104" x14ac:dyDescent="0.25">
      <c r="D48" s="78"/>
      <c r="E48" s="75"/>
      <c r="F48" s="63"/>
      <c r="G48" s="63"/>
      <c r="H48" s="63"/>
      <c r="I48" s="63"/>
      <c r="J48" s="63"/>
      <c r="K48" s="63"/>
      <c r="L48" s="63"/>
      <c r="M48" s="21"/>
      <c r="N48" s="21"/>
      <c r="O48" s="21"/>
      <c r="P48" s="21"/>
      <c r="Q48" s="21"/>
      <c r="R48" s="21"/>
      <c r="S48" s="21"/>
      <c r="T48" s="21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63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</row>
    <row r="49" spans="5:104" x14ac:dyDescent="0.25">
      <c r="E49" s="80"/>
      <c r="F49" s="86"/>
      <c r="G49" s="86"/>
      <c r="H49" s="86"/>
      <c r="I49" s="86"/>
      <c r="J49" s="86"/>
      <c r="K49" s="86"/>
      <c r="L49" s="86"/>
      <c r="M49" s="21"/>
      <c r="N49" s="21"/>
      <c r="O49" s="21"/>
      <c r="P49" s="21"/>
      <c r="Q49" s="21"/>
      <c r="R49" s="21"/>
      <c r="S49" s="21"/>
      <c r="T49" s="21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8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</row>
    <row r="50" spans="5:104" x14ac:dyDescent="0.25">
      <c r="E50" s="80"/>
      <c r="F50" s="63"/>
      <c r="G50" s="63"/>
      <c r="H50" s="63"/>
      <c r="I50" s="63"/>
      <c r="J50" s="63"/>
      <c r="K50" s="63"/>
      <c r="L50" s="63"/>
      <c r="M50" s="21"/>
      <c r="N50" s="21"/>
      <c r="O50" s="21"/>
      <c r="P50" s="21"/>
      <c r="Q50" s="21"/>
      <c r="R50" s="21"/>
      <c r="S50" s="21"/>
      <c r="T50" s="21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63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</row>
    <row r="51" spans="5:104" x14ac:dyDescent="0.25">
      <c r="E51" s="80"/>
      <c r="F51" s="16"/>
      <c r="G51" s="16"/>
      <c r="H51" s="16"/>
      <c r="I51" s="16"/>
      <c r="J51" s="16"/>
      <c r="K51" s="16"/>
      <c r="L51" s="16"/>
      <c r="M51" s="21"/>
      <c r="N51" s="21"/>
      <c r="O51" s="21"/>
      <c r="P51" s="21"/>
      <c r="Q51" s="21"/>
      <c r="R51" s="21"/>
      <c r="S51" s="21"/>
      <c r="T51" s="21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</row>
    <row r="52" spans="5:104" x14ac:dyDescent="0.25">
      <c r="E52" s="80"/>
      <c r="F52" s="16"/>
      <c r="G52" s="16"/>
      <c r="H52" s="16"/>
      <c r="I52" s="16"/>
      <c r="J52" s="16"/>
      <c r="K52" s="16"/>
      <c r="L52" s="16"/>
      <c r="M52" s="21"/>
      <c r="N52" s="21"/>
      <c r="O52" s="21"/>
      <c r="P52" s="21"/>
      <c r="Q52" s="21"/>
      <c r="R52" s="21"/>
      <c r="S52" s="21"/>
      <c r="T52" s="21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</row>
    <row r="53" spans="5:104" x14ac:dyDescent="0.25">
      <c r="E53" s="80"/>
      <c r="F53" s="16"/>
      <c r="G53" s="16"/>
      <c r="H53" s="16"/>
      <c r="I53" s="16"/>
      <c r="J53" s="16"/>
      <c r="K53" s="16"/>
      <c r="L53" s="16"/>
      <c r="M53" s="21"/>
      <c r="N53" s="21"/>
      <c r="O53" s="21"/>
      <c r="P53" s="21"/>
      <c r="Q53" s="21"/>
      <c r="R53" s="21"/>
      <c r="S53" s="21"/>
      <c r="T53" s="21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</row>
    <row r="54" spans="5:104" x14ac:dyDescent="0.25">
      <c r="E54" s="80"/>
      <c r="F54" s="21"/>
      <c r="G54" s="21"/>
      <c r="H54" s="21"/>
      <c r="I54" s="21"/>
      <c r="J54" s="21"/>
      <c r="K54" s="21"/>
      <c r="L54" s="21"/>
    </row>
    <row r="55" spans="5:104" x14ac:dyDescent="0.25">
      <c r="E55" s="80"/>
      <c r="F55" s="21"/>
      <c r="G55" s="21"/>
      <c r="H55" s="21"/>
      <c r="I55" s="21"/>
      <c r="J55" s="21"/>
      <c r="K55" s="21"/>
      <c r="L55" s="21"/>
    </row>
    <row r="56" spans="5:104" x14ac:dyDescent="0.25">
      <c r="E56" s="80"/>
      <c r="F56" s="21"/>
      <c r="G56" s="21"/>
      <c r="H56" s="21"/>
      <c r="I56" s="21"/>
      <c r="J56" s="21"/>
      <c r="K56" s="21"/>
      <c r="L56" s="21"/>
    </row>
    <row r="57" spans="5:104" x14ac:dyDescent="0.25">
      <c r="E57" s="80"/>
      <c r="F57" s="21"/>
      <c r="G57" s="21"/>
      <c r="H57" s="21"/>
      <c r="I57" s="21"/>
      <c r="J57" s="21"/>
      <c r="K57" s="21"/>
      <c r="L57" s="21"/>
    </row>
    <row r="58" spans="5:104" x14ac:dyDescent="0.25">
      <c r="E58" s="80"/>
      <c r="F58" s="21"/>
      <c r="G58" s="21"/>
      <c r="H58" s="21"/>
      <c r="I58" s="21"/>
      <c r="J58" s="21"/>
      <c r="K58" s="21"/>
      <c r="L58" s="21"/>
    </row>
    <row r="59" spans="5:104" x14ac:dyDescent="0.25">
      <c r="E59" s="80"/>
      <c r="F59" s="21"/>
      <c r="G59" s="21"/>
      <c r="H59" s="21"/>
      <c r="I59" s="21"/>
      <c r="J59" s="21"/>
      <c r="K59" s="21"/>
      <c r="L59" s="21"/>
    </row>
    <row r="60" spans="5:104" x14ac:dyDescent="0.25">
      <c r="E60" s="80"/>
    </row>
    <row r="61" spans="5:104" x14ac:dyDescent="0.25">
      <c r="E61" s="80"/>
    </row>
    <row r="62" spans="5:104" x14ac:dyDescent="0.25">
      <c r="E62" s="80"/>
    </row>
    <row r="63" spans="5:104" x14ac:dyDescent="0.25">
      <c r="E63" s="80"/>
    </row>
    <row r="64" spans="5:104" x14ac:dyDescent="0.25">
      <c r="E64" s="80"/>
    </row>
    <row r="65" spans="5:5" x14ac:dyDescent="0.25">
      <c r="E65" s="80"/>
    </row>
    <row r="66" spans="5:5" x14ac:dyDescent="0.25">
      <c r="E66" s="80"/>
    </row>
    <row r="67" spans="5:5" x14ac:dyDescent="0.25">
      <c r="E67" s="80"/>
    </row>
    <row r="68" spans="5:5" x14ac:dyDescent="0.25">
      <c r="E68" s="80"/>
    </row>
    <row r="69" spans="5:5" x14ac:dyDescent="0.25">
      <c r="E69" s="80"/>
    </row>
    <row r="70" spans="5:5" x14ac:dyDescent="0.25">
      <c r="E70" s="80"/>
    </row>
    <row r="71" spans="5:5" x14ac:dyDescent="0.25">
      <c r="E71" s="80"/>
    </row>
    <row r="72" spans="5:5" x14ac:dyDescent="0.25">
      <c r="E72" s="80"/>
    </row>
    <row r="73" spans="5:5" x14ac:dyDescent="0.25">
      <c r="E73" s="80"/>
    </row>
    <row r="74" spans="5:5" x14ac:dyDescent="0.25">
      <c r="E74" s="80"/>
    </row>
    <row r="75" spans="5:5" x14ac:dyDescent="0.25">
      <c r="E75" s="80"/>
    </row>
    <row r="76" spans="5:5" x14ac:dyDescent="0.25">
      <c r="E76" s="80"/>
    </row>
    <row r="77" spans="5:5" x14ac:dyDescent="0.25">
      <c r="E77" s="80"/>
    </row>
    <row r="78" spans="5:5" x14ac:dyDescent="0.25">
      <c r="E78" s="80"/>
    </row>
    <row r="79" spans="5:5" x14ac:dyDescent="0.25">
      <c r="E79" s="80"/>
    </row>
    <row r="80" spans="5:5" x14ac:dyDescent="0.25">
      <c r="E80" s="80"/>
    </row>
    <row r="81" spans="5:5" x14ac:dyDescent="0.25">
      <c r="E81" s="80"/>
    </row>
    <row r="82" spans="5:5" x14ac:dyDescent="0.25">
      <c r="E82" s="80"/>
    </row>
    <row r="83" spans="5:5" x14ac:dyDescent="0.25">
      <c r="E83" s="80"/>
    </row>
    <row r="84" spans="5:5" x14ac:dyDescent="0.25">
      <c r="E84" s="80"/>
    </row>
    <row r="85" spans="5:5" x14ac:dyDescent="0.25">
      <c r="E85" s="80"/>
    </row>
    <row r="86" spans="5:5" x14ac:dyDescent="0.25">
      <c r="E86" s="80"/>
    </row>
    <row r="87" spans="5:5" x14ac:dyDescent="0.25">
      <c r="E87" s="80"/>
    </row>
    <row r="88" spans="5:5" x14ac:dyDescent="0.25">
      <c r="E88" s="80"/>
    </row>
    <row r="89" spans="5:5" x14ac:dyDescent="0.25">
      <c r="E89" s="80"/>
    </row>
    <row r="90" spans="5:5" x14ac:dyDescent="0.25">
      <c r="E90" s="80"/>
    </row>
    <row r="91" spans="5:5" x14ac:dyDescent="0.25">
      <c r="E91" s="80"/>
    </row>
    <row r="92" spans="5:5" x14ac:dyDescent="0.25">
      <c r="E92" s="80"/>
    </row>
    <row r="93" spans="5:5" x14ac:dyDescent="0.25">
      <c r="E93" s="80"/>
    </row>
    <row r="94" spans="5:5" x14ac:dyDescent="0.25">
      <c r="E94" s="80"/>
    </row>
    <row r="95" spans="5:5" x14ac:dyDescent="0.25">
      <c r="E95" s="80"/>
    </row>
    <row r="96" spans="5:5" x14ac:dyDescent="0.25">
      <c r="E96" s="80"/>
    </row>
    <row r="97" spans="5:5" x14ac:dyDescent="0.25">
      <c r="E97" s="80"/>
    </row>
    <row r="98" spans="5:5" x14ac:dyDescent="0.25">
      <c r="E98" s="80"/>
    </row>
    <row r="99" spans="5:5" x14ac:dyDescent="0.25">
      <c r="E99" s="80"/>
    </row>
    <row r="100" spans="5:5" x14ac:dyDescent="0.25">
      <c r="E100" s="80"/>
    </row>
    <row r="101" spans="5:5" x14ac:dyDescent="0.25">
      <c r="E101" s="80"/>
    </row>
    <row r="102" spans="5:5" x14ac:dyDescent="0.25">
      <c r="E102" s="80"/>
    </row>
    <row r="103" spans="5:5" x14ac:dyDescent="0.25">
      <c r="E103" s="80"/>
    </row>
    <row r="104" spans="5:5" x14ac:dyDescent="0.25">
      <c r="E104" s="80"/>
    </row>
    <row r="105" spans="5:5" x14ac:dyDescent="0.25">
      <c r="E105" s="80"/>
    </row>
    <row r="106" spans="5:5" x14ac:dyDescent="0.25">
      <c r="E106" s="80"/>
    </row>
    <row r="107" spans="5:5" x14ac:dyDescent="0.25">
      <c r="E107" s="80"/>
    </row>
    <row r="108" spans="5:5" x14ac:dyDescent="0.25">
      <c r="E108" s="80"/>
    </row>
    <row r="109" spans="5:5" x14ac:dyDescent="0.25">
      <c r="E109" s="80"/>
    </row>
    <row r="110" spans="5:5" x14ac:dyDescent="0.25">
      <c r="E110" s="80"/>
    </row>
    <row r="111" spans="5:5" x14ac:dyDescent="0.25">
      <c r="E111" s="80"/>
    </row>
    <row r="112" spans="5:5" x14ac:dyDescent="0.25">
      <c r="E112" s="80"/>
    </row>
    <row r="113" spans="5:5" x14ac:dyDescent="0.25">
      <c r="E113" s="80"/>
    </row>
    <row r="114" spans="5:5" x14ac:dyDescent="0.25">
      <c r="E114" s="80"/>
    </row>
    <row r="115" spans="5:5" x14ac:dyDescent="0.25">
      <c r="E115" s="80"/>
    </row>
    <row r="116" spans="5:5" x14ac:dyDescent="0.25">
      <c r="E116" s="80"/>
    </row>
    <row r="117" spans="5:5" x14ac:dyDescent="0.25">
      <c r="E117" s="80"/>
    </row>
    <row r="118" spans="5:5" x14ac:dyDescent="0.25">
      <c r="E118" s="80"/>
    </row>
    <row r="119" spans="5:5" x14ac:dyDescent="0.25">
      <c r="E119" s="80"/>
    </row>
    <row r="120" spans="5:5" x14ac:dyDescent="0.25">
      <c r="E120" s="80"/>
    </row>
    <row r="121" spans="5:5" x14ac:dyDescent="0.25">
      <c r="E121" s="80"/>
    </row>
    <row r="122" spans="5:5" x14ac:dyDescent="0.25">
      <c r="E122" s="80"/>
    </row>
    <row r="123" spans="5:5" x14ac:dyDescent="0.25">
      <c r="E123" s="80"/>
    </row>
    <row r="124" spans="5:5" x14ac:dyDescent="0.25">
      <c r="E124" s="80"/>
    </row>
    <row r="125" spans="5:5" x14ac:dyDescent="0.25">
      <c r="E125" s="80"/>
    </row>
    <row r="126" spans="5:5" x14ac:dyDescent="0.25">
      <c r="E126" s="80"/>
    </row>
    <row r="127" spans="5:5" x14ac:dyDescent="0.25">
      <c r="E127" s="80"/>
    </row>
    <row r="128" spans="5:5" x14ac:dyDescent="0.25">
      <c r="E128" s="80"/>
    </row>
    <row r="129" spans="5:5" x14ac:dyDescent="0.25">
      <c r="E129" s="80"/>
    </row>
    <row r="130" spans="5:5" x14ac:dyDescent="0.25">
      <c r="E130" s="80"/>
    </row>
    <row r="131" spans="5:5" x14ac:dyDescent="0.25">
      <c r="E131" s="80"/>
    </row>
    <row r="132" spans="5:5" x14ac:dyDescent="0.25">
      <c r="E132" s="80"/>
    </row>
    <row r="133" spans="5:5" x14ac:dyDescent="0.25">
      <c r="E133" s="80"/>
    </row>
    <row r="134" spans="5:5" x14ac:dyDescent="0.25">
      <c r="E134" s="80"/>
    </row>
    <row r="135" spans="5:5" x14ac:dyDescent="0.25">
      <c r="E135" s="80"/>
    </row>
    <row r="136" spans="5:5" x14ac:dyDescent="0.25">
      <c r="E136" s="80"/>
    </row>
    <row r="137" spans="5:5" x14ac:dyDescent="0.25">
      <c r="E137" s="80"/>
    </row>
    <row r="138" spans="5:5" x14ac:dyDescent="0.25">
      <c r="E138" s="80"/>
    </row>
    <row r="139" spans="5:5" x14ac:dyDescent="0.25">
      <c r="E139" s="80"/>
    </row>
    <row r="140" spans="5:5" x14ac:dyDescent="0.25">
      <c r="E140" s="80"/>
    </row>
    <row r="141" spans="5:5" x14ac:dyDescent="0.25">
      <c r="E141" s="80"/>
    </row>
    <row r="142" spans="5:5" x14ac:dyDescent="0.25">
      <c r="E142" s="80"/>
    </row>
    <row r="143" spans="5:5" x14ac:dyDescent="0.25">
      <c r="E143" s="80"/>
    </row>
    <row r="144" spans="5:5" x14ac:dyDescent="0.25">
      <c r="E144" s="80"/>
    </row>
    <row r="145" spans="5:5" x14ac:dyDescent="0.25">
      <c r="E145" s="80"/>
    </row>
    <row r="146" spans="5:5" x14ac:dyDescent="0.25">
      <c r="E146" s="80"/>
    </row>
    <row r="147" spans="5:5" x14ac:dyDescent="0.25">
      <c r="E147" s="80"/>
    </row>
    <row r="148" spans="5:5" x14ac:dyDescent="0.25">
      <c r="E148" s="80"/>
    </row>
    <row r="149" spans="5:5" x14ac:dyDescent="0.25">
      <c r="E149" s="80"/>
    </row>
    <row r="150" spans="5:5" x14ac:dyDescent="0.25">
      <c r="E150" s="80"/>
    </row>
    <row r="151" spans="5:5" x14ac:dyDescent="0.25">
      <c r="E151" s="80"/>
    </row>
    <row r="152" spans="5:5" x14ac:dyDescent="0.25">
      <c r="E152" s="80"/>
    </row>
    <row r="153" spans="5:5" x14ac:dyDescent="0.25">
      <c r="E153" s="80"/>
    </row>
    <row r="154" spans="5:5" x14ac:dyDescent="0.25">
      <c r="E154" s="80"/>
    </row>
    <row r="155" spans="5:5" x14ac:dyDescent="0.25">
      <c r="E155" s="80"/>
    </row>
    <row r="156" spans="5:5" x14ac:dyDescent="0.25">
      <c r="E156" s="80"/>
    </row>
    <row r="157" spans="5:5" x14ac:dyDescent="0.25">
      <c r="E157" s="80"/>
    </row>
    <row r="158" spans="5:5" x14ac:dyDescent="0.25">
      <c r="E158" s="80"/>
    </row>
    <row r="159" spans="5:5" x14ac:dyDescent="0.25">
      <c r="E159" s="80"/>
    </row>
    <row r="160" spans="5:5" x14ac:dyDescent="0.25">
      <c r="E160" s="80"/>
    </row>
    <row r="161" spans="5:5" x14ac:dyDescent="0.25">
      <c r="E161" s="80"/>
    </row>
    <row r="162" spans="5:5" x14ac:dyDescent="0.25">
      <c r="E162" s="80"/>
    </row>
    <row r="163" spans="5:5" x14ac:dyDescent="0.25">
      <c r="E163" s="80"/>
    </row>
    <row r="164" spans="5:5" x14ac:dyDescent="0.25">
      <c r="E164" s="80"/>
    </row>
    <row r="165" spans="5:5" x14ac:dyDescent="0.25">
      <c r="E165" s="80"/>
    </row>
    <row r="166" spans="5:5" x14ac:dyDescent="0.25">
      <c r="E166" s="80"/>
    </row>
    <row r="167" spans="5:5" x14ac:dyDescent="0.25">
      <c r="E167" s="80"/>
    </row>
    <row r="168" spans="5:5" x14ac:dyDescent="0.25">
      <c r="E168" s="80"/>
    </row>
    <row r="169" spans="5:5" x14ac:dyDescent="0.25">
      <c r="E169" s="80"/>
    </row>
    <row r="170" spans="5:5" x14ac:dyDescent="0.25">
      <c r="E170" s="80"/>
    </row>
    <row r="171" spans="5:5" x14ac:dyDescent="0.25">
      <c r="E171" s="80"/>
    </row>
    <row r="172" spans="5:5" x14ac:dyDescent="0.25">
      <c r="E172" s="80"/>
    </row>
    <row r="173" spans="5:5" x14ac:dyDescent="0.25">
      <c r="E173" s="80"/>
    </row>
    <row r="174" spans="5:5" x14ac:dyDescent="0.25">
      <c r="E174" s="80"/>
    </row>
    <row r="175" spans="5:5" x14ac:dyDescent="0.25">
      <c r="E175" s="80"/>
    </row>
    <row r="176" spans="5:5" x14ac:dyDescent="0.25">
      <c r="E176" s="80"/>
    </row>
    <row r="177" spans="5:5" x14ac:dyDescent="0.25">
      <c r="E177" s="80"/>
    </row>
    <row r="178" spans="5:5" x14ac:dyDescent="0.25">
      <c r="E178" s="80"/>
    </row>
    <row r="179" spans="5:5" x14ac:dyDescent="0.25">
      <c r="E179" s="80"/>
    </row>
    <row r="180" spans="5:5" x14ac:dyDescent="0.25">
      <c r="E180" s="80"/>
    </row>
    <row r="181" spans="5:5" x14ac:dyDescent="0.25">
      <c r="E181" s="80"/>
    </row>
    <row r="182" spans="5:5" x14ac:dyDescent="0.25">
      <c r="E182" s="80"/>
    </row>
    <row r="183" spans="5:5" x14ac:dyDescent="0.25">
      <c r="E183" s="80"/>
    </row>
    <row r="184" spans="5:5" x14ac:dyDescent="0.25">
      <c r="E184" s="80"/>
    </row>
    <row r="185" spans="5:5" x14ac:dyDescent="0.25">
      <c r="E185" s="80"/>
    </row>
    <row r="186" spans="5:5" x14ac:dyDescent="0.25">
      <c r="E186" s="80"/>
    </row>
    <row r="187" spans="5:5" x14ac:dyDescent="0.25">
      <c r="E187" s="80"/>
    </row>
    <row r="188" spans="5:5" x14ac:dyDescent="0.25">
      <c r="E188" s="80"/>
    </row>
    <row r="189" spans="5:5" x14ac:dyDescent="0.25">
      <c r="E189" s="80"/>
    </row>
    <row r="190" spans="5:5" x14ac:dyDescent="0.25">
      <c r="E190" s="80"/>
    </row>
    <row r="191" spans="5:5" x14ac:dyDescent="0.25">
      <c r="E191" s="80"/>
    </row>
    <row r="192" spans="5:5" x14ac:dyDescent="0.25">
      <c r="E192" s="80"/>
    </row>
    <row r="193" spans="5:5" x14ac:dyDescent="0.25">
      <c r="E193" s="80"/>
    </row>
    <row r="194" spans="5:5" x14ac:dyDescent="0.25">
      <c r="E194" s="80"/>
    </row>
    <row r="195" spans="5:5" x14ac:dyDescent="0.25">
      <c r="E195" s="80"/>
    </row>
    <row r="196" spans="5:5" x14ac:dyDescent="0.25">
      <c r="E196" s="80"/>
    </row>
    <row r="197" spans="5:5" x14ac:dyDescent="0.25">
      <c r="E197" s="80"/>
    </row>
    <row r="198" spans="5:5" x14ac:dyDescent="0.25">
      <c r="E198" s="80"/>
    </row>
    <row r="199" spans="5:5" x14ac:dyDescent="0.25">
      <c r="E199" s="80"/>
    </row>
    <row r="200" spans="5:5" x14ac:dyDescent="0.25">
      <c r="E200" s="80"/>
    </row>
    <row r="201" spans="5:5" x14ac:dyDescent="0.25">
      <c r="E201" s="80"/>
    </row>
    <row r="202" spans="5:5" x14ac:dyDescent="0.25">
      <c r="E202" s="80"/>
    </row>
    <row r="203" spans="5:5" x14ac:dyDescent="0.25">
      <c r="E203" s="80"/>
    </row>
    <row r="204" spans="5:5" x14ac:dyDescent="0.25">
      <c r="E204" s="80"/>
    </row>
    <row r="205" spans="5:5" x14ac:dyDescent="0.25">
      <c r="E205" s="80"/>
    </row>
    <row r="206" spans="5:5" x14ac:dyDescent="0.25">
      <c r="E206" s="80"/>
    </row>
    <row r="207" spans="5:5" x14ac:dyDescent="0.25">
      <c r="E207" s="80"/>
    </row>
    <row r="208" spans="5:5" x14ac:dyDescent="0.25">
      <c r="E208" s="80"/>
    </row>
    <row r="209" spans="5:5" x14ac:dyDescent="0.25">
      <c r="E209" s="80"/>
    </row>
    <row r="210" spans="5:5" x14ac:dyDescent="0.25">
      <c r="E210" s="80"/>
    </row>
    <row r="211" spans="5:5" x14ac:dyDescent="0.25">
      <c r="E211" s="80"/>
    </row>
    <row r="212" spans="5:5" x14ac:dyDescent="0.25">
      <c r="E212" s="80"/>
    </row>
    <row r="213" spans="5:5" x14ac:dyDescent="0.25">
      <c r="E213" s="80"/>
    </row>
    <row r="214" spans="5:5" x14ac:dyDescent="0.25">
      <c r="E214" s="80"/>
    </row>
    <row r="215" spans="5:5" x14ac:dyDescent="0.25">
      <c r="E215" s="80"/>
    </row>
    <row r="216" spans="5:5" x14ac:dyDescent="0.25">
      <c r="E216" s="80"/>
    </row>
    <row r="217" spans="5:5" x14ac:dyDescent="0.25">
      <c r="E217" s="80"/>
    </row>
    <row r="218" spans="5:5" x14ac:dyDescent="0.25">
      <c r="E218" s="80"/>
    </row>
    <row r="219" spans="5:5" x14ac:dyDescent="0.25">
      <c r="E219" s="80"/>
    </row>
    <row r="220" spans="5:5" x14ac:dyDescent="0.25">
      <c r="E220" s="80"/>
    </row>
    <row r="221" spans="5:5" x14ac:dyDescent="0.25">
      <c r="E221" s="80"/>
    </row>
    <row r="222" spans="5:5" x14ac:dyDescent="0.25">
      <c r="E222" s="80"/>
    </row>
    <row r="223" spans="5:5" x14ac:dyDescent="0.25">
      <c r="E223" s="80"/>
    </row>
    <row r="224" spans="5:5" x14ac:dyDescent="0.25">
      <c r="E224" s="80"/>
    </row>
    <row r="225" spans="5:5" x14ac:dyDescent="0.25">
      <c r="E225" s="80"/>
    </row>
    <row r="226" spans="5:5" x14ac:dyDescent="0.25">
      <c r="E226" s="80"/>
    </row>
    <row r="227" spans="5:5" x14ac:dyDescent="0.25">
      <c r="E227" s="80"/>
    </row>
    <row r="228" spans="5:5" x14ac:dyDescent="0.25">
      <c r="E228" s="80"/>
    </row>
    <row r="229" spans="5:5" x14ac:dyDescent="0.25">
      <c r="E229" s="80"/>
    </row>
    <row r="230" spans="5:5" x14ac:dyDescent="0.25">
      <c r="E230" s="80"/>
    </row>
    <row r="231" spans="5:5" x14ac:dyDescent="0.25">
      <c r="E231" s="80"/>
    </row>
    <row r="232" spans="5:5" x14ac:dyDescent="0.25">
      <c r="E232" s="80"/>
    </row>
    <row r="233" spans="5:5" x14ac:dyDescent="0.25">
      <c r="E233" s="80"/>
    </row>
    <row r="234" spans="5:5" x14ac:dyDescent="0.25">
      <c r="E234" s="80"/>
    </row>
    <row r="235" spans="5:5" x14ac:dyDescent="0.25">
      <c r="E235" s="80"/>
    </row>
    <row r="236" spans="5:5" x14ac:dyDescent="0.25">
      <c r="E236" s="80"/>
    </row>
    <row r="237" spans="5:5" x14ac:dyDescent="0.25">
      <c r="E237" s="80"/>
    </row>
    <row r="238" spans="5:5" x14ac:dyDescent="0.25">
      <c r="E238" s="80"/>
    </row>
    <row r="239" spans="5:5" x14ac:dyDescent="0.25">
      <c r="E239" s="80"/>
    </row>
    <row r="240" spans="5:5" x14ac:dyDescent="0.25">
      <c r="E240" s="80"/>
    </row>
    <row r="241" spans="5:5" x14ac:dyDescent="0.25">
      <c r="E241" s="80"/>
    </row>
    <row r="242" spans="5:5" x14ac:dyDescent="0.25">
      <c r="E242" s="80"/>
    </row>
    <row r="243" spans="5:5" x14ac:dyDescent="0.25">
      <c r="E243" s="80"/>
    </row>
    <row r="244" spans="5:5" x14ac:dyDescent="0.25">
      <c r="E244" s="80"/>
    </row>
    <row r="245" spans="5:5" x14ac:dyDescent="0.25">
      <c r="E245" s="80"/>
    </row>
    <row r="246" spans="5:5" x14ac:dyDescent="0.25">
      <c r="E246" s="80"/>
    </row>
    <row r="247" spans="5:5" x14ac:dyDescent="0.25">
      <c r="E247" s="80"/>
    </row>
    <row r="248" spans="5:5" x14ac:dyDescent="0.25">
      <c r="E248" s="80"/>
    </row>
    <row r="249" spans="5:5" x14ac:dyDescent="0.25">
      <c r="E249" s="80"/>
    </row>
    <row r="250" spans="5:5" x14ac:dyDescent="0.25">
      <c r="E250" s="80"/>
    </row>
    <row r="251" spans="5:5" x14ac:dyDescent="0.25">
      <c r="E251" s="80"/>
    </row>
    <row r="252" spans="5:5" x14ac:dyDescent="0.25">
      <c r="E252" s="80"/>
    </row>
    <row r="253" spans="5:5" x14ac:dyDescent="0.25">
      <c r="E253" s="80"/>
    </row>
    <row r="254" spans="5:5" x14ac:dyDescent="0.25">
      <c r="E254" s="80"/>
    </row>
    <row r="255" spans="5:5" x14ac:dyDescent="0.25">
      <c r="E255" s="80"/>
    </row>
    <row r="256" spans="5:5" x14ac:dyDescent="0.25">
      <c r="E256" s="80"/>
    </row>
    <row r="257" spans="5:5" x14ac:dyDescent="0.25">
      <c r="E257" s="80"/>
    </row>
    <row r="258" spans="5:5" x14ac:dyDescent="0.25">
      <c r="E258" s="80"/>
    </row>
    <row r="259" spans="5:5" x14ac:dyDescent="0.25">
      <c r="E259" s="80"/>
    </row>
    <row r="260" spans="5:5" x14ac:dyDescent="0.25">
      <c r="E260" s="80"/>
    </row>
    <row r="261" spans="5:5" x14ac:dyDescent="0.25">
      <c r="E261" s="80"/>
    </row>
    <row r="262" spans="5:5" x14ac:dyDescent="0.25">
      <c r="E262" s="80"/>
    </row>
    <row r="263" spans="5:5" x14ac:dyDescent="0.25">
      <c r="E263" s="80"/>
    </row>
    <row r="264" spans="5:5" x14ac:dyDescent="0.25">
      <c r="E264" s="80"/>
    </row>
    <row r="265" spans="5:5" x14ac:dyDescent="0.25">
      <c r="E265" s="80"/>
    </row>
    <row r="266" spans="5:5" x14ac:dyDescent="0.25">
      <c r="E266" s="80"/>
    </row>
    <row r="267" spans="5:5" x14ac:dyDescent="0.25">
      <c r="E267" s="80"/>
    </row>
    <row r="268" spans="5:5" x14ac:dyDescent="0.25">
      <c r="E268" s="80"/>
    </row>
    <row r="269" spans="5:5" x14ac:dyDescent="0.25">
      <c r="E269" s="80"/>
    </row>
    <row r="270" spans="5:5" x14ac:dyDescent="0.25">
      <c r="E270" s="80"/>
    </row>
    <row r="271" spans="5:5" x14ac:dyDescent="0.25">
      <c r="E271" s="80"/>
    </row>
    <row r="272" spans="5:5" x14ac:dyDescent="0.25">
      <c r="E272" s="80"/>
    </row>
    <row r="273" spans="5:5" x14ac:dyDescent="0.25">
      <c r="E273" s="80"/>
    </row>
    <row r="274" spans="5:5" x14ac:dyDescent="0.25">
      <c r="E274" s="80"/>
    </row>
    <row r="275" spans="5:5" x14ac:dyDescent="0.25">
      <c r="E275" s="80"/>
    </row>
    <row r="276" spans="5:5" x14ac:dyDescent="0.25">
      <c r="E276" s="80"/>
    </row>
    <row r="277" spans="5:5" x14ac:dyDescent="0.25">
      <c r="E277" s="80"/>
    </row>
    <row r="278" spans="5:5" x14ac:dyDescent="0.25">
      <c r="E278" s="80"/>
    </row>
    <row r="279" spans="5:5" x14ac:dyDescent="0.25">
      <c r="E279" s="80"/>
    </row>
    <row r="280" spans="5:5" x14ac:dyDescent="0.25">
      <c r="E280" s="80"/>
    </row>
    <row r="281" spans="5:5" x14ac:dyDescent="0.25">
      <c r="E281" s="80"/>
    </row>
    <row r="282" spans="5:5" x14ac:dyDescent="0.25">
      <c r="E282" s="80"/>
    </row>
    <row r="283" spans="5:5" x14ac:dyDescent="0.25">
      <c r="E283" s="80"/>
    </row>
    <row r="284" spans="5:5" x14ac:dyDescent="0.25">
      <c r="E284" s="80"/>
    </row>
    <row r="285" spans="5:5" x14ac:dyDescent="0.25">
      <c r="E285" s="80"/>
    </row>
    <row r="286" spans="5:5" x14ac:dyDescent="0.25">
      <c r="E286" s="80"/>
    </row>
    <row r="287" spans="5:5" x14ac:dyDescent="0.25">
      <c r="E287" s="80"/>
    </row>
    <row r="288" spans="5:5" x14ac:dyDescent="0.25">
      <c r="E288" s="80"/>
    </row>
    <row r="289" spans="5:5" x14ac:dyDescent="0.25">
      <c r="E289" s="80"/>
    </row>
    <row r="290" spans="5:5" x14ac:dyDescent="0.25">
      <c r="E290" s="80"/>
    </row>
    <row r="291" spans="5:5" x14ac:dyDescent="0.25">
      <c r="E291" s="80"/>
    </row>
    <row r="292" spans="5:5" x14ac:dyDescent="0.25">
      <c r="E292" s="80"/>
    </row>
    <row r="293" spans="5:5" x14ac:dyDescent="0.25">
      <c r="E293" s="80"/>
    </row>
    <row r="294" spans="5:5" x14ac:dyDescent="0.25">
      <c r="E294" s="80"/>
    </row>
    <row r="295" spans="5:5" x14ac:dyDescent="0.25">
      <c r="E295" s="80"/>
    </row>
    <row r="296" spans="5:5" x14ac:dyDescent="0.25">
      <c r="E296" s="80"/>
    </row>
    <row r="297" spans="5:5" x14ac:dyDescent="0.25">
      <c r="E297" s="80"/>
    </row>
    <row r="298" spans="5:5" x14ac:dyDescent="0.25">
      <c r="E298" s="80"/>
    </row>
    <row r="299" spans="5:5" x14ac:dyDescent="0.25">
      <c r="E299" s="80"/>
    </row>
    <row r="300" spans="5:5" x14ac:dyDescent="0.25">
      <c r="E300" s="80"/>
    </row>
    <row r="301" spans="5:5" x14ac:dyDescent="0.25">
      <c r="E301" s="80"/>
    </row>
    <row r="302" spans="5:5" x14ac:dyDescent="0.25">
      <c r="E302" s="80"/>
    </row>
    <row r="303" spans="5:5" x14ac:dyDescent="0.25">
      <c r="E303" s="80"/>
    </row>
    <row r="304" spans="5:5" x14ac:dyDescent="0.25">
      <c r="E304" s="80"/>
    </row>
    <row r="305" spans="5:5" x14ac:dyDescent="0.25">
      <c r="E305" s="80"/>
    </row>
    <row r="306" spans="5:5" x14ac:dyDescent="0.25">
      <c r="E306" s="80"/>
    </row>
    <row r="307" spans="5:5" x14ac:dyDescent="0.25">
      <c r="E307" s="80"/>
    </row>
    <row r="308" spans="5:5" x14ac:dyDescent="0.25">
      <c r="E308" s="80"/>
    </row>
    <row r="309" spans="5:5" x14ac:dyDescent="0.25">
      <c r="E309" s="80"/>
    </row>
    <row r="310" spans="5:5" x14ac:dyDescent="0.25">
      <c r="E310" s="80"/>
    </row>
    <row r="311" spans="5:5" x14ac:dyDescent="0.25">
      <c r="E311" s="80"/>
    </row>
    <row r="312" spans="5:5" x14ac:dyDescent="0.25">
      <c r="E312" s="80"/>
    </row>
    <row r="313" spans="5:5" x14ac:dyDescent="0.25">
      <c r="E313" s="80"/>
    </row>
    <row r="314" spans="5:5" x14ac:dyDescent="0.25">
      <c r="E314" s="80"/>
    </row>
    <row r="315" spans="5:5" x14ac:dyDescent="0.25">
      <c r="E315" s="80"/>
    </row>
    <row r="316" spans="5:5" x14ac:dyDescent="0.25">
      <c r="E316" s="80"/>
    </row>
    <row r="317" spans="5:5" x14ac:dyDescent="0.25">
      <c r="E317" s="80"/>
    </row>
    <row r="318" spans="5:5" x14ac:dyDescent="0.25">
      <c r="E318" s="80"/>
    </row>
    <row r="319" spans="5:5" x14ac:dyDescent="0.25">
      <c r="E319" s="80"/>
    </row>
    <row r="320" spans="5:5" x14ac:dyDescent="0.25">
      <c r="E320" s="80"/>
    </row>
    <row r="321" spans="5:5" x14ac:dyDescent="0.25">
      <c r="E321" s="80"/>
    </row>
    <row r="322" spans="5:5" x14ac:dyDescent="0.25">
      <c r="E322" s="80"/>
    </row>
    <row r="323" spans="5:5" x14ac:dyDescent="0.25">
      <c r="E323" s="80"/>
    </row>
    <row r="324" spans="5:5" x14ac:dyDescent="0.25">
      <c r="E324" s="80"/>
    </row>
    <row r="325" spans="5:5" x14ac:dyDescent="0.25">
      <c r="E325" s="80"/>
    </row>
    <row r="326" spans="5:5" x14ac:dyDescent="0.25">
      <c r="E326" s="80"/>
    </row>
    <row r="327" spans="5:5" x14ac:dyDescent="0.25">
      <c r="E327" s="80"/>
    </row>
    <row r="328" spans="5:5" x14ac:dyDescent="0.25">
      <c r="E328" s="80"/>
    </row>
    <row r="329" spans="5:5" x14ac:dyDescent="0.25">
      <c r="E329" s="80"/>
    </row>
    <row r="330" spans="5:5" x14ac:dyDescent="0.25">
      <c r="E330" s="80"/>
    </row>
    <row r="331" spans="5:5" x14ac:dyDescent="0.25">
      <c r="E331" s="80"/>
    </row>
    <row r="332" spans="5:5" x14ac:dyDescent="0.25">
      <c r="E332" s="80"/>
    </row>
    <row r="333" spans="5:5" x14ac:dyDescent="0.25">
      <c r="E333" s="80"/>
    </row>
    <row r="334" spans="5:5" x14ac:dyDescent="0.25">
      <c r="E334" s="80"/>
    </row>
    <row r="335" spans="5:5" x14ac:dyDescent="0.25">
      <c r="E335" s="80"/>
    </row>
    <row r="336" spans="5:5" x14ac:dyDescent="0.25">
      <c r="E336" s="80"/>
    </row>
    <row r="337" spans="5:5" x14ac:dyDescent="0.25">
      <c r="E337" s="80"/>
    </row>
    <row r="338" spans="5:5" x14ac:dyDescent="0.25">
      <c r="E338" s="80"/>
    </row>
    <row r="339" spans="5:5" x14ac:dyDescent="0.25">
      <c r="E339" s="80"/>
    </row>
    <row r="340" spans="5:5" x14ac:dyDescent="0.25">
      <c r="E340" s="80"/>
    </row>
    <row r="341" spans="5:5" x14ac:dyDescent="0.25">
      <c r="E341" s="80"/>
    </row>
    <row r="342" spans="5:5" x14ac:dyDescent="0.25">
      <c r="E342" s="80"/>
    </row>
    <row r="343" spans="5:5" x14ac:dyDescent="0.25">
      <c r="E343" s="80"/>
    </row>
    <row r="344" spans="5:5" x14ac:dyDescent="0.25">
      <c r="E344" s="80"/>
    </row>
    <row r="345" spans="5:5" x14ac:dyDescent="0.25">
      <c r="E345" s="80"/>
    </row>
    <row r="346" spans="5:5" x14ac:dyDescent="0.25">
      <c r="E346" s="80"/>
    </row>
    <row r="347" spans="5:5" x14ac:dyDescent="0.25">
      <c r="E347" s="80"/>
    </row>
    <row r="348" spans="5:5" x14ac:dyDescent="0.25">
      <c r="E348" s="80"/>
    </row>
    <row r="349" spans="5:5" x14ac:dyDescent="0.25">
      <c r="E349" s="80"/>
    </row>
    <row r="350" spans="5:5" x14ac:dyDescent="0.25">
      <c r="E350" s="80"/>
    </row>
    <row r="351" spans="5:5" x14ac:dyDescent="0.25">
      <c r="E351" s="80"/>
    </row>
    <row r="352" spans="5:5" x14ac:dyDescent="0.25">
      <c r="E352" s="80"/>
    </row>
    <row r="353" spans="5:5" x14ac:dyDescent="0.25">
      <c r="E353" s="80"/>
    </row>
    <row r="354" spans="5:5" x14ac:dyDescent="0.25">
      <c r="E354" s="80"/>
    </row>
    <row r="355" spans="5:5" x14ac:dyDescent="0.25">
      <c r="E355" s="80"/>
    </row>
    <row r="356" spans="5:5" x14ac:dyDescent="0.25">
      <c r="E356" s="80"/>
    </row>
    <row r="357" spans="5:5" x14ac:dyDescent="0.25">
      <c r="E357" s="80"/>
    </row>
    <row r="358" spans="5:5" x14ac:dyDescent="0.25">
      <c r="E358" s="80"/>
    </row>
    <row r="359" spans="5:5" x14ac:dyDescent="0.25">
      <c r="E359" s="80"/>
    </row>
    <row r="360" spans="5:5" x14ac:dyDescent="0.25">
      <c r="E360" s="80"/>
    </row>
    <row r="361" spans="5:5" x14ac:dyDescent="0.25">
      <c r="E361" s="80"/>
    </row>
    <row r="362" spans="5:5" x14ac:dyDescent="0.25">
      <c r="E362" s="80"/>
    </row>
    <row r="363" spans="5:5" x14ac:dyDescent="0.25">
      <c r="E363" s="80"/>
    </row>
    <row r="364" spans="5:5" x14ac:dyDescent="0.25">
      <c r="E364" s="80"/>
    </row>
    <row r="365" spans="5:5" x14ac:dyDescent="0.25">
      <c r="E365" s="80"/>
    </row>
    <row r="366" spans="5:5" x14ac:dyDescent="0.25">
      <c r="E366" s="80"/>
    </row>
    <row r="367" spans="5:5" x14ac:dyDescent="0.25">
      <c r="E367" s="80"/>
    </row>
    <row r="368" spans="5:5" x14ac:dyDescent="0.25">
      <c r="E368" s="80"/>
    </row>
    <row r="369" spans="5:5" x14ac:dyDescent="0.25">
      <c r="E369" s="80"/>
    </row>
    <row r="370" spans="5:5" x14ac:dyDescent="0.25">
      <c r="E370" s="80"/>
    </row>
    <row r="371" spans="5:5" x14ac:dyDescent="0.25">
      <c r="E371" s="80"/>
    </row>
    <row r="372" spans="5:5" x14ac:dyDescent="0.25">
      <c r="E372" s="80"/>
    </row>
    <row r="373" spans="5:5" x14ac:dyDescent="0.25">
      <c r="E373" s="80"/>
    </row>
    <row r="374" spans="5:5" x14ac:dyDescent="0.25">
      <c r="E374" s="80"/>
    </row>
    <row r="375" spans="5:5" x14ac:dyDescent="0.25">
      <c r="E375" s="80"/>
    </row>
    <row r="376" spans="5:5" x14ac:dyDescent="0.25">
      <c r="E376" s="80"/>
    </row>
    <row r="377" spans="5:5" x14ac:dyDescent="0.25">
      <c r="E377" s="80"/>
    </row>
    <row r="378" spans="5:5" x14ac:dyDescent="0.25">
      <c r="E378" s="80"/>
    </row>
    <row r="379" spans="5:5" x14ac:dyDescent="0.25">
      <c r="E379" s="80"/>
    </row>
    <row r="380" spans="5:5" x14ac:dyDescent="0.25">
      <c r="E380" s="80"/>
    </row>
    <row r="381" spans="5:5" x14ac:dyDescent="0.25">
      <c r="E381" s="80"/>
    </row>
    <row r="382" spans="5:5" x14ac:dyDescent="0.25">
      <c r="E382" s="80"/>
    </row>
    <row r="383" spans="5:5" x14ac:dyDescent="0.25">
      <c r="E383" s="80"/>
    </row>
    <row r="384" spans="5:5" x14ac:dyDescent="0.25">
      <c r="E384" s="80"/>
    </row>
    <row r="385" spans="5:5" x14ac:dyDescent="0.25">
      <c r="E385" s="80"/>
    </row>
    <row r="386" spans="5:5" x14ac:dyDescent="0.25">
      <c r="E386" s="80"/>
    </row>
    <row r="387" spans="5:5" x14ac:dyDescent="0.25">
      <c r="E387" s="80"/>
    </row>
    <row r="388" spans="5:5" x14ac:dyDescent="0.25">
      <c r="E388" s="80"/>
    </row>
    <row r="389" spans="5:5" x14ac:dyDescent="0.25">
      <c r="E389" s="80"/>
    </row>
    <row r="390" spans="5:5" x14ac:dyDescent="0.25">
      <c r="E390" s="80"/>
    </row>
    <row r="391" spans="5:5" x14ac:dyDescent="0.25">
      <c r="E391" s="80"/>
    </row>
    <row r="392" spans="5:5" x14ac:dyDescent="0.25">
      <c r="E392" s="80"/>
    </row>
    <row r="393" spans="5:5" x14ac:dyDescent="0.25">
      <c r="E393" s="80"/>
    </row>
    <row r="394" spans="5:5" x14ac:dyDescent="0.25">
      <c r="E394" s="80"/>
    </row>
    <row r="395" spans="5:5" x14ac:dyDescent="0.25">
      <c r="E395" s="80"/>
    </row>
    <row r="396" spans="5:5" x14ac:dyDescent="0.25">
      <c r="E396" s="80"/>
    </row>
    <row r="397" spans="5:5" x14ac:dyDescent="0.25">
      <c r="E397" s="80"/>
    </row>
    <row r="398" spans="5:5" x14ac:dyDescent="0.25">
      <c r="E398" s="80"/>
    </row>
    <row r="399" spans="5:5" x14ac:dyDescent="0.25">
      <c r="E399" s="80"/>
    </row>
    <row r="400" spans="5:5" x14ac:dyDescent="0.25">
      <c r="E400" s="80"/>
    </row>
    <row r="401" spans="5:5" x14ac:dyDescent="0.25">
      <c r="E401" s="80"/>
    </row>
    <row r="402" spans="5:5" x14ac:dyDescent="0.25">
      <c r="E402" s="80"/>
    </row>
    <row r="403" spans="5:5" x14ac:dyDescent="0.25">
      <c r="E403" s="80"/>
    </row>
    <row r="404" spans="5:5" x14ac:dyDescent="0.25">
      <c r="E404" s="80"/>
    </row>
    <row r="405" spans="5:5" x14ac:dyDescent="0.25">
      <c r="E405" s="80"/>
    </row>
    <row r="406" spans="5:5" x14ac:dyDescent="0.25">
      <c r="E406" s="80"/>
    </row>
    <row r="407" spans="5:5" x14ac:dyDescent="0.25">
      <c r="E407" s="80"/>
    </row>
    <row r="408" spans="5:5" x14ac:dyDescent="0.25">
      <c r="E408" s="80"/>
    </row>
    <row r="409" spans="5:5" x14ac:dyDescent="0.25">
      <c r="E409" s="80"/>
    </row>
    <row r="410" spans="5:5" x14ac:dyDescent="0.25">
      <c r="E410" s="80"/>
    </row>
    <row r="411" spans="5:5" x14ac:dyDescent="0.25">
      <c r="E411" s="80"/>
    </row>
    <row r="412" spans="5:5" x14ac:dyDescent="0.25">
      <c r="E412" s="80"/>
    </row>
    <row r="413" spans="5:5" x14ac:dyDescent="0.25">
      <c r="E413" s="80"/>
    </row>
    <row r="414" spans="5:5" x14ac:dyDescent="0.25">
      <c r="E414" s="80"/>
    </row>
    <row r="415" spans="5:5" x14ac:dyDescent="0.25">
      <c r="E415" s="80"/>
    </row>
    <row r="416" spans="5:5" x14ac:dyDescent="0.25">
      <c r="E416" s="80"/>
    </row>
    <row r="417" spans="5:5" x14ac:dyDescent="0.25">
      <c r="E417" s="80"/>
    </row>
    <row r="418" spans="5:5" x14ac:dyDescent="0.25">
      <c r="E418" s="80"/>
    </row>
    <row r="419" spans="5:5" x14ac:dyDescent="0.25">
      <c r="E419" s="80"/>
    </row>
    <row r="420" spans="5:5" x14ac:dyDescent="0.25">
      <c r="E420" s="80"/>
    </row>
    <row r="421" spans="5:5" x14ac:dyDescent="0.25">
      <c r="E421" s="80"/>
    </row>
    <row r="422" spans="5:5" x14ac:dyDescent="0.25">
      <c r="E422" s="80"/>
    </row>
    <row r="423" spans="5:5" x14ac:dyDescent="0.25">
      <c r="E423" s="80"/>
    </row>
    <row r="424" spans="5:5" x14ac:dyDescent="0.25">
      <c r="E424" s="80"/>
    </row>
    <row r="425" spans="5:5" x14ac:dyDescent="0.25">
      <c r="E425" s="80"/>
    </row>
    <row r="426" spans="5:5" x14ac:dyDescent="0.25">
      <c r="E426" s="80"/>
    </row>
    <row r="427" spans="5:5" x14ac:dyDescent="0.25">
      <c r="E427" s="80"/>
    </row>
    <row r="428" spans="5:5" x14ac:dyDescent="0.25">
      <c r="E428" s="80"/>
    </row>
    <row r="429" spans="5:5" x14ac:dyDescent="0.25">
      <c r="E429" s="80"/>
    </row>
    <row r="430" spans="5:5" x14ac:dyDescent="0.25">
      <c r="E430" s="80"/>
    </row>
    <row r="431" spans="5:5" x14ac:dyDescent="0.25">
      <c r="E431" s="80"/>
    </row>
    <row r="432" spans="5:5" x14ac:dyDescent="0.25">
      <c r="E432" s="80"/>
    </row>
    <row r="433" spans="5:5" x14ac:dyDescent="0.25">
      <c r="E433" s="80"/>
    </row>
    <row r="434" spans="5:5" x14ac:dyDescent="0.25">
      <c r="E434" s="80"/>
    </row>
    <row r="435" spans="5:5" x14ac:dyDescent="0.25">
      <c r="E435" s="80"/>
    </row>
    <row r="436" spans="5:5" x14ac:dyDescent="0.25">
      <c r="E436" s="80"/>
    </row>
    <row r="437" spans="5:5" x14ac:dyDescent="0.25">
      <c r="E437" s="80"/>
    </row>
    <row r="438" spans="5:5" x14ac:dyDescent="0.25">
      <c r="E438" s="80"/>
    </row>
    <row r="439" spans="5:5" x14ac:dyDescent="0.25">
      <c r="E439" s="80"/>
    </row>
    <row r="440" spans="5:5" x14ac:dyDescent="0.25">
      <c r="E440" s="80"/>
    </row>
    <row r="441" spans="5:5" x14ac:dyDescent="0.25">
      <c r="E441" s="80"/>
    </row>
    <row r="442" spans="5:5" x14ac:dyDescent="0.25">
      <c r="E442" s="80"/>
    </row>
    <row r="443" spans="5:5" x14ac:dyDescent="0.25">
      <c r="E443" s="80"/>
    </row>
    <row r="444" spans="5:5" x14ac:dyDescent="0.25">
      <c r="E444" s="80"/>
    </row>
    <row r="445" spans="5:5" x14ac:dyDescent="0.25">
      <c r="E445" s="80"/>
    </row>
    <row r="446" spans="5:5" x14ac:dyDescent="0.25">
      <c r="E446" s="80"/>
    </row>
    <row r="447" spans="5:5" x14ac:dyDescent="0.25">
      <c r="E447" s="80"/>
    </row>
    <row r="448" spans="5:5" x14ac:dyDescent="0.25">
      <c r="E448" s="80"/>
    </row>
    <row r="449" spans="5:5" x14ac:dyDescent="0.25">
      <c r="E449" s="80"/>
    </row>
    <row r="450" spans="5:5" x14ac:dyDescent="0.25">
      <c r="E450" s="80"/>
    </row>
    <row r="451" spans="5:5" x14ac:dyDescent="0.25">
      <c r="E451" s="80"/>
    </row>
    <row r="452" spans="5:5" x14ac:dyDescent="0.25">
      <c r="E452" s="80"/>
    </row>
    <row r="453" spans="5:5" x14ac:dyDescent="0.25">
      <c r="E453" s="80"/>
    </row>
    <row r="454" spans="5:5" x14ac:dyDescent="0.25">
      <c r="E454" s="80"/>
    </row>
    <row r="455" spans="5:5" x14ac:dyDescent="0.25">
      <c r="E455" s="80"/>
    </row>
    <row r="456" spans="5:5" x14ac:dyDescent="0.25">
      <c r="E456" s="80"/>
    </row>
    <row r="457" spans="5:5" x14ac:dyDescent="0.25">
      <c r="E457" s="80"/>
    </row>
    <row r="458" spans="5:5" x14ac:dyDescent="0.25">
      <c r="E458" s="80"/>
    </row>
    <row r="459" spans="5:5" x14ac:dyDescent="0.25">
      <c r="E459" s="80"/>
    </row>
    <row r="460" spans="5:5" x14ac:dyDescent="0.25">
      <c r="E460" s="80"/>
    </row>
    <row r="461" spans="5:5" x14ac:dyDescent="0.25">
      <c r="E461" s="80"/>
    </row>
    <row r="462" spans="5:5" x14ac:dyDescent="0.25">
      <c r="E462" s="80"/>
    </row>
    <row r="463" spans="5:5" x14ac:dyDescent="0.25">
      <c r="E463" s="80"/>
    </row>
    <row r="464" spans="5:5" x14ac:dyDescent="0.25">
      <c r="E464" s="80"/>
    </row>
    <row r="465" spans="5:5" x14ac:dyDescent="0.25">
      <c r="E465" s="80"/>
    </row>
    <row r="466" spans="5:5" x14ac:dyDescent="0.25">
      <c r="E466" s="80"/>
    </row>
    <row r="467" spans="5:5" x14ac:dyDescent="0.25">
      <c r="E467" s="80"/>
    </row>
    <row r="468" spans="5:5" x14ac:dyDescent="0.25">
      <c r="E468" s="80"/>
    </row>
    <row r="469" spans="5:5" x14ac:dyDescent="0.25">
      <c r="E469" s="80"/>
    </row>
    <row r="470" spans="5:5" x14ac:dyDescent="0.25">
      <c r="E470" s="80"/>
    </row>
    <row r="471" spans="5:5" x14ac:dyDescent="0.25">
      <c r="E471" s="80"/>
    </row>
    <row r="472" spans="5:5" x14ac:dyDescent="0.25">
      <c r="E472" s="80"/>
    </row>
    <row r="473" spans="5:5" x14ac:dyDescent="0.25">
      <c r="E473" s="80"/>
    </row>
    <row r="474" spans="5:5" x14ac:dyDescent="0.25">
      <c r="E474" s="80"/>
    </row>
    <row r="475" spans="5:5" x14ac:dyDescent="0.25">
      <c r="E475" s="80"/>
    </row>
    <row r="476" spans="5:5" x14ac:dyDescent="0.25">
      <c r="E476" s="80"/>
    </row>
    <row r="477" spans="5:5" x14ac:dyDescent="0.25">
      <c r="E477" s="80"/>
    </row>
    <row r="478" spans="5:5" x14ac:dyDescent="0.25">
      <c r="E478" s="80"/>
    </row>
    <row r="479" spans="5:5" x14ac:dyDescent="0.25">
      <c r="E479" s="80"/>
    </row>
    <row r="480" spans="5:5" x14ac:dyDescent="0.25">
      <c r="E480" s="80"/>
    </row>
    <row r="481" spans="5:5" x14ac:dyDescent="0.25">
      <c r="E481" s="80"/>
    </row>
    <row r="482" spans="5:5" x14ac:dyDescent="0.25">
      <c r="E482" s="80"/>
    </row>
    <row r="483" spans="5:5" x14ac:dyDescent="0.25">
      <c r="E483" s="80"/>
    </row>
    <row r="484" spans="5:5" x14ac:dyDescent="0.25">
      <c r="E484" s="80"/>
    </row>
    <row r="485" spans="5:5" x14ac:dyDescent="0.25">
      <c r="E485" s="80"/>
    </row>
    <row r="486" spans="5:5" x14ac:dyDescent="0.25">
      <c r="E486" s="80"/>
    </row>
    <row r="487" spans="5:5" x14ac:dyDescent="0.25">
      <c r="E487" s="80"/>
    </row>
    <row r="488" spans="5:5" x14ac:dyDescent="0.25">
      <c r="E488" s="80"/>
    </row>
    <row r="489" spans="5:5" x14ac:dyDescent="0.25">
      <c r="E489" s="80"/>
    </row>
    <row r="490" spans="5:5" x14ac:dyDescent="0.25">
      <c r="E490" s="80"/>
    </row>
    <row r="491" spans="5:5" x14ac:dyDescent="0.25">
      <c r="E491" s="80"/>
    </row>
    <row r="492" spans="5:5" x14ac:dyDescent="0.25">
      <c r="E492" s="80"/>
    </row>
    <row r="493" spans="5:5" x14ac:dyDescent="0.25">
      <c r="E493" s="80"/>
    </row>
    <row r="494" spans="5:5" x14ac:dyDescent="0.25">
      <c r="E494" s="80"/>
    </row>
    <row r="495" spans="5:5" x14ac:dyDescent="0.25">
      <c r="E495" s="80"/>
    </row>
    <row r="496" spans="5:5" x14ac:dyDescent="0.25">
      <c r="E496" s="80"/>
    </row>
    <row r="497" spans="5:5" x14ac:dyDescent="0.25">
      <c r="E497" s="80"/>
    </row>
    <row r="498" spans="5:5" x14ac:dyDescent="0.25">
      <c r="E498" s="80"/>
    </row>
    <row r="499" spans="5:5" x14ac:dyDescent="0.25">
      <c r="E499" s="80"/>
    </row>
    <row r="500" spans="5:5" x14ac:dyDescent="0.25">
      <c r="E500" s="80"/>
    </row>
    <row r="501" spans="5:5" x14ac:dyDescent="0.25">
      <c r="E501" s="80"/>
    </row>
    <row r="502" spans="5:5" x14ac:dyDescent="0.25">
      <c r="E502" s="80"/>
    </row>
    <row r="503" spans="5:5" x14ac:dyDescent="0.25">
      <c r="E503" s="80"/>
    </row>
    <row r="504" spans="5:5" x14ac:dyDescent="0.25">
      <c r="E504" s="80"/>
    </row>
    <row r="505" spans="5:5" x14ac:dyDescent="0.25">
      <c r="E505" s="80"/>
    </row>
    <row r="506" spans="5:5" x14ac:dyDescent="0.25">
      <c r="E506" s="80"/>
    </row>
    <row r="507" spans="5:5" x14ac:dyDescent="0.25">
      <c r="E507" s="80"/>
    </row>
    <row r="508" spans="5:5" x14ac:dyDescent="0.25">
      <c r="E508" s="80"/>
    </row>
    <row r="509" spans="5:5" x14ac:dyDescent="0.25">
      <c r="E509" s="80"/>
    </row>
    <row r="510" spans="5:5" x14ac:dyDescent="0.25">
      <c r="E510" s="80"/>
    </row>
    <row r="511" spans="5:5" x14ac:dyDescent="0.25">
      <c r="E511" s="80"/>
    </row>
    <row r="512" spans="5:5" x14ac:dyDescent="0.25">
      <c r="E512" s="80"/>
    </row>
    <row r="513" spans="5:5" x14ac:dyDescent="0.25">
      <c r="E513" s="80"/>
    </row>
    <row r="514" spans="5:5" x14ac:dyDescent="0.25">
      <c r="E514" s="80"/>
    </row>
    <row r="515" spans="5:5" x14ac:dyDescent="0.25">
      <c r="E515" s="80"/>
    </row>
    <row r="516" spans="5:5" x14ac:dyDescent="0.25">
      <c r="E516" s="80"/>
    </row>
    <row r="517" spans="5:5" x14ac:dyDescent="0.25">
      <c r="E517" s="80"/>
    </row>
    <row r="518" spans="5:5" x14ac:dyDescent="0.25">
      <c r="E518" s="80"/>
    </row>
    <row r="519" spans="5:5" x14ac:dyDescent="0.25">
      <c r="E519" s="80"/>
    </row>
    <row r="520" spans="5:5" x14ac:dyDescent="0.25">
      <c r="E520" s="80"/>
    </row>
    <row r="521" spans="5:5" x14ac:dyDescent="0.25">
      <c r="E521" s="80"/>
    </row>
    <row r="522" spans="5:5" x14ac:dyDescent="0.25">
      <c r="E522" s="80"/>
    </row>
    <row r="523" spans="5:5" x14ac:dyDescent="0.25">
      <c r="E523" s="80"/>
    </row>
    <row r="524" spans="5:5" x14ac:dyDescent="0.25">
      <c r="E524" s="80"/>
    </row>
    <row r="525" spans="5:5" x14ac:dyDescent="0.25">
      <c r="E525" s="80"/>
    </row>
    <row r="526" spans="5:5" x14ac:dyDescent="0.25">
      <c r="E526" s="80"/>
    </row>
    <row r="527" spans="5:5" x14ac:dyDescent="0.25">
      <c r="E527" s="80"/>
    </row>
    <row r="528" spans="5:5" x14ac:dyDescent="0.25">
      <c r="E528" s="80"/>
    </row>
    <row r="529" spans="5:5" x14ac:dyDescent="0.25">
      <c r="E529" s="80"/>
    </row>
    <row r="530" spans="5:5" x14ac:dyDescent="0.25">
      <c r="E530" s="80"/>
    </row>
    <row r="531" spans="5:5" x14ac:dyDescent="0.25">
      <c r="E531" s="80"/>
    </row>
    <row r="532" spans="5:5" x14ac:dyDescent="0.25">
      <c r="E532" s="80"/>
    </row>
    <row r="533" spans="5:5" x14ac:dyDescent="0.25">
      <c r="E533" s="80"/>
    </row>
    <row r="534" spans="5:5" x14ac:dyDescent="0.25">
      <c r="E534" s="80"/>
    </row>
    <row r="535" spans="5:5" x14ac:dyDescent="0.25">
      <c r="E535" s="80"/>
    </row>
    <row r="536" spans="5:5" x14ac:dyDescent="0.25">
      <c r="E536" s="80"/>
    </row>
    <row r="537" spans="5:5" x14ac:dyDescent="0.25">
      <c r="E537" s="80"/>
    </row>
    <row r="538" spans="5:5" x14ac:dyDescent="0.25">
      <c r="E538" s="80"/>
    </row>
    <row r="539" spans="5:5" x14ac:dyDescent="0.25">
      <c r="E539" s="80"/>
    </row>
    <row r="540" spans="5:5" x14ac:dyDescent="0.25">
      <c r="E540" s="80"/>
    </row>
    <row r="541" spans="5:5" x14ac:dyDescent="0.25">
      <c r="E541" s="80"/>
    </row>
    <row r="542" spans="5:5" x14ac:dyDescent="0.25">
      <c r="E542" s="80"/>
    </row>
    <row r="543" spans="5:5" x14ac:dyDescent="0.25">
      <c r="E543" s="80"/>
    </row>
    <row r="544" spans="5:5" x14ac:dyDescent="0.25">
      <c r="E544" s="80"/>
    </row>
    <row r="545" spans="5:5" x14ac:dyDescent="0.25">
      <c r="E545" s="80"/>
    </row>
    <row r="546" spans="5:5" x14ac:dyDescent="0.25">
      <c r="E546" s="80"/>
    </row>
    <row r="547" spans="5:5" x14ac:dyDescent="0.25">
      <c r="E547" s="80"/>
    </row>
    <row r="548" spans="5:5" x14ac:dyDescent="0.25">
      <c r="E548" s="80"/>
    </row>
    <row r="549" spans="5:5" x14ac:dyDescent="0.25">
      <c r="E549" s="80"/>
    </row>
    <row r="550" spans="5:5" x14ac:dyDescent="0.25">
      <c r="E550" s="80"/>
    </row>
    <row r="551" spans="5:5" x14ac:dyDescent="0.25">
      <c r="E551" s="80"/>
    </row>
    <row r="552" spans="5:5" x14ac:dyDescent="0.25">
      <c r="E552" s="80"/>
    </row>
    <row r="553" spans="5:5" x14ac:dyDescent="0.25">
      <c r="E553" s="80"/>
    </row>
    <row r="554" spans="5:5" x14ac:dyDescent="0.25">
      <c r="E554" s="80"/>
    </row>
    <row r="555" spans="5:5" x14ac:dyDescent="0.25">
      <c r="E555" s="80"/>
    </row>
    <row r="556" spans="5:5" x14ac:dyDescent="0.25">
      <c r="E556" s="80"/>
    </row>
    <row r="557" spans="5:5" x14ac:dyDescent="0.25">
      <c r="E557" s="80"/>
    </row>
    <row r="558" spans="5:5" x14ac:dyDescent="0.25">
      <c r="E558" s="80"/>
    </row>
    <row r="559" spans="5:5" x14ac:dyDescent="0.25">
      <c r="E559" s="80"/>
    </row>
    <row r="560" spans="5:5" x14ac:dyDescent="0.25">
      <c r="E560" s="80"/>
    </row>
    <row r="561" spans="5:5" x14ac:dyDescent="0.25">
      <c r="E561" s="80"/>
    </row>
    <row r="562" spans="5:5" x14ac:dyDescent="0.25">
      <c r="E562" s="80"/>
    </row>
    <row r="563" spans="5:5" x14ac:dyDescent="0.25">
      <c r="E563" s="80"/>
    </row>
    <row r="564" spans="5:5" x14ac:dyDescent="0.25">
      <c r="E564" s="80"/>
    </row>
    <row r="565" spans="5:5" x14ac:dyDescent="0.25">
      <c r="E565" s="80"/>
    </row>
    <row r="566" spans="5:5" x14ac:dyDescent="0.25">
      <c r="E566" s="80"/>
    </row>
    <row r="567" spans="5:5" x14ac:dyDescent="0.25">
      <c r="E567" s="80"/>
    </row>
    <row r="568" spans="5:5" x14ac:dyDescent="0.25">
      <c r="E568" s="80"/>
    </row>
    <row r="569" spans="5:5" x14ac:dyDescent="0.25">
      <c r="E569" s="80"/>
    </row>
    <row r="570" spans="5:5" x14ac:dyDescent="0.25">
      <c r="E570" s="80"/>
    </row>
    <row r="571" spans="5:5" x14ac:dyDescent="0.25">
      <c r="E571" s="80"/>
    </row>
    <row r="572" spans="5:5" x14ac:dyDescent="0.25">
      <c r="E572" s="80"/>
    </row>
    <row r="573" spans="5:5" x14ac:dyDescent="0.25">
      <c r="E573" s="80"/>
    </row>
    <row r="574" spans="5:5" x14ac:dyDescent="0.25">
      <c r="E574" s="80"/>
    </row>
    <row r="575" spans="5:5" x14ac:dyDescent="0.25">
      <c r="E575" s="80"/>
    </row>
    <row r="576" spans="5:5" x14ac:dyDescent="0.25">
      <c r="E576" s="80"/>
    </row>
    <row r="577" spans="5:5" x14ac:dyDescent="0.25">
      <c r="E577" s="80"/>
    </row>
    <row r="578" spans="5:5" x14ac:dyDescent="0.25">
      <c r="E578" s="80"/>
    </row>
    <row r="579" spans="5:5" x14ac:dyDescent="0.25">
      <c r="E579" s="80"/>
    </row>
    <row r="580" spans="5:5" x14ac:dyDescent="0.25">
      <c r="E580" s="80"/>
    </row>
    <row r="581" spans="5:5" x14ac:dyDescent="0.25">
      <c r="E581" s="80"/>
    </row>
    <row r="582" spans="5:5" x14ac:dyDescent="0.25">
      <c r="E582" s="80"/>
    </row>
    <row r="583" spans="5:5" x14ac:dyDescent="0.25">
      <c r="E583" s="80"/>
    </row>
    <row r="584" spans="5:5" x14ac:dyDescent="0.25">
      <c r="E584" s="80"/>
    </row>
    <row r="585" spans="5:5" x14ac:dyDescent="0.25">
      <c r="E585" s="80"/>
    </row>
    <row r="586" spans="5:5" x14ac:dyDescent="0.25">
      <c r="E586" s="80"/>
    </row>
    <row r="587" spans="5:5" x14ac:dyDescent="0.25">
      <c r="E587" s="80"/>
    </row>
    <row r="588" spans="5:5" x14ac:dyDescent="0.25">
      <c r="E588" s="80"/>
    </row>
    <row r="589" spans="5:5" x14ac:dyDescent="0.25">
      <c r="E589" s="80"/>
    </row>
    <row r="590" spans="5:5" x14ac:dyDescent="0.25">
      <c r="E590" s="80"/>
    </row>
    <row r="591" spans="5:5" x14ac:dyDescent="0.25">
      <c r="E591" s="80"/>
    </row>
    <row r="592" spans="5:5" x14ac:dyDescent="0.25">
      <c r="E592" s="80"/>
    </row>
    <row r="593" spans="5:5" x14ac:dyDescent="0.25">
      <c r="E593" s="80"/>
    </row>
    <row r="594" spans="5:5" x14ac:dyDescent="0.25">
      <c r="E594" s="80"/>
    </row>
    <row r="595" spans="5:5" x14ac:dyDescent="0.25">
      <c r="E595" s="80"/>
    </row>
    <row r="596" spans="5:5" x14ac:dyDescent="0.25">
      <c r="E596" s="80"/>
    </row>
    <row r="597" spans="5:5" x14ac:dyDescent="0.25">
      <c r="E597" s="80"/>
    </row>
    <row r="598" spans="5:5" x14ac:dyDescent="0.25">
      <c r="E598" s="80"/>
    </row>
    <row r="599" spans="5:5" x14ac:dyDescent="0.25">
      <c r="E599" s="80"/>
    </row>
    <row r="600" spans="5:5" x14ac:dyDescent="0.25">
      <c r="E600" s="80"/>
    </row>
    <row r="601" spans="5:5" x14ac:dyDescent="0.25">
      <c r="E601" s="80"/>
    </row>
    <row r="602" spans="5:5" x14ac:dyDescent="0.25">
      <c r="E602" s="80"/>
    </row>
    <row r="603" spans="5:5" x14ac:dyDescent="0.25">
      <c r="E603" s="80"/>
    </row>
    <row r="604" spans="5:5" x14ac:dyDescent="0.25">
      <c r="E604" s="80"/>
    </row>
    <row r="605" spans="5:5" x14ac:dyDescent="0.25">
      <c r="E605" s="80"/>
    </row>
    <row r="606" spans="5:5" x14ac:dyDescent="0.25">
      <c r="E606" s="80"/>
    </row>
    <row r="607" spans="5:5" x14ac:dyDescent="0.25">
      <c r="E607" s="80"/>
    </row>
    <row r="608" spans="5:5" x14ac:dyDescent="0.25">
      <c r="E608" s="80"/>
    </row>
    <row r="609" spans="5:5" x14ac:dyDescent="0.25">
      <c r="E609" s="80"/>
    </row>
    <row r="610" spans="5:5" x14ac:dyDescent="0.25">
      <c r="E610" s="80"/>
    </row>
    <row r="611" spans="5:5" x14ac:dyDescent="0.25">
      <c r="E611" s="80"/>
    </row>
    <row r="612" spans="5:5" x14ac:dyDescent="0.25">
      <c r="E612" s="80"/>
    </row>
    <row r="613" spans="5:5" x14ac:dyDescent="0.25">
      <c r="E613" s="80"/>
    </row>
    <row r="614" spans="5:5" x14ac:dyDescent="0.25">
      <c r="E614" s="80"/>
    </row>
    <row r="615" spans="5:5" x14ac:dyDescent="0.25">
      <c r="E615" s="80"/>
    </row>
    <row r="616" spans="5:5" x14ac:dyDescent="0.25">
      <c r="E616" s="80"/>
    </row>
    <row r="617" spans="5:5" x14ac:dyDescent="0.25">
      <c r="E617" s="80"/>
    </row>
    <row r="618" spans="5:5" x14ac:dyDescent="0.25">
      <c r="E618" s="80"/>
    </row>
    <row r="619" spans="5:5" x14ac:dyDescent="0.25">
      <c r="E619" s="80"/>
    </row>
    <row r="620" spans="5:5" x14ac:dyDescent="0.25">
      <c r="E620" s="80"/>
    </row>
    <row r="621" spans="5:5" x14ac:dyDescent="0.25">
      <c r="E621" s="80"/>
    </row>
    <row r="622" spans="5:5" x14ac:dyDescent="0.25">
      <c r="E622" s="80"/>
    </row>
    <row r="623" spans="5:5" x14ac:dyDescent="0.25">
      <c r="E623" s="80"/>
    </row>
    <row r="624" spans="5:5" x14ac:dyDescent="0.25">
      <c r="E624" s="80"/>
    </row>
    <row r="625" spans="5:5" x14ac:dyDescent="0.25">
      <c r="E625" s="80"/>
    </row>
    <row r="626" spans="5:5" x14ac:dyDescent="0.25">
      <c r="E626" s="80"/>
    </row>
    <row r="627" spans="5:5" x14ac:dyDescent="0.25">
      <c r="E627" s="80"/>
    </row>
    <row r="628" spans="5:5" x14ac:dyDescent="0.25">
      <c r="E628" s="80"/>
    </row>
    <row r="629" spans="5:5" x14ac:dyDescent="0.25">
      <c r="E629" s="80"/>
    </row>
    <row r="630" spans="5:5" x14ac:dyDescent="0.25">
      <c r="E630" s="80"/>
    </row>
    <row r="631" spans="5:5" x14ac:dyDescent="0.25">
      <c r="E631" s="80"/>
    </row>
    <row r="632" spans="5:5" x14ac:dyDescent="0.25">
      <c r="E632" s="80"/>
    </row>
    <row r="633" spans="5:5" x14ac:dyDescent="0.25">
      <c r="E633" s="80"/>
    </row>
    <row r="634" spans="5:5" x14ac:dyDescent="0.25">
      <c r="E634" s="80"/>
    </row>
    <row r="635" spans="5:5" x14ac:dyDescent="0.25">
      <c r="E635" s="80"/>
    </row>
    <row r="636" spans="5:5" x14ac:dyDescent="0.25">
      <c r="E636" s="80"/>
    </row>
    <row r="637" spans="5:5" x14ac:dyDescent="0.25">
      <c r="E637" s="80"/>
    </row>
    <row r="638" spans="5:5" x14ac:dyDescent="0.25">
      <c r="E638" s="80"/>
    </row>
    <row r="639" spans="5:5" x14ac:dyDescent="0.25">
      <c r="E639" s="80"/>
    </row>
    <row r="640" spans="5:5" x14ac:dyDescent="0.25">
      <c r="E640" s="80"/>
    </row>
    <row r="641" spans="5:5" x14ac:dyDescent="0.25">
      <c r="E641" s="80"/>
    </row>
    <row r="642" spans="5:5" x14ac:dyDescent="0.25">
      <c r="E642" s="80"/>
    </row>
    <row r="643" spans="5:5" x14ac:dyDescent="0.25">
      <c r="E643" s="80"/>
    </row>
    <row r="644" spans="5:5" x14ac:dyDescent="0.25">
      <c r="E644" s="80"/>
    </row>
    <row r="645" spans="5:5" x14ac:dyDescent="0.25">
      <c r="E645" s="80"/>
    </row>
    <row r="646" spans="5:5" x14ac:dyDescent="0.25">
      <c r="E646" s="80"/>
    </row>
    <row r="647" spans="5:5" x14ac:dyDescent="0.25">
      <c r="E647" s="80"/>
    </row>
    <row r="648" spans="5:5" x14ac:dyDescent="0.25">
      <c r="E648" s="80"/>
    </row>
    <row r="649" spans="5:5" x14ac:dyDescent="0.25">
      <c r="E649" s="80"/>
    </row>
    <row r="650" spans="5:5" x14ac:dyDescent="0.25">
      <c r="E650" s="80"/>
    </row>
    <row r="651" spans="5:5" x14ac:dyDescent="0.25">
      <c r="E651" s="80"/>
    </row>
    <row r="652" spans="5:5" x14ac:dyDescent="0.25">
      <c r="E652" s="80"/>
    </row>
    <row r="653" spans="5:5" x14ac:dyDescent="0.25">
      <c r="E653" s="80"/>
    </row>
    <row r="654" spans="5:5" x14ac:dyDescent="0.25">
      <c r="E654" s="80"/>
    </row>
    <row r="655" spans="5:5" x14ac:dyDescent="0.25">
      <c r="E655" s="80"/>
    </row>
    <row r="656" spans="5:5" x14ac:dyDescent="0.25">
      <c r="E656" s="80"/>
    </row>
    <row r="657" spans="5:5" x14ac:dyDescent="0.25">
      <c r="E657" s="80"/>
    </row>
    <row r="658" spans="5:5" x14ac:dyDescent="0.25">
      <c r="E658" s="80"/>
    </row>
    <row r="659" spans="5:5" x14ac:dyDescent="0.25">
      <c r="E659" s="80"/>
    </row>
    <row r="660" spans="5:5" x14ac:dyDescent="0.25">
      <c r="E660" s="80"/>
    </row>
    <row r="661" spans="5:5" x14ac:dyDescent="0.25">
      <c r="E661" s="80"/>
    </row>
    <row r="662" spans="5:5" x14ac:dyDescent="0.25">
      <c r="E662" s="80"/>
    </row>
    <row r="663" spans="5:5" x14ac:dyDescent="0.25">
      <c r="E663" s="80"/>
    </row>
    <row r="664" spans="5:5" x14ac:dyDescent="0.25">
      <c r="E664" s="80"/>
    </row>
    <row r="665" spans="5:5" x14ac:dyDescent="0.25">
      <c r="E665" s="80"/>
    </row>
    <row r="666" spans="5:5" x14ac:dyDescent="0.25">
      <c r="E666" s="80"/>
    </row>
    <row r="667" spans="5:5" x14ac:dyDescent="0.25">
      <c r="E667" s="80"/>
    </row>
    <row r="668" spans="5:5" x14ac:dyDescent="0.25">
      <c r="E668" s="80"/>
    </row>
    <row r="669" spans="5:5" x14ac:dyDescent="0.25">
      <c r="E669" s="80"/>
    </row>
    <row r="670" spans="5:5" x14ac:dyDescent="0.25">
      <c r="E670" s="80"/>
    </row>
    <row r="671" spans="5:5" x14ac:dyDescent="0.25">
      <c r="E671" s="80"/>
    </row>
    <row r="672" spans="5:5" x14ac:dyDescent="0.25">
      <c r="E672" s="80"/>
    </row>
    <row r="673" spans="5:5" x14ac:dyDescent="0.25">
      <c r="E673" s="80"/>
    </row>
    <row r="674" spans="5:5" x14ac:dyDescent="0.25">
      <c r="E674" s="80"/>
    </row>
    <row r="675" spans="5:5" x14ac:dyDescent="0.25">
      <c r="E675" s="80"/>
    </row>
    <row r="676" spans="5:5" x14ac:dyDescent="0.25">
      <c r="E676" s="80"/>
    </row>
    <row r="677" spans="5:5" x14ac:dyDescent="0.25">
      <c r="E677" s="80"/>
    </row>
    <row r="678" spans="5:5" x14ac:dyDescent="0.25">
      <c r="E678" s="80"/>
    </row>
    <row r="679" spans="5:5" x14ac:dyDescent="0.25">
      <c r="E679" s="80"/>
    </row>
    <row r="680" spans="5:5" x14ac:dyDescent="0.25">
      <c r="E680" s="80"/>
    </row>
    <row r="681" spans="5:5" x14ac:dyDescent="0.25">
      <c r="E681" s="80"/>
    </row>
    <row r="682" spans="5:5" x14ac:dyDescent="0.25">
      <c r="E682" s="80"/>
    </row>
    <row r="683" spans="5:5" x14ac:dyDescent="0.25">
      <c r="E683" s="80"/>
    </row>
    <row r="684" spans="5:5" x14ac:dyDescent="0.25">
      <c r="E684" s="80"/>
    </row>
    <row r="685" spans="5:5" x14ac:dyDescent="0.25">
      <c r="E685" s="80"/>
    </row>
    <row r="686" spans="5:5" x14ac:dyDescent="0.25">
      <c r="E686" s="80"/>
    </row>
    <row r="687" spans="5:5" x14ac:dyDescent="0.25">
      <c r="E687" s="80"/>
    </row>
    <row r="688" spans="5:5" x14ac:dyDescent="0.25">
      <c r="E688" s="80"/>
    </row>
    <row r="689" spans="5:5" x14ac:dyDescent="0.25">
      <c r="E689" s="80"/>
    </row>
    <row r="690" spans="5:5" x14ac:dyDescent="0.25">
      <c r="E690" s="80"/>
    </row>
    <row r="691" spans="5:5" x14ac:dyDescent="0.25">
      <c r="E691" s="80"/>
    </row>
    <row r="692" spans="5:5" x14ac:dyDescent="0.25">
      <c r="E692" s="80"/>
    </row>
    <row r="693" spans="5:5" x14ac:dyDescent="0.25">
      <c r="E693" s="80"/>
    </row>
    <row r="694" spans="5:5" x14ac:dyDescent="0.25">
      <c r="E694" s="80"/>
    </row>
    <row r="695" spans="5:5" x14ac:dyDescent="0.25">
      <c r="E695" s="80"/>
    </row>
    <row r="696" spans="5:5" x14ac:dyDescent="0.25">
      <c r="E696" s="80"/>
    </row>
    <row r="697" spans="5:5" x14ac:dyDescent="0.25">
      <c r="E697" s="80"/>
    </row>
    <row r="698" spans="5:5" x14ac:dyDescent="0.25">
      <c r="E698" s="80"/>
    </row>
    <row r="699" spans="5:5" x14ac:dyDescent="0.25">
      <c r="E699" s="80"/>
    </row>
    <row r="700" spans="5:5" x14ac:dyDescent="0.25">
      <c r="E700" s="80"/>
    </row>
    <row r="701" spans="5:5" x14ac:dyDescent="0.25">
      <c r="E701" s="80"/>
    </row>
    <row r="702" spans="5:5" x14ac:dyDescent="0.25">
      <c r="E702" s="80"/>
    </row>
    <row r="703" spans="5:5" x14ac:dyDescent="0.25">
      <c r="E703" s="80"/>
    </row>
    <row r="704" spans="5:5" x14ac:dyDescent="0.25">
      <c r="E704" s="80"/>
    </row>
    <row r="705" spans="5:5" x14ac:dyDescent="0.25">
      <c r="E705" s="80"/>
    </row>
    <row r="706" spans="5:5" x14ac:dyDescent="0.25">
      <c r="E706" s="80"/>
    </row>
    <row r="707" spans="5:5" x14ac:dyDescent="0.25">
      <c r="E707" s="80"/>
    </row>
    <row r="708" spans="5:5" x14ac:dyDescent="0.25">
      <c r="E708" s="80"/>
    </row>
    <row r="709" spans="5:5" x14ac:dyDescent="0.25">
      <c r="E709" s="80"/>
    </row>
    <row r="710" spans="5:5" x14ac:dyDescent="0.25">
      <c r="E710" s="80"/>
    </row>
    <row r="711" spans="5:5" x14ac:dyDescent="0.25">
      <c r="E711" s="80"/>
    </row>
    <row r="712" spans="5:5" x14ac:dyDescent="0.25">
      <c r="E712" s="80"/>
    </row>
    <row r="713" spans="5:5" x14ac:dyDescent="0.25">
      <c r="E713" s="80"/>
    </row>
    <row r="714" spans="5:5" x14ac:dyDescent="0.25">
      <c r="E714" s="80"/>
    </row>
    <row r="715" spans="5:5" x14ac:dyDescent="0.25">
      <c r="E715" s="80"/>
    </row>
    <row r="716" spans="5:5" x14ac:dyDescent="0.25">
      <c r="E716" s="80"/>
    </row>
    <row r="717" spans="5:5" x14ac:dyDescent="0.25">
      <c r="E717" s="80"/>
    </row>
    <row r="718" spans="5:5" x14ac:dyDescent="0.25">
      <c r="E718" s="80"/>
    </row>
    <row r="719" spans="5:5" x14ac:dyDescent="0.25">
      <c r="E719" s="80"/>
    </row>
    <row r="720" spans="5:5" x14ac:dyDescent="0.25">
      <c r="E720" s="80"/>
    </row>
    <row r="721" spans="5:5" x14ac:dyDescent="0.25">
      <c r="E721" s="80"/>
    </row>
    <row r="722" spans="5:5" x14ac:dyDescent="0.25">
      <c r="E722" s="80"/>
    </row>
    <row r="723" spans="5:5" x14ac:dyDescent="0.25">
      <c r="E723" s="80"/>
    </row>
    <row r="724" spans="5:5" x14ac:dyDescent="0.25">
      <c r="E724" s="80"/>
    </row>
    <row r="725" spans="5:5" x14ac:dyDescent="0.25">
      <c r="E725" s="80"/>
    </row>
    <row r="726" spans="5:5" x14ac:dyDescent="0.25">
      <c r="E726" s="80"/>
    </row>
    <row r="727" spans="5:5" x14ac:dyDescent="0.25">
      <c r="E727" s="80"/>
    </row>
    <row r="728" spans="5:5" x14ac:dyDescent="0.25">
      <c r="E728" s="80"/>
    </row>
    <row r="729" spans="5:5" x14ac:dyDescent="0.25">
      <c r="E729" s="80"/>
    </row>
    <row r="730" spans="5:5" x14ac:dyDescent="0.25">
      <c r="E730" s="80"/>
    </row>
    <row r="731" spans="5:5" x14ac:dyDescent="0.25">
      <c r="E731" s="80"/>
    </row>
    <row r="732" spans="5:5" x14ac:dyDescent="0.25">
      <c r="E732" s="80"/>
    </row>
    <row r="733" spans="5:5" x14ac:dyDescent="0.25">
      <c r="E733" s="80"/>
    </row>
    <row r="734" spans="5:5" x14ac:dyDescent="0.25">
      <c r="E734" s="80"/>
    </row>
    <row r="735" spans="5:5" x14ac:dyDescent="0.25">
      <c r="E735" s="80"/>
    </row>
    <row r="736" spans="5:5" x14ac:dyDescent="0.25">
      <c r="E736" s="80"/>
    </row>
    <row r="737" spans="5:5" x14ac:dyDescent="0.25">
      <c r="E737" s="80"/>
    </row>
    <row r="738" spans="5:5" x14ac:dyDescent="0.25">
      <c r="E738" s="80"/>
    </row>
    <row r="739" spans="5:5" x14ac:dyDescent="0.25">
      <c r="E739" s="80"/>
    </row>
    <row r="740" spans="5:5" x14ac:dyDescent="0.25">
      <c r="E740" s="80"/>
    </row>
    <row r="741" spans="5:5" x14ac:dyDescent="0.25">
      <c r="E741" s="80"/>
    </row>
    <row r="742" spans="5:5" x14ac:dyDescent="0.25">
      <c r="E742" s="80"/>
    </row>
    <row r="743" spans="5:5" x14ac:dyDescent="0.25">
      <c r="E743" s="80"/>
    </row>
    <row r="744" spans="5:5" x14ac:dyDescent="0.25">
      <c r="E744" s="80"/>
    </row>
    <row r="745" spans="5:5" x14ac:dyDescent="0.25">
      <c r="E745" s="80"/>
    </row>
    <row r="746" spans="5:5" x14ac:dyDescent="0.25">
      <c r="E746" s="80"/>
    </row>
    <row r="747" spans="5:5" x14ac:dyDescent="0.25">
      <c r="E747" s="80"/>
    </row>
    <row r="748" spans="5:5" x14ac:dyDescent="0.25">
      <c r="E748" s="80"/>
    </row>
    <row r="749" spans="5:5" x14ac:dyDescent="0.25">
      <c r="E749" s="80"/>
    </row>
    <row r="750" spans="5:5" x14ac:dyDescent="0.25">
      <c r="E750" s="80"/>
    </row>
    <row r="751" spans="5:5" x14ac:dyDescent="0.25">
      <c r="E751" s="80"/>
    </row>
    <row r="752" spans="5:5" x14ac:dyDescent="0.25">
      <c r="E752" s="80"/>
    </row>
    <row r="753" spans="5:5" x14ac:dyDescent="0.25">
      <c r="E753" s="80"/>
    </row>
    <row r="754" spans="5:5" x14ac:dyDescent="0.25">
      <c r="E754" s="80"/>
    </row>
    <row r="755" spans="5:5" x14ac:dyDescent="0.25">
      <c r="E755" s="80"/>
    </row>
    <row r="756" spans="5:5" x14ac:dyDescent="0.25">
      <c r="E756" s="80"/>
    </row>
    <row r="757" spans="5:5" x14ac:dyDescent="0.25">
      <c r="E757" s="80"/>
    </row>
    <row r="758" spans="5:5" x14ac:dyDescent="0.25">
      <c r="E758" s="80"/>
    </row>
    <row r="759" spans="5:5" x14ac:dyDescent="0.25">
      <c r="E759" s="80"/>
    </row>
    <row r="760" spans="5:5" x14ac:dyDescent="0.25">
      <c r="E760" s="80"/>
    </row>
    <row r="761" spans="5:5" x14ac:dyDescent="0.25">
      <c r="E761" s="80"/>
    </row>
    <row r="762" spans="5:5" x14ac:dyDescent="0.25">
      <c r="E762" s="80"/>
    </row>
    <row r="763" spans="5:5" x14ac:dyDescent="0.25">
      <c r="E763" s="80"/>
    </row>
    <row r="764" spans="5:5" x14ac:dyDescent="0.25">
      <c r="E764" s="80"/>
    </row>
    <row r="765" spans="5:5" x14ac:dyDescent="0.25">
      <c r="E765" s="80"/>
    </row>
    <row r="766" spans="5:5" x14ac:dyDescent="0.25">
      <c r="E766" s="80"/>
    </row>
    <row r="767" spans="5:5" x14ac:dyDescent="0.25">
      <c r="E767" s="80"/>
    </row>
    <row r="768" spans="5:5" x14ac:dyDescent="0.25">
      <c r="E768" s="80"/>
    </row>
    <row r="769" spans="5:5" x14ac:dyDescent="0.25">
      <c r="E769" s="80"/>
    </row>
    <row r="770" spans="5:5" x14ac:dyDescent="0.25">
      <c r="E770" s="80"/>
    </row>
    <row r="771" spans="5:5" x14ac:dyDescent="0.25">
      <c r="E771" s="80"/>
    </row>
    <row r="772" spans="5:5" x14ac:dyDescent="0.25">
      <c r="E772" s="80"/>
    </row>
    <row r="773" spans="5:5" x14ac:dyDescent="0.25">
      <c r="E773" s="80"/>
    </row>
    <row r="774" spans="5:5" x14ac:dyDescent="0.25">
      <c r="E774" s="80"/>
    </row>
    <row r="775" spans="5:5" x14ac:dyDescent="0.25">
      <c r="E775" s="80"/>
    </row>
    <row r="776" spans="5:5" x14ac:dyDescent="0.25">
      <c r="E776" s="80"/>
    </row>
    <row r="777" spans="5:5" x14ac:dyDescent="0.25">
      <c r="E777" s="80"/>
    </row>
    <row r="778" spans="5:5" x14ac:dyDescent="0.25">
      <c r="E778" s="80"/>
    </row>
    <row r="779" spans="5:5" x14ac:dyDescent="0.25">
      <c r="E779" s="80"/>
    </row>
    <row r="780" spans="5:5" x14ac:dyDescent="0.25">
      <c r="E780" s="80"/>
    </row>
    <row r="781" spans="5:5" x14ac:dyDescent="0.25">
      <c r="E781" s="80"/>
    </row>
    <row r="782" spans="5:5" x14ac:dyDescent="0.25">
      <c r="E782" s="80"/>
    </row>
    <row r="783" spans="5:5" x14ac:dyDescent="0.25">
      <c r="E783" s="80"/>
    </row>
    <row r="784" spans="5:5" x14ac:dyDescent="0.25">
      <c r="E784" s="80"/>
    </row>
    <row r="785" spans="5:5" x14ac:dyDescent="0.25">
      <c r="E785" s="80"/>
    </row>
    <row r="786" spans="5:5" x14ac:dyDescent="0.25">
      <c r="E786" s="80"/>
    </row>
    <row r="787" spans="5:5" x14ac:dyDescent="0.25">
      <c r="E787" s="80"/>
    </row>
    <row r="788" spans="5:5" x14ac:dyDescent="0.25">
      <c r="E788" s="80"/>
    </row>
    <row r="789" spans="5:5" x14ac:dyDescent="0.25">
      <c r="E789" s="80"/>
    </row>
    <row r="790" spans="5:5" x14ac:dyDescent="0.25">
      <c r="E790" s="80"/>
    </row>
    <row r="791" spans="5:5" x14ac:dyDescent="0.25">
      <c r="E791" s="80"/>
    </row>
    <row r="792" spans="5:5" x14ac:dyDescent="0.25">
      <c r="E792" s="80"/>
    </row>
    <row r="793" spans="5:5" x14ac:dyDescent="0.25">
      <c r="E793" s="80"/>
    </row>
    <row r="794" spans="5:5" x14ac:dyDescent="0.25">
      <c r="E794" s="80"/>
    </row>
    <row r="795" spans="5:5" x14ac:dyDescent="0.25">
      <c r="E795" s="80"/>
    </row>
    <row r="796" spans="5:5" x14ac:dyDescent="0.25">
      <c r="E796" s="80"/>
    </row>
    <row r="797" spans="5:5" x14ac:dyDescent="0.25">
      <c r="E797" s="80"/>
    </row>
    <row r="798" spans="5:5" x14ac:dyDescent="0.25">
      <c r="E798" s="80"/>
    </row>
    <row r="799" spans="5:5" x14ac:dyDescent="0.25">
      <c r="E799" s="80"/>
    </row>
    <row r="800" spans="5:5" x14ac:dyDescent="0.25">
      <c r="E800" s="80"/>
    </row>
    <row r="801" spans="5:5" x14ac:dyDescent="0.25">
      <c r="E801" s="80"/>
    </row>
    <row r="802" spans="5:5" x14ac:dyDescent="0.25">
      <c r="E802" s="80"/>
    </row>
    <row r="803" spans="5:5" x14ac:dyDescent="0.25">
      <c r="E803" s="80"/>
    </row>
    <row r="804" spans="5:5" x14ac:dyDescent="0.25">
      <c r="E804" s="80"/>
    </row>
    <row r="805" spans="5:5" x14ac:dyDescent="0.25">
      <c r="E805" s="80"/>
    </row>
    <row r="806" spans="5:5" x14ac:dyDescent="0.25">
      <c r="E806" s="80"/>
    </row>
    <row r="807" spans="5:5" x14ac:dyDescent="0.25">
      <c r="E807" s="80"/>
    </row>
    <row r="808" spans="5:5" x14ac:dyDescent="0.25">
      <c r="E808" s="80"/>
    </row>
    <row r="809" spans="5:5" x14ac:dyDescent="0.25">
      <c r="E809" s="80"/>
    </row>
    <row r="810" spans="5:5" x14ac:dyDescent="0.25">
      <c r="E810" s="80"/>
    </row>
    <row r="811" spans="5:5" x14ac:dyDescent="0.25">
      <c r="E811" s="80"/>
    </row>
    <row r="812" spans="5:5" x14ac:dyDescent="0.25">
      <c r="E812" s="80"/>
    </row>
    <row r="813" spans="5:5" x14ac:dyDescent="0.25">
      <c r="E813" s="80"/>
    </row>
    <row r="814" spans="5:5" x14ac:dyDescent="0.25">
      <c r="E814" s="80"/>
    </row>
    <row r="815" spans="5:5" x14ac:dyDescent="0.25">
      <c r="E815" s="80"/>
    </row>
    <row r="816" spans="5:5" x14ac:dyDescent="0.25">
      <c r="E816" s="80"/>
    </row>
    <row r="817" spans="5:5" x14ac:dyDescent="0.25">
      <c r="E817" s="80"/>
    </row>
    <row r="818" spans="5:5" x14ac:dyDescent="0.25">
      <c r="E818" s="80"/>
    </row>
    <row r="819" spans="5:5" x14ac:dyDescent="0.25">
      <c r="E819" s="80"/>
    </row>
    <row r="820" spans="5:5" x14ac:dyDescent="0.25">
      <c r="E820" s="80"/>
    </row>
    <row r="821" spans="5:5" x14ac:dyDescent="0.25">
      <c r="E821" s="80"/>
    </row>
    <row r="822" spans="5:5" x14ac:dyDescent="0.25">
      <c r="E822" s="80"/>
    </row>
    <row r="823" spans="5:5" x14ac:dyDescent="0.25">
      <c r="E823" s="80"/>
    </row>
    <row r="824" spans="5:5" x14ac:dyDescent="0.25">
      <c r="E824" s="80"/>
    </row>
    <row r="825" spans="5:5" x14ac:dyDescent="0.25">
      <c r="E825" s="80"/>
    </row>
    <row r="826" spans="5:5" x14ac:dyDescent="0.25">
      <c r="E826" s="80"/>
    </row>
    <row r="827" spans="5:5" x14ac:dyDescent="0.25">
      <c r="E827" s="80"/>
    </row>
    <row r="828" spans="5:5" x14ac:dyDescent="0.25">
      <c r="E828" s="80"/>
    </row>
    <row r="829" spans="5:5" x14ac:dyDescent="0.25">
      <c r="E829" s="80"/>
    </row>
    <row r="830" spans="5:5" x14ac:dyDescent="0.25">
      <c r="E830" s="80"/>
    </row>
    <row r="831" spans="5:5" x14ac:dyDescent="0.25">
      <c r="E831" s="80"/>
    </row>
    <row r="832" spans="5:5" x14ac:dyDescent="0.25">
      <c r="E832" s="80"/>
    </row>
    <row r="833" spans="5:5" x14ac:dyDescent="0.25">
      <c r="E833" s="80"/>
    </row>
    <row r="834" spans="5:5" x14ac:dyDescent="0.25">
      <c r="E834" s="80"/>
    </row>
    <row r="835" spans="5:5" x14ac:dyDescent="0.25">
      <c r="E835" s="80"/>
    </row>
    <row r="836" spans="5:5" x14ac:dyDescent="0.25">
      <c r="E836" s="80"/>
    </row>
    <row r="837" spans="5:5" x14ac:dyDescent="0.25">
      <c r="E837" s="80"/>
    </row>
    <row r="838" spans="5:5" x14ac:dyDescent="0.25">
      <c r="E838" s="80"/>
    </row>
    <row r="839" spans="5:5" x14ac:dyDescent="0.25">
      <c r="E839" s="80"/>
    </row>
    <row r="840" spans="5:5" x14ac:dyDescent="0.25">
      <c r="E840" s="80"/>
    </row>
    <row r="841" spans="5:5" x14ac:dyDescent="0.25">
      <c r="E841" s="80"/>
    </row>
    <row r="842" spans="5:5" x14ac:dyDescent="0.25">
      <c r="E842" s="80"/>
    </row>
    <row r="843" spans="5:5" x14ac:dyDescent="0.25">
      <c r="E843" s="80"/>
    </row>
    <row r="844" spans="5:5" x14ac:dyDescent="0.25">
      <c r="E844" s="80"/>
    </row>
    <row r="845" spans="5:5" x14ac:dyDescent="0.25">
      <c r="E845" s="80"/>
    </row>
    <row r="846" spans="5:5" x14ac:dyDescent="0.25">
      <c r="E846" s="80"/>
    </row>
    <row r="847" spans="5:5" x14ac:dyDescent="0.25">
      <c r="E847" s="80"/>
    </row>
    <row r="848" spans="5:5" x14ac:dyDescent="0.25">
      <c r="E848" s="80"/>
    </row>
    <row r="849" spans="5:5" x14ac:dyDescent="0.25">
      <c r="E849" s="80"/>
    </row>
    <row r="850" spans="5:5" x14ac:dyDescent="0.25">
      <c r="E850" s="80"/>
    </row>
    <row r="851" spans="5:5" x14ac:dyDescent="0.25">
      <c r="E851" s="80"/>
    </row>
    <row r="852" spans="5:5" x14ac:dyDescent="0.25">
      <c r="E852" s="80"/>
    </row>
    <row r="853" spans="5:5" x14ac:dyDescent="0.25">
      <c r="E853" s="80"/>
    </row>
    <row r="854" spans="5:5" x14ac:dyDescent="0.25">
      <c r="E854" s="80"/>
    </row>
    <row r="855" spans="5:5" x14ac:dyDescent="0.25">
      <c r="E855" s="80"/>
    </row>
    <row r="856" spans="5:5" x14ac:dyDescent="0.25">
      <c r="E856" s="80"/>
    </row>
    <row r="857" spans="5:5" x14ac:dyDescent="0.25">
      <c r="E857" s="80"/>
    </row>
    <row r="858" spans="5:5" x14ac:dyDescent="0.25">
      <c r="E858" s="80"/>
    </row>
    <row r="859" spans="5:5" x14ac:dyDescent="0.25">
      <c r="E859" s="80"/>
    </row>
    <row r="860" spans="5:5" x14ac:dyDescent="0.25">
      <c r="E860" s="80"/>
    </row>
    <row r="861" spans="5:5" x14ac:dyDescent="0.25">
      <c r="E861" s="80"/>
    </row>
    <row r="862" spans="5:5" x14ac:dyDescent="0.25">
      <c r="E862" s="80"/>
    </row>
    <row r="863" spans="5:5" x14ac:dyDescent="0.25">
      <c r="E863" s="80"/>
    </row>
    <row r="864" spans="5:5" x14ac:dyDescent="0.25">
      <c r="E864" s="80"/>
    </row>
    <row r="865" spans="5:5" x14ac:dyDescent="0.25">
      <c r="E865" s="80"/>
    </row>
    <row r="866" spans="5:5" x14ac:dyDescent="0.25">
      <c r="E866" s="80"/>
    </row>
    <row r="867" spans="5:5" x14ac:dyDescent="0.25">
      <c r="E867" s="80"/>
    </row>
    <row r="868" spans="5:5" x14ac:dyDescent="0.25">
      <c r="E868" s="80"/>
    </row>
    <row r="869" spans="5:5" x14ac:dyDescent="0.25">
      <c r="E869" s="80"/>
    </row>
    <row r="870" spans="5:5" x14ac:dyDescent="0.25">
      <c r="E870" s="80"/>
    </row>
    <row r="871" spans="5:5" x14ac:dyDescent="0.25">
      <c r="E871" s="80"/>
    </row>
    <row r="872" spans="5:5" x14ac:dyDescent="0.25">
      <c r="E872" s="80"/>
    </row>
    <row r="873" spans="5:5" x14ac:dyDescent="0.25">
      <c r="E873" s="80"/>
    </row>
    <row r="874" spans="5:5" x14ac:dyDescent="0.25">
      <c r="E874" s="80"/>
    </row>
    <row r="875" spans="5:5" x14ac:dyDescent="0.25">
      <c r="E875" s="80"/>
    </row>
    <row r="876" spans="5:5" x14ac:dyDescent="0.25">
      <c r="E876" s="80"/>
    </row>
    <row r="877" spans="5:5" x14ac:dyDescent="0.25">
      <c r="E877" s="80"/>
    </row>
    <row r="878" spans="5:5" x14ac:dyDescent="0.25">
      <c r="E878" s="80"/>
    </row>
    <row r="879" spans="5:5" x14ac:dyDescent="0.25">
      <c r="E879" s="80"/>
    </row>
    <row r="880" spans="5:5" x14ac:dyDescent="0.25">
      <c r="E880" s="80"/>
    </row>
    <row r="881" spans="5:5" x14ac:dyDescent="0.25">
      <c r="E881" s="80"/>
    </row>
    <row r="882" spans="5:5" x14ac:dyDescent="0.25">
      <c r="E882" s="80"/>
    </row>
    <row r="883" spans="5:5" x14ac:dyDescent="0.25">
      <c r="E883" s="80"/>
    </row>
    <row r="884" spans="5:5" x14ac:dyDescent="0.25">
      <c r="E884" s="80"/>
    </row>
    <row r="885" spans="5:5" x14ac:dyDescent="0.25">
      <c r="E885" s="80"/>
    </row>
    <row r="886" spans="5:5" x14ac:dyDescent="0.25">
      <c r="E886" s="80"/>
    </row>
    <row r="887" spans="5:5" x14ac:dyDescent="0.25">
      <c r="E887" s="80"/>
    </row>
    <row r="888" spans="5:5" x14ac:dyDescent="0.25">
      <c r="E888" s="80"/>
    </row>
    <row r="889" spans="5:5" x14ac:dyDescent="0.25">
      <c r="E889" s="80"/>
    </row>
    <row r="890" spans="5:5" x14ac:dyDescent="0.25">
      <c r="E890" s="80"/>
    </row>
    <row r="891" spans="5:5" x14ac:dyDescent="0.25">
      <c r="E891" s="80"/>
    </row>
    <row r="892" spans="5:5" x14ac:dyDescent="0.25">
      <c r="E892" s="80"/>
    </row>
    <row r="893" spans="5:5" x14ac:dyDescent="0.25">
      <c r="E893" s="80"/>
    </row>
    <row r="894" spans="5:5" x14ac:dyDescent="0.25">
      <c r="E894" s="80"/>
    </row>
    <row r="895" spans="5:5" x14ac:dyDescent="0.25">
      <c r="E895" s="80"/>
    </row>
    <row r="896" spans="5:5" x14ac:dyDescent="0.25">
      <c r="E896" s="80"/>
    </row>
    <row r="897" spans="5:5" x14ac:dyDescent="0.25">
      <c r="E897" s="80"/>
    </row>
    <row r="898" spans="5:5" x14ac:dyDescent="0.25">
      <c r="E898" s="80"/>
    </row>
    <row r="899" spans="5:5" x14ac:dyDescent="0.25">
      <c r="E899" s="80"/>
    </row>
    <row r="900" spans="5:5" x14ac:dyDescent="0.25">
      <c r="E900" s="80"/>
    </row>
    <row r="901" spans="5:5" x14ac:dyDescent="0.25">
      <c r="E901" s="80"/>
    </row>
    <row r="902" spans="5:5" x14ac:dyDescent="0.25">
      <c r="E902" s="80"/>
    </row>
    <row r="903" spans="5:5" x14ac:dyDescent="0.25">
      <c r="E903" s="80"/>
    </row>
    <row r="904" spans="5:5" x14ac:dyDescent="0.25">
      <c r="E904" s="80"/>
    </row>
    <row r="905" spans="5:5" x14ac:dyDescent="0.25">
      <c r="E905" s="80"/>
    </row>
    <row r="906" spans="5:5" x14ac:dyDescent="0.25">
      <c r="E906" s="80"/>
    </row>
    <row r="907" spans="5:5" x14ac:dyDescent="0.25">
      <c r="E907" s="80"/>
    </row>
    <row r="908" spans="5:5" x14ac:dyDescent="0.25">
      <c r="E908" s="80"/>
    </row>
    <row r="909" spans="5:5" x14ac:dyDescent="0.25">
      <c r="E909" s="80"/>
    </row>
    <row r="910" spans="5:5" x14ac:dyDescent="0.25">
      <c r="E910" s="80"/>
    </row>
    <row r="911" spans="5:5" x14ac:dyDescent="0.25">
      <c r="E911" s="80"/>
    </row>
    <row r="912" spans="5:5" x14ac:dyDescent="0.25">
      <c r="E912" s="80"/>
    </row>
    <row r="913" spans="5:5" x14ac:dyDescent="0.25">
      <c r="E913" s="80"/>
    </row>
    <row r="914" spans="5:5" x14ac:dyDescent="0.25">
      <c r="E914" s="80"/>
    </row>
    <row r="915" spans="5:5" x14ac:dyDescent="0.25">
      <c r="E915" s="80"/>
    </row>
    <row r="916" spans="5:5" x14ac:dyDescent="0.25">
      <c r="E916" s="80"/>
    </row>
    <row r="917" spans="5:5" x14ac:dyDescent="0.25">
      <c r="E917" s="80"/>
    </row>
    <row r="918" spans="5:5" x14ac:dyDescent="0.25">
      <c r="E918" s="80"/>
    </row>
    <row r="919" spans="5:5" x14ac:dyDescent="0.25">
      <c r="E919" s="80"/>
    </row>
    <row r="920" spans="5:5" x14ac:dyDescent="0.25">
      <c r="E920" s="80"/>
    </row>
    <row r="921" spans="5:5" x14ac:dyDescent="0.25">
      <c r="E921" s="80"/>
    </row>
    <row r="922" spans="5:5" x14ac:dyDescent="0.25">
      <c r="E922" s="80"/>
    </row>
    <row r="923" spans="5:5" x14ac:dyDescent="0.25">
      <c r="E923" s="80"/>
    </row>
    <row r="924" spans="5:5" x14ac:dyDescent="0.25">
      <c r="E924" s="80"/>
    </row>
    <row r="925" spans="5:5" x14ac:dyDescent="0.25">
      <c r="E925" s="80"/>
    </row>
    <row r="926" spans="5:5" x14ac:dyDescent="0.25">
      <c r="E926" s="80"/>
    </row>
    <row r="927" spans="5:5" x14ac:dyDescent="0.25">
      <c r="E927" s="80"/>
    </row>
    <row r="928" spans="5:5" x14ac:dyDescent="0.25">
      <c r="E928" s="80"/>
    </row>
    <row r="929" spans="5:5" x14ac:dyDescent="0.25">
      <c r="E929" s="80"/>
    </row>
    <row r="930" spans="5:5" x14ac:dyDescent="0.25">
      <c r="E930" s="80"/>
    </row>
    <row r="931" spans="5:5" x14ac:dyDescent="0.25">
      <c r="E931" s="80"/>
    </row>
    <row r="932" spans="5:5" x14ac:dyDescent="0.25">
      <c r="E932" s="80"/>
    </row>
    <row r="933" spans="5:5" x14ac:dyDescent="0.25">
      <c r="E933" s="80"/>
    </row>
    <row r="934" spans="5:5" x14ac:dyDescent="0.25">
      <c r="E934" s="80"/>
    </row>
    <row r="935" spans="5:5" x14ac:dyDescent="0.25">
      <c r="E935" s="80"/>
    </row>
    <row r="936" spans="5:5" x14ac:dyDescent="0.25">
      <c r="E936" s="80"/>
    </row>
    <row r="937" spans="5:5" x14ac:dyDescent="0.25">
      <c r="E937" s="80"/>
    </row>
    <row r="938" spans="5:5" x14ac:dyDescent="0.25">
      <c r="E938" s="80"/>
    </row>
    <row r="939" spans="5:5" x14ac:dyDescent="0.25">
      <c r="E939" s="80"/>
    </row>
    <row r="940" spans="5:5" x14ac:dyDescent="0.25">
      <c r="E940" s="80"/>
    </row>
    <row r="941" spans="5:5" x14ac:dyDescent="0.25">
      <c r="E941" s="80"/>
    </row>
    <row r="942" spans="5:5" x14ac:dyDescent="0.25">
      <c r="E942" s="80"/>
    </row>
    <row r="943" spans="5:5" x14ac:dyDescent="0.25">
      <c r="E943" s="80"/>
    </row>
    <row r="944" spans="5:5" x14ac:dyDescent="0.25">
      <c r="E944" s="80"/>
    </row>
    <row r="945" spans="5:5" x14ac:dyDescent="0.25">
      <c r="E945" s="80"/>
    </row>
    <row r="946" spans="5:5" x14ac:dyDescent="0.25">
      <c r="E946" s="80"/>
    </row>
    <row r="947" spans="5:5" x14ac:dyDescent="0.25">
      <c r="E947" s="80"/>
    </row>
    <row r="948" spans="5:5" x14ac:dyDescent="0.25">
      <c r="E948" s="80"/>
    </row>
    <row r="949" spans="5:5" x14ac:dyDescent="0.25">
      <c r="E949" s="80"/>
    </row>
    <row r="950" spans="5:5" x14ac:dyDescent="0.25">
      <c r="E950" s="80"/>
    </row>
    <row r="951" spans="5:5" x14ac:dyDescent="0.25">
      <c r="E951" s="80"/>
    </row>
    <row r="952" spans="5:5" x14ac:dyDescent="0.25">
      <c r="E952" s="80"/>
    </row>
    <row r="953" spans="5:5" x14ac:dyDescent="0.25">
      <c r="E953" s="80"/>
    </row>
    <row r="954" spans="5:5" x14ac:dyDescent="0.25">
      <c r="E954" s="80"/>
    </row>
    <row r="955" spans="5:5" x14ac:dyDescent="0.25">
      <c r="E955" s="80"/>
    </row>
    <row r="956" spans="5:5" x14ac:dyDescent="0.25">
      <c r="E956" s="80"/>
    </row>
    <row r="957" spans="5:5" x14ac:dyDescent="0.25">
      <c r="E957" s="80"/>
    </row>
    <row r="958" spans="5:5" x14ac:dyDescent="0.25">
      <c r="E958" s="80"/>
    </row>
    <row r="959" spans="5:5" x14ac:dyDescent="0.25">
      <c r="E959" s="80"/>
    </row>
    <row r="960" spans="5:5" x14ac:dyDescent="0.25">
      <c r="E960" s="80"/>
    </row>
    <row r="961" spans="5:5" x14ac:dyDescent="0.25">
      <c r="E961" s="80"/>
    </row>
    <row r="962" spans="5:5" x14ac:dyDescent="0.25">
      <c r="E962" s="80"/>
    </row>
    <row r="963" spans="5:5" x14ac:dyDescent="0.25">
      <c r="E963" s="80"/>
    </row>
    <row r="964" spans="5:5" x14ac:dyDescent="0.25">
      <c r="E964" s="80"/>
    </row>
    <row r="965" spans="5:5" x14ac:dyDescent="0.25">
      <c r="E965" s="80"/>
    </row>
    <row r="966" spans="5:5" x14ac:dyDescent="0.25">
      <c r="E966" s="80"/>
    </row>
    <row r="967" spans="5:5" x14ac:dyDescent="0.25">
      <c r="E967" s="80"/>
    </row>
    <row r="968" spans="5:5" x14ac:dyDescent="0.25">
      <c r="E968" s="80"/>
    </row>
    <row r="969" spans="5:5" x14ac:dyDescent="0.25">
      <c r="E969" s="80"/>
    </row>
    <row r="970" spans="5:5" x14ac:dyDescent="0.25">
      <c r="E970" s="80"/>
    </row>
    <row r="971" spans="5:5" x14ac:dyDescent="0.25">
      <c r="E971" s="80"/>
    </row>
    <row r="972" spans="5:5" x14ac:dyDescent="0.25">
      <c r="E972" s="80"/>
    </row>
    <row r="973" spans="5:5" x14ac:dyDescent="0.25">
      <c r="E973" s="80"/>
    </row>
    <row r="974" spans="5:5" x14ac:dyDescent="0.25">
      <c r="E974" s="80"/>
    </row>
    <row r="975" spans="5:5" x14ac:dyDescent="0.25">
      <c r="E975" s="80"/>
    </row>
    <row r="976" spans="5:5" x14ac:dyDescent="0.25">
      <c r="E976" s="80"/>
    </row>
    <row r="977" spans="5:5" x14ac:dyDescent="0.25">
      <c r="E977" s="80"/>
    </row>
    <row r="978" spans="5:5" x14ac:dyDescent="0.25">
      <c r="E978" s="80"/>
    </row>
    <row r="979" spans="5:5" x14ac:dyDescent="0.25">
      <c r="E979" s="80"/>
    </row>
    <row r="980" spans="5:5" x14ac:dyDescent="0.25">
      <c r="E980" s="80"/>
    </row>
    <row r="981" spans="5:5" x14ac:dyDescent="0.25">
      <c r="E981" s="80"/>
    </row>
    <row r="982" spans="5:5" x14ac:dyDescent="0.25">
      <c r="E982" s="80"/>
    </row>
    <row r="983" spans="5:5" x14ac:dyDescent="0.25">
      <c r="E983" s="80"/>
    </row>
    <row r="984" spans="5:5" x14ac:dyDescent="0.25">
      <c r="E984" s="80"/>
    </row>
    <row r="985" spans="5:5" x14ac:dyDescent="0.25">
      <c r="E985" s="80"/>
    </row>
    <row r="986" spans="5:5" x14ac:dyDescent="0.25">
      <c r="E986" s="80"/>
    </row>
    <row r="987" spans="5:5" x14ac:dyDescent="0.25">
      <c r="E987" s="80"/>
    </row>
    <row r="988" spans="5:5" x14ac:dyDescent="0.25">
      <c r="E988" s="80"/>
    </row>
    <row r="989" spans="5:5" x14ac:dyDescent="0.25">
      <c r="E989" s="80"/>
    </row>
    <row r="990" spans="5:5" x14ac:dyDescent="0.25">
      <c r="E990" s="80"/>
    </row>
    <row r="991" spans="5:5" x14ac:dyDescent="0.25">
      <c r="E991" s="80"/>
    </row>
    <row r="992" spans="5:5" x14ac:dyDescent="0.25">
      <c r="E992" s="80"/>
    </row>
    <row r="993" spans="5:5" x14ac:dyDescent="0.25">
      <c r="E993" s="80"/>
    </row>
    <row r="994" spans="5:5" x14ac:dyDescent="0.25">
      <c r="E994" s="80"/>
    </row>
    <row r="995" spans="5:5" x14ac:dyDescent="0.25">
      <c r="E995" s="80"/>
    </row>
    <row r="996" spans="5:5" x14ac:dyDescent="0.25">
      <c r="E996" s="80"/>
    </row>
    <row r="997" spans="5:5" x14ac:dyDescent="0.25">
      <c r="E997" s="80"/>
    </row>
    <row r="998" spans="5:5" x14ac:dyDescent="0.25">
      <c r="E998" s="80"/>
    </row>
    <row r="999" spans="5:5" x14ac:dyDescent="0.25">
      <c r="E999" s="80"/>
    </row>
    <row r="1000" spans="5:5" x14ac:dyDescent="0.25">
      <c r="E1000" s="80"/>
    </row>
    <row r="1001" spans="5:5" x14ac:dyDescent="0.25">
      <c r="E1001" s="80"/>
    </row>
    <row r="1002" spans="5:5" x14ac:dyDescent="0.25">
      <c r="E1002" s="80"/>
    </row>
    <row r="1003" spans="5:5" x14ac:dyDescent="0.25">
      <c r="E1003" s="80"/>
    </row>
    <row r="1004" spans="5:5" x14ac:dyDescent="0.25">
      <c r="E1004" s="80"/>
    </row>
    <row r="1005" spans="5:5" x14ac:dyDescent="0.25">
      <c r="E1005" s="80"/>
    </row>
    <row r="1006" spans="5:5" x14ac:dyDescent="0.25">
      <c r="E1006" s="80"/>
    </row>
    <row r="1007" spans="5:5" x14ac:dyDescent="0.25">
      <c r="E1007" s="80"/>
    </row>
    <row r="1008" spans="5:5" x14ac:dyDescent="0.25">
      <c r="E1008" s="80"/>
    </row>
    <row r="1009" spans="5:5" x14ac:dyDescent="0.25">
      <c r="E1009" s="80"/>
    </row>
    <row r="1010" spans="5:5" x14ac:dyDescent="0.25">
      <c r="E1010" s="80"/>
    </row>
    <row r="1011" spans="5:5" x14ac:dyDescent="0.25">
      <c r="E1011" s="80"/>
    </row>
    <row r="1012" spans="5:5" x14ac:dyDescent="0.25">
      <c r="E1012" s="80"/>
    </row>
    <row r="1013" spans="5:5" x14ac:dyDescent="0.25">
      <c r="E1013" s="80"/>
    </row>
    <row r="1014" spans="5:5" x14ac:dyDescent="0.25">
      <c r="E1014" s="80"/>
    </row>
    <row r="1015" spans="5:5" x14ac:dyDescent="0.25">
      <c r="E1015" s="80"/>
    </row>
    <row r="1016" spans="5:5" x14ac:dyDescent="0.25">
      <c r="E1016" s="80"/>
    </row>
    <row r="1017" spans="5:5" x14ac:dyDescent="0.25">
      <c r="E1017" s="80"/>
    </row>
    <row r="1018" spans="5:5" x14ac:dyDescent="0.25">
      <c r="E1018" s="80"/>
    </row>
    <row r="1019" spans="5:5" x14ac:dyDescent="0.25">
      <c r="E1019" s="80"/>
    </row>
    <row r="1020" spans="5:5" x14ac:dyDescent="0.25">
      <c r="E1020" s="80"/>
    </row>
    <row r="1021" spans="5:5" x14ac:dyDescent="0.25">
      <c r="E1021" s="80"/>
    </row>
    <row r="1022" spans="5:5" x14ac:dyDescent="0.25">
      <c r="E1022" s="80"/>
    </row>
    <row r="1023" spans="5:5" x14ac:dyDescent="0.25">
      <c r="E1023" s="80"/>
    </row>
    <row r="1024" spans="5:5" x14ac:dyDescent="0.25">
      <c r="E1024" s="80"/>
    </row>
    <row r="1025" spans="5:5" x14ac:dyDescent="0.25">
      <c r="E1025" s="80"/>
    </row>
    <row r="1026" spans="5:5" x14ac:dyDescent="0.25">
      <c r="E1026" s="80"/>
    </row>
    <row r="1027" spans="5:5" x14ac:dyDescent="0.25">
      <c r="E1027" s="80"/>
    </row>
    <row r="1028" spans="5:5" x14ac:dyDescent="0.25">
      <c r="E1028" s="80"/>
    </row>
    <row r="1029" spans="5:5" x14ac:dyDescent="0.25">
      <c r="E1029" s="80"/>
    </row>
    <row r="1030" spans="5:5" x14ac:dyDescent="0.25">
      <c r="E1030" s="80"/>
    </row>
    <row r="1031" spans="5:5" x14ac:dyDescent="0.25">
      <c r="E1031" s="80"/>
    </row>
    <row r="1032" spans="5:5" x14ac:dyDescent="0.25">
      <c r="E1032" s="80"/>
    </row>
    <row r="1033" spans="5:5" x14ac:dyDescent="0.25">
      <c r="E1033" s="80"/>
    </row>
    <row r="1034" spans="5:5" x14ac:dyDescent="0.25">
      <c r="E1034" s="80"/>
    </row>
    <row r="1035" spans="5:5" x14ac:dyDescent="0.25">
      <c r="E1035" s="80"/>
    </row>
    <row r="1036" spans="5:5" x14ac:dyDescent="0.25">
      <c r="E1036" s="80"/>
    </row>
    <row r="1037" spans="5:5" x14ac:dyDescent="0.25">
      <c r="E1037" s="80"/>
    </row>
    <row r="1038" spans="5:5" x14ac:dyDescent="0.25">
      <c r="E1038" s="80"/>
    </row>
    <row r="1039" spans="5:5" x14ac:dyDescent="0.25">
      <c r="E1039" s="80"/>
    </row>
    <row r="1040" spans="5:5" x14ac:dyDescent="0.25">
      <c r="E1040" s="80"/>
    </row>
    <row r="1041" spans="5:5" x14ac:dyDescent="0.25">
      <c r="E1041" s="80"/>
    </row>
    <row r="1042" spans="5:5" x14ac:dyDescent="0.25">
      <c r="E1042" s="80"/>
    </row>
    <row r="1043" spans="5:5" x14ac:dyDescent="0.25">
      <c r="E1043" s="80"/>
    </row>
    <row r="1044" spans="5:5" x14ac:dyDescent="0.25">
      <c r="E1044" s="80"/>
    </row>
    <row r="1045" spans="5:5" x14ac:dyDescent="0.25">
      <c r="E1045" s="80"/>
    </row>
    <row r="1046" spans="5:5" x14ac:dyDescent="0.25">
      <c r="E1046" s="80"/>
    </row>
    <row r="1047" spans="5:5" x14ac:dyDescent="0.25">
      <c r="E1047" s="80"/>
    </row>
    <row r="1048" spans="5:5" x14ac:dyDescent="0.25">
      <c r="E1048" s="80"/>
    </row>
    <row r="1049" spans="5:5" x14ac:dyDescent="0.25">
      <c r="E1049" s="80"/>
    </row>
    <row r="1050" spans="5:5" x14ac:dyDescent="0.25">
      <c r="E1050" s="80"/>
    </row>
    <row r="1051" spans="5:5" x14ac:dyDescent="0.25">
      <c r="E1051" s="80"/>
    </row>
    <row r="1052" spans="5:5" x14ac:dyDescent="0.25">
      <c r="E1052" s="80"/>
    </row>
    <row r="1053" spans="5:5" x14ac:dyDescent="0.25">
      <c r="E1053" s="80"/>
    </row>
    <row r="1054" spans="5:5" x14ac:dyDescent="0.25">
      <c r="E1054" s="80"/>
    </row>
    <row r="1055" spans="5:5" x14ac:dyDescent="0.25">
      <c r="E1055" s="80"/>
    </row>
    <row r="1056" spans="5:5" x14ac:dyDescent="0.25">
      <c r="E1056" s="80"/>
    </row>
    <row r="1057" spans="5:5" x14ac:dyDescent="0.25">
      <c r="E1057" s="80"/>
    </row>
    <row r="1058" spans="5:5" x14ac:dyDescent="0.25">
      <c r="E1058" s="80"/>
    </row>
    <row r="1059" spans="5:5" x14ac:dyDescent="0.25">
      <c r="E1059" s="80"/>
    </row>
    <row r="1060" spans="5:5" x14ac:dyDescent="0.25">
      <c r="E1060" s="80"/>
    </row>
    <row r="1061" spans="5:5" x14ac:dyDescent="0.25">
      <c r="E1061" s="80"/>
    </row>
    <row r="1062" spans="5:5" x14ac:dyDescent="0.25">
      <c r="E1062" s="80"/>
    </row>
    <row r="1063" spans="5:5" x14ac:dyDescent="0.25">
      <c r="E1063" s="80"/>
    </row>
    <row r="1064" spans="5:5" x14ac:dyDescent="0.25">
      <c r="E1064" s="80"/>
    </row>
    <row r="1065" spans="5:5" x14ac:dyDescent="0.25">
      <c r="E1065" s="80"/>
    </row>
    <row r="1066" spans="5:5" x14ac:dyDescent="0.25">
      <c r="E1066" s="80"/>
    </row>
    <row r="1067" spans="5:5" x14ac:dyDescent="0.25">
      <c r="E1067" s="80"/>
    </row>
    <row r="1068" spans="5:5" x14ac:dyDescent="0.25">
      <c r="E1068" s="80"/>
    </row>
    <row r="1069" spans="5:5" x14ac:dyDescent="0.25">
      <c r="E1069" s="80"/>
    </row>
    <row r="1070" spans="5:5" x14ac:dyDescent="0.25">
      <c r="E1070" s="80"/>
    </row>
    <row r="1071" spans="5:5" x14ac:dyDescent="0.25">
      <c r="E1071" s="80"/>
    </row>
    <row r="1072" spans="5:5" x14ac:dyDescent="0.25">
      <c r="E1072" s="80"/>
    </row>
    <row r="1073" spans="5:5" x14ac:dyDescent="0.25">
      <c r="E1073" s="80"/>
    </row>
    <row r="1074" spans="5:5" x14ac:dyDescent="0.25">
      <c r="E1074" s="80"/>
    </row>
    <row r="1075" spans="5:5" x14ac:dyDescent="0.25">
      <c r="E1075" s="80"/>
    </row>
    <row r="1076" spans="5:5" x14ac:dyDescent="0.25">
      <c r="E1076" s="80"/>
    </row>
    <row r="1077" spans="5:5" x14ac:dyDescent="0.25">
      <c r="E1077" s="80"/>
    </row>
    <row r="1078" spans="5:5" x14ac:dyDescent="0.25">
      <c r="E1078" s="80"/>
    </row>
    <row r="1079" spans="5:5" x14ac:dyDescent="0.25">
      <c r="E1079" s="80"/>
    </row>
    <row r="1080" spans="5:5" x14ac:dyDescent="0.25">
      <c r="E1080" s="80"/>
    </row>
    <row r="1081" spans="5:5" x14ac:dyDescent="0.25">
      <c r="E1081" s="80"/>
    </row>
    <row r="1082" spans="5:5" x14ac:dyDescent="0.25">
      <c r="E1082" s="80"/>
    </row>
    <row r="1083" spans="5:5" x14ac:dyDescent="0.25">
      <c r="E1083" s="80"/>
    </row>
    <row r="1084" spans="5:5" x14ac:dyDescent="0.25">
      <c r="E1084" s="80"/>
    </row>
    <row r="1085" spans="5:5" x14ac:dyDescent="0.25">
      <c r="E1085" s="80"/>
    </row>
    <row r="1086" spans="5:5" x14ac:dyDescent="0.25">
      <c r="E1086" s="80"/>
    </row>
    <row r="1087" spans="5:5" x14ac:dyDescent="0.25">
      <c r="E1087" s="80"/>
    </row>
    <row r="1088" spans="5:5" x14ac:dyDescent="0.25">
      <c r="E1088" s="80"/>
    </row>
    <row r="1089" spans="5:5" x14ac:dyDescent="0.25">
      <c r="E1089" s="80"/>
    </row>
    <row r="1090" spans="5:5" x14ac:dyDescent="0.25">
      <c r="E1090" s="80"/>
    </row>
    <row r="1091" spans="5:5" x14ac:dyDescent="0.25">
      <c r="E1091" s="80"/>
    </row>
    <row r="1092" spans="5:5" x14ac:dyDescent="0.25">
      <c r="E1092" s="80"/>
    </row>
    <row r="1093" spans="5:5" x14ac:dyDescent="0.25">
      <c r="E1093" s="80"/>
    </row>
    <row r="1094" spans="5:5" x14ac:dyDescent="0.25">
      <c r="E1094" s="80"/>
    </row>
    <row r="1095" spans="5:5" x14ac:dyDescent="0.25">
      <c r="E1095" s="80"/>
    </row>
    <row r="1096" spans="5:5" x14ac:dyDescent="0.25">
      <c r="E1096" s="80"/>
    </row>
    <row r="1097" spans="5:5" x14ac:dyDescent="0.25">
      <c r="E1097" s="80"/>
    </row>
    <row r="1098" spans="5:5" x14ac:dyDescent="0.25">
      <c r="E1098" s="80"/>
    </row>
    <row r="1099" spans="5:5" x14ac:dyDescent="0.25">
      <c r="E1099" s="80"/>
    </row>
    <row r="1100" spans="5:5" x14ac:dyDescent="0.25">
      <c r="E1100" s="80"/>
    </row>
    <row r="1101" spans="5:5" x14ac:dyDescent="0.25">
      <c r="E1101" s="80"/>
    </row>
    <row r="1102" spans="5:5" x14ac:dyDescent="0.25">
      <c r="E1102" s="80"/>
    </row>
    <row r="1103" spans="5:5" x14ac:dyDescent="0.25">
      <c r="E1103" s="80"/>
    </row>
    <row r="1104" spans="5:5" x14ac:dyDescent="0.25">
      <c r="E1104" s="80"/>
    </row>
    <row r="1105" spans="5:5" x14ac:dyDescent="0.25">
      <c r="E1105" s="80"/>
    </row>
    <row r="1106" spans="5:5" x14ac:dyDescent="0.25">
      <c r="E1106" s="80"/>
    </row>
    <row r="1107" spans="5:5" x14ac:dyDescent="0.25">
      <c r="E1107" s="80"/>
    </row>
    <row r="1108" spans="5:5" x14ac:dyDescent="0.25">
      <c r="E1108" s="80"/>
    </row>
    <row r="1109" spans="5:5" x14ac:dyDescent="0.25">
      <c r="E1109" s="80"/>
    </row>
    <row r="1110" spans="5:5" x14ac:dyDescent="0.25">
      <c r="E1110" s="80"/>
    </row>
    <row r="1111" spans="5:5" x14ac:dyDescent="0.25">
      <c r="E1111" s="80"/>
    </row>
    <row r="1112" spans="5:5" x14ac:dyDescent="0.25">
      <c r="E1112" s="80"/>
    </row>
    <row r="1113" spans="5:5" x14ac:dyDescent="0.25">
      <c r="E1113" s="80"/>
    </row>
    <row r="1114" spans="5:5" x14ac:dyDescent="0.25">
      <c r="E1114" s="80"/>
    </row>
    <row r="1115" spans="5:5" x14ac:dyDescent="0.25">
      <c r="E1115" s="80"/>
    </row>
    <row r="1116" spans="5:5" x14ac:dyDescent="0.25">
      <c r="E1116" s="80"/>
    </row>
    <row r="1117" spans="5:5" x14ac:dyDescent="0.25">
      <c r="E1117" s="80"/>
    </row>
    <row r="1118" spans="5:5" x14ac:dyDescent="0.25">
      <c r="E1118" s="80"/>
    </row>
    <row r="1119" spans="5:5" x14ac:dyDescent="0.25">
      <c r="E1119" s="80"/>
    </row>
    <row r="1120" spans="5:5" x14ac:dyDescent="0.25">
      <c r="E1120" s="80"/>
    </row>
    <row r="1121" spans="5:5" x14ac:dyDescent="0.25">
      <c r="E1121" s="80"/>
    </row>
    <row r="1122" spans="5:5" x14ac:dyDescent="0.25">
      <c r="E1122" s="80"/>
    </row>
    <row r="1123" spans="5:5" x14ac:dyDescent="0.25">
      <c r="E1123" s="80"/>
    </row>
    <row r="1124" spans="5:5" x14ac:dyDescent="0.25">
      <c r="E1124" s="80"/>
    </row>
    <row r="1125" spans="5:5" x14ac:dyDescent="0.25">
      <c r="E1125" s="80"/>
    </row>
    <row r="1126" spans="5:5" x14ac:dyDescent="0.25">
      <c r="E1126" s="80"/>
    </row>
    <row r="1127" spans="5:5" x14ac:dyDescent="0.25">
      <c r="E1127" s="80"/>
    </row>
    <row r="1128" spans="5:5" x14ac:dyDescent="0.25">
      <c r="E1128" s="80"/>
    </row>
    <row r="1129" spans="5:5" x14ac:dyDescent="0.25">
      <c r="E1129" s="80"/>
    </row>
    <row r="1130" spans="5:5" x14ac:dyDescent="0.25">
      <c r="E1130" s="80"/>
    </row>
    <row r="1131" spans="5:5" x14ac:dyDescent="0.25">
      <c r="E1131" s="80"/>
    </row>
    <row r="1132" spans="5:5" x14ac:dyDescent="0.25">
      <c r="E1132" s="80"/>
    </row>
    <row r="1133" spans="5:5" x14ac:dyDescent="0.25">
      <c r="E1133" s="80"/>
    </row>
    <row r="1134" spans="5:5" x14ac:dyDescent="0.25">
      <c r="E1134" s="80"/>
    </row>
    <row r="1135" spans="5:5" x14ac:dyDescent="0.25">
      <c r="E1135" s="80"/>
    </row>
    <row r="1136" spans="5:5" x14ac:dyDescent="0.25">
      <c r="E1136" s="80"/>
    </row>
    <row r="1137" spans="5:5" x14ac:dyDescent="0.25">
      <c r="E1137" s="80"/>
    </row>
    <row r="1138" spans="5:5" x14ac:dyDescent="0.25">
      <c r="E1138" s="80"/>
    </row>
    <row r="1139" spans="5:5" x14ac:dyDescent="0.25">
      <c r="E1139" s="80"/>
    </row>
    <row r="1140" spans="5:5" x14ac:dyDescent="0.25">
      <c r="E1140" s="80"/>
    </row>
    <row r="1141" spans="5:5" x14ac:dyDescent="0.25">
      <c r="E1141" s="80"/>
    </row>
    <row r="1142" spans="5:5" x14ac:dyDescent="0.25">
      <c r="E1142" s="80"/>
    </row>
    <row r="1143" spans="5:5" x14ac:dyDescent="0.25">
      <c r="E1143" s="80"/>
    </row>
    <row r="1144" spans="5:5" x14ac:dyDescent="0.25">
      <c r="E1144" s="80"/>
    </row>
    <row r="1145" spans="5:5" x14ac:dyDescent="0.25">
      <c r="E1145" s="80"/>
    </row>
    <row r="1146" spans="5:5" x14ac:dyDescent="0.25">
      <c r="E1146" s="80"/>
    </row>
    <row r="1147" spans="5:5" x14ac:dyDescent="0.25">
      <c r="E1147" s="80"/>
    </row>
    <row r="1148" spans="5:5" x14ac:dyDescent="0.25">
      <c r="E1148" s="80"/>
    </row>
    <row r="1149" spans="5:5" x14ac:dyDescent="0.25">
      <c r="E1149" s="80"/>
    </row>
    <row r="1150" spans="5:5" x14ac:dyDescent="0.25">
      <c r="E1150" s="80"/>
    </row>
    <row r="1151" spans="5:5" x14ac:dyDescent="0.25">
      <c r="E1151" s="80"/>
    </row>
    <row r="1152" spans="5:5" x14ac:dyDescent="0.25">
      <c r="E1152" s="80"/>
    </row>
    <row r="1153" spans="5:5" x14ac:dyDescent="0.25">
      <c r="E1153" s="80"/>
    </row>
    <row r="1154" spans="5:5" x14ac:dyDescent="0.25">
      <c r="E1154" s="80"/>
    </row>
    <row r="1155" spans="5:5" x14ac:dyDescent="0.25">
      <c r="E1155" s="80"/>
    </row>
    <row r="1156" spans="5:5" x14ac:dyDescent="0.25">
      <c r="E1156" s="80"/>
    </row>
    <row r="1157" spans="5:5" x14ac:dyDescent="0.25">
      <c r="E1157" s="80"/>
    </row>
    <row r="1158" spans="5:5" x14ac:dyDescent="0.25">
      <c r="E1158" s="80"/>
    </row>
    <row r="1159" spans="5:5" x14ac:dyDescent="0.25">
      <c r="E1159" s="80"/>
    </row>
    <row r="1160" spans="5:5" x14ac:dyDescent="0.25">
      <c r="E1160" s="80"/>
    </row>
    <row r="1161" spans="5:5" x14ac:dyDescent="0.25">
      <c r="E1161" s="80"/>
    </row>
    <row r="1162" spans="5:5" x14ac:dyDescent="0.25">
      <c r="E1162" s="80"/>
    </row>
    <row r="1163" spans="5:5" x14ac:dyDescent="0.25">
      <c r="E1163" s="80"/>
    </row>
    <row r="1164" spans="5:5" x14ac:dyDescent="0.25">
      <c r="E1164" s="80"/>
    </row>
    <row r="1165" spans="5:5" x14ac:dyDescent="0.25">
      <c r="E1165" s="80"/>
    </row>
    <row r="1166" spans="5:5" x14ac:dyDescent="0.25">
      <c r="E1166" s="80"/>
    </row>
    <row r="1167" spans="5:5" x14ac:dyDescent="0.25">
      <c r="E1167" s="80"/>
    </row>
    <row r="1168" spans="5:5" x14ac:dyDescent="0.25">
      <c r="E1168" s="80"/>
    </row>
    <row r="1169" spans="5:5" x14ac:dyDescent="0.25">
      <c r="E1169" s="80"/>
    </row>
    <row r="1170" spans="5:5" x14ac:dyDescent="0.25">
      <c r="E1170" s="80"/>
    </row>
    <row r="1171" spans="5:5" x14ac:dyDescent="0.25">
      <c r="E1171" s="80"/>
    </row>
    <row r="1172" spans="5:5" x14ac:dyDescent="0.25">
      <c r="E1172" s="80"/>
    </row>
    <row r="1173" spans="5:5" x14ac:dyDescent="0.25">
      <c r="E1173" s="80"/>
    </row>
    <row r="1174" spans="5:5" x14ac:dyDescent="0.25">
      <c r="E1174" s="80"/>
    </row>
    <row r="1175" spans="5:5" x14ac:dyDescent="0.25">
      <c r="E1175" s="80"/>
    </row>
    <row r="1176" spans="5:5" x14ac:dyDescent="0.25">
      <c r="E1176" s="80"/>
    </row>
    <row r="1177" spans="5:5" x14ac:dyDescent="0.25">
      <c r="E1177" s="80"/>
    </row>
    <row r="1178" spans="5:5" x14ac:dyDescent="0.25">
      <c r="E1178" s="80"/>
    </row>
    <row r="1179" spans="5:5" x14ac:dyDescent="0.25">
      <c r="E1179" s="80"/>
    </row>
    <row r="1180" spans="5:5" x14ac:dyDescent="0.25">
      <c r="E1180" s="80"/>
    </row>
    <row r="1181" spans="5:5" x14ac:dyDescent="0.25">
      <c r="E1181" s="80"/>
    </row>
    <row r="1182" spans="5:5" x14ac:dyDescent="0.25">
      <c r="E1182" s="80"/>
    </row>
    <row r="1183" spans="5:5" x14ac:dyDescent="0.25">
      <c r="E1183" s="80"/>
    </row>
    <row r="1184" spans="5:5" x14ac:dyDescent="0.25">
      <c r="E1184" s="80"/>
    </row>
    <row r="1185" spans="5:5" x14ac:dyDescent="0.25">
      <c r="E1185" s="80"/>
    </row>
    <row r="1186" spans="5:5" x14ac:dyDescent="0.25">
      <c r="E1186" s="80"/>
    </row>
    <row r="1187" spans="5:5" x14ac:dyDescent="0.25">
      <c r="E1187" s="80"/>
    </row>
    <row r="1188" spans="5:5" x14ac:dyDescent="0.25">
      <c r="E1188" s="80"/>
    </row>
    <row r="1189" spans="5:5" x14ac:dyDescent="0.25">
      <c r="E1189" s="80"/>
    </row>
    <row r="1190" spans="5:5" x14ac:dyDescent="0.25">
      <c r="E1190" s="80"/>
    </row>
    <row r="1191" spans="5:5" x14ac:dyDescent="0.25">
      <c r="E1191" s="80"/>
    </row>
    <row r="1192" spans="5:5" x14ac:dyDescent="0.25">
      <c r="E1192" s="80"/>
    </row>
    <row r="1193" spans="5:5" x14ac:dyDescent="0.25">
      <c r="E1193" s="80"/>
    </row>
    <row r="1194" spans="5:5" x14ac:dyDescent="0.25">
      <c r="E1194" s="80"/>
    </row>
    <row r="1195" spans="5:5" x14ac:dyDescent="0.25">
      <c r="E1195" s="80"/>
    </row>
    <row r="1196" spans="5:5" x14ac:dyDescent="0.25">
      <c r="E1196" s="80"/>
    </row>
    <row r="1197" spans="5:5" x14ac:dyDescent="0.25">
      <c r="E1197" s="80"/>
    </row>
    <row r="1198" spans="5:5" x14ac:dyDescent="0.25">
      <c r="E1198" s="80"/>
    </row>
    <row r="1199" spans="5:5" x14ac:dyDescent="0.25">
      <c r="E1199" s="80"/>
    </row>
    <row r="1200" spans="5:5" x14ac:dyDescent="0.25">
      <c r="E1200" s="80"/>
    </row>
    <row r="1201" spans="5:5" x14ac:dyDescent="0.25">
      <c r="E1201" s="80"/>
    </row>
    <row r="1202" spans="5:5" x14ac:dyDescent="0.25">
      <c r="E1202" s="80"/>
    </row>
    <row r="1203" spans="5:5" x14ac:dyDescent="0.25">
      <c r="E1203" s="80"/>
    </row>
    <row r="1204" spans="5:5" x14ac:dyDescent="0.25">
      <c r="E1204" s="80"/>
    </row>
    <row r="1205" spans="5:5" x14ac:dyDescent="0.25">
      <c r="E1205" s="80"/>
    </row>
    <row r="1206" spans="5:5" x14ac:dyDescent="0.25">
      <c r="E1206" s="80"/>
    </row>
    <row r="1207" spans="5:5" x14ac:dyDescent="0.25">
      <c r="E1207" s="80"/>
    </row>
    <row r="1208" spans="5:5" x14ac:dyDescent="0.25">
      <c r="E1208" s="80"/>
    </row>
    <row r="1209" spans="5:5" x14ac:dyDescent="0.25">
      <c r="E1209" s="80"/>
    </row>
    <row r="1210" spans="5:5" x14ac:dyDescent="0.25">
      <c r="E1210" s="80"/>
    </row>
    <row r="1211" spans="5:5" x14ac:dyDescent="0.25">
      <c r="E1211" s="80"/>
    </row>
    <row r="1212" spans="5:5" x14ac:dyDescent="0.25">
      <c r="E1212" s="80"/>
    </row>
    <row r="1213" spans="5:5" x14ac:dyDescent="0.25">
      <c r="E1213" s="80"/>
    </row>
    <row r="1214" spans="5:5" x14ac:dyDescent="0.25">
      <c r="E1214" s="80"/>
    </row>
    <row r="1215" spans="5:5" x14ac:dyDescent="0.25">
      <c r="E1215" s="80"/>
    </row>
    <row r="1216" spans="5:5" x14ac:dyDescent="0.25">
      <c r="E1216" s="80"/>
    </row>
    <row r="1217" spans="5:5" x14ac:dyDescent="0.25">
      <c r="E1217" s="80"/>
    </row>
    <row r="1218" spans="5:5" x14ac:dyDescent="0.25">
      <c r="E1218" s="80"/>
    </row>
    <row r="1219" spans="5:5" x14ac:dyDescent="0.25">
      <c r="E1219" s="80"/>
    </row>
    <row r="1220" spans="5:5" x14ac:dyDescent="0.25">
      <c r="E1220" s="80"/>
    </row>
    <row r="1221" spans="5:5" x14ac:dyDescent="0.25">
      <c r="E1221" s="80"/>
    </row>
    <row r="1222" spans="5:5" x14ac:dyDescent="0.25">
      <c r="E1222" s="80"/>
    </row>
    <row r="1223" spans="5:5" x14ac:dyDescent="0.25">
      <c r="E1223" s="80"/>
    </row>
    <row r="1224" spans="5:5" x14ac:dyDescent="0.25">
      <c r="E1224" s="80"/>
    </row>
    <row r="1225" spans="5:5" x14ac:dyDescent="0.25">
      <c r="E1225" s="80"/>
    </row>
    <row r="1226" spans="5:5" x14ac:dyDescent="0.25">
      <c r="E1226" s="80"/>
    </row>
    <row r="1227" spans="5:5" x14ac:dyDescent="0.25">
      <c r="E1227" s="80"/>
    </row>
    <row r="1228" spans="5:5" x14ac:dyDescent="0.25">
      <c r="E1228" s="80"/>
    </row>
    <row r="1229" spans="5:5" x14ac:dyDescent="0.25">
      <c r="E1229" s="80"/>
    </row>
    <row r="1230" spans="5:5" x14ac:dyDescent="0.25">
      <c r="E1230" s="80"/>
    </row>
    <row r="1231" spans="5:5" x14ac:dyDescent="0.25">
      <c r="E1231" s="80"/>
    </row>
    <row r="1232" spans="5:5" x14ac:dyDescent="0.25">
      <c r="E1232" s="80"/>
    </row>
    <row r="1233" spans="5:5" x14ac:dyDescent="0.25">
      <c r="E1233" s="80"/>
    </row>
    <row r="1234" spans="5:5" x14ac:dyDescent="0.25">
      <c r="E1234" s="80"/>
    </row>
    <row r="1235" spans="5:5" x14ac:dyDescent="0.25">
      <c r="E1235" s="80"/>
    </row>
    <row r="1236" spans="5:5" x14ac:dyDescent="0.25">
      <c r="E1236" s="80"/>
    </row>
    <row r="1237" spans="5:5" x14ac:dyDescent="0.25">
      <c r="E1237" s="80"/>
    </row>
    <row r="1238" spans="5:5" x14ac:dyDescent="0.25">
      <c r="E1238" s="80"/>
    </row>
    <row r="1239" spans="5:5" x14ac:dyDescent="0.25">
      <c r="E1239" s="80"/>
    </row>
    <row r="1240" spans="5:5" x14ac:dyDescent="0.25">
      <c r="E1240" s="80"/>
    </row>
    <row r="1241" spans="5:5" x14ac:dyDescent="0.25">
      <c r="E1241" s="80"/>
    </row>
    <row r="1242" spans="5:5" x14ac:dyDescent="0.25">
      <c r="E1242" s="80"/>
    </row>
    <row r="1243" spans="5:5" x14ac:dyDescent="0.25">
      <c r="E1243" s="80"/>
    </row>
    <row r="1244" spans="5:5" x14ac:dyDescent="0.25">
      <c r="E1244" s="80"/>
    </row>
    <row r="1245" spans="5:5" x14ac:dyDescent="0.25">
      <c r="E1245" s="80"/>
    </row>
    <row r="1246" spans="5:5" x14ac:dyDescent="0.25">
      <c r="E1246" s="80"/>
    </row>
    <row r="1247" spans="5:5" x14ac:dyDescent="0.25">
      <c r="E1247" s="80"/>
    </row>
    <row r="1248" spans="5:5" x14ac:dyDescent="0.25">
      <c r="E1248" s="80"/>
    </row>
    <row r="1249" spans="5:5" x14ac:dyDescent="0.25">
      <c r="E1249" s="80"/>
    </row>
    <row r="1250" spans="5:5" x14ac:dyDescent="0.25">
      <c r="E1250" s="80"/>
    </row>
    <row r="1251" spans="5:5" x14ac:dyDescent="0.25">
      <c r="E1251" s="80"/>
    </row>
    <row r="1252" spans="5:5" x14ac:dyDescent="0.25">
      <c r="E1252" s="80"/>
    </row>
    <row r="1253" spans="5:5" x14ac:dyDescent="0.25">
      <c r="E1253" s="80"/>
    </row>
    <row r="1254" spans="5:5" x14ac:dyDescent="0.25">
      <c r="E1254" s="80"/>
    </row>
    <row r="1255" spans="5:5" x14ac:dyDescent="0.25">
      <c r="E1255" s="80"/>
    </row>
    <row r="1256" spans="5:5" x14ac:dyDescent="0.25">
      <c r="E1256" s="80"/>
    </row>
    <row r="1257" spans="5:5" x14ac:dyDescent="0.25">
      <c r="E1257" s="80"/>
    </row>
    <row r="1258" spans="5:5" x14ac:dyDescent="0.25">
      <c r="E1258" s="80"/>
    </row>
    <row r="1259" spans="5:5" x14ac:dyDescent="0.25">
      <c r="E1259" s="80"/>
    </row>
    <row r="1260" spans="5:5" x14ac:dyDescent="0.25">
      <c r="E1260" s="80"/>
    </row>
    <row r="1261" spans="5:5" x14ac:dyDescent="0.25">
      <c r="E1261" s="80"/>
    </row>
    <row r="1262" spans="5:5" x14ac:dyDescent="0.25">
      <c r="E1262" s="80"/>
    </row>
    <row r="1263" spans="5:5" x14ac:dyDescent="0.25">
      <c r="E1263" s="80"/>
    </row>
    <row r="1264" spans="5:5" x14ac:dyDescent="0.25">
      <c r="E1264" s="80"/>
    </row>
    <row r="1265" spans="5:5" x14ac:dyDescent="0.25">
      <c r="E1265" s="80"/>
    </row>
    <row r="1266" spans="5:5" x14ac:dyDescent="0.25">
      <c r="E1266" s="80"/>
    </row>
    <row r="1267" spans="5:5" x14ac:dyDescent="0.25">
      <c r="E1267" s="80"/>
    </row>
    <row r="1268" spans="5:5" x14ac:dyDescent="0.25">
      <c r="E1268" s="80"/>
    </row>
    <row r="1269" spans="5:5" x14ac:dyDescent="0.25">
      <c r="E1269" s="80"/>
    </row>
    <row r="1270" spans="5:5" x14ac:dyDescent="0.25">
      <c r="E1270" s="80"/>
    </row>
    <row r="1271" spans="5:5" x14ac:dyDescent="0.25">
      <c r="E1271" s="80"/>
    </row>
    <row r="1272" spans="5:5" x14ac:dyDescent="0.25">
      <c r="E1272" s="80"/>
    </row>
    <row r="1273" spans="5:5" x14ac:dyDescent="0.25">
      <c r="E1273" s="80"/>
    </row>
    <row r="1274" spans="5:5" x14ac:dyDescent="0.25">
      <c r="E1274" s="80"/>
    </row>
    <row r="1275" spans="5:5" x14ac:dyDescent="0.25">
      <c r="E1275" s="80"/>
    </row>
    <row r="1276" spans="5:5" x14ac:dyDescent="0.25">
      <c r="E1276" s="80"/>
    </row>
    <row r="1277" spans="5:5" x14ac:dyDescent="0.25">
      <c r="E1277" s="80"/>
    </row>
    <row r="1278" spans="5:5" x14ac:dyDescent="0.25">
      <c r="E1278" s="80"/>
    </row>
    <row r="1279" spans="5:5" x14ac:dyDescent="0.25">
      <c r="E1279" s="80"/>
    </row>
    <row r="1280" spans="5:5" x14ac:dyDescent="0.25">
      <c r="E1280" s="80"/>
    </row>
    <row r="1281" spans="5:5" x14ac:dyDescent="0.25">
      <c r="E1281" s="80"/>
    </row>
    <row r="1282" spans="5:5" x14ac:dyDescent="0.25">
      <c r="E1282" s="80"/>
    </row>
    <row r="1283" spans="5:5" x14ac:dyDescent="0.25">
      <c r="E1283" s="80"/>
    </row>
    <row r="1284" spans="5:5" x14ac:dyDescent="0.25">
      <c r="E1284" s="80"/>
    </row>
    <row r="1285" spans="5:5" x14ac:dyDescent="0.25">
      <c r="E1285" s="80"/>
    </row>
    <row r="1286" spans="5:5" x14ac:dyDescent="0.25">
      <c r="E1286" s="80"/>
    </row>
    <row r="1287" spans="5:5" x14ac:dyDescent="0.25">
      <c r="E1287" s="80"/>
    </row>
    <row r="1288" spans="5:5" x14ac:dyDescent="0.25">
      <c r="E1288" s="80"/>
    </row>
    <row r="1289" spans="5:5" x14ac:dyDescent="0.25">
      <c r="E1289" s="80"/>
    </row>
    <row r="1290" spans="5:5" x14ac:dyDescent="0.25">
      <c r="E1290" s="80"/>
    </row>
    <row r="1291" spans="5:5" x14ac:dyDescent="0.25">
      <c r="E1291" s="80"/>
    </row>
    <row r="1292" spans="5:5" x14ac:dyDescent="0.25">
      <c r="E1292" s="80"/>
    </row>
    <row r="1293" spans="5:5" x14ac:dyDescent="0.25">
      <c r="E1293" s="80"/>
    </row>
    <row r="1294" spans="5:5" x14ac:dyDescent="0.25">
      <c r="E1294" s="80"/>
    </row>
    <row r="1295" spans="5:5" x14ac:dyDescent="0.25">
      <c r="E1295" s="80"/>
    </row>
    <row r="1296" spans="5:5" x14ac:dyDescent="0.25">
      <c r="E1296" s="80"/>
    </row>
    <row r="1297" spans="5:5" x14ac:dyDescent="0.25">
      <c r="E1297" s="80"/>
    </row>
    <row r="1298" spans="5:5" x14ac:dyDescent="0.25">
      <c r="E1298" s="80"/>
    </row>
    <row r="1299" spans="5:5" x14ac:dyDescent="0.25">
      <c r="E1299" s="80"/>
    </row>
    <row r="1300" spans="5:5" x14ac:dyDescent="0.25">
      <c r="E1300" s="80"/>
    </row>
    <row r="1301" spans="5:5" x14ac:dyDescent="0.25">
      <c r="E1301" s="80"/>
    </row>
    <row r="1302" spans="5:5" x14ac:dyDescent="0.25">
      <c r="E1302" s="80"/>
    </row>
    <row r="1303" spans="5:5" x14ac:dyDescent="0.25">
      <c r="E1303" s="80"/>
    </row>
    <row r="1304" spans="5:5" x14ac:dyDescent="0.25">
      <c r="E1304" s="80"/>
    </row>
    <row r="1305" spans="5:5" x14ac:dyDescent="0.25">
      <c r="E1305" s="80"/>
    </row>
    <row r="1306" spans="5:5" x14ac:dyDescent="0.25">
      <c r="E1306" s="80"/>
    </row>
    <row r="1307" spans="5:5" x14ac:dyDescent="0.25">
      <c r="E1307" s="80"/>
    </row>
    <row r="1308" spans="5:5" x14ac:dyDescent="0.25">
      <c r="E1308" s="80"/>
    </row>
    <row r="1309" spans="5:5" x14ac:dyDescent="0.25">
      <c r="E1309" s="80"/>
    </row>
    <row r="1310" spans="5:5" x14ac:dyDescent="0.25">
      <c r="E1310" s="80"/>
    </row>
    <row r="1311" spans="5:5" x14ac:dyDescent="0.25">
      <c r="E1311" s="80"/>
    </row>
    <row r="1312" spans="5:5" x14ac:dyDescent="0.25">
      <c r="E1312" s="80"/>
    </row>
    <row r="1313" spans="5:5" x14ac:dyDescent="0.25">
      <c r="E1313" s="80"/>
    </row>
    <row r="1314" spans="5:5" x14ac:dyDescent="0.25">
      <c r="E1314" s="80"/>
    </row>
    <row r="1315" spans="5:5" x14ac:dyDescent="0.25">
      <c r="E1315" s="80"/>
    </row>
    <row r="1316" spans="5:5" x14ac:dyDescent="0.25">
      <c r="E1316" s="80"/>
    </row>
    <row r="1317" spans="5:5" x14ac:dyDescent="0.25">
      <c r="E1317" s="80"/>
    </row>
    <row r="1318" spans="5:5" x14ac:dyDescent="0.25">
      <c r="E1318" s="80"/>
    </row>
    <row r="1319" spans="5:5" x14ac:dyDescent="0.25">
      <c r="E1319" s="80"/>
    </row>
    <row r="1320" spans="5:5" x14ac:dyDescent="0.25">
      <c r="E1320" s="80"/>
    </row>
    <row r="1321" spans="5:5" x14ac:dyDescent="0.25">
      <c r="E1321" s="80"/>
    </row>
    <row r="1322" spans="5:5" x14ac:dyDescent="0.25">
      <c r="E1322" s="80"/>
    </row>
    <row r="1323" spans="5:5" x14ac:dyDescent="0.25">
      <c r="E1323" s="80"/>
    </row>
    <row r="1324" spans="5:5" x14ac:dyDescent="0.25">
      <c r="E1324" s="80"/>
    </row>
    <row r="1325" spans="5:5" x14ac:dyDescent="0.25">
      <c r="E1325" s="80"/>
    </row>
    <row r="1326" spans="5:5" x14ac:dyDescent="0.25">
      <c r="E1326" s="80"/>
    </row>
    <row r="1327" spans="5:5" x14ac:dyDescent="0.25">
      <c r="E1327" s="80"/>
    </row>
    <row r="1328" spans="5:5" x14ac:dyDescent="0.25">
      <c r="E1328" s="80"/>
    </row>
    <row r="1329" spans="5:5" x14ac:dyDescent="0.25">
      <c r="E1329" s="80"/>
    </row>
    <row r="1330" spans="5:5" x14ac:dyDescent="0.25">
      <c r="E1330" s="80"/>
    </row>
    <row r="1331" spans="5:5" x14ac:dyDescent="0.25">
      <c r="E1331" s="80"/>
    </row>
    <row r="1332" spans="5:5" x14ac:dyDescent="0.25">
      <c r="E1332" s="80"/>
    </row>
    <row r="1333" spans="5:5" x14ac:dyDescent="0.25">
      <c r="E1333" s="80"/>
    </row>
    <row r="1334" spans="5:5" x14ac:dyDescent="0.25">
      <c r="E1334" s="80"/>
    </row>
    <row r="1335" spans="5:5" x14ac:dyDescent="0.25">
      <c r="E1335" s="80"/>
    </row>
    <row r="1336" spans="5:5" x14ac:dyDescent="0.25">
      <c r="E1336" s="80"/>
    </row>
    <row r="1337" spans="5:5" x14ac:dyDescent="0.25">
      <c r="E1337" s="80"/>
    </row>
    <row r="1338" spans="5:5" x14ac:dyDescent="0.25">
      <c r="E1338" s="80"/>
    </row>
    <row r="1339" spans="5:5" x14ac:dyDescent="0.25">
      <c r="E1339" s="80"/>
    </row>
    <row r="1340" spans="5:5" x14ac:dyDescent="0.25">
      <c r="E1340" s="80"/>
    </row>
    <row r="1341" spans="5:5" x14ac:dyDescent="0.25">
      <c r="E1341" s="80"/>
    </row>
    <row r="1342" spans="5:5" x14ac:dyDescent="0.25">
      <c r="E1342" s="80"/>
    </row>
    <row r="1343" spans="5:5" x14ac:dyDescent="0.25">
      <c r="E1343" s="80"/>
    </row>
    <row r="1344" spans="5:5" x14ac:dyDescent="0.25">
      <c r="E1344" s="80"/>
    </row>
    <row r="1345" spans="5:5" x14ac:dyDescent="0.25">
      <c r="E1345" s="80"/>
    </row>
    <row r="1346" spans="5:5" x14ac:dyDescent="0.25">
      <c r="E1346" s="80"/>
    </row>
    <row r="1347" spans="5:5" x14ac:dyDescent="0.25">
      <c r="E1347" s="80"/>
    </row>
    <row r="1348" spans="5:5" x14ac:dyDescent="0.25">
      <c r="E1348" s="80"/>
    </row>
    <row r="1349" spans="5:5" x14ac:dyDescent="0.25">
      <c r="E1349" s="80"/>
    </row>
    <row r="1350" spans="5:5" x14ac:dyDescent="0.25">
      <c r="E1350" s="80"/>
    </row>
    <row r="1351" spans="5:5" x14ac:dyDescent="0.25">
      <c r="E1351" s="80"/>
    </row>
    <row r="1352" spans="5:5" x14ac:dyDescent="0.25">
      <c r="E1352" s="80"/>
    </row>
    <row r="1353" spans="5:5" x14ac:dyDescent="0.25">
      <c r="E1353" s="80"/>
    </row>
    <row r="1354" spans="5:5" x14ac:dyDescent="0.25">
      <c r="E1354" s="80"/>
    </row>
    <row r="1355" spans="5:5" x14ac:dyDescent="0.25">
      <c r="E1355" s="80"/>
    </row>
    <row r="1356" spans="5:5" x14ac:dyDescent="0.25">
      <c r="E1356" s="80"/>
    </row>
    <row r="1357" spans="5:5" x14ac:dyDescent="0.25">
      <c r="E1357" s="80"/>
    </row>
    <row r="1358" spans="5:5" x14ac:dyDescent="0.25">
      <c r="E1358" s="80"/>
    </row>
    <row r="1359" spans="5:5" x14ac:dyDescent="0.25">
      <c r="E1359" s="80"/>
    </row>
    <row r="1360" spans="5:5" x14ac:dyDescent="0.25">
      <c r="E1360" s="80"/>
    </row>
    <row r="1361" spans="5:5" x14ac:dyDescent="0.25">
      <c r="E1361" s="80"/>
    </row>
    <row r="1362" spans="5:5" x14ac:dyDescent="0.25">
      <c r="E1362" s="80"/>
    </row>
    <row r="1363" spans="5:5" x14ac:dyDescent="0.25">
      <c r="E1363" s="80"/>
    </row>
    <row r="1364" spans="5:5" x14ac:dyDescent="0.25">
      <c r="E1364" s="80"/>
    </row>
    <row r="1365" spans="5:5" x14ac:dyDescent="0.25">
      <c r="E1365" s="80"/>
    </row>
    <row r="1366" spans="5:5" x14ac:dyDescent="0.25">
      <c r="E1366" s="80"/>
    </row>
    <row r="1367" spans="5:5" x14ac:dyDescent="0.25">
      <c r="E1367" s="80"/>
    </row>
    <row r="1368" spans="5:5" x14ac:dyDescent="0.25">
      <c r="E1368" s="80"/>
    </row>
    <row r="1369" spans="5:5" x14ac:dyDescent="0.25">
      <c r="E1369" s="80"/>
    </row>
    <row r="1370" spans="5:5" x14ac:dyDescent="0.25">
      <c r="E1370" s="80"/>
    </row>
    <row r="1371" spans="5:5" x14ac:dyDescent="0.25">
      <c r="E1371" s="80"/>
    </row>
    <row r="1372" spans="5:5" x14ac:dyDescent="0.25">
      <c r="E1372" s="80"/>
    </row>
    <row r="1373" spans="5:5" x14ac:dyDescent="0.25">
      <c r="E1373" s="80"/>
    </row>
    <row r="1374" spans="5:5" x14ac:dyDescent="0.25">
      <c r="E1374" s="80"/>
    </row>
    <row r="1375" spans="5:5" x14ac:dyDescent="0.25">
      <c r="E1375" s="80"/>
    </row>
    <row r="1376" spans="5:5" x14ac:dyDescent="0.25">
      <c r="E1376" s="80"/>
    </row>
    <row r="1377" spans="5:5" x14ac:dyDescent="0.25">
      <c r="E1377" s="80"/>
    </row>
    <row r="1378" spans="5:5" x14ac:dyDescent="0.25">
      <c r="E1378" s="80"/>
    </row>
    <row r="1379" spans="5:5" x14ac:dyDescent="0.25">
      <c r="E1379" s="80"/>
    </row>
    <row r="1380" spans="5:5" x14ac:dyDescent="0.25">
      <c r="E1380" s="80"/>
    </row>
    <row r="1381" spans="5:5" x14ac:dyDescent="0.25">
      <c r="E1381" s="80"/>
    </row>
    <row r="1382" spans="5:5" x14ac:dyDescent="0.25">
      <c r="E1382" s="80"/>
    </row>
    <row r="1383" spans="5:5" x14ac:dyDescent="0.25">
      <c r="E1383" s="80"/>
    </row>
    <row r="1384" spans="5:5" x14ac:dyDescent="0.25">
      <c r="E1384" s="80"/>
    </row>
    <row r="1385" spans="5:5" x14ac:dyDescent="0.25">
      <c r="E1385" s="80"/>
    </row>
    <row r="1386" spans="5:5" x14ac:dyDescent="0.25">
      <c r="E1386" s="80"/>
    </row>
    <row r="1387" spans="5:5" x14ac:dyDescent="0.25">
      <c r="E1387" s="80"/>
    </row>
    <row r="1388" spans="5:5" x14ac:dyDescent="0.25">
      <c r="E1388" s="80"/>
    </row>
    <row r="1389" spans="5:5" x14ac:dyDescent="0.25">
      <c r="E1389" s="80"/>
    </row>
    <row r="1390" spans="5:5" x14ac:dyDescent="0.25">
      <c r="E1390" s="80"/>
    </row>
    <row r="1391" spans="5:5" x14ac:dyDescent="0.25">
      <c r="E1391" s="80"/>
    </row>
    <row r="1392" spans="5:5" x14ac:dyDescent="0.25">
      <c r="E1392" s="80"/>
    </row>
    <row r="1393" spans="5:5" x14ac:dyDescent="0.25">
      <c r="E1393" s="80"/>
    </row>
    <row r="1394" spans="5:5" x14ac:dyDescent="0.25">
      <c r="E1394" s="80"/>
    </row>
    <row r="1395" spans="5:5" x14ac:dyDescent="0.25">
      <c r="E1395" s="80"/>
    </row>
    <row r="1396" spans="5:5" x14ac:dyDescent="0.25">
      <c r="E1396" s="80"/>
    </row>
    <row r="1397" spans="5:5" x14ac:dyDescent="0.25">
      <c r="E1397" s="80"/>
    </row>
    <row r="1398" spans="5:5" x14ac:dyDescent="0.25">
      <c r="E1398" s="80"/>
    </row>
    <row r="1399" spans="5:5" x14ac:dyDescent="0.25">
      <c r="E1399" s="80"/>
    </row>
    <row r="1400" spans="5:5" x14ac:dyDescent="0.25">
      <c r="E1400" s="80"/>
    </row>
    <row r="1401" spans="5:5" x14ac:dyDescent="0.25">
      <c r="E1401" s="80"/>
    </row>
    <row r="1402" spans="5:5" x14ac:dyDescent="0.25">
      <c r="E1402" s="80"/>
    </row>
    <row r="1403" spans="5:5" x14ac:dyDescent="0.25">
      <c r="E1403" s="80"/>
    </row>
    <row r="1404" spans="5:5" x14ac:dyDescent="0.25">
      <c r="E1404" s="80"/>
    </row>
    <row r="1405" spans="5:5" x14ac:dyDescent="0.25">
      <c r="E1405" s="80"/>
    </row>
    <row r="1406" spans="5:5" x14ac:dyDescent="0.25">
      <c r="E1406" s="80"/>
    </row>
    <row r="1407" spans="5:5" x14ac:dyDescent="0.25">
      <c r="E1407" s="80"/>
    </row>
    <row r="1408" spans="5:5" x14ac:dyDescent="0.25">
      <c r="E1408" s="80"/>
    </row>
    <row r="1409" spans="5:5" x14ac:dyDescent="0.25">
      <c r="E1409" s="80"/>
    </row>
    <row r="1410" spans="5:5" x14ac:dyDescent="0.25">
      <c r="E1410" s="80"/>
    </row>
    <row r="1411" spans="5:5" x14ac:dyDescent="0.25">
      <c r="E1411" s="80"/>
    </row>
    <row r="1412" spans="5:5" x14ac:dyDescent="0.25">
      <c r="E1412" s="80"/>
    </row>
    <row r="1413" spans="5:5" x14ac:dyDescent="0.25">
      <c r="E1413" s="80"/>
    </row>
    <row r="1414" spans="5:5" x14ac:dyDescent="0.25">
      <c r="E1414" s="80"/>
    </row>
    <row r="1415" spans="5:5" x14ac:dyDescent="0.25">
      <c r="E1415" s="80"/>
    </row>
    <row r="1416" spans="5:5" x14ac:dyDescent="0.25">
      <c r="E1416" s="80"/>
    </row>
    <row r="1417" spans="5:5" x14ac:dyDescent="0.25">
      <c r="E1417" s="80"/>
    </row>
    <row r="1418" spans="5:5" x14ac:dyDescent="0.25">
      <c r="E1418" s="80"/>
    </row>
    <row r="1419" spans="5:5" x14ac:dyDescent="0.25">
      <c r="E1419" s="80"/>
    </row>
    <row r="1420" spans="5:5" x14ac:dyDescent="0.25">
      <c r="E1420" s="80"/>
    </row>
    <row r="1421" spans="5:5" x14ac:dyDescent="0.25">
      <c r="E1421" s="80"/>
    </row>
    <row r="1422" spans="5:5" x14ac:dyDescent="0.25">
      <c r="E1422" s="80"/>
    </row>
    <row r="1423" spans="5:5" x14ac:dyDescent="0.25">
      <c r="E1423" s="80"/>
    </row>
    <row r="1424" spans="5:5" x14ac:dyDescent="0.25">
      <c r="E1424" s="80"/>
    </row>
    <row r="1425" spans="5:5" x14ac:dyDescent="0.25">
      <c r="E1425" s="80"/>
    </row>
    <row r="1426" spans="5:5" x14ac:dyDescent="0.25">
      <c r="E1426" s="80"/>
    </row>
    <row r="1427" spans="5:5" x14ac:dyDescent="0.25">
      <c r="E1427" s="80"/>
    </row>
    <row r="1428" spans="5:5" x14ac:dyDescent="0.25">
      <c r="E1428" s="80"/>
    </row>
    <row r="1429" spans="5:5" x14ac:dyDescent="0.25">
      <c r="E1429" s="80"/>
    </row>
    <row r="1430" spans="5:5" x14ac:dyDescent="0.25">
      <c r="E1430" s="80"/>
    </row>
    <row r="1431" spans="5:5" x14ac:dyDescent="0.25">
      <c r="E1431" s="80"/>
    </row>
    <row r="1432" spans="5:5" x14ac:dyDescent="0.25">
      <c r="E1432" s="80"/>
    </row>
    <row r="1433" spans="5:5" x14ac:dyDescent="0.25">
      <c r="E1433" s="80"/>
    </row>
    <row r="1434" spans="5:5" x14ac:dyDescent="0.25">
      <c r="E1434" s="80"/>
    </row>
    <row r="1435" spans="5:5" x14ac:dyDescent="0.25">
      <c r="E1435" s="80"/>
    </row>
    <row r="1436" spans="5:5" x14ac:dyDescent="0.25">
      <c r="E1436" s="80"/>
    </row>
    <row r="1437" spans="5:5" x14ac:dyDescent="0.25">
      <c r="E1437" s="80"/>
    </row>
    <row r="1438" spans="5:5" x14ac:dyDescent="0.25">
      <c r="E1438" s="80"/>
    </row>
    <row r="1439" spans="5:5" x14ac:dyDescent="0.25">
      <c r="E1439" s="80"/>
    </row>
    <row r="1440" spans="5:5" x14ac:dyDescent="0.25">
      <c r="E1440" s="80"/>
    </row>
    <row r="1441" spans="5:5" x14ac:dyDescent="0.25">
      <c r="E1441" s="80"/>
    </row>
    <row r="1442" spans="5:5" x14ac:dyDescent="0.25">
      <c r="E1442" s="80"/>
    </row>
    <row r="1443" spans="5:5" x14ac:dyDescent="0.25">
      <c r="E1443" s="80"/>
    </row>
    <row r="1444" spans="5:5" x14ac:dyDescent="0.25">
      <c r="E1444" s="80"/>
    </row>
    <row r="1445" spans="5:5" x14ac:dyDescent="0.25">
      <c r="E1445" s="80"/>
    </row>
    <row r="1446" spans="5:5" x14ac:dyDescent="0.25">
      <c r="E1446" s="80"/>
    </row>
    <row r="1447" spans="5:5" x14ac:dyDescent="0.25">
      <c r="E1447" s="80"/>
    </row>
    <row r="1448" spans="5:5" x14ac:dyDescent="0.25">
      <c r="E1448" s="80"/>
    </row>
    <row r="1449" spans="5:5" x14ac:dyDescent="0.25">
      <c r="E1449" s="80"/>
    </row>
    <row r="1450" spans="5:5" x14ac:dyDescent="0.25">
      <c r="E1450" s="80"/>
    </row>
    <row r="1451" spans="5:5" x14ac:dyDescent="0.25">
      <c r="E1451" s="80"/>
    </row>
    <row r="1452" spans="5:5" x14ac:dyDescent="0.25">
      <c r="E1452" s="80"/>
    </row>
    <row r="1453" spans="5:5" x14ac:dyDescent="0.25">
      <c r="E1453" s="80"/>
    </row>
    <row r="1454" spans="5:5" x14ac:dyDescent="0.25">
      <c r="E1454" s="80"/>
    </row>
    <row r="1455" spans="5:5" x14ac:dyDescent="0.25">
      <c r="E1455" s="80"/>
    </row>
    <row r="1456" spans="5:5" x14ac:dyDescent="0.25">
      <c r="E1456" s="80"/>
    </row>
    <row r="1457" spans="5:5" x14ac:dyDescent="0.25">
      <c r="E1457" s="80"/>
    </row>
    <row r="1458" spans="5:5" x14ac:dyDescent="0.25">
      <c r="E1458" s="80"/>
    </row>
    <row r="1459" spans="5:5" x14ac:dyDescent="0.25">
      <c r="E1459" s="80"/>
    </row>
    <row r="1460" spans="5:5" x14ac:dyDescent="0.25">
      <c r="E1460" s="80"/>
    </row>
    <row r="1461" spans="5:5" x14ac:dyDescent="0.25">
      <c r="E1461" s="80"/>
    </row>
    <row r="1462" spans="5:5" x14ac:dyDescent="0.25">
      <c r="E1462" s="80"/>
    </row>
    <row r="1463" spans="5:5" x14ac:dyDescent="0.25">
      <c r="E1463" s="80"/>
    </row>
    <row r="1464" spans="5:5" x14ac:dyDescent="0.25">
      <c r="E1464" s="80"/>
    </row>
    <row r="1465" spans="5:5" x14ac:dyDescent="0.25">
      <c r="E1465" s="80"/>
    </row>
    <row r="1466" spans="5:5" x14ac:dyDescent="0.25">
      <c r="E1466" s="80"/>
    </row>
    <row r="1467" spans="5:5" x14ac:dyDescent="0.25">
      <c r="E1467" s="80"/>
    </row>
    <row r="1468" spans="5:5" x14ac:dyDescent="0.25">
      <c r="E1468" s="80"/>
    </row>
    <row r="1469" spans="5:5" x14ac:dyDescent="0.25">
      <c r="E1469" s="80"/>
    </row>
    <row r="1470" spans="5:5" x14ac:dyDescent="0.25">
      <c r="E1470" s="80"/>
    </row>
    <row r="1471" spans="5:5" x14ac:dyDescent="0.25">
      <c r="E1471" s="80"/>
    </row>
    <row r="1472" spans="5:5" x14ac:dyDescent="0.25">
      <c r="E1472" s="80"/>
    </row>
    <row r="1473" spans="5:5" x14ac:dyDescent="0.25">
      <c r="E1473" s="80"/>
    </row>
    <row r="1474" spans="5:5" x14ac:dyDescent="0.25">
      <c r="E1474" s="80"/>
    </row>
    <row r="1475" spans="5:5" x14ac:dyDescent="0.25">
      <c r="E1475" s="80"/>
    </row>
    <row r="1476" spans="5:5" x14ac:dyDescent="0.25">
      <c r="E1476" s="80"/>
    </row>
    <row r="1477" spans="5:5" x14ac:dyDescent="0.25">
      <c r="E1477" s="80"/>
    </row>
    <row r="1478" spans="5:5" x14ac:dyDescent="0.25">
      <c r="E1478" s="80"/>
    </row>
    <row r="1479" spans="5:5" x14ac:dyDescent="0.25">
      <c r="E1479" s="80"/>
    </row>
    <row r="1480" spans="5:5" x14ac:dyDescent="0.25">
      <c r="E1480" s="80"/>
    </row>
    <row r="1481" spans="5:5" x14ac:dyDescent="0.25">
      <c r="E1481" s="80"/>
    </row>
    <row r="1482" spans="5:5" x14ac:dyDescent="0.25">
      <c r="E1482" s="80"/>
    </row>
    <row r="1483" spans="5:5" x14ac:dyDescent="0.25">
      <c r="E1483" s="80"/>
    </row>
    <row r="1484" spans="5:5" x14ac:dyDescent="0.25">
      <c r="E1484" s="80"/>
    </row>
    <row r="1485" spans="5:5" x14ac:dyDescent="0.25">
      <c r="E1485" s="80"/>
    </row>
    <row r="1486" spans="5:5" x14ac:dyDescent="0.25">
      <c r="E1486" s="80"/>
    </row>
    <row r="1487" spans="5:5" x14ac:dyDescent="0.25">
      <c r="E1487" s="80"/>
    </row>
    <row r="1488" spans="5:5" x14ac:dyDescent="0.25">
      <c r="E1488" s="80"/>
    </row>
    <row r="1489" spans="5:5" x14ac:dyDescent="0.25">
      <c r="E1489" s="80"/>
    </row>
    <row r="1490" spans="5:5" x14ac:dyDescent="0.25">
      <c r="E1490" s="80"/>
    </row>
    <row r="1491" spans="5:5" x14ac:dyDescent="0.25">
      <c r="E1491" s="80"/>
    </row>
    <row r="1492" spans="5:5" x14ac:dyDescent="0.25">
      <c r="E1492" s="80"/>
    </row>
    <row r="1493" spans="5:5" x14ac:dyDescent="0.25">
      <c r="E1493" s="80"/>
    </row>
    <row r="1494" spans="5:5" x14ac:dyDescent="0.25">
      <c r="E1494" s="80"/>
    </row>
    <row r="1495" spans="5:5" x14ac:dyDescent="0.25">
      <c r="E1495" s="80"/>
    </row>
    <row r="1496" spans="5:5" x14ac:dyDescent="0.25">
      <c r="E1496" s="80"/>
    </row>
    <row r="1497" spans="5:5" x14ac:dyDescent="0.25">
      <c r="E1497" s="80"/>
    </row>
    <row r="1498" spans="5:5" x14ac:dyDescent="0.25">
      <c r="E1498" s="80"/>
    </row>
    <row r="1499" spans="5:5" x14ac:dyDescent="0.25">
      <c r="E1499" s="80"/>
    </row>
    <row r="1500" spans="5:5" x14ac:dyDescent="0.25">
      <c r="E1500" s="80"/>
    </row>
    <row r="1501" spans="5:5" x14ac:dyDescent="0.25">
      <c r="E1501" s="80"/>
    </row>
    <row r="1502" spans="5:5" x14ac:dyDescent="0.25">
      <c r="E1502" s="80"/>
    </row>
    <row r="1503" spans="5:5" x14ac:dyDescent="0.25">
      <c r="E1503" s="80"/>
    </row>
    <row r="1504" spans="5:5" x14ac:dyDescent="0.25">
      <c r="E1504" s="80"/>
    </row>
    <row r="1505" spans="5:5" x14ac:dyDescent="0.25">
      <c r="E1505" s="80"/>
    </row>
    <row r="1506" spans="5:5" x14ac:dyDescent="0.25">
      <c r="E1506" s="80"/>
    </row>
    <row r="1507" spans="5:5" x14ac:dyDescent="0.25">
      <c r="E1507" s="80"/>
    </row>
    <row r="1508" spans="5:5" x14ac:dyDescent="0.25">
      <c r="E1508" s="80"/>
    </row>
    <row r="1509" spans="5:5" x14ac:dyDescent="0.25">
      <c r="E1509" s="80"/>
    </row>
    <row r="1510" spans="5:5" x14ac:dyDescent="0.25">
      <c r="E1510" s="80"/>
    </row>
    <row r="1511" spans="5:5" x14ac:dyDescent="0.25">
      <c r="E1511" s="80"/>
    </row>
    <row r="1512" spans="5:5" x14ac:dyDescent="0.25">
      <c r="E1512" s="80"/>
    </row>
    <row r="1513" spans="5:5" x14ac:dyDescent="0.25">
      <c r="E1513" s="80"/>
    </row>
    <row r="1514" spans="5:5" x14ac:dyDescent="0.25">
      <c r="E1514" s="80"/>
    </row>
    <row r="1515" spans="5:5" x14ac:dyDescent="0.25">
      <c r="E1515" s="80"/>
    </row>
    <row r="1516" spans="5:5" x14ac:dyDescent="0.25">
      <c r="E1516" s="80"/>
    </row>
    <row r="1517" spans="5:5" x14ac:dyDescent="0.25">
      <c r="E1517" s="80"/>
    </row>
    <row r="1518" spans="5:5" x14ac:dyDescent="0.25">
      <c r="E1518" s="80"/>
    </row>
    <row r="1519" spans="5:5" x14ac:dyDescent="0.25">
      <c r="E1519" s="80"/>
    </row>
    <row r="1520" spans="5:5" x14ac:dyDescent="0.25">
      <c r="E1520" s="80"/>
    </row>
    <row r="1521" spans="5:5" x14ac:dyDescent="0.25">
      <c r="E1521" s="80"/>
    </row>
    <row r="1522" spans="5:5" x14ac:dyDescent="0.25">
      <c r="E1522" s="80"/>
    </row>
    <row r="1523" spans="5:5" x14ac:dyDescent="0.25">
      <c r="E1523" s="80"/>
    </row>
    <row r="1524" spans="5:5" x14ac:dyDescent="0.25">
      <c r="E1524" s="80"/>
    </row>
    <row r="1525" spans="5:5" x14ac:dyDescent="0.25">
      <c r="E1525" s="80"/>
    </row>
    <row r="1526" spans="5:5" x14ac:dyDescent="0.25">
      <c r="E1526" s="80"/>
    </row>
    <row r="1527" spans="5:5" x14ac:dyDescent="0.25">
      <c r="E1527" s="80"/>
    </row>
    <row r="1528" spans="5:5" x14ac:dyDescent="0.25">
      <c r="E1528" s="80"/>
    </row>
    <row r="1529" spans="5:5" x14ac:dyDescent="0.25">
      <c r="E1529" s="80"/>
    </row>
    <row r="1530" spans="5:5" x14ac:dyDescent="0.25">
      <c r="E1530" s="80"/>
    </row>
    <row r="1531" spans="5:5" x14ac:dyDescent="0.25">
      <c r="E1531" s="80"/>
    </row>
    <row r="1532" spans="5:5" x14ac:dyDescent="0.25">
      <c r="E1532" s="80"/>
    </row>
    <row r="1533" spans="5:5" x14ac:dyDescent="0.25">
      <c r="E1533" s="80"/>
    </row>
    <row r="1534" spans="5:5" x14ac:dyDescent="0.25">
      <c r="E1534" s="80"/>
    </row>
    <row r="1535" spans="5:5" x14ac:dyDescent="0.25">
      <c r="E1535" s="80"/>
    </row>
    <row r="1536" spans="5:5" x14ac:dyDescent="0.25">
      <c r="E1536" s="80"/>
    </row>
    <row r="1537" spans="5:5" x14ac:dyDescent="0.25">
      <c r="E1537" s="80"/>
    </row>
    <row r="1538" spans="5:5" x14ac:dyDescent="0.25">
      <c r="E1538" s="80"/>
    </row>
    <row r="1539" spans="5:5" x14ac:dyDescent="0.25">
      <c r="E1539" s="80"/>
    </row>
    <row r="1540" spans="5:5" x14ac:dyDescent="0.25">
      <c r="E1540" s="80"/>
    </row>
    <row r="1541" spans="5:5" x14ac:dyDescent="0.25">
      <c r="E1541" s="80"/>
    </row>
    <row r="1542" spans="5:5" x14ac:dyDescent="0.25">
      <c r="E1542" s="80"/>
    </row>
    <row r="1543" spans="5:5" x14ac:dyDescent="0.25">
      <c r="E1543" s="80"/>
    </row>
    <row r="1544" spans="5:5" x14ac:dyDescent="0.25">
      <c r="E1544" s="80"/>
    </row>
    <row r="1545" spans="5:5" x14ac:dyDescent="0.25">
      <c r="E1545" s="80"/>
    </row>
    <row r="1546" spans="5:5" x14ac:dyDescent="0.25">
      <c r="E1546" s="80"/>
    </row>
    <row r="1547" spans="5:5" x14ac:dyDescent="0.25">
      <c r="E1547" s="80"/>
    </row>
    <row r="1548" spans="5:5" x14ac:dyDescent="0.25">
      <c r="E1548" s="80"/>
    </row>
    <row r="1549" spans="5:5" x14ac:dyDescent="0.25">
      <c r="E1549" s="80"/>
    </row>
    <row r="1550" spans="5:5" x14ac:dyDescent="0.25">
      <c r="E1550" s="80"/>
    </row>
    <row r="1551" spans="5:5" x14ac:dyDescent="0.25">
      <c r="E1551" s="80"/>
    </row>
    <row r="1552" spans="5:5" x14ac:dyDescent="0.25">
      <c r="E1552" s="80"/>
    </row>
    <row r="1553" spans="5:5" x14ac:dyDescent="0.25">
      <c r="E1553" s="80"/>
    </row>
    <row r="1554" spans="5:5" x14ac:dyDescent="0.25">
      <c r="E1554" s="80"/>
    </row>
    <row r="1555" spans="5:5" x14ac:dyDescent="0.25">
      <c r="E1555" s="80"/>
    </row>
    <row r="1556" spans="5:5" x14ac:dyDescent="0.25">
      <c r="E1556" s="80"/>
    </row>
    <row r="1557" spans="5:5" x14ac:dyDescent="0.25">
      <c r="E1557" s="80"/>
    </row>
    <row r="1558" spans="5:5" x14ac:dyDescent="0.25">
      <c r="E1558" s="80"/>
    </row>
    <row r="1559" spans="5:5" x14ac:dyDescent="0.25">
      <c r="E1559" s="80"/>
    </row>
    <row r="1560" spans="5:5" x14ac:dyDescent="0.25">
      <c r="E1560" s="80"/>
    </row>
    <row r="1561" spans="5:5" x14ac:dyDescent="0.25">
      <c r="E1561" s="80"/>
    </row>
    <row r="1562" spans="5:5" x14ac:dyDescent="0.25">
      <c r="E1562" s="80"/>
    </row>
    <row r="1563" spans="5:5" x14ac:dyDescent="0.25">
      <c r="E1563" s="80"/>
    </row>
    <row r="1564" spans="5:5" x14ac:dyDescent="0.25">
      <c r="E1564" s="80"/>
    </row>
    <row r="1565" spans="5:5" x14ac:dyDescent="0.25">
      <c r="E1565" s="80"/>
    </row>
    <row r="1566" spans="5:5" x14ac:dyDescent="0.25">
      <c r="E1566" s="80"/>
    </row>
    <row r="1567" spans="5:5" x14ac:dyDescent="0.25">
      <c r="E1567" s="80"/>
    </row>
    <row r="1568" spans="5:5" x14ac:dyDescent="0.25">
      <c r="E1568" s="80"/>
    </row>
    <row r="1569" spans="5:5" x14ac:dyDescent="0.25">
      <c r="E1569" s="80"/>
    </row>
    <row r="1570" spans="5:5" x14ac:dyDescent="0.25">
      <c r="E1570" s="80"/>
    </row>
    <row r="1571" spans="5:5" x14ac:dyDescent="0.25">
      <c r="E1571" s="80"/>
    </row>
    <row r="1572" spans="5:5" x14ac:dyDescent="0.25">
      <c r="E1572" s="80"/>
    </row>
    <row r="1573" spans="5:5" x14ac:dyDescent="0.25">
      <c r="E1573" s="80"/>
    </row>
    <row r="1574" spans="5:5" x14ac:dyDescent="0.25">
      <c r="E1574" s="80"/>
    </row>
    <row r="1575" spans="5:5" x14ac:dyDescent="0.25">
      <c r="E1575" s="80"/>
    </row>
    <row r="1576" spans="5:5" x14ac:dyDescent="0.25">
      <c r="E1576" s="80"/>
    </row>
    <row r="1577" spans="5:5" x14ac:dyDescent="0.25">
      <c r="E1577" s="80"/>
    </row>
    <row r="1578" spans="5:5" x14ac:dyDescent="0.25">
      <c r="E1578" s="80"/>
    </row>
    <row r="1579" spans="5:5" x14ac:dyDescent="0.25">
      <c r="E1579" s="80"/>
    </row>
    <row r="1580" spans="5:5" x14ac:dyDescent="0.25">
      <c r="E1580" s="80"/>
    </row>
    <row r="1581" spans="5:5" x14ac:dyDescent="0.25">
      <c r="E1581" s="80"/>
    </row>
    <row r="1582" spans="5:5" x14ac:dyDescent="0.25">
      <c r="E1582" s="80"/>
    </row>
    <row r="1583" spans="5:5" x14ac:dyDescent="0.25">
      <c r="E1583" s="80"/>
    </row>
    <row r="1584" spans="5:5" x14ac:dyDescent="0.25">
      <c r="E1584" s="80"/>
    </row>
    <row r="1585" spans="5:5" x14ac:dyDescent="0.25">
      <c r="E1585" s="80"/>
    </row>
    <row r="1586" spans="5:5" x14ac:dyDescent="0.25">
      <c r="E1586" s="80"/>
    </row>
    <row r="1587" spans="5:5" x14ac:dyDescent="0.25">
      <c r="E1587" s="80"/>
    </row>
    <row r="1588" spans="5:5" x14ac:dyDescent="0.25">
      <c r="E1588" s="80"/>
    </row>
    <row r="1589" spans="5:5" x14ac:dyDescent="0.25">
      <c r="E1589" s="80"/>
    </row>
    <row r="1590" spans="5:5" x14ac:dyDescent="0.25">
      <c r="E1590" s="80"/>
    </row>
    <row r="1591" spans="5:5" x14ac:dyDescent="0.25">
      <c r="E1591" s="80"/>
    </row>
    <row r="1592" spans="5:5" x14ac:dyDescent="0.25">
      <c r="E1592" s="80"/>
    </row>
    <row r="1593" spans="5:5" x14ac:dyDescent="0.25">
      <c r="E1593" s="80"/>
    </row>
    <row r="1594" spans="5:5" x14ac:dyDescent="0.25">
      <c r="E1594" s="80"/>
    </row>
    <row r="1595" spans="5:5" x14ac:dyDescent="0.25">
      <c r="E1595" s="80"/>
    </row>
    <row r="1596" spans="5:5" x14ac:dyDescent="0.25">
      <c r="E1596" s="80"/>
    </row>
    <row r="1597" spans="5:5" x14ac:dyDescent="0.25">
      <c r="E1597" s="80"/>
    </row>
    <row r="1598" spans="5:5" x14ac:dyDescent="0.25">
      <c r="E1598" s="80"/>
    </row>
    <row r="1599" spans="5:5" x14ac:dyDescent="0.25">
      <c r="E1599" s="80"/>
    </row>
    <row r="1600" spans="5:5" x14ac:dyDescent="0.25">
      <c r="E1600" s="80"/>
    </row>
    <row r="1601" spans="5:5" x14ac:dyDescent="0.25">
      <c r="E1601" s="80"/>
    </row>
    <row r="1602" spans="5:5" x14ac:dyDescent="0.25">
      <c r="E1602" s="80"/>
    </row>
    <row r="1603" spans="5:5" x14ac:dyDescent="0.25">
      <c r="E1603" s="80"/>
    </row>
    <row r="1604" spans="5:5" x14ac:dyDescent="0.25">
      <c r="E1604" s="80"/>
    </row>
    <row r="1605" spans="5:5" x14ac:dyDescent="0.25">
      <c r="E1605" s="80"/>
    </row>
    <row r="1606" spans="5:5" x14ac:dyDescent="0.25">
      <c r="E1606" s="80"/>
    </row>
    <row r="1607" spans="5:5" x14ac:dyDescent="0.25">
      <c r="E1607" s="80"/>
    </row>
    <row r="1608" spans="5:5" x14ac:dyDescent="0.25">
      <c r="E1608" s="80"/>
    </row>
    <row r="1609" spans="5:5" x14ac:dyDescent="0.25">
      <c r="E1609" s="80"/>
    </row>
    <row r="1610" spans="5:5" x14ac:dyDescent="0.25">
      <c r="E1610" s="80"/>
    </row>
    <row r="1611" spans="5:5" x14ac:dyDescent="0.25">
      <c r="E1611" s="80"/>
    </row>
    <row r="1612" spans="5:5" x14ac:dyDescent="0.25">
      <c r="E1612" s="80"/>
    </row>
    <row r="1613" spans="5:5" x14ac:dyDescent="0.25">
      <c r="E1613" s="80"/>
    </row>
    <row r="1614" spans="5:5" x14ac:dyDescent="0.25">
      <c r="E1614" s="80"/>
    </row>
    <row r="1615" spans="5:5" x14ac:dyDescent="0.25">
      <c r="E1615" s="80"/>
    </row>
    <row r="1616" spans="5:5" x14ac:dyDescent="0.25">
      <c r="E1616" s="80"/>
    </row>
    <row r="1617" spans="5:5" x14ac:dyDescent="0.25">
      <c r="E1617" s="80"/>
    </row>
    <row r="1618" spans="5:5" x14ac:dyDescent="0.25">
      <c r="E1618" s="80"/>
    </row>
    <row r="1619" spans="5:5" x14ac:dyDescent="0.25">
      <c r="E1619" s="80"/>
    </row>
    <row r="1620" spans="5:5" x14ac:dyDescent="0.25">
      <c r="E1620" s="80"/>
    </row>
    <row r="1621" spans="5:5" x14ac:dyDescent="0.25">
      <c r="E1621" s="80"/>
    </row>
    <row r="1622" spans="5:5" x14ac:dyDescent="0.25">
      <c r="E1622" s="80"/>
    </row>
    <row r="1623" spans="5:5" x14ac:dyDescent="0.25">
      <c r="E1623" s="80"/>
    </row>
    <row r="1624" spans="5:5" x14ac:dyDescent="0.25">
      <c r="E1624" s="80"/>
    </row>
    <row r="1625" spans="5:5" x14ac:dyDescent="0.25">
      <c r="E1625" s="80"/>
    </row>
    <row r="1626" spans="5:5" x14ac:dyDescent="0.25">
      <c r="E1626" s="80"/>
    </row>
    <row r="1627" spans="5:5" x14ac:dyDescent="0.25">
      <c r="E1627" s="80"/>
    </row>
    <row r="1628" spans="5:5" x14ac:dyDescent="0.25">
      <c r="E1628" s="80"/>
    </row>
    <row r="1629" spans="5:5" x14ac:dyDescent="0.25">
      <c r="E1629" s="80"/>
    </row>
    <row r="1630" spans="5:5" x14ac:dyDescent="0.25">
      <c r="E1630" s="80"/>
    </row>
    <row r="1631" spans="5:5" x14ac:dyDescent="0.25">
      <c r="E1631" s="80"/>
    </row>
    <row r="1632" spans="5:5" x14ac:dyDescent="0.25">
      <c r="E1632" s="80"/>
    </row>
    <row r="1633" spans="5:5" x14ac:dyDescent="0.25">
      <c r="E1633" s="80"/>
    </row>
    <row r="1634" spans="5:5" x14ac:dyDescent="0.25">
      <c r="E1634" s="80"/>
    </row>
    <row r="1635" spans="5:5" x14ac:dyDescent="0.25">
      <c r="E1635" s="80"/>
    </row>
    <row r="1636" spans="5:5" x14ac:dyDescent="0.25">
      <c r="E1636" s="80"/>
    </row>
    <row r="1637" spans="5:5" x14ac:dyDescent="0.25">
      <c r="E1637" s="80"/>
    </row>
    <row r="1638" spans="5:5" x14ac:dyDescent="0.25">
      <c r="E1638" s="80"/>
    </row>
    <row r="1639" spans="5:5" x14ac:dyDescent="0.25">
      <c r="E1639" s="80"/>
    </row>
    <row r="1640" spans="5:5" x14ac:dyDescent="0.25">
      <c r="E1640" s="80"/>
    </row>
    <row r="1641" spans="5:5" x14ac:dyDescent="0.25">
      <c r="E1641" s="80"/>
    </row>
    <row r="1642" spans="5:5" x14ac:dyDescent="0.25">
      <c r="E1642" s="80"/>
    </row>
    <row r="1643" spans="5:5" x14ac:dyDescent="0.25">
      <c r="E1643" s="80"/>
    </row>
    <row r="1644" spans="5:5" x14ac:dyDescent="0.25">
      <c r="E1644" s="80"/>
    </row>
    <row r="1645" spans="5:5" x14ac:dyDescent="0.25">
      <c r="E1645" s="80"/>
    </row>
    <row r="1646" spans="5:5" x14ac:dyDescent="0.25">
      <c r="E1646" s="80"/>
    </row>
    <row r="1647" spans="5:5" x14ac:dyDescent="0.25">
      <c r="E1647" s="80"/>
    </row>
    <row r="1648" spans="5:5" x14ac:dyDescent="0.25">
      <c r="E1648" s="80"/>
    </row>
    <row r="1649" spans="5:5" x14ac:dyDescent="0.25">
      <c r="E1649" s="80"/>
    </row>
    <row r="1650" spans="5:5" x14ac:dyDescent="0.25">
      <c r="E1650" s="80"/>
    </row>
    <row r="1651" spans="5:5" x14ac:dyDescent="0.25">
      <c r="E1651" s="80"/>
    </row>
    <row r="1652" spans="5:5" x14ac:dyDescent="0.25">
      <c r="E1652" s="80"/>
    </row>
    <row r="1653" spans="5:5" x14ac:dyDescent="0.25">
      <c r="E1653" s="80"/>
    </row>
    <row r="1654" spans="5:5" x14ac:dyDescent="0.25">
      <c r="E1654" s="80"/>
    </row>
    <row r="1655" spans="5:5" x14ac:dyDescent="0.25">
      <c r="E1655" s="80"/>
    </row>
    <row r="1656" spans="5:5" x14ac:dyDescent="0.25">
      <c r="E1656" s="80"/>
    </row>
    <row r="1657" spans="5:5" x14ac:dyDescent="0.25">
      <c r="E1657" s="80"/>
    </row>
    <row r="1658" spans="5:5" x14ac:dyDescent="0.25">
      <c r="E1658" s="80"/>
    </row>
    <row r="1659" spans="5:5" x14ac:dyDescent="0.25">
      <c r="E1659" s="80"/>
    </row>
    <row r="1660" spans="5:5" x14ac:dyDescent="0.25">
      <c r="E1660" s="80"/>
    </row>
    <row r="1661" spans="5:5" x14ac:dyDescent="0.25">
      <c r="E1661" s="80"/>
    </row>
    <row r="1662" spans="5:5" x14ac:dyDescent="0.25">
      <c r="E1662" s="80"/>
    </row>
    <row r="1663" spans="5:5" x14ac:dyDescent="0.25">
      <c r="E1663" s="80"/>
    </row>
    <row r="1664" spans="5:5" x14ac:dyDescent="0.25">
      <c r="E1664" s="80"/>
    </row>
    <row r="1665" spans="5:5" x14ac:dyDescent="0.25">
      <c r="E1665" s="80"/>
    </row>
    <row r="1666" spans="5:5" x14ac:dyDescent="0.25">
      <c r="E1666" s="80"/>
    </row>
    <row r="1667" spans="5:5" x14ac:dyDescent="0.25">
      <c r="E1667" s="80"/>
    </row>
    <row r="1668" spans="5:5" x14ac:dyDescent="0.25">
      <c r="E1668" s="80"/>
    </row>
    <row r="1669" spans="5:5" x14ac:dyDescent="0.25">
      <c r="E1669" s="80"/>
    </row>
    <row r="1670" spans="5:5" x14ac:dyDescent="0.25">
      <c r="E1670" s="80"/>
    </row>
    <row r="1671" spans="5:5" x14ac:dyDescent="0.25">
      <c r="E1671" s="80"/>
    </row>
    <row r="1672" spans="5:5" x14ac:dyDescent="0.25">
      <c r="E1672" s="80"/>
    </row>
    <row r="1673" spans="5:5" x14ac:dyDescent="0.25">
      <c r="E1673" s="80"/>
    </row>
    <row r="1674" spans="5:5" x14ac:dyDescent="0.25">
      <c r="E1674" s="80"/>
    </row>
    <row r="1675" spans="5:5" x14ac:dyDescent="0.25">
      <c r="E1675" s="80"/>
    </row>
    <row r="1676" spans="5:5" x14ac:dyDescent="0.25">
      <c r="E1676" s="80"/>
    </row>
    <row r="1677" spans="5:5" x14ac:dyDescent="0.25">
      <c r="E1677" s="80"/>
    </row>
    <row r="1678" spans="5:5" x14ac:dyDescent="0.25">
      <c r="E1678" s="80"/>
    </row>
    <row r="1679" spans="5:5" x14ac:dyDescent="0.25">
      <c r="E1679" s="80"/>
    </row>
    <row r="1680" spans="5:5" x14ac:dyDescent="0.25">
      <c r="E1680" s="80"/>
    </row>
    <row r="1681" spans="5:5" x14ac:dyDescent="0.25">
      <c r="E1681" s="80"/>
    </row>
    <row r="1682" spans="5:5" x14ac:dyDescent="0.25">
      <c r="E1682" s="80"/>
    </row>
    <row r="1683" spans="5:5" x14ac:dyDescent="0.25">
      <c r="E1683" s="80"/>
    </row>
    <row r="1684" spans="5:5" x14ac:dyDescent="0.25">
      <c r="E1684" s="80"/>
    </row>
    <row r="1685" spans="5:5" x14ac:dyDescent="0.25">
      <c r="E1685" s="80"/>
    </row>
    <row r="1686" spans="5:5" x14ac:dyDescent="0.25">
      <c r="E1686" s="80"/>
    </row>
    <row r="1687" spans="5:5" x14ac:dyDescent="0.25">
      <c r="E1687" s="80"/>
    </row>
    <row r="1688" spans="5:5" x14ac:dyDescent="0.25">
      <c r="E1688" s="80"/>
    </row>
    <row r="1689" spans="5:5" x14ac:dyDescent="0.25">
      <c r="E1689" s="80"/>
    </row>
    <row r="1690" spans="5:5" x14ac:dyDescent="0.25">
      <c r="E1690" s="80"/>
    </row>
    <row r="1691" spans="5:5" x14ac:dyDescent="0.25">
      <c r="E1691" s="80"/>
    </row>
    <row r="1692" spans="5:5" x14ac:dyDescent="0.25">
      <c r="E1692" s="80"/>
    </row>
    <row r="1693" spans="5:5" x14ac:dyDescent="0.25">
      <c r="E1693" s="80"/>
    </row>
    <row r="1694" spans="5:5" x14ac:dyDescent="0.25">
      <c r="E1694" s="80"/>
    </row>
    <row r="1695" spans="5:5" x14ac:dyDescent="0.25">
      <c r="E1695" s="80"/>
    </row>
    <row r="1696" spans="5:5" x14ac:dyDescent="0.25">
      <c r="E1696" s="80"/>
    </row>
    <row r="1697" spans="5:5" x14ac:dyDescent="0.25">
      <c r="E1697" s="80"/>
    </row>
    <row r="1698" spans="5:5" x14ac:dyDescent="0.25">
      <c r="E1698" s="80"/>
    </row>
    <row r="1699" spans="5:5" x14ac:dyDescent="0.25">
      <c r="E1699" s="80"/>
    </row>
    <row r="1700" spans="5:5" x14ac:dyDescent="0.25">
      <c r="E1700" s="80"/>
    </row>
    <row r="1701" spans="5:5" x14ac:dyDescent="0.25">
      <c r="E1701" s="80"/>
    </row>
    <row r="1702" spans="5:5" x14ac:dyDescent="0.25">
      <c r="E1702" s="80"/>
    </row>
    <row r="1703" spans="5:5" x14ac:dyDescent="0.25">
      <c r="E1703" s="80"/>
    </row>
    <row r="1704" spans="5:5" x14ac:dyDescent="0.25">
      <c r="E1704" s="80"/>
    </row>
    <row r="1705" spans="5:5" x14ac:dyDescent="0.25">
      <c r="E1705" s="80"/>
    </row>
    <row r="1706" spans="5:5" x14ac:dyDescent="0.25">
      <c r="E1706" s="80"/>
    </row>
    <row r="1707" spans="5:5" x14ac:dyDescent="0.25">
      <c r="E1707" s="80"/>
    </row>
    <row r="1708" spans="5:5" x14ac:dyDescent="0.25">
      <c r="E1708" s="80"/>
    </row>
    <row r="1709" spans="5:5" x14ac:dyDescent="0.25">
      <c r="E1709" s="80"/>
    </row>
    <row r="1710" spans="5:5" x14ac:dyDescent="0.25">
      <c r="E1710" s="80"/>
    </row>
    <row r="1711" spans="5:5" x14ac:dyDescent="0.25">
      <c r="E1711" s="80"/>
    </row>
    <row r="1712" spans="5:5" x14ac:dyDescent="0.25">
      <c r="E1712" s="80"/>
    </row>
    <row r="1713" spans="5:5" x14ac:dyDescent="0.25">
      <c r="E1713" s="80"/>
    </row>
    <row r="1714" spans="5:5" x14ac:dyDescent="0.25">
      <c r="E1714" s="80"/>
    </row>
    <row r="1715" spans="5:5" x14ac:dyDescent="0.25">
      <c r="E1715" s="80"/>
    </row>
    <row r="1716" spans="5:5" x14ac:dyDescent="0.25">
      <c r="E1716" s="80"/>
    </row>
    <row r="1717" spans="5:5" x14ac:dyDescent="0.25">
      <c r="E1717" s="80"/>
    </row>
    <row r="1718" spans="5:5" x14ac:dyDescent="0.25">
      <c r="E1718" s="80"/>
    </row>
    <row r="1719" spans="5:5" x14ac:dyDescent="0.25">
      <c r="E1719" s="80"/>
    </row>
    <row r="1720" spans="5:5" x14ac:dyDescent="0.25">
      <c r="E1720" s="80"/>
    </row>
    <row r="1721" spans="5:5" x14ac:dyDescent="0.25">
      <c r="E1721" s="80"/>
    </row>
    <row r="1722" spans="5:5" x14ac:dyDescent="0.25">
      <c r="E1722" s="80"/>
    </row>
    <row r="1723" spans="5:5" x14ac:dyDescent="0.25">
      <c r="E1723" s="80"/>
    </row>
    <row r="1724" spans="5:5" x14ac:dyDescent="0.25">
      <c r="E1724" s="80"/>
    </row>
    <row r="1725" spans="5:5" x14ac:dyDescent="0.25">
      <c r="E1725" s="80"/>
    </row>
    <row r="1726" spans="5:5" x14ac:dyDescent="0.25">
      <c r="E1726" s="80"/>
    </row>
    <row r="1727" spans="5:5" x14ac:dyDescent="0.25">
      <c r="E1727" s="80"/>
    </row>
    <row r="1728" spans="5:5" x14ac:dyDescent="0.25">
      <c r="E1728" s="80"/>
    </row>
    <row r="1729" spans="5:5" x14ac:dyDescent="0.25">
      <c r="E1729" s="80"/>
    </row>
    <row r="1730" spans="5:5" x14ac:dyDescent="0.25">
      <c r="E1730" s="80"/>
    </row>
    <row r="1731" spans="5:5" x14ac:dyDescent="0.25">
      <c r="E1731" s="80"/>
    </row>
    <row r="1732" spans="5:5" x14ac:dyDescent="0.25">
      <c r="E1732" s="80"/>
    </row>
    <row r="1733" spans="5:5" x14ac:dyDescent="0.25">
      <c r="E1733" s="80"/>
    </row>
    <row r="1734" spans="5:5" x14ac:dyDescent="0.25">
      <c r="E1734" s="80"/>
    </row>
    <row r="1735" spans="5:5" x14ac:dyDescent="0.25">
      <c r="E1735" s="80"/>
    </row>
    <row r="1736" spans="5:5" x14ac:dyDescent="0.25">
      <c r="E1736" s="80"/>
    </row>
    <row r="1737" spans="5:5" x14ac:dyDescent="0.25">
      <c r="E1737" s="80"/>
    </row>
    <row r="1738" spans="5:5" x14ac:dyDescent="0.25">
      <c r="E1738" s="80"/>
    </row>
    <row r="1739" spans="5:5" x14ac:dyDescent="0.25">
      <c r="E1739" s="80"/>
    </row>
    <row r="1740" spans="5:5" x14ac:dyDescent="0.25">
      <c r="E1740" s="80"/>
    </row>
    <row r="1741" spans="5:5" x14ac:dyDescent="0.25">
      <c r="E1741" s="80"/>
    </row>
    <row r="1742" spans="5:5" x14ac:dyDescent="0.25">
      <c r="E1742" s="80"/>
    </row>
    <row r="1743" spans="5:5" x14ac:dyDescent="0.25">
      <c r="E1743" s="80"/>
    </row>
    <row r="1744" spans="5:5" x14ac:dyDescent="0.25">
      <c r="E1744" s="80"/>
    </row>
    <row r="1745" spans="5:5" x14ac:dyDescent="0.25">
      <c r="E1745" s="80"/>
    </row>
    <row r="1746" spans="5:5" x14ac:dyDescent="0.25">
      <c r="E1746" s="80"/>
    </row>
    <row r="1747" spans="5:5" x14ac:dyDescent="0.25">
      <c r="E1747" s="80"/>
    </row>
    <row r="1748" spans="5:5" x14ac:dyDescent="0.25">
      <c r="E1748" s="80"/>
    </row>
    <row r="1749" spans="5:5" x14ac:dyDescent="0.25">
      <c r="E1749" s="80"/>
    </row>
    <row r="1750" spans="5:5" x14ac:dyDescent="0.25">
      <c r="E1750" s="80"/>
    </row>
    <row r="1751" spans="5:5" x14ac:dyDescent="0.25">
      <c r="E1751" s="80"/>
    </row>
    <row r="1752" spans="5:5" x14ac:dyDescent="0.25">
      <c r="E1752" s="80"/>
    </row>
    <row r="1753" spans="5:5" x14ac:dyDescent="0.25">
      <c r="E1753" s="80"/>
    </row>
    <row r="1754" spans="5:5" x14ac:dyDescent="0.25">
      <c r="E1754" s="80"/>
    </row>
    <row r="1755" spans="5:5" x14ac:dyDescent="0.25">
      <c r="E1755" s="80"/>
    </row>
    <row r="1756" spans="5:5" x14ac:dyDescent="0.25">
      <c r="E1756" s="80"/>
    </row>
    <row r="1757" spans="5:5" x14ac:dyDescent="0.25">
      <c r="E1757" s="80"/>
    </row>
    <row r="1758" spans="5:5" x14ac:dyDescent="0.25">
      <c r="E1758" s="80"/>
    </row>
    <row r="1759" spans="5:5" x14ac:dyDescent="0.25">
      <c r="E1759" s="80"/>
    </row>
    <row r="1760" spans="5:5" x14ac:dyDescent="0.25">
      <c r="E1760" s="80"/>
    </row>
    <row r="1761" spans="5:5" x14ac:dyDescent="0.25">
      <c r="E1761" s="80"/>
    </row>
    <row r="1762" spans="5:5" x14ac:dyDescent="0.25">
      <c r="E1762" s="80"/>
    </row>
    <row r="1763" spans="5:5" x14ac:dyDescent="0.25">
      <c r="E1763" s="80"/>
    </row>
    <row r="1764" spans="5:5" x14ac:dyDescent="0.25">
      <c r="E1764" s="80"/>
    </row>
    <row r="1765" spans="5:5" x14ac:dyDescent="0.25">
      <c r="E1765" s="80"/>
    </row>
    <row r="1766" spans="5:5" x14ac:dyDescent="0.25">
      <c r="E1766" s="80"/>
    </row>
    <row r="1767" spans="5:5" x14ac:dyDescent="0.25">
      <c r="E1767" s="80"/>
    </row>
    <row r="1768" spans="5:5" x14ac:dyDescent="0.25">
      <c r="E1768" s="80"/>
    </row>
    <row r="1769" spans="5:5" x14ac:dyDescent="0.25">
      <c r="E1769" s="80"/>
    </row>
    <row r="1770" spans="5:5" x14ac:dyDescent="0.25">
      <c r="E1770" s="80"/>
    </row>
    <row r="1771" spans="5:5" x14ac:dyDescent="0.25">
      <c r="E1771" s="80"/>
    </row>
    <row r="1772" spans="5:5" x14ac:dyDescent="0.25">
      <c r="E1772" s="80"/>
    </row>
    <row r="1773" spans="5:5" x14ac:dyDescent="0.25">
      <c r="E1773" s="80"/>
    </row>
    <row r="1774" spans="5:5" x14ac:dyDescent="0.25">
      <c r="E1774" s="80"/>
    </row>
    <row r="1775" spans="5:5" x14ac:dyDescent="0.25">
      <c r="E1775" s="80"/>
    </row>
    <row r="1776" spans="5:5" x14ac:dyDescent="0.25">
      <c r="E1776" s="80"/>
    </row>
    <row r="1777" spans="5:5" x14ac:dyDescent="0.25">
      <c r="E1777" s="80"/>
    </row>
    <row r="1778" spans="5:5" x14ac:dyDescent="0.25">
      <c r="E1778" s="80"/>
    </row>
    <row r="1779" spans="5:5" x14ac:dyDescent="0.25">
      <c r="E1779" s="80"/>
    </row>
    <row r="1780" spans="5:5" x14ac:dyDescent="0.25">
      <c r="E1780" s="80"/>
    </row>
    <row r="1781" spans="5:5" x14ac:dyDescent="0.25">
      <c r="E1781" s="80"/>
    </row>
    <row r="1782" spans="5:5" x14ac:dyDescent="0.25">
      <c r="E1782" s="80"/>
    </row>
    <row r="1783" spans="5:5" x14ac:dyDescent="0.25">
      <c r="E1783" s="80"/>
    </row>
    <row r="1784" spans="5:5" x14ac:dyDescent="0.25">
      <c r="E1784" s="80"/>
    </row>
    <row r="1785" spans="5:5" x14ac:dyDescent="0.25">
      <c r="E1785" s="80"/>
    </row>
    <row r="1786" spans="5:5" x14ac:dyDescent="0.25">
      <c r="E1786" s="80"/>
    </row>
    <row r="1787" spans="5:5" x14ac:dyDescent="0.25">
      <c r="E1787" s="80"/>
    </row>
    <row r="1788" spans="5:5" x14ac:dyDescent="0.25">
      <c r="E1788" s="80"/>
    </row>
    <row r="1789" spans="5:5" x14ac:dyDescent="0.25">
      <c r="E1789" s="80"/>
    </row>
    <row r="1790" spans="5:5" x14ac:dyDescent="0.25">
      <c r="E1790" s="80"/>
    </row>
    <row r="1791" spans="5:5" x14ac:dyDescent="0.25">
      <c r="E1791" s="80"/>
    </row>
    <row r="1792" spans="5:5" x14ac:dyDescent="0.25">
      <c r="E1792" s="80"/>
    </row>
    <row r="1793" spans="5:5" x14ac:dyDescent="0.25">
      <c r="E1793" s="80"/>
    </row>
    <row r="1794" spans="5:5" x14ac:dyDescent="0.25">
      <c r="E1794" s="80"/>
    </row>
    <row r="1795" spans="5:5" x14ac:dyDescent="0.25">
      <c r="E1795" s="80"/>
    </row>
    <row r="1796" spans="5:5" x14ac:dyDescent="0.25">
      <c r="E1796" s="80"/>
    </row>
    <row r="1797" spans="5:5" x14ac:dyDescent="0.25">
      <c r="E1797" s="80"/>
    </row>
    <row r="1798" spans="5:5" x14ac:dyDescent="0.25">
      <c r="E1798" s="80"/>
    </row>
    <row r="1799" spans="5:5" x14ac:dyDescent="0.25">
      <c r="E1799" s="80"/>
    </row>
    <row r="1800" spans="5:5" x14ac:dyDescent="0.25">
      <c r="E1800" s="80"/>
    </row>
    <row r="1801" spans="5:5" x14ac:dyDescent="0.25">
      <c r="E1801" s="80"/>
    </row>
    <row r="1802" spans="5:5" x14ac:dyDescent="0.25">
      <c r="E1802" s="80"/>
    </row>
    <row r="1803" spans="5:5" x14ac:dyDescent="0.25">
      <c r="E1803" s="80"/>
    </row>
    <row r="1804" spans="5:5" x14ac:dyDescent="0.25">
      <c r="E1804" s="80"/>
    </row>
    <row r="1805" spans="5:5" x14ac:dyDescent="0.25">
      <c r="E1805" s="80"/>
    </row>
    <row r="1806" spans="5:5" x14ac:dyDescent="0.25">
      <c r="E1806" s="80"/>
    </row>
    <row r="1807" spans="5:5" x14ac:dyDescent="0.25">
      <c r="E1807" s="80"/>
    </row>
    <row r="1808" spans="5:5" x14ac:dyDescent="0.25">
      <c r="E1808" s="80"/>
    </row>
    <row r="1809" spans="5:5" x14ac:dyDescent="0.25">
      <c r="E1809" s="80"/>
    </row>
    <row r="1810" spans="5:5" x14ac:dyDescent="0.25">
      <c r="E1810" s="80"/>
    </row>
    <row r="1811" spans="5:5" x14ac:dyDescent="0.25">
      <c r="E1811" s="80"/>
    </row>
    <row r="1812" spans="5:5" x14ac:dyDescent="0.25">
      <c r="E1812" s="80"/>
    </row>
    <row r="1813" spans="5:5" x14ac:dyDescent="0.25">
      <c r="E1813" s="80"/>
    </row>
    <row r="1814" spans="5:5" x14ac:dyDescent="0.25">
      <c r="E1814" s="80"/>
    </row>
    <row r="1815" spans="5:5" x14ac:dyDescent="0.25">
      <c r="E1815" s="80"/>
    </row>
    <row r="1816" spans="5:5" x14ac:dyDescent="0.25">
      <c r="E1816" s="80"/>
    </row>
    <row r="1817" spans="5:5" x14ac:dyDescent="0.25">
      <c r="E1817" s="80"/>
    </row>
    <row r="1818" spans="5:5" x14ac:dyDescent="0.25">
      <c r="E1818" s="80"/>
    </row>
    <row r="1819" spans="5:5" x14ac:dyDescent="0.25">
      <c r="E1819" s="80"/>
    </row>
    <row r="1820" spans="5:5" x14ac:dyDescent="0.25">
      <c r="E1820" s="80"/>
    </row>
    <row r="1821" spans="5:5" x14ac:dyDescent="0.25">
      <c r="E1821" s="80"/>
    </row>
    <row r="1822" spans="5:5" x14ac:dyDescent="0.25">
      <c r="E1822" s="80"/>
    </row>
    <row r="1823" spans="5:5" x14ac:dyDescent="0.25">
      <c r="E1823" s="80"/>
    </row>
    <row r="1824" spans="5:5" x14ac:dyDescent="0.25">
      <c r="E1824" s="80"/>
    </row>
    <row r="1825" spans="5:5" x14ac:dyDescent="0.25">
      <c r="E1825" s="80"/>
    </row>
    <row r="1826" spans="5:5" x14ac:dyDescent="0.25">
      <c r="E1826" s="80"/>
    </row>
    <row r="1827" spans="5:5" x14ac:dyDescent="0.25">
      <c r="E1827" s="80"/>
    </row>
    <row r="1828" spans="5:5" x14ac:dyDescent="0.25">
      <c r="E1828" s="80"/>
    </row>
    <row r="1829" spans="5:5" x14ac:dyDescent="0.25">
      <c r="E1829" s="80"/>
    </row>
    <row r="1830" spans="5:5" x14ac:dyDescent="0.25">
      <c r="E1830" s="80"/>
    </row>
    <row r="1831" spans="5:5" x14ac:dyDescent="0.25">
      <c r="E1831" s="80"/>
    </row>
    <row r="1832" spans="5:5" x14ac:dyDescent="0.25">
      <c r="E1832" s="80"/>
    </row>
    <row r="1833" spans="5:5" x14ac:dyDescent="0.25">
      <c r="E1833" s="80"/>
    </row>
    <row r="1834" spans="5:5" x14ac:dyDescent="0.25">
      <c r="E1834" s="80"/>
    </row>
    <row r="1835" spans="5:5" x14ac:dyDescent="0.25">
      <c r="E1835" s="80"/>
    </row>
    <row r="1836" spans="5:5" x14ac:dyDescent="0.25">
      <c r="E1836" s="80"/>
    </row>
    <row r="1837" spans="5:5" x14ac:dyDescent="0.25">
      <c r="E1837" s="80"/>
    </row>
    <row r="1838" spans="5:5" x14ac:dyDescent="0.25">
      <c r="E1838" s="80"/>
    </row>
    <row r="1839" spans="5:5" x14ac:dyDescent="0.25">
      <c r="E1839" s="80"/>
    </row>
    <row r="1840" spans="5:5" x14ac:dyDescent="0.25">
      <c r="E1840" s="80"/>
    </row>
    <row r="1841" spans="5:5" x14ac:dyDescent="0.25">
      <c r="E1841" s="80"/>
    </row>
    <row r="1842" spans="5:5" x14ac:dyDescent="0.25">
      <c r="E1842" s="80"/>
    </row>
    <row r="1843" spans="5:5" x14ac:dyDescent="0.25">
      <c r="E1843" s="80"/>
    </row>
    <row r="1844" spans="5:5" x14ac:dyDescent="0.25">
      <c r="E1844" s="80"/>
    </row>
    <row r="1845" spans="5:5" x14ac:dyDescent="0.25">
      <c r="E1845" s="80"/>
    </row>
    <row r="1846" spans="5:5" x14ac:dyDescent="0.25">
      <c r="E1846" s="80"/>
    </row>
    <row r="1847" spans="5:5" x14ac:dyDescent="0.25">
      <c r="E1847" s="80"/>
    </row>
    <row r="1848" spans="5:5" x14ac:dyDescent="0.25">
      <c r="E1848" s="80"/>
    </row>
    <row r="1849" spans="5:5" x14ac:dyDescent="0.25">
      <c r="E1849" s="80"/>
    </row>
    <row r="1850" spans="5:5" x14ac:dyDescent="0.25">
      <c r="E1850" s="80"/>
    </row>
    <row r="1851" spans="5:5" x14ac:dyDescent="0.25">
      <c r="E1851" s="80"/>
    </row>
    <row r="1852" spans="5:5" x14ac:dyDescent="0.25">
      <c r="E1852" s="80"/>
    </row>
    <row r="1853" spans="5:5" x14ac:dyDescent="0.25">
      <c r="E1853" s="80"/>
    </row>
    <row r="1854" spans="5:5" x14ac:dyDescent="0.25">
      <c r="E1854" s="80"/>
    </row>
    <row r="1855" spans="5:5" x14ac:dyDescent="0.25">
      <c r="E1855" s="80"/>
    </row>
    <row r="1856" spans="5:5" x14ac:dyDescent="0.25">
      <c r="E1856" s="80"/>
    </row>
    <row r="1857" spans="5:5" x14ac:dyDescent="0.25">
      <c r="E1857" s="80"/>
    </row>
    <row r="1858" spans="5:5" x14ac:dyDescent="0.25">
      <c r="E1858" s="80"/>
    </row>
    <row r="1859" spans="5:5" x14ac:dyDescent="0.25">
      <c r="E1859" s="80"/>
    </row>
    <row r="1860" spans="5:5" x14ac:dyDescent="0.25">
      <c r="E1860" s="80"/>
    </row>
    <row r="1861" spans="5:5" x14ac:dyDescent="0.25">
      <c r="E1861" s="80"/>
    </row>
    <row r="1862" spans="5:5" x14ac:dyDescent="0.25">
      <c r="E1862" s="80"/>
    </row>
    <row r="1863" spans="5:5" x14ac:dyDescent="0.25">
      <c r="E1863" s="80"/>
    </row>
    <row r="1864" spans="5:5" x14ac:dyDescent="0.25">
      <c r="E1864" s="80"/>
    </row>
    <row r="1865" spans="5:5" x14ac:dyDescent="0.25">
      <c r="E1865" s="80"/>
    </row>
    <row r="1866" spans="5:5" x14ac:dyDescent="0.25">
      <c r="E1866" s="80"/>
    </row>
    <row r="1867" spans="5:5" x14ac:dyDescent="0.25">
      <c r="E1867" s="80"/>
    </row>
    <row r="1868" spans="5:5" x14ac:dyDescent="0.25">
      <c r="E1868" s="80"/>
    </row>
    <row r="1869" spans="5:5" x14ac:dyDescent="0.25">
      <c r="E1869" s="80"/>
    </row>
    <row r="1870" spans="5:5" x14ac:dyDescent="0.25">
      <c r="E1870" s="80"/>
    </row>
    <row r="1871" spans="5:5" x14ac:dyDescent="0.25">
      <c r="E1871" s="80"/>
    </row>
    <row r="1872" spans="5:5" x14ac:dyDescent="0.25">
      <c r="E1872" s="80"/>
    </row>
    <row r="1873" spans="5:5" x14ac:dyDescent="0.25">
      <c r="E1873" s="80"/>
    </row>
    <row r="1874" spans="5:5" x14ac:dyDescent="0.25">
      <c r="E1874" s="80"/>
    </row>
    <row r="1875" spans="5:5" x14ac:dyDescent="0.25">
      <c r="E1875" s="80"/>
    </row>
    <row r="1876" spans="5:5" x14ac:dyDescent="0.25">
      <c r="E1876" s="80"/>
    </row>
    <row r="1877" spans="5:5" x14ac:dyDescent="0.25">
      <c r="E1877" s="80"/>
    </row>
    <row r="1878" spans="5:5" x14ac:dyDescent="0.25">
      <c r="E1878" s="80"/>
    </row>
    <row r="1879" spans="5:5" x14ac:dyDescent="0.25">
      <c r="E1879" s="80"/>
    </row>
    <row r="1880" spans="5:5" x14ac:dyDescent="0.25">
      <c r="E1880" s="80"/>
    </row>
    <row r="1881" spans="5:5" x14ac:dyDescent="0.25">
      <c r="E1881" s="80"/>
    </row>
    <row r="1882" spans="5:5" x14ac:dyDescent="0.25">
      <c r="E1882" s="80"/>
    </row>
    <row r="1883" spans="5:5" x14ac:dyDescent="0.25">
      <c r="E1883" s="80"/>
    </row>
    <row r="1884" spans="5:5" x14ac:dyDescent="0.25">
      <c r="E1884" s="80"/>
    </row>
    <row r="1885" spans="5:5" x14ac:dyDescent="0.25">
      <c r="E1885" s="80"/>
    </row>
    <row r="1886" spans="5:5" x14ac:dyDescent="0.25">
      <c r="E1886" s="80"/>
    </row>
    <row r="1887" spans="5:5" x14ac:dyDescent="0.25">
      <c r="E1887" s="80"/>
    </row>
    <row r="1888" spans="5:5" x14ac:dyDescent="0.25">
      <c r="E1888" s="80"/>
    </row>
    <row r="1889" spans="5:5" x14ac:dyDescent="0.25">
      <c r="E1889" s="80"/>
    </row>
    <row r="1890" spans="5:5" x14ac:dyDescent="0.25">
      <c r="E1890" s="80"/>
    </row>
    <row r="1891" spans="5:5" x14ac:dyDescent="0.25">
      <c r="E1891" s="80"/>
    </row>
    <row r="1892" spans="5:5" x14ac:dyDescent="0.25">
      <c r="E1892" s="80"/>
    </row>
    <row r="1893" spans="5:5" x14ac:dyDescent="0.25">
      <c r="E1893" s="80"/>
    </row>
    <row r="1894" spans="5:5" x14ac:dyDescent="0.25">
      <c r="E1894" s="80"/>
    </row>
    <row r="1895" spans="5:5" x14ac:dyDescent="0.25">
      <c r="E1895" s="80"/>
    </row>
    <row r="1896" spans="5:5" x14ac:dyDescent="0.25">
      <c r="E1896" s="80"/>
    </row>
    <row r="1897" spans="5:5" x14ac:dyDescent="0.25">
      <c r="E1897" s="80"/>
    </row>
    <row r="1898" spans="5:5" x14ac:dyDescent="0.25">
      <c r="E1898" s="80"/>
    </row>
    <row r="1899" spans="5:5" x14ac:dyDescent="0.25">
      <c r="E1899" s="80"/>
    </row>
    <row r="1900" spans="5:5" x14ac:dyDescent="0.25">
      <c r="E1900" s="80"/>
    </row>
    <row r="1901" spans="5:5" x14ac:dyDescent="0.25">
      <c r="E1901" s="80"/>
    </row>
    <row r="1902" spans="5:5" x14ac:dyDescent="0.25">
      <c r="E1902" s="80"/>
    </row>
    <row r="1903" spans="5:5" x14ac:dyDescent="0.25">
      <c r="E1903" s="80"/>
    </row>
    <row r="1904" spans="5:5" x14ac:dyDescent="0.25">
      <c r="E1904" s="80"/>
    </row>
    <row r="1905" spans="5:5" x14ac:dyDescent="0.25">
      <c r="E1905" s="80"/>
    </row>
    <row r="1906" spans="5:5" x14ac:dyDescent="0.25">
      <c r="E1906" s="80"/>
    </row>
    <row r="1907" spans="5:5" x14ac:dyDescent="0.25">
      <c r="E1907" s="80"/>
    </row>
    <row r="1908" spans="5:5" x14ac:dyDescent="0.25">
      <c r="E1908" s="80"/>
    </row>
    <row r="1909" spans="5:5" x14ac:dyDescent="0.25">
      <c r="E1909" s="80"/>
    </row>
    <row r="1910" spans="5:5" x14ac:dyDescent="0.25">
      <c r="E1910" s="80"/>
    </row>
    <row r="1911" spans="5:5" x14ac:dyDescent="0.25">
      <c r="E1911" s="80"/>
    </row>
    <row r="1912" spans="5:5" x14ac:dyDescent="0.25">
      <c r="E1912" s="80"/>
    </row>
    <row r="1913" spans="5:5" x14ac:dyDescent="0.25">
      <c r="E1913" s="80"/>
    </row>
    <row r="1914" spans="5:5" x14ac:dyDescent="0.25">
      <c r="E1914" s="80"/>
    </row>
    <row r="1915" spans="5:5" x14ac:dyDescent="0.25">
      <c r="E1915" s="80"/>
    </row>
    <row r="1916" spans="5:5" x14ac:dyDescent="0.25">
      <c r="E1916" s="80"/>
    </row>
    <row r="1917" spans="5:5" x14ac:dyDescent="0.25">
      <c r="E1917" s="80"/>
    </row>
    <row r="1918" spans="5:5" x14ac:dyDescent="0.25">
      <c r="E1918" s="80"/>
    </row>
    <row r="1919" spans="5:5" x14ac:dyDescent="0.25">
      <c r="E1919" s="80"/>
    </row>
    <row r="1920" spans="5:5" x14ac:dyDescent="0.25">
      <c r="E1920" s="80"/>
    </row>
    <row r="1921" spans="5:5" x14ac:dyDescent="0.25">
      <c r="E1921" s="80"/>
    </row>
    <row r="1922" spans="5:5" x14ac:dyDescent="0.25">
      <c r="E1922" s="80"/>
    </row>
    <row r="1923" spans="5:5" x14ac:dyDescent="0.25">
      <c r="E1923" s="80"/>
    </row>
    <row r="1924" spans="5:5" x14ac:dyDescent="0.25">
      <c r="E1924" s="80"/>
    </row>
    <row r="1925" spans="5:5" x14ac:dyDescent="0.25">
      <c r="E1925" s="80"/>
    </row>
    <row r="1926" spans="5:5" x14ac:dyDescent="0.25">
      <c r="E1926" s="80"/>
    </row>
    <row r="1927" spans="5:5" x14ac:dyDescent="0.25">
      <c r="E1927" s="80"/>
    </row>
    <row r="1928" spans="5:5" x14ac:dyDescent="0.25">
      <c r="E1928" s="80"/>
    </row>
    <row r="1929" spans="5:5" x14ac:dyDescent="0.25">
      <c r="E1929" s="80"/>
    </row>
    <row r="1930" spans="5:5" x14ac:dyDescent="0.25">
      <c r="E1930" s="80"/>
    </row>
    <row r="1931" spans="5:5" x14ac:dyDescent="0.25">
      <c r="E1931" s="80"/>
    </row>
    <row r="1932" spans="5:5" x14ac:dyDescent="0.25">
      <c r="E1932" s="80"/>
    </row>
    <row r="1933" spans="5:5" x14ac:dyDescent="0.25">
      <c r="E1933" s="80"/>
    </row>
    <row r="1934" spans="5:5" x14ac:dyDescent="0.25">
      <c r="E1934" s="80"/>
    </row>
    <row r="1935" spans="5:5" x14ac:dyDescent="0.25">
      <c r="E1935" s="80"/>
    </row>
    <row r="1936" spans="5:5" x14ac:dyDescent="0.25">
      <c r="E1936" s="80"/>
    </row>
    <row r="1937" spans="5:5" x14ac:dyDescent="0.25">
      <c r="E1937" s="80"/>
    </row>
    <row r="1938" spans="5:5" x14ac:dyDescent="0.25">
      <c r="E1938" s="80"/>
    </row>
    <row r="1939" spans="5:5" x14ac:dyDescent="0.25">
      <c r="E1939" s="80"/>
    </row>
    <row r="1940" spans="5:5" x14ac:dyDescent="0.25">
      <c r="E1940" s="80"/>
    </row>
    <row r="1941" spans="5:5" x14ac:dyDescent="0.25">
      <c r="E1941" s="80"/>
    </row>
    <row r="1942" spans="5:5" x14ac:dyDescent="0.25">
      <c r="E1942" s="80"/>
    </row>
    <row r="1943" spans="5:5" x14ac:dyDescent="0.25">
      <c r="E1943" s="80"/>
    </row>
    <row r="1944" spans="5:5" x14ac:dyDescent="0.25">
      <c r="E1944" s="80"/>
    </row>
    <row r="1945" spans="5:5" x14ac:dyDescent="0.25">
      <c r="E1945" s="80"/>
    </row>
    <row r="1946" spans="5:5" x14ac:dyDescent="0.25">
      <c r="E1946" s="80"/>
    </row>
    <row r="1947" spans="5:5" x14ac:dyDescent="0.25">
      <c r="E1947" s="80"/>
    </row>
    <row r="1948" spans="5:5" x14ac:dyDescent="0.25">
      <c r="E1948" s="80"/>
    </row>
    <row r="1949" spans="5:5" x14ac:dyDescent="0.25">
      <c r="E1949" s="80"/>
    </row>
    <row r="1950" spans="5:5" x14ac:dyDescent="0.25">
      <c r="E1950" s="80"/>
    </row>
    <row r="1951" spans="5:5" x14ac:dyDescent="0.25">
      <c r="E1951" s="80"/>
    </row>
    <row r="1952" spans="5:5" x14ac:dyDescent="0.25">
      <c r="E1952" s="80"/>
    </row>
    <row r="1953" spans="5:5" x14ac:dyDescent="0.25">
      <c r="E1953" s="80"/>
    </row>
    <row r="1954" spans="5:5" x14ac:dyDescent="0.25">
      <c r="E1954" s="80"/>
    </row>
    <row r="1955" spans="5:5" x14ac:dyDescent="0.25">
      <c r="E1955" s="80"/>
    </row>
    <row r="1956" spans="5:5" x14ac:dyDescent="0.25">
      <c r="E1956" s="80"/>
    </row>
    <row r="1957" spans="5:5" x14ac:dyDescent="0.25">
      <c r="E1957" s="80"/>
    </row>
    <row r="1958" spans="5:5" x14ac:dyDescent="0.25">
      <c r="E1958" s="80"/>
    </row>
    <row r="1959" spans="5:5" x14ac:dyDescent="0.25">
      <c r="E1959" s="80"/>
    </row>
    <row r="1960" spans="5:5" x14ac:dyDescent="0.25">
      <c r="E1960" s="80"/>
    </row>
    <row r="1961" spans="5:5" x14ac:dyDescent="0.25">
      <c r="E1961" s="80"/>
    </row>
    <row r="1962" spans="5:5" x14ac:dyDescent="0.25">
      <c r="E1962" s="80"/>
    </row>
    <row r="1963" spans="5:5" x14ac:dyDescent="0.25">
      <c r="E1963" s="80"/>
    </row>
    <row r="1964" spans="5:5" x14ac:dyDescent="0.25">
      <c r="E1964" s="80"/>
    </row>
    <row r="1965" spans="5:5" x14ac:dyDescent="0.25">
      <c r="E1965" s="80"/>
    </row>
    <row r="1966" spans="5:5" x14ac:dyDescent="0.25">
      <c r="E1966" s="80"/>
    </row>
    <row r="1967" spans="5:5" x14ac:dyDescent="0.25">
      <c r="E1967" s="80"/>
    </row>
    <row r="1968" spans="5:5" x14ac:dyDescent="0.25">
      <c r="E1968" s="80"/>
    </row>
    <row r="1969" spans="5:5" x14ac:dyDescent="0.25">
      <c r="E1969" s="80"/>
    </row>
    <row r="1970" spans="5:5" x14ac:dyDescent="0.25">
      <c r="E1970" s="80"/>
    </row>
    <row r="1971" spans="5:5" x14ac:dyDescent="0.25">
      <c r="E1971" s="80"/>
    </row>
    <row r="1972" spans="5:5" x14ac:dyDescent="0.25">
      <c r="E1972" s="80"/>
    </row>
    <row r="1973" spans="5:5" x14ac:dyDescent="0.25">
      <c r="E1973" s="80"/>
    </row>
    <row r="1974" spans="5:5" x14ac:dyDescent="0.25">
      <c r="E1974" s="80"/>
    </row>
    <row r="1975" spans="5:5" x14ac:dyDescent="0.25">
      <c r="E1975" s="80"/>
    </row>
    <row r="1976" spans="5:5" x14ac:dyDescent="0.25">
      <c r="E1976" s="80"/>
    </row>
    <row r="1977" spans="5:5" x14ac:dyDescent="0.25">
      <c r="E1977" s="80"/>
    </row>
    <row r="1978" spans="5:5" x14ac:dyDescent="0.25">
      <c r="E1978" s="80"/>
    </row>
    <row r="1979" spans="5:5" x14ac:dyDescent="0.25">
      <c r="E1979" s="80"/>
    </row>
    <row r="1980" spans="5:5" x14ac:dyDescent="0.25">
      <c r="E1980" s="80"/>
    </row>
    <row r="1981" spans="5:5" x14ac:dyDescent="0.25">
      <c r="E1981" s="80"/>
    </row>
    <row r="1982" spans="5:5" x14ac:dyDescent="0.25">
      <c r="E1982" s="80"/>
    </row>
    <row r="1983" spans="5:5" x14ac:dyDescent="0.25">
      <c r="E1983" s="80"/>
    </row>
    <row r="1984" spans="5:5" x14ac:dyDescent="0.25">
      <c r="E1984" s="80"/>
    </row>
    <row r="1985" spans="5:5" x14ac:dyDescent="0.25">
      <c r="E1985" s="80"/>
    </row>
    <row r="1986" spans="5:5" x14ac:dyDescent="0.25">
      <c r="E1986" s="80"/>
    </row>
    <row r="1987" spans="5:5" x14ac:dyDescent="0.25">
      <c r="E1987" s="80"/>
    </row>
    <row r="1988" spans="5:5" x14ac:dyDescent="0.25">
      <c r="E1988" s="80"/>
    </row>
    <row r="1989" spans="5:5" x14ac:dyDescent="0.25">
      <c r="E1989" s="80"/>
    </row>
    <row r="1990" spans="5:5" x14ac:dyDescent="0.25">
      <c r="E1990" s="80"/>
    </row>
    <row r="1991" spans="5:5" x14ac:dyDescent="0.25">
      <c r="E1991" s="80"/>
    </row>
    <row r="1992" spans="5:5" x14ac:dyDescent="0.25">
      <c r="E1992" s="80"/>
    </row>
    <row r="1993" spans="5:5" x14ac:dyDescent="0.25">
      <c r="E1993" s="80"/>
    </row>
    <row r="1994" spans="5:5" x14ac:dyDescent="0.25">
      <c r="E1994" s="80"/>
    </row>
    <row r="1995" spans="5:5" x14ac:dyDescent="0.25">
      <c r="E1995" s="80"/>
    </row>
    <row r="1996" spans="5:5" x14ac:dyDescent="0.25">
      <c r="E1996" s="80"/>
    </row>
    <row r="1997" spans="5:5" x14ac:dyDescent="0.25">
      <c r="E1997" s="80"/>
    </row>
    <row r="1998" spans="5:5" x14ac:dyDescent="0.25">
      <c r="E1998" s="80"/>
    </row>
    <row r="1999" spans="5:5" x14ac:dyDescent="0.25">
      <c r="E1999" s="80"/>
    </row>
    <row r="2000" spans="5:5" x14ac:dyDescent="0.25">
      <c r="E2000" s="80"/>
    </row>
    <row r="2001" spans="5:5" x14ac:dyDescent="0.25">
      <c r="E2001" s="80"/>
    </row>
    <row r="2002" spans="5:5" x14ac:dyDescent="0.25">
      <c r="E2002" s="80"/>
    </row>
    <row r="2003" spans="5:5" x14ac:dyDescent="0.25">
      <c r="E2003" s="80"/>
    </row>
    <row r="2004" spans="5:5" x14ac:dyDescent="0.25">
      <c r="E2004" s="80"/>
    </row>
    <row r="2005" spans="5:5" x14ac:dyDescent="0.25">
      <c r="E2005" s="80"/>
    </row>
    <row r="2006" spans="5:5" x14ac:dyDescent="0.25">
      <c r="E2006" s="80"/>
    </row>
    <row r="2007" spans="5:5" x14ac:dyDescent="0.25">
      <c r="E2007" s="80"/>
    </row>
    <row r="2008" spans="5:5" x14ac:dyDescent="0.25">
      <c r="E2008" s="80"/>
    </row>
    <row r="2009" spans="5:5" x14ac:dyDescent="0.25">
      <c r="E2009" s="80"/>
    </row>
    <row r="2010" spans="5:5" x14ac:dyDescent="0.25">
      <c r="E2010" s="80"/>
    </row>
    <row r="2011" spans="5:5" x14ac:dyDescent="0.25">
      <c r="E2011" s="80"/>
    </row>
    <row r="2012" spans="5:5" x14ac:dyDescent="0.25">
      <c r="E2012" s="80"/>
    </row>
    <row r="2013" spans="5:5" x14ac:dyDescent="0.25">
      <c r="E2013" s="80"/>
    </row>
    <row r="2014" spans="5:5" x14ac:dyDescent="0.25">
      <c r="E2014" s="80"/>
    </row>
    <row r="2015" spans="5:5" x14ac:dyDescent="0.25">
      <c r="E2015" s="80"/>
    </row>
    <row r="2016" spans="5:5" x14ac:dyDescent="0.25">
      <c r="E2016" s="80"/>
    </row>
    <row r="2017" spans="5:5" x14ac:dyDescent="0.25">
      <c r="E2017" s="80"/>
    </row>
    <row r="2018" spans="5:5" x14ac:dyDescent="0.25">
      <c r="E2018" s="80"/>
    </row>
    <row r="2019" spans="5:5" x14ac:dyDescent="0.25">
      <c r="E2019" s="80"/>
    </row>
    <row r="2020" spans="5:5" x14ac:dyDescent="0.25">
      <c r="E2020" s="80"/>
    </row>
    <row r="2021" spans="5:5" x14ac:dyDescent="0.25">
      <c r="E2021" s="80"/>
    </row>
    <row r="2022" spans="5:5" x14ac:dyDescent="0.25">
      <c r="E2022" s="80"/>
    </row>
    <row r="2023" spans="5:5" x14ac:dyDescent="0.25">
      <c r="E2023" s="80"/>
    </row>
    <row r="2024" spans="5:5" x14ac:dyDescent="0.25">
      <c r="E2024" s="80"/>
    </row>
    <row r="2025" spans="5:5" x14ac:dyDescent="0.25">
      <c r="E2025" s="80"/>
    </row>
    <row r="2026" spans="5:5" x14ac:dyDescent="0.25">
      <c r="E2026" s="80"/>
    </row>
    <row r="2027" spans="5:5" x14ac:dyDescent="0.25">
      <c r="E2027" s="80"/>
    </row>
    <row r="2028" spans="5:5" x14ac:dyDescent="0.25">
      <c r="E2028" s="80"/>
    </row>
    <row r="2029" spans="5:5" x14ac:dyDescent="0.25">
      <c r="E2029" s="80"/>
    </row>
    <row r="2030" spans="5:5" x14ac:dyDescent="0.25">
      <c r="E2030" s="80"/>
    </row>
    <row r="2031" spans="5:5" x14ac:dyDescent="0.25">
      <c r="E2031" s="80"/>
    </row>
    <row r="2032" spans="5:5" x14ac:dyDescent="0.25">
      <c r="E2032" s="80"/>
    </row>
    <row r="2033" spans="5:5" x14ac:dyDescent="0.25">
      <c r="E2033" s="80"/>
    </row>
    <row r="2034" spans="5:5" x14ac:dyDescent="0.25">
      <c r="E2034" s="80"/>
    </row>
    <row r="2035" spans="5:5" x14ac:dyDescent="0.25">
      <c r="E2035" s="80"/>
    </row>
    <row r="2036" spans="5:5" x14ac:dyDescent="0.25">
      <c r="E2036" s="80"/>
    </row>
    <row r="2037" spans="5:5" x14ac:dyDescent="0.25">
      <c r="E2037" s="80"/>
    </row>
    <row r="2038" spans="5:5" x14ac:dyDescent="0.25">
      <c r="E2038" s="80"/>
    </row>
    <row r="2039" spans="5:5" x14ac:dyDescent="0.25">
      <c r="E2039" s="80"/>
    </row>
    <row r="2040" spans="5:5" x14ac:dyDescent="0.25">
      <c r="E2040" s="80"/>
    </row>
    <row r="2041" spans="5:5" x14ac:dyDescent="0.25">
      <c r="E2041" s="80"/>
    </row>
    <row r="2042" spans="5:5" x14ac:dyDescent="0.25">
      <c r="E2042" s="80"/>
    </row>
    <row r="2043" spans="5:5" x14ac:dyDescent="0.25">
      <c r="E2043" s="80"/>
    </row>
    <row r="2044" spans="5:5" x14ac:dyDescent="0.25">
      <c r="E2044" s="80"/>
    </row>
    <row r="2045" spans="5:5" x14ac:dyDescent="0.25">
      <c r="E2045" s="80"/>
    </row>
    <row r="2046" spans="5:5" x14ac:dyDescent="0.25">
      <c r="E2046" s="80"/>
    </row>
    <row r="2047" spans="5:5" x14ac:dyDescent="0.25">
      <c r="E2047" s="80"/>
    </row>
    <row r="2048" spans="5:5" x14ac:dyDescent="0.25">
      <c r="E2048" s="80"/>
    </row>
    <row r="2049" spans="5:5" x14ac:dyDescent="0.25">
      <c r="E2049" s="80"/>
    </row>
    <row r="2050" spans="5:5" x14ac:dyDescent="0.25">
      <c r="E2050" s="80"/>
    </row>
    <row r="2051" spans="5:5" x14ac:dyDescent="0.25">
      <c r="E2051" s="80"/>
    </row>
    <row r="2052" spans="5:5" x14ac:dyDescent="0.25">
      <c r="E2052" s="80"/>
    </row>
    <row r="2053" spans="5:5" x14ac:dyDescent="0.25">
      <c r="E2053" s="80"/>
    </row>
    <row r="2054" spans="5:5" x14ac:dyDescent="0.25">
      <c r="E2054" s="80"/>
    </row>
    <row r="2055" spans="5:5" x14ac:dyDescent="0.25">
      <c r="E2055" s="80"/>
    </row>
    <row r="2056" spans="5:5" x14ac:dyDescent="0.25">
      <c r="E2056" s="80"/>
    </row>
    <row r="2057" spans="5:5" x14ac:dyDescent="0.25">
      <c r="E2057" s="80"/>
    </row>
    <row r="2058" spans="5:5" x14ac:dyDescent="0.25">
      <c r="E2058" s="80"/>
    </row>
    <row r="2059" spans="5:5" x14ac:dyDescent="0.25">
      <c r="E2059" s="80"/>
    </row>
    <row r="2060" spans="5:5" x14ac:dyDescent="0.25">
      <c r="E2060" s="80"/>
    </row>
    <row r="2061" spans="5:5" x14ac:dyDescent="0.25">
      <c r="E2061" s="80"/>
    </row>
    <row r="2062" spans="5:5" x14ac:dyDescent="0.25">
      <c r="E2062" s="80"/>
    </row>
    <row r="2063" spans="5:5" x14ac:dyDescent="0.25">
      <c r="E2063" s="80"/>
    </row>
    <row r="2064" spans="5:5" x14ac:dyDescent="0.25">
      <c r="E2064" s="80"/>
    </row>
    <row r="2065" spans="5:5" x14ac:dyDescent="0.25">
      <c r="E2065" s="80"/>
    </row>
    <row r="2066" spans="5:5" x14ac:dyDescent="0.25">
      <c r="E2066" s="80"/>
    </row>
    <row r="2067" spans="5:5" x14ac:dyDescent="0.25">
      <c r="E2067" s="80"/>
    </row>
    <row r="2068" spans="5:5" x14ac:dyDescent="0.25">
      <c r="E2068" s="80"/>
    </row>
    <row r="2069" spans="5:5" x14ac:dyDescent="0.25">
      <c r="E2069" s="80"/>
    </row>
    <row r="2070" spans="5:5" x14ac:dyDescent="0.25">
      <c r="E2070" s="80"/>
    </row>
    <row r="2071" spans="5:5" x14ac:dyDescent="0.25">
      <c r="E2071" s="80"/>
    </row>
    <row r="2072" spans="5:5" x14ac:dyDescent="0.25">
      <c r="E2072" s="80"/>
    </row>
    <row r="2073" spans="5:5" x14ac:dyDescent="0.25">
      <c r="E2073" s="80"/>
    </row>
    <row r="2074" spans="5:5" x14ac:dyDescent="0.25">
      <c r="E2074" s="80"/>
    </row>
    <row r="2075" spans="5:5" x14ac:dyDescent="0.25">
      <c r="E2075" s="80"/>
    </row>
    <row r="2076" spans="5:5" x14ac:dyDescent="0.25">
      <c r="E2076" s="80"/>
    </row>
    <row r="2077" spans="5:5" x14ac:dyDescent="0.25">
      <c r="E2077" s="80"/>
    </row>
    <row r="2078" spans="5:5" x14ac:dyDescent="0.25">
      <c r="E2078" s="80"/>
    </row>
    <row r="2079" spans="5:5" x14ac:dyDescent="0.25">
      <c r="E2079" s="80"/>
    </row>
    <row r="2080" spans="5:5" x14ac:dyDescent="0.25">
      <c r="E2080" s="80"/>
    </row>
    <row r="2081" spans="5:5" x14ac:dyDescent="0.25">
      <c r="E2081" s="80"/>
    </row>
    <row r="2082" spans="5:5" x14ac:dyDescent="0.25">
      <c r="E2082" s="80"/>
    </row>
    <row r="2083" spans="5:5" x14ac:dyDescent="0.25">
      <c r="E2083" s="80"/>
    </row>
    <row r="2084" spans="5:5" x14ac:dyDescent="0.25">
      <c r="E2084" s="80"/>
    </row>
    <row r="2085" spans="5:5" x14ac:dyDescent="0.25">
      <c r="E2085" s="80"/>
    </row>
    <row r="2086" spans="5:5" x14ac:dyDescent="0.25">
      <c r="E2086" s="80"/>
    </row>
    <row r="2087" spans="5:5" x14ac:dyDescent="0.25">
      <c r="E2087" s="80"/>
    </row>
    <row r="2088" spans="5:5" x14ac:dyDescent="0.25">
      <c r="E2088" s="80"/>
    </row>
    <row r="2089" spans="5:5" x14ac:dyDescent="0.25">
      <c r="E2089" s="80"/>
    </row>
    <row r="2090" spans="5:5" x14ac:dyDescent="0.25">
      <c r="E2090" s="80"/>
    </row>
    <row r="2091" spans="5:5" x14ac:dyDescent="0.25">
      <c r="E2091" s="80"/>
    </row>
    <row r="2092" spans="5:5" x14ac:dyDescent="0.25">
      <c r="E2092" s="80"/>
    </row>
    <row r="2093" spans="5:5" x14ac:dyDescent="0.25">
      <c r="E2093" s="80"/>
    </row>
    <row r="2094" spans="5:5" x14ac:dyDescent="0.25">
      <c r="E2094" s="80"/>
    </row>
    <row r="2095" spans="5:5" x14ac:dyDescent="0.25">
      <c r="E2095" s="80"/>
    </row>
    <row r="2096" spans="5:5" x14ac:dyDescent="0.25">
      <c r="E2096" s="80"/>
    </row>
    <row r="2097" spans="5:5" x14ac:dyDescent="0.25">
      <c r="E2097" s="80"/>
    </row>
    <row r="2098" spans="5:5" x14ac:dyDescent="0.25">
      <c r="E2098" s="80"/>
    </row>
    <row r="2099" spans="5:5" x14ac:dyDescent="0.25">
      <c r="E2099" s="80"/>
    </row>
    <row r="2100" spans="5:5" x14ac:dyDescent="0.25">
      <c r="E2100" s="80"/>
    </row>
    <row r="2101" spans="5:5" x14ac:dyDescent="0.25">
      <c r="E2101" s="80"/>
    </row>
    <row r="2102" spans="5:5" x14ac:dyDescent="0.25">
      <c r="E2102" s="80"/>
    </row>
    <row r="2103" spans="5:5" x14ac:dyDescent="0.25">
      <c r="E2103" s="80"/>
    </row>
    <row r="2104" spans="5:5" x14ac:dyDescent="0.25">
      <c r="E2104" s="80"/>
    </row>
    <row r="2105" spans="5:5" x14ac:dyDescent="0.25">
      <c r="E2105" s="80"/>
    </row>
    <row r="2106" spans="5:5" x14ac:dyDescent="0.25">
      <c r="E2106" s="80"/>
    </row>
    <row r="2107" spans="5:5" x14ac:dyDescent="0.25">
      <c r="E2107" s="80"/>
    </row>
    <row r="2108" spans="5:5" x14ac:dyDescent="0.25">
      <c r="E2108" s="80"/>
    </row>
    <row r="2109" spans="5:5" x14ac:dyDescent="0.25">
      <c r="E2109" s="80"/>
    </row>
    <row r="2110" spans="5:5" x14ac:dyDescent="0.25">
      <c r="E2110" s="80"/>
    </row>
    <row r="2111" spans="5:5" x14ac:dyDescent="0.25">
      <c r="E2111" s="80"/>
    </row>
    <row r="2112" spans="5:5" x14ac:dyDescent="0.25">
      <c r="E2112" s="80"/>
    </row>
    <row r="2113" spans="5:5" x14ac:dyDescent="0.25">
      <c r="E2113" s="80"/>
    </row>
    <row r="2114" spans="5:5" x14ac:dyDescent="0.25">
      <c r="E2114" s="80"/>
    </row>
    <row r="2115" spans="5:5" x14ac:dyDescent="0.25">
      <c r="E2115" s="80"/>
    </row>
    <row r="2116" spans="5:5" x14ac:dyDescent="0.25">
      <c r="E2116" s="80"/>
    </row>
    <row r="2117" spans="5:5" x14ac:dyDescent="0.25">
      <c r="E2117" s="80"/>
    </row>
    <row r="2118" spans="5:5" x14ac:dyDescent="0.25">
      <c r="E2118" s="80"/>
    </row>
    <row r="2119" spans="5:5" x14ac:dyDescent="0.25">
      <c r="E2119" s="80"/>
    </row>
    <row r="2120" spans="5:5" x14ac:dyDescent="0.25">
      <c r="E2120" s="80"/>
    </row>
    <row r="2121" spans="5:5" x14ac:dyDescent="0.25">
      <c r="E2121" s="80"/>
    </row>
    <row r="2122" spans="5:5" x14ac:dyDescent="0.25">
      <c r="E2122" s="80"/>
    </row>
    <row r="2123" spans="5:5" x14ac:dyDescent="0.25">
      <c r="E2123" s="80"/>
    </row>
    <row r="2124" spans="5:5" x14ac:dyDescent="0.25">
      <c r="E2124" s="80"/>
    </row>
    <row r="2125" spans="5:5" x14ac:dyDescent="0.25">
      <c r="E2125" s="80"/>
    </row>
    <row r="2126" spans="5:5" x14ac:dyDescent="0.25">
      <c r="E2126" s="80"/>
    </row>
    <row r="2127" spans="5:5" x14ac:dyDescent="0.25">
      <c r="E2127" s="80"/>
    </row>
    <row r="2128" spans="5:5" x14ac:dyDescent="0.25">
      <c r="E2128" s="80"/>
    </row>
    <row r="2129" spans="5:5" x14ac:dyDescent="0.25">
      <c r="E2129" s="80"/>
    </row>
    <row r="2130" spans="5:5" x14ac:dyDescent="0.25">
      <c r="E2130" s="80"/>
    </row>
    <row r="2131" spans="5:5" x14ac:dyDescent="0.25">
      <c r="E2131" s="80"/>
    </row>
    <row r="2132" spans="5:5" x14ac:dyDescent="0.25">
      <c r="E2132" s="80"/>
    </row>
    <row r="2133" spans="5:5" x14ac:dyDescent="0.25">
      <c r="E2133" s="80"/>
    </row>
    <row r="2134" spans="5:5" x14ac:dyDescent="0.25">
      <c r="E2134" s="80"/>
    </row>
    <row r="2135" spans="5:5" x14ac:dyDescent="0.25">
      <c r="E2135" s="80"/>
    </row>
    <row r="2136" spans="5:5" x14ac:dyDescent="0.25">
      <c r="E2136" s="80"/>
    </row>
    <row r="2137" spans="5:5" x14ac:dyDescent="0.25">
      <c r="E2137" s="80"/>
    </row>
    <row r="2141" spans="5:5" x14ac:dyDescent="0.25">
      <c r="E2141" s="62" t="s">
        <v>158</v>
      </c>
    </row>
    <row r="2193" spans="4:4" x14ac:dyDescent="0.25">
      <c r="D2193" s="62" t="s">
        <v>158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ABEC-B5E3-450B-977C-C9D47D871386}">
  <dimension ref="B1:CW359"/>
  <sheetViews>
    <sheetView showGridLines="0" tabSelected="1" zoomScale="70" zoomScaleNormal="70" workbookViewId="0">
      <pane xSplit="7" ySplit="11" topLeftCell="H12" activePane="bottomRight" state="frozen"/>
      <selection activeCell="J17" sqref="J17"/>
      <selection pane="topRight" activeCell="J17" sqref="J17"/>
      <selection pane="bottomLeft" activeCell="J17" sqref="J17"/>
      <selection pane="bottomRight" activeCell="J66" sqref="J66"/>
    </sheetView>
  </sheetViews>
  <sheetFormatPr defaultRowHeight="15" outlineLevelCol="1" x14ac:dyDescent="0.25"/>
  <cols>
    <col min="3" max="3" width="27.42578125" bestFit="1" customWidth="1"/>
    <col min="4" max="4" width="36" bestFit="1" customWidth="1"/>
    <col min="5" max="5" width="11.28515625" bestFit="1" customWidth="1"/>
    <col min="6" max="6" width="14.7109375" customWidth="1" outlineLevel="1"/>
    <col min="7" max="7" width="17" customWidth="1"/>
    <col min="8" max="8" width="16.85546875" customWidth="1"/>
    <col min="9" max="9" width="17.7109375" customWidth="1"/>
    <col min="10" max="13" width="9.140625" customWidth="1"/>
    <col min="14" max="14" width="13.140625" style="12" hidden="1" customWidth="1" outlineLevel="1" collapsed="1"/>
    <col min="15" max="16" width="12.85546875" style="12" hidden="1" customWidth="1" outlineLevel="1" collapsed="1"/>
    <col min="17" max="20" width="13.140625" style="12" hidden="1" customWidth="1" outlineLevel="1" collapsed="1"/>
    <col min="21" max="24" width="12.42578125" style="12" hidden="1" customWidth="1" outlineLevel="1" collapsed="1"/>
    <col min="25" max="25" width="13.140625" style="12" bestFit="1" customWidth="1" collapsed="1"/>
    <col min="26" max="26" width="14.28515625" style="12" bestFit="1" customWidth="1"/>
    <col min="27" max="27" width="12.85546875" style="12" bestFit="1" customWidth="1" collapsed="1"/>
    <col min="28" max="29" width="11" style="12" bestFit="1" customWidth="1" collapsed="1"/>
    <col min="30" max="30" width="12.42578125" style="12" bestFit="1" customWidth="1" collapsed="1"/>
    <col min="31" max="31" width="12.85546875" style="12" bestFit="1" customWidth="1" collapsed="1"/>
    <col min="32" max="33" width="11.42578125" style="12" bestFit="1" customWidth="1" collapsed="1"/>
    <col min="34" max="34" width="11.5703125" style="12" bestFit="1" customWidth="1" collapsed="1"/>
    <col min="35" max="35" width="12.42578125" style="12" bestFit="1" customWidth="1" collapsed="1"/>
    <col min="36" max="36" width="12.85546875" style="12" bestFit="1" customWidth="1" collapsed="1"/>
    <col min="37" max="37" width="12.42578125" style="12" bestFit="1" customWidth="1" collapsed="1"/>
    <col min="38" max="38" width="12.85546875" style="12" bestFit="1" customWidth="1" collapsed="1"/>
    <col min="39" max="39" width="12.42578125" style="12" bestFit="1" customWidth="1" collapsed="1"/>
    <col min="40" max="41" width="12.85546875" style="12" bestFit="1" customWidth="1" collapsed="1"/>
    <col min="42" max="42" width="12.42578125" style="12" bestFit="1" customWidth="1" collapsed="1"/>
    <col min="43" max="44" width="14.28515625" style="12" bestFit="1" customWidth="1" collapsed="1"/>
    <col min="45" max="45" width="14.5703125" style="12" bestFit="1" customWidth="1" collapsed="1"/>
    <col min="46" max="46" width="14.28515625" style="12" bestFit="1" customWidth="1" collapsed="1"/>
    <col min="47" max="47" width="14.5703125" style="12" bestFit="1" customWidth="1" collapsed="1"/>
    <col min="48" max="49" width="15" style="12" bestFit="1" customWidth="1" collapsed="1"/>
    <col min="50" max="53" width="14.5703125" style="12" bestFit="1" customWidth="1" collapsed="1"/>
    <col min="54" max="54" width="15" style="12" bestFit="1" customWidth="1" collapsed="1"/>
    <col min="55" max="55" width="14.5703125" style="12" bestFit="1" customWidth="1" collapsed="1"/>
    <col min="56" max="59" width="15" style="12" bestFit="1" customWidth="1" collapsed="1"/>
    <col min="60" max="60" width="14.28515625" style="12" bestFit="1" customWidth="1" collapsed="1"/>
    <col min="61" max="61" width="16" style="12" bestFit="1" customWidth="1" collapsed="1"/>
    <col min="62" max="63" width="15" style="12" bestFit="1" customWidth="1" collapsed="1"/>
    <col min="64" max="64" width="14.5703125" style="12" bestFit="1" customWidth="1" collapsed="1"/>
    <col min="65" max="65" width="15" style="12" bestFit="1" customWidth="1" collapsed="1"/>
    <col min="66" max="67" width="16" style="12" bestFit="1" customWidth="1" collapsed="1"/>
    <col min="68" max="69" width="14.5703125" style="12" bestFit="1" customWidth="1" collapsed="1"/>
    <col min="70" max="71" width="15" style="12" bestFit="1" customWidth="1" collapsed="1"/>
    <col min="72" max="72" width="15.7109375" style="12" bestFit="1" customWidth="1" collapsed="1"/>
    <col min="73" max="73" width="16" style="12" bestFit="1" customWidth="1" collapsed="1"/>
    <col min="74" max="74" width="15.7109375" style="12" bestFit="1" customWidth="1" collapsed="1"/>
    <col min="75" max="75" width="14.5703125" style="12" bestFit="1" customWidth="1" collapsed="1"/>
    <col min="76" max="76" width="15" style="12" bestFit="1" customWidth="1" collapsed="1"/>
    <col min="77" max="77" width="15.7109375" style="12" bestFit="1" customWidth="1" collapsed="1"/>
    <col min="78" max="78" width="16.7109375" style="12" bestFit="1" customWidth="1" collapsed="1"/>
    <col min="79" max="79" width="16" style="12" bestFit="1" customWidth="1" collapsed="1"/>
    <col min="80" max="80" width="15.7109375" style="12" bestFit="1" customWidth="1" collapsed="1"/>
    <col min="81" max="81" width="15.28515625" style="12" bestFit="1" customWidth="1" collapsed="1"/>
    <col min="82" max="82" width="16" style="12" bestFit="1" customWidth="1" collapsed="1"/>
    <col min="83" max="83" width="15.7109375" style="12" bestFit="1" customWidth="1" collapsed="1"/>
    <col min="84" max="84" width="16.7109375" style="12" bestFit="1" customWidth="1" collapsed="1"/>
    <col min="85" max="85" width="15.7109375" style="12" bestFit="1" customWidth="1" collapsed="1"/>
    <col min="86" max="86" width="16" style="12" bestFit="1" customWidth="1" collapsed="1"/>
    <col min="87" max="87" width="15" style="12" bestFit="1" customWidth="1" collapsed="1"/>
    <col min="88" max="89" width="16" style="12" bestFit="1" customWidth="1" collapsed="1"/>
    <col min="90" max="91" width="16.7109375" style="12" bestFit="1" customWidth="1" collapsed="1"/>
    <col min="92" max="93" width="16" style="12" bestFit="1" customWidth="1" collapsed="1"/>
    <col min="94" max="94" width="15.7109375" style="12" bestFit="1" customWidth="1" collapsed="1"/>
    <col min="95" max="96" width="16" style="12" bestFit="1" customWidth="1" collapsed="1"/>
    <col min="97" max="97" width="15.7109375" style="12" bestFit="1" customWidth="1" collapsed="1"/>
    <col min="98" max="98" width="16.7109375" bestFit="1" customWidth="1"/>
    <col min="99" max="100" width="16" bestFit="1" customWidth="1"/>
  </cols>
  <sheetData>
    <row r="1" spans="2:101" ht="15.75" x14ac:dyDescent="0.25">
      <c r="D1" s="1"/>
    </row>
    <row r="2" spans="2:101" ht="15.75" thickBot="1" x14ac:dyDescent="0.3"/>
    <row r="3" spans="2:101" ht="15.75" thickBot="1" x14ac:dyDescent="0.3">
      <c r="D3" s="114" t="s">
        <v>209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</row>
    <row r="4" spans="2:101" x14ac:dyDescent="0.25">
      <c r="D4" t="s">
        <v>178</v>
      </c>
      <c r="G4" s="125" t="s">
        <v>174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23">
        <f>ActBS!N26</f>
        <v>1161.8399999999999</v>
      </c>
      <c r="Z4" s="39">
        <f ca="1">Z86</f>
        <v>138720</v>
      </c>
      <c r="AA4" s="39">
        <f t="shared" ref="AA4:BI4" ca="1" si="0">AA86</f>
        <v>153170</v>
      </c>
      <c r="AB4" s="39">
        <f t="shared" ca="1" si="0"/>
        <v>14450</v>
      </c>
      <c r="AC4" s="39">
        <f t="shared" ca="1" si="0"/>
        <v>14450</v>
      </c>
      <c r="AD4" s="39">
        <f t="shared" ca="1" si="0"/>
        <v>361250</v>
      </c>
      <c r="AE4" s="39">
        <f t="shared" ca="1" si="0"/>
        <v>346800</v>
      </c>
      <c r="AF4" s="39">
        <f t="shared" ca="1" si="0"/>
        <v>28900</v>
      </c>
      <c r="AG4" s="39">
        <f t="shared" ca="1" si="0"/>
        <v>53200</v>
      </c>
      <c r="AH4" s="39">
        <f t="shared" ca="1" si="0"/>
        <v>161160</v>
      </c>
      <c r="AI4" s="39">
        <f t="shared" ca="1" si="0"/>
        <v>412780</v>
      </c>
      <c r="AJ4" s="39">
        <f t="shared" ca="1" si="0"/>
        <v>334240</v>
      </c>
      <c r="AK4" s="39">
        <f t="shared" ca="1" si="0"/>
        <v>919340</v>
      </c>
      <c r="AL4" s="39">
        <f t="shared" ca="1" si="0"/>
        <v>993340</v>
      </c>
      <c r="AM4" s="39">
        <f t="shared" ca="1" si="0"/>
        <v>132320</v>
      </c>
      <c r="AN4" s="39">
        <f t="shared" ca="1" si="0"/>
        <v>357400</v>
      </c>
      <c r="AO4" s="39">
        <f t="shared" ca="1" si="0"/>
        <v>984740</v>
      </c>
      <c r="AP4" s="39">
        <f t="shared" ca="1" si="0"/>
        <v>813380</v>
      </c>
      <c r="AQ4" s="39">
        <f t="shared" ca="1" si="0"/>
        <v>1175040</v>
      </c>
      <c r="AR4" s="39">
        <f t="shared" ca="1" si="0"/>
        <v>1931840</v>
      </c>
      <c r="AS4" s="39">
        <f t="shared" ca="1" si="0"/>
        <v>1534680</v>
      </c>
      <c r="AT4" s="39">
        <f t="shared" ca="1" si="0"/>
        <v>1182400</v>
      </c>
      <c r="AU4" s="39">
        <f t="shared" ca="1" si="0"/>
        <v>1799220</v>
      </c>
      <c r="AV4" s="39">
        <f t="shared" ca="1" si="0"/>
        <v>3525820</v>
      </c>
      <c r="AW4" s="39">
        <f t="shared" ca="1" si="0"/>
        <v>4589480</v>
      </c>
      <c r="AX4" s="39">
        <f t="shared" ca="1" si="0"/>
        <v>2648160</v>
      </c>
      <c r="AY4" s="39">
        <f t="shared" ca="1" si="0"/>
        <v>1258340</v>
      </c>
      <c r="AZ4" s="39">
        <f t="shared" ca="1" si="0"/>
        <v>1883380</v>
      </c>
      <c r="BA4" s="39">
        <f t="shared" ca="1" si="0"/>
        <v>2361680</v>
      </c>
      <c r="BB4" s="39">
        <f t="shared" ca="1" si="0"/>
        <v>5047400</v>
      </c>
      <c r="BC4" s="39">
        <f t="shared" ca="1" si="0"/>
        <v>5134880</v>
      </c>
      <c r="BD4" s="39">
        <f t="shared" ca="1" si="0"/>
        <v>3027240</v>
      </c>
      <c r="BE4" s="39">
        <f t="shared" ca="1" si="0"/>
        <v>3329780</v>
      </c>
      <c r="BF4" s="39">
        <f t="shared" ca="1" si="0"/>
        <v>3090420</v>
      </c>
      <c r="BG4" s="39">
        <f t="shared" ca="1" si="0"/>
        <v>2590240</v>
      </c>
      <c r="BH4" s="39">
        <f t="shared" ca="1" si="0"/>
        <v>6723115</v>
      </c>
      <c r="BI4" s="39">
        <f t="shared" ca="1" si="0"/>
        <v>10634794</v>
      </c>
      <c r="BJ4" s="39">
        <f t="shared" ref="BJ4:CS4" ca="1" si="1">BJ86</f>
        <v>5999535</v>
      </c>
      <c r="BK4" s="39">
        <f t="shared" ca="1" si="1"/>
        <v>2522753.5</v>
      </c>
      <c r="BL4" s="39">
        <f t="shared" ca="1" si="1"/>
        <v>4214475.5</v>
      </c>
      <c r="BM4" s="39">
        <f t="shared" ca="1" si="1"/>
        <v>5625406</v>
      </c>
      <c r="BN4" s="39">
        <f t="shared" ca="1" si="1"/>
        <v>12549823</v>
      </c>
      <c r="BO4" s="39">
        <f t="shared" ca="1" si="1"/>
        <v>12472360</v>
      </c>
      <c r="BP4" s="39">
        <f t="shared" ca="1" si="1"/>
        <v>6535107</v>
      </c>
      <c r="BQ4" s="39">
        <f t="shared" ca="1" si="1"/>
        <v>6851447.5</v>
      </c>
      <c r="BR4" s="39">
        <f t="shared" ca="1" si="1"/>
        <v>6832903.5</v>
      </c>
      <c r="BS4" s="39">
        <f t="shared" ca="1" si="1"/>
        <v>6463724</v>
      </c>
      <c r="BT4" s="39">
        <f t="shared" ca="1" si="1"/>
        <v>15352185.25</v>
      </c>
      <c r="BU4" s="39">
        <f t="shared" ca="1" si="1"/>
        <v>22385030.5</v>
      </c>
      <c r="BV4" s="39">
        <f t="shared" ca="1" si="1"/>
        <v>11408735.25</v>
      </c>
      <c r="BW4" s="39">
        <f t="shared" ca="1" si="1"/>
        <v>3949014.625</v>
      </c>
      <c r="BX4" s="39">
        <f t="shared" ca="1" si="1"/>
        <v>7863708.125</v>
      </c>
      <c r="BY4" s="39">
        <f t="shared" ca="1" si="1"/>
        <v>11454254.5</v>
      </c>
      <c r="BZ4" s="39">
        <f t="shared" ca="1" si="1"/>
        <v>29455068.25</v>
      </c>
      <c r="CA4" s="39">
        <f t="shared" ca="1" si="1"/>
        <v>28187830</v>
      </c>
      <c r="CB4" s="39">
        <f t="shared" ca="1" si="1"/>
        <v>11727308.25</v>
      </c>
      <c r="CC4" s="39">
        <f t="shared" ca="1" si="1"/>
        <v>11878712.125</v>
      </c>
      <c r="CD4" s="39">
        <f t="shared" ca="1" si="1"/>
        <v>12833785.125</v>
      </c>
      <c r="CE4" s="39">
        <f t="shared" ca="1" si="1"/>
        <v>14081204</v>
      </c>
      <c r="CF4" s="39">
        <f t="shared" ca="1" si="1"/>
        <v>30708041.774999999</v>
      </c>
      <c r="CG4" s="39">
        <f t="shared" ca="1" si="1"/>
        <v>40251188.399999999</v>
      </c>
      <c r="CH4" s="39">
        <f t="shared" ca="1" si="1"/>
        <v>17852669.324999999</v>
      </c>
      <c r="CI4" s="39">
        <f t="shared" ca="1" si="1"/>
        <v>5364557.1375000002</v>
      </c>
      <c r="CJ4" s="39">
        <f t="shared" ca="1" si="1"/>
        <v>12029490.1875</v>
      </c>
      <c r="CK4" s="39">
        <f t="shared" ca="1" si="1"/>
        <v>18697527.600000001</v>
      </c>
      <c r="CL4" s="39">
        <f t="shared" ca="1" si="1"/>
        <v>57669090.225000001</v>
      </c>
      <c r="CM4" s="39">
        <f t="shared" ca="1" si="1"/>
        <v>54473703</v>
      </c>
      <c r="CN4" s="39">
        <f t="shared" ca="1" si="1"/>
        <v>17834932.350000001</v>
      </c>
      <c r="CO4" s="39">
        <f t="shared" ca="1" si="1"/>
        <v>17579407.762499999</v>
      </c>
      <c r="CP4" s="39">
        <f t="shared" ca="1" si="1"/>
        <v>19674518.287500001</v>
      </c>
      <c r="CQ4" s="39">
        <f t="shared" ca="1" si="1"/>
        <v>23651806.574999999</v>
      </c>
      <c r="CR4" s="39">
        <f t="shared" ca="1" si="1"/>
        <v>26461689.381250001</v>
      </c>
      <c r="CS4" s="39">
        <f t="shared" ca="1" si="1"/>
        <v>31901639.112500001</v>
      </c>
      <c r="CT4" s="39"/>
      <c r="CU4" s="39"/>
      <c r="CV4" s="39"/>
    </row>
    <row r="5" spans="2:101" x14ac:dyDescent="0.25">
      <c r="D5" t="s">
        <v>213</v>
      </c>
      <c r="G5" s="125" t="s">
        <v>173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23">
        <f>ActBS!N19</f>
        <v>146754.85999999999</v>
      </c>
      <c r="Z5" s="39">
        <f ca="1">Z269</f>
        <v>42000</v>
      </c>
      <c r="AA5" s="39">
        <f t="shared" ref="AA5:BI5" ca="1" si="2">AA269</f>
        <v>42000</v>
      </c>
      <c r="AB5" s="39">
        <f t="shared" ca="1" si="2"/>
        <v>402000</v>
      </c>
      <c r="AC5" s="39">
        <f t="shared" ca="1" si="2"/>
        <v>439500</v>
      </c>
      <c r="AD5" s="39">
        <f t="shared" ca="1" si="2"/>
        <v>79500</v>
      </c>
      <c r="AE5" s="39">
        <f t="shared" ca="1" si="2"/>
        <v>42000</v>
      </c>
      <c r="AF5" s="39">
        <f t="shared" ca="1" si="2"/>
        <v>42000</v>
      </c>
      <c r="AG5" s="39">
        <f t="shared" ca="1" si="2"/>
        <v>42000</v>
      </c>
      <c r="AH5" s="39">
        <f t="shared" ca="1" si="2"/>
        <v>42000</v>
      </c>
      <c r="AI5" s="39">
        <f t="shared" ca="1" si="2"/>
        <v>42000</v>
      </c>
      <c r="AJ5" s="39">
        <f t="shared" ca="1" si="2"/>
        <v>129100</v>
      </c>
      <c r="AK5" s="39">
        <f t="shared" ca="1" si="2"/>
        <v>196600</v>
      </c>
      <c r="AL5" s="39">
        <f t="shared" ca="1" si="2"/>
        <v>105000</v>
      </c>
      <c r="AM5" s="39">
        <f t="shared" ca="1" si="2"/>
        <v>893300</v>
      </c>
      <c r="AN5" s="39">
        <f t="shared" ca="1" si="2"/>
        <v>968000</v>
      </c>
      <c r="AO5" s="39">
        <f t="shared" ca="1" si="2"/>
        <v>112200</v>
      </c>
      <c r="AP5" s="39">
        <f t="shared" ca="1" si="2"/>
        <v>156250</v>
      </c>
      <c r="AQ5" s="39">
        <f t="shared" ca="1" si="2"/>
        <v>473125</v>
      </c>
      <c r="AR5" s="39">
        <f t="shared" ca="1" si="2"/>
        <v>440025</v>
      </c>
      <c r="AS5" s="39">
        <f t="shared" ca="1" si="2"/>
        <v>1320650</v>
      </c>
      <c r="AT5" s="39">
        <f t="shared" ca="1" si="2"/>
        <v>1825100</v>
      </c>
      <c r="AU5" s="39">
        <f t="shared" ca="1" si="2"/>
        <v>1077600</v>
      </c>
      <c r="AV5" s="39">
        <f t="shared" ca="1" si="2"/>
        <v>749125</v>
      </c>
      <c r="AW5" s="39">
        <f t="shared" ca="1" si="2"/>
        <v>863000</v>
      </c>
      <c r="AX5" s="39">
        <f t="shared" ca="1" si="2"/>
        <v>2262375</v>
      </c>
      <c r="AY5" s="39">
        <f t="shared" ca="1" si="2"/>
        <v>3874450</v>
      </c>
      <c r="AZ5" s="39">
        <f t="shared" ca="1" si="2"/>
        <v>2355950</v>
      </c>
      <c r="BA5" s="39">
        <f t="shared" ca="1" si="2"/>
        <v>939375</v>
      </c>
      <c r="BB5" s="39">
        <f t="shared" ca="1" si="2"/>
        <v>1352525</v>
      </c>
      <c r="BC5" s="39">
        <f t="shared" ca="1" si="2"/>
        <v>1449650</v>
      </c>
      <c r="BD5" s="39">
        <f t="shared" ca="1" si="2"/>
        <v>3546000</v>
      </c>
      <c r="BE5" s="39">
        <f t="shared" ca="1" si="2"/>
        <v>4287000</v>
      </c>
      <c r="BF5" s="39">
        <f t="shared" ca="1" si="2"/>
        <v>2954500</v>
      </c>
      <c r="BG5" s="39">
        <f t="shared" ca="1" si="2"/>
        <v>2828875</v>
      </c>
      <c r="BH5" s="39">
        <f t="shared" ca="1" si="2"/>
        <v>2361775</v>
      </c>
      <c r="BI5" s="39">
        <f t="shared" ca="1" si="2"/>
        <v>1713525</v>
      </c>
      <c r="BJ5" s="39">
        <f t="shared" ref="BJ5:CS5" ca="1" si="3">BJ269</f>
        <v>4941875</v>
      </c>
      <c r="BK5" s="39">
        <f t="shared" ca="1" si="3"/>
        <v>9096725</v>
      </c>
      <c r="BL5" s="39">
        <f t="shared" ca="1" si="3"/>
        <v>5390975</v>
      </c>
      <c r="BM5" s="39">
        <f t="shared" ca="1" si="3"/>
        <v>1935937.5</v>
      </c>
      <c r="BN5" s="39">
        <f t="shared" ca="1" si="3"/>
        <v>3193512.5</v>
      </c>
      <c r="BO5" s="39">
        <f t="shared" ca="1" si="3"/>
        <v>3717575</v>
      </c>
      <c r="BP5" s="39">
        <f t="shared" ca="1" si="3"/>
        <v>9159750</v>
      </c>
      <c r="BQ5" s="39">
        <f t="shared" ca="1" si="3"/>
        <v>10456000</v>
      </c>
      <c r="BR5" s="39">
        <f t="shared" ca="1" si="3"/>
        <v>6413450</v>
      </c>
      <c r="BS5" s="39">
        <f t="shared" ca="1" si="3"/>
        <v>6018137.5</v>
      </c>
      <c r="BT5" s="39">
        <f t="shared" ca="1" si="3"/>
        <v>5500187.5</v>
      </c>
      <c r="BU5" s="39">
        <f t="shared" ca="1" si="3"/>
        <v>4619500</v>
      </c>
      <c r="BV5" s="39">
        <f t="shared" ca="1" si="3"/>
        <v>11033062.5</v>
      </c>
      <c r="BW5" s="39">
        <f t="shared" ca="1" si="3"/>
        <v>18185843.75</v>
      </c>
      <c r="BX5" s="39">
        <f t="shared" ca="1" si="3"/>
        <v>9904906.25</v>
      </c>
      <c r="BY5" s="39">
        <f t="shared" ca="1" si="3"/>
        <v>2975390.625</v>
      </c>
      <c r="BZ5" s="39">
        <f t="shared" ca="1" si="3"/>
        <v>6056046.875</v>
      </c>
      <c r="CA5" s="39">
        <f t="shared" ca="1" si="3"/>
        <v>7884406.25</v>
      </c>
      <c r="CB5" s="39">
        <f t="shared" ca="1" si="3"/>
        <v>21124687.5</v>
      </c>
      <c r="CC5" s="39">
        <f t="shared" ca="1" si="3"/>
        <v>22206875</v>
      </c>
      <c r="CD5" s="39">
        <f t="shared" ca="1" si="3"/>
        <v>10976337.5</v>
      </c>
      <c r="CE5" s="39">
        <f t="shared" ca="1" si="3"/>
        <v>10203290.625</v>
      </c>
      <c r="CF5" s="39">
        <f t="shared" ca="1" si="3"/>
        <v>10413578.125</v>
      </c>
      <c r="CG5" s="39">
        <f t="shared" ca="1" si="3"/>
        <v>10451312.5</v>
      </c>
      <c r="CH5" s="39">
        <f t="shared" ca="1" si="3"/>
        <v>21582656.25</v>
      </c>
      <c r="CI5" s="39">
        <f t="shared" ca="1" si="3"/>
        <v>31254553.125</v>
      </c>
      <c r="CJ5" s="39">
        <f t="shared" ca="1" si="3"/>
        <v>15119709.375</v>
      </c>
      <c r="CK5" s="39">
        <f t="shared" ca="1" si="3"/>
        <v>3968085.9375</v>
      </c>
      <c r="CL5" s="39">
        <f t="shared" ca="1" si="3"/>
        <v>9336070.3125</v>
      </c>
      <c r="CM5" s="39">
        <f t="shared" ca="1" si="3"/>
        <v>13124859.375</v>
      </c>
      <c r="CN5" s="39">
        <f t="shared" ca="1" si="3"/>
        <v>40492968.75</v>
      </c>
      <c r="CO5" s="39">
        <f t="shared" ca="1" si="3"/>
        <v>40740000</v>
      </c>
      <c r="CP5" s="39">
        <f t="shared" ca="1" si="3"/>
        <v>16083476.25</v>
      </c>
      <c r="CQ5" s="39">
        <f t="shared" ca="1" si="3"/>
        <v>14826405.9375</v>
      </c>
      <c r="CR5" s="39">
        <f t="shared" ca="1" si="3"/>
        <v>16023117.1875</v>
      </c>
      <c r="CS5" s="39">
        <f t="shared" ca="1" si="3"/>
        <v>17836593.75</v>
      </c>
      <c r="CT5" s="39"/>
      <c r="CU5" s="39"/>
      <c r="CV5" s="39"/>
    </row>
    <row r="6" spans="2:101" x14ac:dyDescent="0.25">
      <c r="D6" s="124" t="s">
        <v>210</v>
      </c>
      <c r="G6" s="125" t="s">
        <v>175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23">
        <f>ActBS!N69+ActBS!N75</f>
        <v>644400.83000000007</v>
      </c>
      <c r="Z6" s="39">
        <f ca="1">Z357</f>
        <v>783120.83000000007</v>
      </c>
      <c r="AA6" s="39">
        <f t="shared" ref="AA6:BI6" ca="1" si="4">AA357</f>
        <v>153170</v>
      </c>
      <c r="AB6" s="39">
        <f t="shared" ca="1" si="4"/>
        <v>14450</v>
      </c>
      <c r="AC6" s="39">
        <f t="shared" ca="1" si="4"/>
        <v>14450</v>
      </c>
      <c r="AD6" s="39">
        <f t="shared" ca="1" si="4"/>
        <v>361250</v>
      </c>
      <c r="AE6" s="39">
        <f t="shared" ca="1" si="4"/>
        <v>346800</v>
      </c>
      <c r="AF6" s="39">
        <f t="shared" ca="1" si="4"/>
        <v>28900</v>
      </c>
      <c r="AG6" s="39">
        <f t="shared" ca="1" si="4"/>
        <v>53200</v>
      </c>
      <c r="AH6" s="39">
        <f t="shared" ca="1" si="4"/>
        <v>161160</v>
      </c>
      <c r="AI6" s="39">
        <f t="shared" ca="1" si="4"/>
        <v>412780</v>
      </c>
      <c r="AJ6" s="39">
        <f t="shared" ca="1" si="4"/>
        <v>334240</v>
      </c>
      <c r="AK6" s="39">
        <f t="shared" ca="1" si="4"/>
        <v>919340</v>
      </c>
      <c r="AL6" s="39">
        <f t="shared" ca="1" si="4"/>
        <v>993340</v>
      </c>
      <c r="AM6" s="39">
        <f t="shared" ca="1" si="4"/>
        <v>132320</v>
      </c>
      <c r="AN6" s="39">
        <f t="shared" ca="1" si="4"/>
        <v>357400</v>
      </c>
      <c r="AO6" s="39">
        <f t="shared" ca="1" si="4"/>
        <v>984740</v>
      </c>
      <c r="AP6" s="39">
        <f t="shared" ca="1" si="4"/>
        <v>813380</v>
      </c>
      <c r="AQ6" s="39">
        <f t="shared" ca="1" si="4"/>
        <v>1175040</v>
      </c>
      <c r="AR6" s="39">
        <f t="shared" ca="1" si="4"/>
        <v>1931840</v>
      </c>
      <c r="AS6" s="39">
        <f t="shared" ca="1" si="4"/>
        <v>1534680</v>
      </c>
      <c r="AT6" s="39">
        <f t="shared" ca="1" si="4"/>
        <v>1182400</v>
      </c>
      <c r="AU6" s="39">
        <f t="shared" ca="1" si="4"/>
        <v>1799220</v>
      </c>
      <c r="AV6" s="39">
        <f t="shared" ca="1" si="4"/>
        <v>3525820</v>
      </c>
      <c r="AW6" s="39">
        <f t="shared" ca="1" si="4"/>
        <v>4589480</v>
      </c>
      <c r="AX6" s="39">
        <f t="shared" ca="1" si="4"/>
        <v>2648160</v>
      </c>
      <c r="AY6" s="39">
        <f t="shared" ca="1" si="4"/>
        <v>1258340</v>
      </c>
      <c r="AZ6" s="39">
        <f t="shared" ca="1" si="4"/>
        <v>1883380</v>
      </c>
      <c r="BA6" s="39">
        <f t="shared" ca="1" si="4"/>
        <v>2361680</v>
      </c>
      <c r="BB6" s="39">
        <f t="shared" ca="1" si="4"/>
        <v>5047400</v>
      </c>
      <c r="BC6" s="39">
        <f t="shared" ca="1" si="4"/>
        <v>5134880</v>
      </c>
      <c r="BD6" s="39">
        <f t="shared" ca="1" si="4"/>
        <v>3027240</v>
      </c>
      <c r="BE6" s="39">
        <f t="shared" ca="1" si="4"/>
        <v>3329780</v>
      </c>
      <c r="BF6" s="39">
        <f t="shared" ca="1" si="4"/>
        <v>3090420</v>
      </c>
      <c r="BG6" s="39">
        <f t="shared" ca="1" si="4"/>
        <v>2590240</v>
      </c>
      <c r="BH6" s="39">
        <f t="shared" ca="1" si="4"/>
        <v>6723115</v>
      </c>
      <c r="BI6" s="39">
        <f t="shared" ca="1" si="4"/>
        <v>10634794</v>
      </c>
      <c r="BJ6" s="39">
        <f t="shared" ref="BJ6:CS6" ca="1" si="5">BJ357</f>
        <v>5999535</v>
      </c>
      <c r="BK6" s="39">
        <f t="shared" ca="1" si="5"/>
        <v>2522753.5</v>
      </c>
      <c r="BL6" s="39">
        <f t="shared" ca="1" si="5"/>
        <v>4214475.5</v>
      </c>
      <c r="BM6" s="39">
        <f t="shared" ca="1" si="5"/>
        <v>5625406</v>
      </c>
      <c r="BN6" s="39">
        <f t="shared" ca="1" si="5"/>
        <v>12549823</v>
      </c>
      <c r="BO6" s="39">
        <f t="shared" ca="1" si="5"/>
        <v>12472360</v>
      </c>
      <c r="BP6" s="39">
        <f t="shared" ca="1" si="5"/>
        <v>6535107</v>
      </c>
      <c r="BQ6" s="39">
        <f t="shared" ca="1" si="5"/>
        <v>6851447.5</v>
      </c>
      <c r="BR6" s="39">
        <f t="shared" ca="1" si="5"/>
        <v>6832903.5</v>
      </c>
      <c r="BS6" s="39">
        <f t="shared" ca="1" si="5"/>
        <v>6463724</v>
      </c>
      <c r="BT6" s="39">
        <f t="shared" ca="1" si="5"/>
        <v>15352185.25</v>
      </c>
      <c r="BU6" s="39">
        <f t="shared" ca="1" si="5"/>
        <v>22385030.5</v>
      </c>
      <c r="BV6" s="39">
        <f t="shared" ca="1" si="5"/>
        <v>11408735.25</v>
      </c>
      <c r="BW6" s="39">
        <f t="shared" ca="1" si="5"/>
        <v>3949014.625</v>
      </c>
      <c r="BX6" s="39">
        <f t="shared" ca="1" si="5"/>
        <v>7863708.125</v>
      </c>
      <c r="BY6" s="39">
        <f t="shared" ca="1" si="5"/>
        <v>11454254.5</v>
      </c>
      <c r="BZ6" s="39">
        <f t="shared" ca="1" si="5"/>
        <v>29455068.25</v>
      </c>
      <c r="CA6" s="39">
        <f t="shared" ca="1" si="5"/>
        <v>28187830</v>
      </c>
      <c r="CB6" s="39">
        <f t="shared" ca="1" si="5"/>
        <v>11727308.25</v>
      </c>
      <c r="CC6" s="39">
        <f t="shared" ca="1" si="5"/>
        <v>11878712.125</v>
      </c>
      <c r="CD6" s="39">
        <f t="shared" ca="1" si="5"/>
        <v>12833785.125</v>
      </c>
      <c r="CE6" s="39">
        <f t="shared" ca="1" si="5"/>
        <v>14081204</v>
      </c>
      <c r="CF6" s="39">
        <f t="shared" ca="1" si="5"/>
        <v>30708041.774999999</v>
      </c>
      <c r="CG6" s="39">
        <f t="shared" ca="1" si="5"/>
        <v>40251188.399999999</v>
      </c>
      <c r="CH6" s="39">
        <f t="shared" ca="1" si="5"/>
        <v>17852669.324999999</v>
      </c>
      <c r="CI6" s="39">
        <f t="shared" ca="1" si="5"/>
        <v>5364557.1375000002</v>
      </c>
      <c r="CJ6" s="39">
        <f t="shared" ca="1" si="5"/>
        <v>12029490.1875</v>
      </c>
      <c r="CK6" s="39">
        <f t="shared" ca="1" si="5"/>
        <v>18697527.600000001</v>
      </c>
      <c r="CL6" s="39">
        <f t="shared" ca="1" si="5"/>
        <v>57669090.225000001</v>
      </c>
      <c r="CM6" s="39">
        <f t="shared" ca="1" si="5"/>
        <v>54473703</v>
      </c>
      <c r="CN6" s="39">
        <f t="shared" ca="1" si="5"/>
        <v>17834932.350000001</v>
      </c>
      <c r="CO6" s="39">
        <f t="shared" ca="1" si="5"/>
        <v>17579407.762499999</v>
      </c>
      <c r="CP6" s="39">
        <f t="shared" ca="1" si="5"/>
        <v>19674518.287500001</v>
      </c>
      <c r="CQ6" s="39">
        <f t="shared" ca="1" si="5"/>
        <v>23651806.574999999</v>
      </c>
      <c r="CR6" s="39">
        <f t="shared" ca="1" si="5"/>
        <v>26461689.381250001</v>
      </c>
      <c r="CS6" s="39">
        <f t="shared" ca="1" si="5"/>
        <v>31901639.112500001</v>
      </c>
      <c r="CT6" s="39"/>
      <c r="CU6" s="39"/>
      <c r="CV6" s="39"/>
    </row>
    <row r="7" spans="2:101" ht="15.75" x14ac:dyDescent="0.25">
      <c r="D7" s="3"/>
      <c r="G7" s="125" t="s">
        <v>176</v>
      </c>
      <c r="H7" s="20"/>
      <c r="O7" s="13"/>
      <c r="P7" s="13"/>
      <c r="Q7" s="13"/>
      <c r="R7" s="13"/>
      <c r="S7" s="13"/>
      <c r="T7" s="13"/>
      <c r="U7" s="13"/>
      <c r="V7" s="13"/>
      <c r="W7" s="13"/>
      <c r="X7" s="13"/>
      <c r="Y7" s="23">
        <v>0</v>
      </c>
      <c r="Z7" s="39">
        <f ca="1">Z299</f>
        <v>0</v>
      </c>
      <c r="AA7" s="39">
        <f t="shared" ref="AA7:BI7" ca="1" si="6">AA299</f>
        <v>0</v>
      </c>
      <c r="AB7" s="39">
        <f t="shared" ca="1" si="6"/>
        <v>43200</v>
      </c>
      <c r="AC7" s="39">
        <f t="shared" ca="1" si="6"/>
        <v>47700</v>
      </c>
      <c r="AD7" s="39">
        <f t="shared" ca="1" si="6"/>
        <v>4500</v>
      </c>
      <c r="AE7" s="39">
        <f t="shared" ca="1" si="6"/>
        <v>0</v>
      </c>
      <c r="AF7" s="39">
        <f t="shared" ca="1" si="6"/>
        <v>0</v>
      </c>
      <c r="AG7" s="39">
        <f t="shared" ca="1" si="6"/>
        <v>0</v>
      </c>
      <c r="AH7" s="39">
        <f t="shared" ca="1" si="6"/>
        <v>0</v>
      </c>
      <c r="AI7" s="39">
        <f t="shared" ca="1" si="6"/>
        <v>0</v>
      </c>
      <c r="AJ7" s="39">
        <f t="shared" ca="1" si="6"/>
        <v>4500</v>
      </c>
      <c r="AK7" s="39">
        <f t="shared" ca="1" si="6"/>
        <v>12600</v>
      </c>
      <c r="AL7" s="39">
        <f t="shared" ca="1" si="6"/>
        <v>12600</v>
      </c>
      <c r="AM7" s="39">
        <f t="shared" ca="1" si="6"/>
        <v>30840</v>
      </c>
      <c r="AN7" s="39">
        <f t="shared" ca="1" si="6"/>
        <v>35340</v>
      </c>
      <c r="AO7" s="39">
        <f t="shared" ca="1" si="6"/>
        <v>9000</v>
      </c>
      <c r="AP7" s="39">
        <f t="shared" ca="1" si="6"/>
        <v>18750</v>
      </c>
      <c r="AQ7" s="39">
        <f t="shared" ca="1" si="6"/>
        <v>56775</v>
      </c>
      <c r="AR7" s="39">
        <f t="shared" ca="1" si="6"/>
        <v>43875</v>
      </c>
      <c r="AS7" s="39">
        <f t="shared" ca="1" si="6"/>
        <v>32550</v>
      </c>
      <c r="AT7" s="39">
        <f t="shared" ca="1" si="6"/>
        <v>66300</v>
      </c>
      <c r="AU7" s="39">
        <f t="shared" ca="1" si="6"/>
        <v>93600</v>
      </c>
      <c r="AV7" s="39">
        <f t="shared" ca="1" si="6"/>
        <v>89895</v>
      </c>
      <c r="AW7" s="39">
        <f t="shared" ca="1" si="6"/>
        <v>103560</v>
      </c>
      <c r="AX7" s="39">
        <f t="shared" ca="1" si="6"/>
        <v>271485</v>
      </c>
      <c r="AY7" s="39">
        <f t="shared" ca="1" si="6"/>
        <v>314454</v>
      </c>
      <c r="AZ7" s="39">
        <f t="shared" ca="1" si="6"/>
        <v>132234</v>
      </c>
      <c r="BA7" s="39">
        <f t="shared" ca="1" si="6"/>
        <v>112725</v>
      </c>
      <c r="BB7" s="39">
        <f t="shared" ca="1" si="6"/>
        <v>162303</v>
      </c>
      <c r="BC7" s="39">
        <f t="shared" ca="1" si="6"/>
        <v>173958</v>
      </c>
      <c r="BD7" s="39">
        <f t="shared" ca="1" si="6"/>
        <v>425520</v>
      </c>
      <c r="BE7" s="39">
        <f t="shared" ca="1" si="6"/>
        <v>358440</v>
      </c>
      <c r="BF7" s="39">
        <f t="shared" ca="1" si="6"/>
        <v>124884</v>
      </c>
      <c r="BG7" s="39">
        <f t="shared" ca="1" si="6"/>
        <v>265809</v>
      </c>
      <c r="BH7" s="39">
        <f t="shared" ca="1" si="6"/>
        <v>283413</v>
      </c>
      <c r="BI7" s="39">
        <f t="shared" ca="1" si="6"/>
        <v>205623</v>
      </c>
      <c r="BJ7" s="39">
        <f t="shared" ref="BJ7:CS7" ca="1" si="7">BJ299</f>
        <v>593025</v>
      </c>
      <c r="BK7" s="39">
        <f t="shared" ca="1" si="7"/>
        <v>790647</v>
      </c>
      <c r="BL7" s="39">
        <f t="shared" ca="1" si="7"/>
        <v>345957</v>
      </c>
      <c r="BM7" s="39">
        <f t="shared" ca="1" si="7"/>
        <v>232312.5</v>
      </c>
      <c r="BN7" s="39">
        <f t="shared" ca="1" si="7"/>
        <v>383221.5</v>
      </c>
      <c r="BO7" s="39">
        <f t="shared" ca="1" si="7"/>
        <v>446109</v>
      </c>
      <c r="BP7" s="39">
        <f t="shared" ca="1" si="7"/>
        <v>1099170</v>
      </c>
      <c r="BQ7" s="39">
        <f t="shared" ca="1" si="7"/>
        <v>942720</v>
      </c>
      <c r="BR7" s="39">
        <f t="shared" ca="1" si="7"/>
        <v>310302</v>
      </c>
      <c r="BS7" s="39">
        <f t="shared" ca="1" si="7"/>
        <v>574864.5</v>
      </c>
      <c r="BT7" s="39">
        <f t="shared" ca="1" si="7"/>
        <v>660022.5</v>
      </c>
      <c r="BU7" s="39">
        <f t="shared" ca="1" si="7"/>
        <v>554340</v>
      </c>
      <c r="BV7" s="39">
        <f t="shared" ca="1" si="7"/>
        <v>1323967.5</v>
      </c>
      <c r="BW7" s="39">
        <f t="shared" ca="1" si="7"/>
        <v>1730861.25</v>
      </c>
      <c r="BX7" s="39">
        <f t="shared" ca="1" si="7"/>
        <v>737148.75</v>
      </c>
      <c r="BY7" s="39">
        <f t="shared" ca="1" si="7"/>
        <v>357046.875</v>
      </c>
      <c r="BZ7" s="39">
        <f t="shared" ca="1" si="7"/>
        <v>726725.625</v>
      </c>
      <c r="CA7" s="39">
        <f t="shared" ca="1" si="7"/>
        <v>946128.75</v>
      </c>
      <c r="CB7" s="39">
        <f t="shared" ca="1" si="7"/>
        <v>2534962.5</v>
      </c>
      <c r="CC7" s="39">
        <f t="shared" ca="1" si="7"/>
        <v>2196825</v>
      </c>
      <c r="CD7" s="39">
        <f t="shared" ca="1" si="7"/>
        <v>628192.5</v>
      </c>
      <c r="CE7" s="39">
        <f t="shared" ca="1" si="7"/>
        <v>1003426.875</v>
      </c>
      <c r="CF7" s="39">
        <f t="shared" ca="1" si="7"/>
        <v>1249629.375</v>
      </c>
      <c r="CG7" s="39">
        <f t="shared" ca="1" si="7"/>
        <v>1254157.5</v>
      </c>
      <c r="CH7" s="39">
        <f t="shared" ca="1" si="7"/>
        <v>2589918.75</v>
      </c>
      <c r="CI7" s="39">
        <f t="shared" ca="1" si="7"/>
        <v>3163674.375</v>
      </c>
      <c r="CJ7" s="39">
        <f t="shared" ca="1" si="7"/>
        <v>1227493.125</v>
      </c>
      <c r="CK7" s="39">
        <f t="shared" ca="1" si="7"/>
        <v>476170.3125</v>
      </c>
      <c r="CL7" s="39">
        <f t="shared" ca="1" si="7"/>
        <v>1120328.4375</v>
      </c>
      <c r="CM7" s="39">
        <f t="shared" ca="1" si="7"/>
        <v>1574983.125</v>
      </c>
      <c r="CN7" s="39">
        <f t="shared" ca="1" si="7"/>
        <v>4859156.25</v>
      </c>
      <c r="CO7" s="39">
        <f t="shared" ca="1" si="7"/>
        <v>4280400</v>
      </c>
      <c r="CP7" s="39">
        <f t="shared" ca="1" si="7"/>
        <v>1034358.75</v>
      </c>
      <c r="CQ7" s="39">
        <f t="shared" ca="1" si="7"/>
        <v>1491910.3125</v>
      </c>
      <c r="CR7" s="39">
        <f t="shared" ca="1" si="7"/>
        <v>1922774.0625</v>
      </c>
      <c r="CS7" s="39">
        <f t="shared" ca="1" si="7"/>
        <v>2140391.25</v>
      </c>
      <c r="CT7" s="39"/>
      <c r="CU7" s="39"/>
      <c r="CV7" s="39"/>
    </row>
    <row r="8" spans="2:101" ht="15.75" x14ac:dyDescent="0.25">
      <c r="D8" s="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</row>
    <row r="9" spans="2:101" ht="15.75" x14ac:dyDescent="0.25">
      <c r="D9" s="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</row>
    <row r="10" spans="2:101" ht="15.75" x14ac:dyDescent="0.25">
      <c r="D10" s="3"/>
      <c r="N10" s="18" t="str">
        <f t="shared" ref="N10:CV10" si="8">"Q"&amp;ROUNDUP(MONTH(N11)/3,0)&amp;"-"&amp;YEAR(N11)</f>
        <v>Q1-2023</v>
      </c>
      <c r="O10" s="18" t="str">
        <f t="shared" si="8"/>
        <v>Q1-2023</v>
      </c>
      <c r="P10" s="18" t="str">
        <f t="shared" si="8"/>
        <v>Q1-2023</v>
      </c>
      <c r="Q10" s="18" t="str">
        <f t="shared" si="8"/>
        <v>Q2-2023</v>
      </c>
      <c r="R10" s="18" t="str">
        <f t="shared" si="8"/>
        <v>Q2-2023</v>
      </c>
      <c r="S10" s="18" t="str">
        <f t="shared" si="8"/>
        <v>Q2-2023</v>
      </c>
      <c r="T10" s="18" t="str">
        <f t="shared" si="8"/>
        <v>Q3-2023</v>
      </c>
      <c r="U10" s="18" t="str">
        <f t="shared" si="8"/>
        <v>Q3-2023</v>
      </c>
      <c r="V10" s="18" t="str">
        <f t="shared" si="8"/>
        <v>Q3-2023</v>
      </c>
      <c r="W10" s="18" t="str">
        <f t="shared" si="8"/>
        <v>Q4-2023</v>
      </c>
      <c r="X10" s="18" t="str">
        <f t="shared" si="8"/>
        <v>Q4-2023</v>
      </c>
      <c r="Y10" s="18" t="str">
        <f t="shared" si="8"/>
        <v>Q4-2023</v>
      </c>
      <c r="Z10" s="18" t="str">
        <f t="shared" si="8"/>
        <v>Q1-2024</v>
      </c>
      <c r="AA10" s="18" t="str">
        <f t="shared" si="8"/>
        <v>Q1-2024</v>
      </c>
      <c r="AB10" s="18" t="str">
        <f t="shared" si="8"/>
        <v>Q1-2024</v>
      </c>
      <c r="AC10" s="18" t="str">
        <f t="shared" si="8"/>
        <v>Q2-2024</v>
      </c>
      <c r="AD10" s="18" t="str">
        <f t="shared" si="8"/>
        <v>Q2-2024</v>
      </c>
      <c r="AE10" s="18" t="str">
        <f t="shared" si="8"/>
        <v>Q2-2024</v>
      </c>
      <c r="AF10" s="18" t="str">
        <f t="shared" si="8"/>
        <v>Q3-2024</v>
      </c>
      <c r="AG10" s="18" t="str">
        <f t="shared" si="8"/>
        <v>Q3-2024</v>
      </c>
      <c r="AH10" s="18" t="str">
        <f t="shared" si="8"/>
        <v>Q3-2024</v>
      </c>
      <c r="AI10" s="18" t="str">
        <f t="shared" si="8"/>
        <v>Q4-2024</v>
      </c>
      <c r="AJ10" s="18" t="str">
        <f t="shared" si="8"/>
        <v>Q4-2024</v>
      </c>
      <c r="AK10" s="18" t="str">
        <f t="shared" si="8"/>
        <v>Q4-2024</v>
      </c>
      <c r="AL10" s="18" t="str">
        <f t="shared" si="8"/>
        <v>Q1-2025</v>
      </c>
      <c r="AM10" s="18" t="str">
        <f t="shared" si="8"/>
        <v>Q1-2025</v>
      </c>
      <c r="AN10" s="18" t="str">
        <f t="shared" si="8"/>
        <v>Q1-2025</v>
      </c>
      <c r="AO10" s="18" t="str">
        <f t="shared" si="8"/>
        <v>Q2-2025</v>
      </c>
      <c r="AP10" s="18" t="str">
        <f t="shared" si="8"/>
        <v>Q2-2025</v>
      </c>
      <c r="AQ10" s="18" t="str">
        <f t="shared" si="8"/>
        <v>Q2-2025</v>
      </c>
      <c r="AR10" s="18" t="str">
        <f t="shared" si="8"/>
        <v>Q3-2025</v>
      </c>
      <c r="AS10" s="18" t="str">
        <f t="shared" si="8"/>
        <v>Q3-2025</v>
      </c>
      <c r="AT10" s="18" t="str">
        <f t="shared" si="8"/>
        <v>Q3-2025</v>
      </c>
      <c r="AU10" s="18" t="str">
        <f t="shared" si="8"/>
        <v>Q4-2025</v>
      </c>
      <c r="AV10" s="18" t="str">
        <f t="shared" si="8"/>
        <v>Q4-2025</v>
      </c>
      <c r="AW10" s="18" t="str">
        <f t="shared" si="8"/>
        <v>Q4-2025</v>
      </c>
      <c r="AX10" s="18" t="str">
        <f t="shared" si="8"/>
        <v>Q1-2026</v>
      </c>
      <c r="AY10" s="18" t="str">
        <f t="shared" si="8"/>
        <v>Q1-2026</v>
      </c>
      <c r="AZ10" s="18" t="str">
        <f t="shared" si="8"/>
        <v>Q1-2026</v>
      </c>
      <c r="BA10" s="18" t="str">
        <f t="shared" si="8"/>
        <v>Q2-2026</v>
      </c>
      <c r="BB10" s="18" t="str">
        <f t="shared" si="8"/>
        <v>Q2-2026</v>
      </c>
      <c r="BC10" s="18" t="str">
        <f t="shared" si="8"/>
        <v>Q2-2026</v>
      </c>
      <c r="BD10" s="18" t="str">
        <f t="shared" si="8"/>
        <v>Q3-2026</v>
      </c>
      <c r="BE10" s="18" t="str">
        <f t="shared" si="8"/>
        <v>Q3-2026</v>
      </c>
      <c r="BF10" s="18" t="str">
        <f t="shared" si="8"/>
        <v>Q3-2026</v>
      </c>
      <c r="BG10" s="18" t="str">
        <f t="shared" si="8"/>
        <v>Q4-2026</v>
      </c>
      <c r="BH10" s="18" t="str">
        <f t="shared" si="8"/>
        <v>Q4-2026</v>
      </c>
      <c r="BI10" s="18" t="str">
        <f t="shared" si="8"/>
        <v>Q4-2026</v>
      </c>
      <c r="BJ10" s="18" t="str">
        <f t="shared" si="8"/>
        <v>Q1-2027</v>
      </c>
      <c r="BK10" s="18" t="str">
        <f t="shared" si="8"/>
        <v>Q1-2027</v>
      </c>
      <c r="BL10" s="18" t="str">
        <f t="shared" si="8"/>
        <v>Q1-2027</v>
      </c>
      <c r="BM10" s="18" t="str">
        <f t="shared" si="8"/>
        <v>Q2-2027</v>
      </c>
      <c r="BN10" s="18" t="str">
        <f t="shared" si="8"/>
        <v>Q2-2027</v>
      </c>
      <c r="BO10" s="18" t="str">
        <f t="shared" si="8"/>
        <v>Q2-2027</v>
      </c>
      <c r="BP10" s="18" t="str">
        <f t="shared" si="8"/>
        <v>Q3-2027</v>
      </c>
      <c r="BQ10" s="18" t="str">
        <f t="shared" si="8"/>
        <v>Q3-2027</v>
      </c>
      <c r="BR10" s="18" t="str">
        <f t="shared" si="8"/>
        <v>Q3-2027</v>
      </c>
      <c r="BS10" s="18" t="str">
        <f t="shared" si="8"/>
        <v>Q4-2027</v>
      </c>
      <c r="BT10" s="18" t="str">
        <f t="shared" si="8"/>
        <v>Q4-2027</v>
      </c>
      <c r="BU10" s="18" t="str">
        <f t="shared" si="8"/>
        <v>Q4-2027</v>
      </c>
      <c r="BV10" s="18" t="str">
        <f t="shared" si="8"/>
        <v>Q1-2028</v>
      </c>
      <c r="BW10" s="18" t="str">
        <f t="shared" si="8"/>
        <v>Q1-2028</v>
      </c>
      <c r="BX10" s="18" t="str">
        <f t="shared" si="8"/>
        <v>Q1-2028</v>
      </c>
      <c r="BY10" s="18" t="str">
        <f t="shared" si="8"/>
        <v>Q2-2028</v>
      </c>
      <c r="BZ10" s="18" t="str">
        <f t="shared" si="8"/>
        <v>Q2-2028</v>
      </c>
      <c r="CA10" s="18" t="str">
        <f t="shared" si="8"/>
        <v>Q2-2028</v>
      </c>
      <c r="CB10" s="18" t="str">
        <f t="shared" si="8"/>
        <v>Q3-2028</v>
      </c>
      <c r="CC10" s="18" t="str">
        <f t="shared" si="8"/>
        <v>Q3-2028</v>
      </c>
      <c r="CD10" s="18" t="str">
        <f t="shared" si="8"/>
        <v>Q3-2028</v>
      </c>
      <c r="CE10" s="18" t="str">
        <f t="shared" si="8"/>
        <v>Q4-2028</v>
      </c>
      <c r="CF10" s="18" t="str">
        <f t="shared" si="8"/>
        <v>Q4-2028</v>
      </c>
      <c r="CG10" s="18" t="str">
        <f t="shared" si="8"/>
        <v>Q4-2028</v>
      </c>
      <c r="CH10" s="18" t="str">
        <f t="shared" si="8"/>
        <v>Q1-2029</v>
      </c>
      <c r="CI10" s="18" t="str">
        <f t="shared" si="8"/>
        <v>Q1-2029</v>
      </c>
      <c r="CJ10" s="18" t="str">
        <f t="shared" si="8"/>
        <v>Q1-2029</v>
      </c>
      <c r="CK10" s="18" t="str">
        <f t="shared" si="8"/>
        <v>Q2-2029</v>
      </c>
      <c r="CL10" s="18" t="str">
        <f t="shared" si="8"/>
        <v>Q2-2029</v>
      </c>
      <c r="CM10" s="18" t="str">
        <f t="shared" si="8"/>
        <v>Q2-2029</v>
      </c>
      <c r="CN10" s="18" t="str">
        <f t="shared" si="8"/>
        <v>Q3-2029</v>
      </c>
      <c r="CO10" s="18" t="str">
        <f t="shared" si="8"/>
        <v>Q3-2029</v>
      </c>
      <c r="CP10" s="18" t="str">
        <f t="shared" si="8"/>
        <v>Q3-2029</v>
      </c>
      <c r="CQ10" s="18" t="str">
        <f t="shared" si="8"/>
        <v>Q4-2029</v>
      </c>
      <c r="CR10" s="18" t="str">
        <f t="shared" si="8"/>
        <v>Q4-2029</v>
      </c>
      <c r="CS10" s="18" t="str">
        <f t="shared" si="8"/>
        <v>Q4-2029</v>
      </c>
      <c r="CT10" s="42" t="str">
        <f t="shared" si="8"/>
        <v>Q1-2030</v>
      </c>
      <c r="CU10" s="42" t="str">
        <f t="shared" si="8"/>
        <v>Q1-2030</v>
      </c>
      <c r="CV10" s="42" t="str">
        <f t="shared" si="8"/>
        <v>Q1-2030</v>
      </c>
    </row>
    <row r="11" spans="2:101" ht="15.75" x14ac:dyDescent="0.25">
      <c r="D11" s="4"/>
      <c r="N11" s="19">
        <v>44957</v>
      </c>
      <c r="O11" s="19">
        <f t="shared" ref="O11:BI11" si="9">EOMONTH(N11,1)</f>
        <v>44985</v>
      </c>
      <c r="P11" s="19">
        <f t="shared" si="9"/>
        <v>45016</v>
      </c>
      <c r="Q11" s="19">
        <f t="shared" si="9"/>
        <v>45046</v>
      </c>
      <c r="R11" s="19">
        <f t="shared" si="9"/>
        <v>45077</v>
      </c>
      <c r="S11" s="19">
        <f t="shared" si="9"/>
        <v>45107</v>
      </c>
      <c r="T11" s="19">
        <f t="shared" si="9"/>
        <v>45138</v>
      </c>
      <c r="U11" s="19">
        <f t="shared" si="9"/>
        <v>45169</v>
      </c>
      <c r="V11" s="19">
        <f t="shared" si="9"/>
        <v>45199</v>
      </c>
      <c r="W11" s="19">
        <f t="shared" si="9"/>
        <v>45230</v>
      </c>
      <c r="X11" s="19">
        <f t="shared" si="9"/>
        <v>45260</v>
      </c>
      <c r="Y11" s="19">
        <f t="shared" si="9"/>
        <v>45291</v>
      </c>
      <c r="Z11" s="19">
        <f t="shared" si="9"/>
        <v>45322</v>
      </c>
      <c r="AA11" s="19">
        <f t="shared" si="9"/>
        <v>45351</v>
      </c>
      <c r="AB11" s="19">
        <f t="shared" si="9"/>
        <v>45382</v>
      </c>
      <c r="AC11" s="19">
        <f t="shared" si="9"/>
        <v>45412</v>
      </c>
      <c r="AD11" s="19">
        <f t="shared" si="9"/>
        <v>45443</v>
      </c>
      <c r="AE11" s="19">
        <f t="shared" si="9"/>
        <v>45473</v>
      </c>
      <c r="AF11" s="19">
        <f t="shared" si="9"/>
        <v>45504</v>
      </c>
      <c r="AG11" s="19">
        <f t="shared" si="9"/>
        <v>45535</v>
      </c>
      <c r="AH11" s="19">
        <f t="shared" si="9"/>
        <v>45565</v>
      </c>
      <c r="AI11" s="19">
        <f t="shared" si="9"/>
        <v>45596</v>
      </c>
      <c r="AJ11" s="19">
        <f t="shared" si="9"/>
        <v>45626</v>
      </c>
      <c r="AK11" s="19">
        <f t="shared" si="9"/>
        <v>45657</v>
      </c>
      <c r="AL11" s="19">
        <f t="shared" si="9"/>
        <v>45688</v>
      </c>
      <c r="AM11" s="19">
        <f t="shared" si="9"/>
        <v>45716</v>
      </c>
      <c r="AN11" s="19">
        <f t="shared" si="9"/>
        <v>45747</v>
      </c>
      <c r="AO11" s="19">
        <f t="shared" si="9"/>
        <v>45777</v>
      </c>
      <c r="AP11" s="19">
        <f t="shared" si="9"/>
        <v>45808</v>
      </c>
      <c r="AQ11" s="19">
        <f t="shared" si="9"/>
        <v>45838</v>
      </c>
      <c r="AR11" s="19">
        <f t="shared" si="9"/>
        <v>45869</v>
      </c>
      <c r="AS11" s="19">
        <f t="shared" si="9"/>
        <v>45900</v>
      </c>
      <c r="AT11" s="19">
        <f t="shared" si="9"/>
        <v>45930</v>
      </c>
      <c r="AU11" s="19">
        <f t="shared" si="9"/>
        <v>45961</v>
      </c>
      <c r="AV11" s="19">
        <f t="shared" si="9"/>
        <v>45991</v>
      </c>
      <c r="AW11" s="19">
        <f t="shared" si="9"/>
        <v>46022</v>
      </c>
      <c r="AX11" s="19">
        <f t="shared" si="9"/>
        <v>46053</v>
      </c>
      <c r="AY11" s="19">
        <f t="shared" si="9"/>
        <v>46081</v>
      </c>
      <c r="AZ11" s="19">
        <f t="shared" si="9"/>
        <v>46112</v>
      </c>
      <c r="BA11" s="19">
        <f t="shared" si="9"/>
        <v>46142</v>
      </c>
      <c r="BB11" s="19">
        <f t="shared" si="9"/>
        <v>46173</v>
      </c>
      <c r="BC11" s="19">
        <f t="shared" si="9"/>
        <v>46203</v>
      </c>
      <c r="BD11" s="19">
        <f t="shared" si="9"/>
        <v>46234</v>
      </c>
      <c r="BE11" s="19">
        <f t="shared" si="9"/>
        <v>46265</v>
      </c>
      <c r="BF11" s="19">
        <f t="shared" si="9"/>
        <v>46295</v>
      </c>
      <c r="BG11" s="19">
        <f t="shared" si="9"/>
        <v>46326</v>
      </c>
      <c r="BH11" s="19">
        <f t="shared" si="9"/>
        <v>46356</v>
      </c>
      <c r="BI11" s="19">
        <f t="shared" si="9"/>
        <v>46387</v>
      </c>
      <c r="BJ11" s="19">
        <f t="shared" ref="BJ11" si="10">EOMONTH(BI11,1)</f>
        <v>46418</v>
      </c>
      <c r="BK11" s="19">
        <f t="shared" ref="BK11" si="11">EOMONTH(BJ11,1)</f>
        <v>46446</v>
      </c>
      <c r="BL11" s="19">
        <f t="shared" ref="BL11" si="12">EOMONTH(BK11,1)</f>
        <v>46477</v>
      </c>
      <c r="BM11" s="19">
        <f t="shared" ref="BM11" si="13">EOMONTH(BL11,1)</f>
        <v>46507</v>
      </c>
      <c r="BN11" s="19">
        <f t="shared" ref="BN11" si="14">EOMONTH(BM11,1)</f>
        <v>46538</v>
      </c>
      <c r="BO11" s="19">
        <f t="shared" ref="BO11" si="15">EOMONTH(BN11,1)</f>
        <v>46568</v>
      </c>
      <c r="BP11" s="19">
        <f t="shared" ref="BP11" si="16">EOMONTH(BO11,1)</f>
        <v>46599</v>
      </c>
      <c r="BQ11" s="19">
        <f t="shared" ref="BQ11" si="17">EOMONTH(BP11,1)</f>
        <v>46630</v>
      </c>
      <c r="BR11" s="19">
        <f t="shared" ref="BR11" si="18">EOMONTH(BQ11,1)</f>
        <v>46660</v>
      </c>
      <c r="BS11" s="19">
        <f t="shared" ref="BS11" si="19">EOMONTH(BR11,1)</f>
        <v>46691</v>
      </c>
      <c r="BT11" s="19">
        <f t="shared" ref="BT11" si="20">EOMONTH(BS11,1)</f>
        <v>46721</v>
      </c>
      <c r="BU11" s="19">
        <f t="shared" ref="BU11" si="21">EOMONTH(BT11,1)</f>
        <v>46752</v>
      </c>
      <c r="BV11" s="19">
        <f t="shared" ref="BV11" si="22">EOMONTH(BU11,1)</f>
        <v>46783</v>
      </c>
      <c r="BW11" s="19">
        <f t="shared" ref="BW11" si="23">EOMONTH(BV11,1)</f>
        <v>46812</v>
      </c>
      <c r="BX11" s="19">
        <f t="shared" ref="BX11" si="24">EOMONTH(BW11,1)</f>
        <v>46843</v>
      </c>
      <c r="BY11" s="19">
        <f t="shared" ref="BY11" si="25">EOMONTH(BX11,1)</f>
        <v>46873</v>
      </c>
      <c r="BZ11" s="19">
        <f t="shared" ref="BZ11" si="26">EOMONTH(BY11,1)</f>
        <v>46904</v>
      </c>
      <c r="CA11" s="19">
        <f t="shared" ref="CA11" si="27">EOMONTH(BZ11,1)</f>
        <v>46934</v>
      </c>
      <c r="CB11" s="19">
        <f t="shared" ref="CB11" si="28">EOMONTH(CA11,1)</f>
        <v>46965</v>
      </c>
      <c r="CC11" s="19">
        <f t="shared" ref="CC11" si="29">EOMONTH(CB11,1)</f>
        <v>46996</v>
      </c>
      <c r="CD11" s="19">
        <f t="shared" ref="CD11" si="30">EOMONTH(CC11,1)</f>
        <v>47026</v>
      </c>
      <c r="CE11" s="19">
        <f t="shared" ref="CE11" si="31">EOMONTH(CD11,1)</f>
        <v>47057</v>
      </c>
      <c r="CF11" s="19">
        <f t="shared" ref="CF11" si="32">EOMONTH(CE11,1)</f>
        <v>47087</v>
      </c>
      <c r="CG11" s="19">
        <f t="shared" ref="CG11" si="33">EOMONTH(CF11,1)</f>
        <v>47118</v>
      </c>
      <c r="CH11" s="19">
        <f t="shared" ref="CH11" si="34">EOMONTH(CG11,1)</f>
        <v>47149</v>
      </c>
      <c r="CI11" s="19">
        <f t="shared" ref="CI11" si="35">EOMONTH(CH11,1)</f>
        <v>47177</v>
      </c>
      <c r="CJ11" s="19">
        <f t="shared" ref="CJ11" si="36">EOMONTH(CI11,1)</f>
        <v>47208</v>
      </c>
      <c r="CK11" s="19">
        <f t="shared" ref="CK11" si="37">EOMONTH(CJ11,1)</f>
        <v>47238</v>
      </c>
      <c r="CL11" s="19">
        <f t="shared" ref="CL11" si="38">EOMONTH(CK11,1)</f>
        <v>47269</v>
      </c>
      <c r="CM11" s="19">
        <f t="shared" ref="CM11" si="39">EOMONTH(CL11,1)</f>
        <v>47299</v>
      </c>
      <c r="CN11" s="19">
        <f t="shared" ref="CN11" si="40">EOMONTH(CM11,1)</f>
        <v>47330</v>
      </c>
      <c r="CO11" s="19">
        <f t="shared" ref="CO11" si="41">EOMONTH(CN11,1)</f>
        <v>47361</v>
      </c>
      <c r="CP11" s="19">
        <f t="shared" ref="CP11" si="42">EOMONTH(CO11,1)</f>
        <v>47391</v>
      </c>
      <c r="CQ11" s="19">
        <f t="shared" ref="CQ11" si="43">EOMONTH(CP11,1)</f>
        <v>47422</v>
      </c>
      <c r="CR11" s="19">
        <f t="shared" ref="CR11" si="44">EOMONTH(CQ11,1)</f>
        <v>47452</v>
      </c>
      <c r="CS11" s="19">
        <f t="shared" ref="CS11" si="45">EOMONTH(CR11,1)</f>
        <v>47483</v>
      </c>
      <c r="CT11" s="43">
        <f>EOMONTH(CS11,1)</f>
        <v>47514</v>
      </c>
      <c r="CU11" s="43">
        <f t="shared" ref="CU11" si="46">EOMONTH(CT11,1)</f>
        <v>47542</v>
      </c>
      <c r="CV11" s="43">
        <f t="shared" ref="CV11" si="47">EOMONTH(CU11,1)</f>
        <v>47573</v>
      </c>
    </row>
    <row r="12" spans="2:101" x14ac:dyDescent="0.25">
      <c r="D12" s="5"/>
      <c r="F12" s="12"/>
      <c r="G12" s="12"/>
      <c r="H12" s="12"/>
      <c r="I12" s="12"/>
    </row>
    <row r="13" spans="2:101" x14ac:dyDescent="0.25">
      <c r="D13" s="6"/>
      <c r="F13" s="12"/>
      <c r="G13" s="12"/>
      <c r="H13" s="12"/>
      <c r="I13" s="12"/>
    </row>
    <row r="14" spans="2:101" x14ac:dyDescent="0.25">
      <c r="D14" s="6"/>
      <c r="F14" s="23"/>
      <c r="G14" s="23"/>
      <c r="H14" s="23"/>
      <c r="I14" s="23"/>
      <c r="J14" s="21"/>
      <c r="K14" s="21"/>
      <c r="L14" s="21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1"/>
      <c r="CU14" s="21"/>
      <c r="CV14" s="21"/>
      <c r="CW14" s="21"/>
    </row>
    <row r="15" spans="2:101" x14ac:dyDescent="0.25">
      <c r="F15" s="21"/>
      <c r="G15" s="21"/>
      <c r="H15" s="21"/>
      <c r="I15" s="21"/>
      <c r="J15" s="21"/>
      <c r="K15" s="21"/>
      <c r="L15" s="21"/>
      <c r="M15" s="21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21"/>
      <c r="CU15" s="21"/>
      <c r="CV15" s="21"/>
      <c r="CW15" s="21"/>
    </row>
    <row r="16" spans="2:101" x14ac:dyDescent="0.25">
      <c r="B16" t="s">
        <v>158</v>
      </c>
      <c r="D16" s="40" t="s">
        <v>1</v>
      </c>
      <c r="F16" s="21"/>
      <c r="G16" s="21"/>
      <c r="H16" s="21"/>
      <c r="I16" s="21"/>
      <c r="J16" s="21"/>
      <c r="K16" s="21"/>
      <c r="L16" s="21"/>
      <c r="M16" s="21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21"/>
      <c r="CU16" s="21"/>
      <c r="CV16" s="21"/>
      <c r="CW16" s="21"/>
    </row>
    <row r="17" spans="4:101" x14ac:dyDescent="0.25">
      <c r="F17" s="21"/>
      <c r="G17" s="21"/>
      <c r="H17" s="21"/>
      <c r="I17" s="21"/>
      <c r="J17" s="21"/>
      <c r="K17" s="21"/>
      <c r="L17" s="21"/>
      <c r="M17" s="21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21"/>
      <c r="CU17" s="21"/>
      <c r="CV17" s="21"/>
      <c r="CW17" s="21"/>
    </row>
    <row r="18" spans="4:101" x14ac:dyDescent="0.25">
      <c r="D18" s="38" t="s">
        <v>153</v>
      </c>
      <c r="F18" s="21"/>
      <c r="G18" s="21"/>
      <c r="H18" s="21"/>
      <c r="I18" s="21"/>
      <c r="J18" s="21"/>
      <c r="K18" s="21"/>
      <c r="L18" s="21"/>
      <c r="M18" s="21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21"/>
      <c r="CU18" s="21"/>
      <c r="CV18" s="21"/>
      <c r="CW18" s="21"/>
    </row>
    <row r="19" spans="4:101" x14ac:dyDescent="0.25">
      <c r="D19" s="35" t="str">
        <f>[1]Key!$W$12</f>
        <v>BARI</v>
      </c>
      <c r="F19" s="21"/>
      <c r="G19" s="21"/>
      <c r="H19" s="21"/>
      <c r="I19" s="21"/>
      <c r="J19" s="21"/>
      <c r="K19" s="21"/>
      <c r="L19" s="21"/>
      <c r="M19" s="21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39">
        <f>Y73</f>
        <v>0</v>
      </c>
      <c r="AA19" s="39">
        <f ca="1">Z73</f>
        <v>0</v>
      </c>
      <c r="AB19" s="39">
        <f t="shared" ref="AB19:BI26" ca="1" si="48">AA73</f>
        <v>0</v>
      </c>
      <c r="AC19" s="39">
        <f t="shared" ca="1" si="48"/>
        <v>0</v>
      </c>
      <c r="AD19" s="39">
        <f t="shared" ca="1" si="48"/>
        <v>0</v>
      </c>
      <c r="AE19" s="39">
        <f t="shared" ca="1" si="48"/>
        <v>0</v>
      </c>
      <c r="AF19" s="39">
        <f t="shared" ca="1" si="48"/>
        <v>0</v>
      </c>
      <c r="AG19" s="39">
        <f t="shared" ca="1" si="48"/>
        <v>0</v>
      </c>
      <c r="AH19" s="39">
        <f t="shared" ca="1" si="48"/>
        <v>24300</v>
      </c>
      <c r="AI19" s="39">
        <f t="shared" ca="1" si="48"/>
        <v>48600</v>
      </c>
      <c r="AJ19" s="39">
        <f t="shared" ca="1" si="48"/>
        <v>82620</v>
      </c>
      <c r="AK19" s="39">
        <f t="shared" ca="1" si="48"/>
        <v>116640</v>
      </c>
      <c r="AL19" s="39">
        <f t="shared" ca="1" si="48"/>
        <v>58320</v>
      </c>
      <c r="AM19" s="39">
        <f t="shared" ca="1" si="48"/>
        <v>58320</v>
      </c>
      <c r="AN19" s="39">
        <f t="shared" ca="1" si="48"/>
        <v>58320</v>
      </c>
      <c r="AO19" s="39">
        <f t="shared" ca="1" si="48"/>
        <v>0</v>
      </c>
      <c r="AP19" s="39">
        <f t="shared" ca="1" si="48"/>
        <v>116640</v>
      </c>
      <c r="AQ19" s="39">
        <f t="shared" ca="1" si="48"/>
        <v>116640</v>
      </c>
      <c r="AR19" s="39">
        <f t="shared" ca="1" si="48"/>
        <v>58320</v>
      </c>
      <c r="AS19" s="39">
        <f t="shared" ca="1" si="48"/>
        <v>174960</v>
      </c>
      <c r="AT19" s="39">
        <f t="shared" ca="1" si="48"/>
        <v>233280</v>
      </c>
      <c r="AU19" s="39">
        <f t="shared" ca="1" si="48"/>
        <v>138240</v>
      </c>
      <c r="AV19" s="39">
        <f t="shared" ca="1" si="48"/>
        <v>138240</v>
      </c>
      <c r="AW19" s="39">
        <f t="shared" ca="1" si="48"/>
        <v>285120</v>
      </c>
      <c r="AX19" s="39">
        <f t="shared" ca="1" si="48"/>
        <v>168480</v>
      </c>
      <c r="AY19" s="39">
        <f t="shared" ca="1" si="48"/>
        <v>116640</v>
      </c>
      <c r="AZ19" s="39">
        <f t="shared" ca="1" si="48"/>
        <v>116640</v>
      </c>
      <c r="BA19" s="39">
        <f t="shared" ca="1" si="48"/>
        <v>0</v>
      </c>
      <c r="BB19" s="39">
        <f t="shared" ca="1" si="48"/>
        <v>285120</v>
      </c>
      <c r="BC19" s="39">
        <f t="shared" ca="1" si="48"/>
        <v>285120</v>
      </c>
      <c r="BD19" s="39">
        <f t="shared" ca="1" si="48"/>
        <v>0</v>
      </c>
      <c r="BE19" s="39">
        <f t="shared" ca="1" si="48"/>
        <v>116640</v>
      </c>
      <c r="BF19" s="39">
        <f t="shared" ca="1" si="48"/>
        <v>336960</v>
      </c>
      <c r="BG19" s="39">
        <f t="shared" ca="1" si="48"/>
        <v>220320</v>
      </c>
      <c r="BH19" s="39">
        <f t="shared" ca="1" si="48"/>
        <v>138240</v>
      </c>
      <c r="BI19" s="39">
        <f t="shared" ca="1" si="48"/>
        <v>458352</v>
      </c>
      <c r="BJ19" s="39">
        <f t="shared" ref="BJ19:BY30" ca="1" si="49">BI73</f>
        <v>320112</v>
      </c>
      <c r="BK19" s="39">
        <f t="shared" ca="1" si="49"/>
        <v>221616</v>
      </c>
      <c r="BL19" s="39">
        <f t="shared" ca="1" si="49"/>
        <v>221616</v>
      </c>
      <c r="BM19" s="39">
        <f t="shared" ca="1" si="49"/>
        <v>0</v>
      </c>
      <c r="BN19" s="39">
        <f t="shared" ca="1" si="49"/>
        <v>541728</v>
      </c>
      <c r="BO19" s="39">
        <f t="shared" ca="1" si="49"/>
        <v>541728</v>
      </c>
      <c r="BP19" s="39">
        <f t="shared" ca="1" si="49"/>
        <v>0</v>
      </c>
      <c r="BQ19" s="39">
        <f t="shared" ca="1" si="49"/>
        <v>221616</v>
      </c>
      <c r="BR19" s="39">
        <f t="shared" ca="1" si="49"/>
        <v>640224</v>
      </c>
      <c r="BS19" s="39">
        <f t="shared" ca="1" si="49"/>
        <v>418608</v>
      </c>
      <c r="BT19" s="39">
        <f t="shared" ca="1" si="49"/>
        <v>262656</v>
      </c>
      <c r="BU19" s="39">
        <f t="shared" ca="1" si="49"/>
        <v>742824</v>
      </c>
      <c r="BV19" s="39">
        <f t="shared" ca="1" si="49"/>
        <v>480168</v>
      </c>
      <c r="BW19" s="39">
        <f t="shared" ca="1" si="49"/>
        <v>332424</v>
      </c>
      <c r="BX19" s="39">
        <f t="shared" ca="1" si="49"/>
        <v>332424</v>
      </c>
      <c r="BY19" s="39">
        <f t="shared" ca="1" si="49"/>
        <v>0</v>
      </c>
      <c r="BZ19" s="39">
        <f t="shared" ref="BZ19:CO30" ca="1" si="50">BY73</f>
        <v>812592</v>
      </c>
      <c r="CA19" s="39">
        <f t="shared" ca="1" si="50"/>
        <v>812592</v>
      </c>
      <c r="CB19" s="39">
        <f t="shared" ca="1" si="50"/>
        <v>0</v>
      </c>
      <c r="CC19" s="39">
        <f t="shared" ca="1" si="50"/>
        <v>332424</v>
      </c>
      <c r="CD19" s="39">
        <f t="shared" ca="1" si="50"/>
        <v>960336</v>
      </c>
      <c r="CE19" s="39">
        <f t="shared" ca="1" si="50"/>
        <v>627912</v>
      </c>
      <c r="CF19" s="39">
        <f t="shared" ca="1" si="50"/>
        <v>393984</v>
      </c>
      <c r="CG19" s="39">
        <f t="shared" ca="1" si="50"/>
        <v>1018202.4000000001</v>
      </c>
      <c r="CH19" s="39">
        <f t="shared" ca="1" si="50"/>
        <v>624218.40000000014</v>
      </c>
      <c r="CI19" s="39">
        <f t="shared" ca="1" si="50"/>
        <v>432151.2</v>
      </c>
      <c r="CJ19" s="39">
        <f t="shared" ca="1" si="50"/>
        <v>432151.2</v>
      </c>
      <c r="CK19" s="39">
        <f t="shared" ca="1" si="50"/>
        <v>0</v>
      </c>
      <c r="CL19" s="39">
        <f t="shared" ca="1" si="50"/>
        <v>1056369.6000000001</v>
      </c>
      <c r="CM19" s="39">
        <f t="shared" ca="1" si="50"/>
        <v>1056369.6000000001</v>
      </c>
      <c r="CN19" s="39">
        <f t="shared" ca="1" si="50"/>
        <v>0</v>
      </c>
      <c r="CO19" s="39">
        <f t="shared" ca="1" si="50"/>
        <v>432151.2</v>
      </c>
      <c r="CP19" s="39">
        <f t="shared" ref="CP19:CS30" ca="1" si="51">CO73</f>
        <v>1248436.8</v>
      </c>
      <c r="CQ19" s="39">
        <f t="shared" ca="1" si="51"/>
        <v>816285.60000000009</v>
      </c>
      <c r="CR19" s="39">
        <f t="shared" ca="1" si="51"/>
        <v>512179.20000000013</v>
      </c>
      <c r="CS19" s="39">
        <f t="shared" ca="1" si="51"/>
        <v>805615.20000000019</v>
      </c>
      <c r="CT19" s="39">
        <f t="shared" ref="CT19:CT30" ca="1" si="52">CS73</f>
        <v>586872.00000000023</v>
      </c>
      <c r="CU19" s="39">
        <f t="shared" ref="CU19:CV29" ca="1" si="53">CT73</f>
        <v>586872.00000000023</v>
      </c>
      <c r="CV19" s="39">
        <f t="shared" ca="1" si="53"/>
        <v>293436.00000000023</v>
      </c>
      <c r="CW19" s="21"/>
    </row>
    <row r="20" spans="4:101" x14ac:dyDescent="0.25">
      <c r="D20" s="35" t="str">
        <f>[1]Key!$W$13</f>
        <v>BRAIN DEAD OAKLEY</v>
      </c>
      <c r="F20" s="21"/>
      <c r="G20" s="21"/>
      <c r="H20" s="21"/>
      <c r="I20" s="21"/>
      <c r="J20" s="21"/>
      <c r="K20" s="21"/>
      <c r="L20" s="21"/>
      <c r="M20" s="21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39">
        <f t="shared" ref="Z20:AP29" si="54">Y74</f>
        <v>0</v>
      </c>
      <c r="AA20" s="39">
        <f t="shared" ca="1" si="54"/>
        <v>0</v>
      </c>
      <c r="AB20" s="39">
        <f t="shared" ca="1" si="54"/>
        <v>0</v>
      </c>
      <c r="AC20" s="39">
        <f t="shared" ca="1" si="54"/>
        <v>0</v>
      </c>
      <c r="AD20" s="39">
        <f t="shared" ca="1" si="54"/>
        <v>0</v>
      </c>
      <c r="AE20" s="39">
        <f t="shared" ca="1" si="54"/>
        <v>0</v>
      </c>
      <c r="AF20" s="39">
        <f t="shared" ca="1" si="54"/>
        <v>0</v>
      </c>
      <c r="AG20" s="39">
        <f t="shared" ca="1" si="54"/>
        <v>0</v>
      </c>
      <c r="AH20" s="39">
        <f t="shared" ca="1" si="54"/>
        <v>0</v>
      </c>
      <c r="AI20" s="39">
        <f t="shared" ca="1" si="54"/>
        <v>34560</v>
      </c>
      <c r="AJ20" s="39">
        <f t="shared" ca="1" si="54"/>
        <v>34560</v>
      </c>
      <c r="AK20" s="39">
        <f t="shared" ca="1" si="54"/>
        <v>0</v>
      </c>
      <c r="AL20" s="39">
        <f t="shared" ca="1" si="54"/>
        <v>103680</v>
      </c>
      <c r="AM20" s="39">
        <f t="shared" ca="1" si="54"/>
        <v>119880</v>
      </c>
      <c r="AN20" s="39">
        <f t="shared" ca="1" si="54"/>
        <v>16200</v>
      </c>
      <c r="AO20" s="39">
        <f t="shared" ca="1" si="54"/>
        <v>0</v>
      </c>
      <c r="AP20" s="39">
        <f t="shared" ca="1" si="54"/>
        <v>0</v>
      </c>
      <c r="AQ20" s="39">
        <f t="shared" ca="1" si="48"/>
        <v>32400</v>
      </c>
      <c r="AR20" s="39">
        <f t="shared" ca="1" si="48"/>
        <v>32400</v>
      </c>
      <c r="AS20" s="39">
        <f t="shared" ca="1" si="48"/>
        <v>207360</v>
      </c>
      <c r="AT20" s="39">
        <f t="shared" ca="1" si="48"/>
        <v>207360</v>
      </c>
      <c r="AU20" s="39">
        <f t="shared" ca="1" si="48"/>
        <v>0</v>
      </c>
      <c r="AV20" s="39">
        <f t="shared" ca="1" si="48"/>
        <v>0</v>
      </c>
      <c r="AW20" s="39">
        <f t="shared" ca="1" si="48"/>
        <v>0</v>
      </c>
      <c r="AX20" s="39">
        <f t="shared" ca="1" si="48"/>
        <v>194400.00000000003</v>
      </c>
      <c r="AY20" s="39">
        <f t="shared" ca="1" si="48"/>
        <v>194400.00000000003</v>
      </c>
      <c r="AZ20" s="39">
        <f t="shared" ca="1" si="48"/>
        <v>0</v>
      </c>
      <c r="BA20" s="39">
        <f t="shared" ca="1" si="48"/>
        <v>0</v>
      </c>
      <c r="BB20" s="39">
        <f t="shared" ca="1" si="48"/>
        <v>0</v>
      </c>
      <c r="BC20" s="39">
        <f t="shared" ca="1" si="48"/>
        <v>0</v>
      </c>
      <c r="BD20" s="39">
        <f t="shared" ca="1" si="48"/>
        <v>0</v>
      </c>
      <c r="BE20" s="39">
        <f t="shared" ca="1" si="48"/>
        <v>427680</v>
      </c>
      <c r="BF20" s="39">
        <f t="shared" ca="1" si="48"/>
        <v>427680</v>
      </c>
      <c r="BG20" s="39">
        <f t="shared" ca="1" si="48"/>
        <v>0</v>
      </c>
      <c r="BH20" s="39">
        <f t="shared" ca="1" si="48"/>
        <v>0</v>
      </c>
      <c r="BI20" s="39">
        <f t="shared" ca="1" si="48"/>
        <v>0</v>
      </c>
      <c r="BJ20" s="39">
        <f t="shared" ca="1" si="49"/>
        <v>369360</v>
      </c>
      <c r="BK20" s="39">
        <f t="shared" ca="1" si="49"/>
        <v>369360</v>
      </c>
      <c r="BL20" s="39">
        <f t="shared" ca="1" si="49"/>
        <v>0</v>
      </c>
      <c r="BM20" s="39">
        <f t="shared" ca="1" si="49"/>
        <v>0</v>
      </c>
      <c r="BN20" s="39">
        <f t="shared" ca="1" si="49"/>
        <v>0</v>
      </c>
      <c r="BO20" s="39">
        <f t="shared" ca="1" si="49"/>
        <v>0</v>
      </c>
      <c r="BP20" s="39">
        <f t="shared" ca="1" si="49"/>
        <v>0</v>
      </c>
      <c r="BQ20" s="39">
        <f t="shared" ca="1" si="49"/>
        <v>812592</v>
      </c>
      <c r="BR20" s="39">
        <f t="shared" ca="1" si="49"/>
        <v>812592</v>
      </c>
      <c r="BS20" s="39">
        <f t="shared" ca="1" si="49"/>
        <v>0</v>
      </c>
      <c r="BT20" s="39">
        <f t="shared" ca="1" si="49"/>
        <v>0</v>
      </c>
      <c r="BU20" s="39">
        <f t="shared" ca="1" si="49"/>
        <v>0</v>
      </c>
      <c r="BV20" s="39">
        <f t="shared" ca="1" si="49"/>
        <v>554040</v>
      </c>
      <c r="BW20" s="39">
        <f t="shared" ca="1" si="49"/>
        <v>554040</v>
      </c>
      <c r="BX20" s="39">
        <f t="shared" ca="1" si="49"/>
        <v>0</v>
      </c>
      <c r="BY20" s="39">
        <f t="shared" ca="1" si="49"/>
        <v>0</v>
      </c>
      <c r="BZ20" s="39">
        <f t="shared" ca="1" si="50"/>
        <v>0</v>
      </c>
      <c r="CA20" s="39">
        <f t="shared" ca="1" si="50"/>
        <v>0</v>
      </c>
      <c r="CB20" s="39">
        <f t="shared" ca="1" si="50"/>
        <v>0</v>
      </c>
      <c r="CC20" s="39">
        <f t="shared" ca="1" si="50"/>
        <v>1218888</v>
      </c>
      <c r="CD20" s="39">
        <f t="shared" ca="1" si="50"/>
        <v>1218888</v>
      </c>
      <c r="CE20" s="39">
        <f t="shared" ca="1" si="50"/>
        <v>0</v>
      </c>
      <c r="CF20" s="39">
        <f t="shared" ca="1" si="50"/>
        <v>0</v>
      </c>
      <c r="CG20" s="39">
        <f t="shared" ca="1" si="50"/>
        <v>0</v>
      </c>
      <c r="CH20" s="39">
        <f t="shared" ca="1" si="50"/>
        <v>720252</v>
      </c>
      <c r="CI20" s="39">
        <f t="shared" ca="1" si="50"/>
        <v>720252</v>
      </c>
      <c r="CJ20" s="39">
        <f t="shared" ca="1" si="50"/>
        <v>0</v>
      </c>
      <c r="CK20" s="39">
        <f t="shared" ca="1" si="50"/>
        <v>0</v>
      </c>
      <c r="CL20" s="39">
        <f t="shared" ca="1" si="50"/>
        <v>0</v>
      </c>
      <c r="CM20" s="39">
        <f t="shared" ca="1" si="50"/>
        <v>0</v>
      </c>
      <c r="CN20" s="39">
        <f t="shared" ca="1" si="50"/>
        <v>0</v>
      </c>
      <c r="CO20" s="39">
        <f t="shared" ca="1" si="50"/>
        <v>1584554.4</v>
      </c>
      <c r="CP20" s="39">
        <f t="shared" ca="1" si="51"/>
        <v>1584554.4</v>
      </c>
      <c r="CQ20" s="39">
        <f t="shared" ca="1" si="51"/>
        <v>0</v>
      </c>
      <c r="CR20" s="39">
        <f t="shared" ca="1" si="51"/>
        <v>0</v>
      </c>
      <c r="CS20" s="39">
        <f t="shared" ca="1" si="51"/>
        <v>264092.39999999997</v>
      </c>
      <c r="CT20" s="39">
        <f t="shared" ca="1" si="52"/>
        <v>528184.79999999993</v>
      </c>
      <c r="CU20" s="39">
        <f t="shared" ca="1" si="53"/>
        <v>528184.79999999993</v>
      </c>
      <c r="CV20" s="39">
        <f t="shared" ca="1" si="53"/>
        <v>264092.39999999997</v>
      </c>
      <c r="CW20" s="21"/>
    </row>
    <row r="21" spans="4:101" x14ac:dyDescent="0.25">
      <c r="D21" s="35" t="str">
        <f>[1]Key!$W$14</f>
        <v>GROWTH "HIT" PH</v>
      </c>
      <c r="F21" s="21"/>
      <c r="G21" s="21"/>
      <c r="H21" s="21"/>
      <c r="I21" s="21"/>
      <c r="J21" s="21"/>
      <c r="K21" s="21"/>
      <c r="L21" s="21"/>
      <c r="M21" s="21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39">
        <f t="shared" si="54"/>
        <v>0</v>
      </c>
      <c r="AA21" s="39">
        <f t="shared" ca="1" si="54"/>
        <v>0</v>
      </c>
      <c r="AB21" s="39">
        <f t="shared" ca="1" si="48"/>
        <v>0</v>
      </c>
      <c r="AC21" s="39">
        <f t="shared" ca="1" si="48"/>
        <v>0</v>
      </c>
      <c r="AD21" s="39">
        <f t="shared" ca="1" si="48"/>
        <v>0</v>
      </c>
      <c r="AE21" s="39">
        <f t="shared" ca="1" si="48"/>
        <v>0</v>
      </c>
      <c r="AF21" s="39">
        <f t="shared" ca="1" si="48"/>
        <v>0</v>
      </c>
      <c r="AG21" s="39">
        <f t="shared" ca="1" si="48"/>
        <v>0</v>
      </c>
      <c r="AH21" s="39">
        <f t="shared" ca="1" si="48"/>
        <v>0</v>
      </c>
      <c r="AI21" s="39">
        <f t="shared" ca="1" si="48"/>
        <v>0</v>
      </c>
      <c r="AJ21" s="39">
        <f t="shared" ca="1" si="48"/>
        <v>0</v>
      </c>
      <c r="AK21" s="39">
        <f t="shared" ca="1" si="48"/>
        <v>0</v>
      </c>
      <c r="AL21" s="39">
        <f t="shared" ca="1" si="48"/>
        <v>0</v>
      </c>
      <c r="AM21" s="39">
        <f t="shared" ca="1" si="48"/>
        <v>0</v>
      </c>
      <c r="AN21" s="39">
        <f t="shared" ca="1" si="48"/>
        <v>0</v>
      </c>
      <c r="AO21" s="39">
        <f t="shared" ca="1" si="48"/>
        <v>0</v>
      </c>
      <c r="AP21" s="39">
        <f t="shared" ca="1" si="48"/>
        <v>0</v>
      </c>
      <c r="AQ21" s="39">
        <f t="shared" ca="1" si="48"/>
        <v>0</v>
      </c>
      <c r="AR21" s="39">
        <f t="shared" ca="1" si="48"/>
        <v>0</v>
      </c>
      <c r="AS21" s="39">
        <f t="shared" ca="1" si="48"/>
        <v>0</v>
      </c>
      <c r="AT21" s="39">
        <f t="shared" ca="1" si="48"/>
        <v>432000</v>
      </c>
      <c r="AU21" s="39">
        <f t="shared" ca="1" si="48"/>
        <v>432000</v>
      </c>
      <c r="AV21" s="39">
        <f t="shared" ca="1" si="48"/>
        <v>0</v>
      </c>
      <c r="AW21" s="39">
        <f t="shared" ca="1" si="48"/>
        <v>864000</v>
      </c>
      <c r="AX21" s="39">
        <f t="shared" ca="1" si="48"/>
        <v>864000</v>
      </c>
      <c r="AY21" s="39">
        <f t="shared" ca="1" si="48"/>
        <v>0</v>
      </c>
      <c r="AZ21" s="39">
        <f t="shared" ca="1" si="48"/>
        <v>864000</v>
      </c>
      <c r="BA21" s="39">
        <f t="shared" ca="1" si="48"/>
        <v>864000</v>
      </c>
      <c r="BB21" s="39">
        <f t="shared" ca="1" si="48"/>
        <v>0</v>
      </c>
      <c r="BC21" s="39">
        <f t="shared" ca="1" si="48"/>
        <v>1080000</v>
      </c>
      <c r="BD21" s="39">
        <f t="shared" ca="1" si="48"/>
        <v>1080000</v>
      </c>
      <c r="BE21" s="39">
        <f t="shared" ca="1" si="48"/>
        <v>0</v>
      </c>
      <c r="BF21" s="39">
        <f t="shared" ca="1" si="48"/>
        <v>1512000</v>
      </c>
      <c r="BG21" s="39">
        <f t="shared" ca="1" si="48"/>
        <v>1512000</v>
      </c>
      <c r="BH21" s="39">
        <f t="shared" ca="1" si="48"/>
        <v>0</v>
      </c>
      <c r="BI21" s="39">
        <f t="shared" ca="1" si="48"/>
        <v>1641600</v>
      </c>
      <c r="BJ21" s="39">
        <f t="shared" ca="1" si="49"/>
        <v>1641600</v>
      </c>
      <c r="BK21" s="39">
        <f t="shared" ca="1" si="49"/>
        <v>0</v>
      </c>
      <c r="BL21" s="39">
        <f t="shared" ca="1" si="49"/>
        <v>1641600</v>
      </c>
      <c r="BM21" s="39">
        <f t="shared" ca="1" si="49"/>
        <v>1641600</v>
      </c>
      <c r="BN21" s="39">
        <f t="shared" ca="1" si="49"/>
        <v>0</v>
      </c>
      <c r="BO21" s="39">
        <f t="shared" ca="1" si="49"/>
        <v>2052000</v>
      </c>
      <c r="BP21" s="39">
        <f t="shared" ca="1" si="49"/>
        <v>2052000</v>
      </c>
      <c r="BQ21" s="39">
        <f t="shared" ca="1" si="49"/>
        <v>0</v>
      </c>
      <c r="BR21" s="39">
        <f t="shared" ca="1" si="49"/>
        <v>2872800</v>
      </c>
      <c r="BS21" s="39">
        <f t="shared" ca="1" si="49"/>
        <v>2872800</v>
      </c>
      <c r="BT21" s="39">
        <f t="shared" ca="1" si="49"/>
        <v>0</v>
      </c>
      <c r="BU21" s="39">
        <f t="shared" ca="1" si="49"/>
        <v>2462400</v>
      </c>
      <c r="BV21" s="39">
        <f t="shared" ca="1" si="49"/>
        <v>2462400</v>
      </c>
      <c r="BW21" s="39">
        <f t="shared" ca="1" si="49"/>
        <v>0</v>
      </c>
      <c r="BX21" s="39">
        <f t="shared" ca="1" si="49"/>
        <v>2462400</v>
      </c>
      <c r="BY21" s="39">
        <f t="shared" ca="1" si="49"/>
        <v>2462400</v>
      </c>
      <c r="BZ21" s="39">
        <f t="shared" ca="1" si="50"/>
        <v>0</v>
      </c>
      <c r="CA21" s="39">
        <f t="shared" ca="1" si="50"/>
        <v>3078000</v>
      </c>
      <c r="CB21" s="39">
        <f t="shared" ca="1" si="50"/>
        <v>3078000</v>
      </c>
      <c r="CC21" s="39">
        <f t="shared" ca="1" si="50"/>
        <v>0</v>
      </c>
      <c r="CD21" s="39">
        <f t="shared" ca="1" si="50"/>
        <v>4309200</v>
      </c>
      <c r="CE21" s="39">
        <f t="shared" ca="1" si="50"/>
        <v>4309200</v>
      </c>
      <c r="CF21" s="39">
        <f t="shared" ca="1" si="50"/>
        <v>0</v>
      </c>
      <c r="CG21" s="39">
        <f t="shared" ca="1" si="50"/>
        <v>3201120</v>
      </c>
      <c r="CH21" s="39">
        <f t="shared" ca="1" si="50"/>
        <v>3201120</v>
      </c>
      <c r="CI21" s="39">
        <f t="shared" ca="1" si="50"/>
        <v>0</v>
      </c>
      <c r="CJ21" s="39">
        <f t="shared" ca="1" si="50"/>
        <v>3201120</v>
      </c>
      <c r="CK21" s="39">
        <f t="shared" ca="1" si="50"/>
        <v>3201120</v>
      </c>
      <c r="CL21" s="39">
        <f t="shared" ca="1" si="50"/>
        <v>0</v>
      </c>
      <c r="CM21" s="39">
        <f t="shared" ca="1" si="50"/>
        <v>4001400</v>
      </c>
      <c r="CN21" s="39">
        <f t="shared" ca="1" si="50"/>
        <v>4001400</v>
      </c>
      <c r="CO21" s="39">
        <f t="shared" ca="1" si="50"/>
        <v>0</v>
      </c>
      <c r="CP21" s="39">
        <f t="shared" ca="1" si="51"/>
        <v>5601960</v>
      </c>
      <c r="CQ21" s="39">
        <f t="shared" ca="1" si="51"/>
        <v>5601960</v>
      </c>
      <c r="CR21" s="39">
        <f t="shared" ca="1" si="51"/>
        <v>0</v>
      </c>
      <c r="CS21" s="39">
        <f t="shared" ca="1" si="51"/>
        <v>1600560</v>
      </c>
      <c r="CT21" s="39">
        <f t="shared" ca="1" si="52"/>
        <v>3201120</v>
      </c>
      <c r="CU21" s="39">
        <f t="shared" ca="1" si="53"/>
        <v>3201120</v>
      </c>
      <c r="CV21" s="39">
        <f t="shared" ca="1" si="53"/>
        <v>1600560</v>
      </c>
      <c r="CW21" s="21"/>
    </row>
    <row r="22" spans="4:101" x14ac:dyDescent="0.25">
      <c r="D22" s="35" t="str">
        <f>[1]Key!$W$15</f>
        <v>ICE STUDIOS</v>
      </c>
      <c r="F22" s="21"/>
      <c r="G22" s="21"/>
      <c r="H22" s="21"/>
      <c r="I22" s="21"/>
      <c r="J22" s="21"/>
      <c r="K22" s="21"/>
      <c r="L22" s="21"/>
      <c r="M22" s="21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39">
        <f t="shared" si="54"/>
        <v>0</v>
      </c>
      <c r="AA22" s="39">
        <f t="shared" ca="1" si="54"/>
        <v>0</v>
      </c>
      <c r="AB22" s="39">
        <f t="shared" ca="1" si="48"/>
        <v>0</v>
      </c>
      <c r="AC22" s="39">
        <f t="shared" ca="1" si="48"/>
        <v>0</v>
      </c>
      <c r="AD22" s="39">
        <f t="shared" ca="1" si="48"/>
        <v>0</v>
      </c>
      <c r="AE22" s="39">
        <f t="shared" ca="1" si="48"/>
        <v>0</v>
      </c>
      <c r="AF22" s="39">
        <f t="shared" ca="1" si="48"/>
        <v>0</v>
      </c>
      <c r="AG22" s="39">
        <f t="shared" ca="1" si="48"/>
        <v>0</v>
      </c>
      <c r="AH22" s="39">
        <f t="shared" ca="1" si="48"/>
        <v>0</v>
      </c>
      <c r="AI22" s="39">
        <f t="shared" ca="1" si="48"/>
        <v>0</v>
      </c>
      <c r="AJ22" s="39">
        <f t="shared" ca="1" si="48"/>
        <v>110700</v>
      </c>
      <c r="AK22" s="39">
        <f t="shared" ca="1" si="48"/>
        <v>110700</v>
      </c>
      <c r="AL22" s="39">
        <f t="shared" ca="1" si="48"/>
        <v>213840</v>
      </c>
      <c r="AM22" s="39">
        <f t="shared" ca="1" si="48"/>
        <v>213840</v>
      </c>
      <c r="AN22" s="39">
        <f t="shared" ca="1" si="48"/>
        <v>0</v>
      </c>
      <c r="AO22" s="39">
        <f t="shared" ca="1" si="48"/>
        <v>0</v>
      </c>
      <c r="AP22" s="39">
        <f t="shared" ca="1" si="48"/>
        <v>356400</v>
      </c>
      <c r="AQ22" s="39">
        <f t="shared" ca="1" si="48"/>
        <v>356400</v>
      </c>
      <c r="AR22" s="39">
        <f t="shared" ca="1" si="48"/>
        <v>0</v>
      </c>
      <c r="AS22" s="39">
        <f t="shared" ca="1" si="48"/>
        <v>567000</v>
      </c>
      <c r="AT22" s="39">
        <f t="shared" ca="1" si="48"/>
        <v>567000</v>
      </c>
      <c r="AU22" s="39">
        <f t="shared" ca="1" si="48"/>
        <v>0</v>
      </c>
      <c r="AV22" s="39">
        <f t="shared" ca="1" si="48"/>
        <v>684720</v>
      </c>
      <c r="AW22" s="39">
        <f t="shared" ca="1" si="48"/>
        <v>943920</v>
      </c>
      <c r="AX22" s="39">
        <f t="shared" ca="1" si="48"/>
        <v>712800</v>
      </c>
      <c r="AY22" s="39">
        <f t="shared" ca="1" si="48"/>
        <v>453600</v>
      </c>
      <c r="AZ22" s="39">
        <f t="shared" ca="1" si="48"/>
        <v>0</v>
      </c>
      <c r="BA22" s="39">
        <f t="shared" ca="1" si="48"/>
        <v>0</v>
      </c>
      <c r="BB22" s="39">
        <f t="shared" ca="1" si="48"/>
        <v>712800</v>
      </c>
      <c r="BC22" s="39">
        <f t="shared" ca="1" si="48"/>
        <v>712800</v>
      </c>
      <c r="BD22" s="39">
        <f t="shared" ca="1" si="48"/>
        <v>0</v>
      </c>
      <c r="BE22" s="39">
        <f t="shared" ca="1" si="48"/>
        <v>723600</v>
      </c>
      <c r="BF22" s="39">
        <f t="shared" ca="1" si="48"/>
        <v>723600</v>
      </c>
      <c r="BG22" s="39">
        <f t="shared" ca="1" si="48"/>
        <v>51840</v>
      </c>
      <c r="BH22" s="39">
        <f t="shared" ca="1" si="48"/>
        <v>775440</v>
      </c>
      <c r="BI22" s="39">
        <f t="shared" ca="1" si="48"/>
        <v>1339200</v>
      </c>
      <c r="BJ22" s="39">
        <f t="shared" ca="1" si="49"/>
        <v>1692900</v>
      </c>
      <c r="BK22" s="39">
        <f t="shared" ca="1" si="49"/>
        <v>1077300</v>
      </c>
      <c r="BL22" s="39">
        <f t="shared" ca="1" si="49"/>
        <v>0</v>
      </c>
      <c r="BM22" s="39">
        <f t="shared" ca="1" si="49"/>
        <v>0</v>
      </c>
      <c r="BN22" s="39">
        <f t="shared" ca="1" si="49"/>
        <v>1692900</v>
      </c>
      <c r="BO22" s="39">
        <f t="shared" ca="1" si="49"/>
        <v>1692900</v>
      </c>
      <c r="BP22" s="39">
        <f t="shared" ca="1" si="49"/>
        <v>0</v>
      </c>
      <c r="BQ22" s="39">
        <f t="shared" ca="1" si="49"/>
        <v>1718550</v>
      </c>
      <c r="BR22" s="39">
        <f t="shared" ca="1" si="49"/>
        <v>1718550</v>
      </c>
      <c r="BS22" s="39">
        <f t="shared" ca="1" si="49"/>
        <v>123120</v>
      </c>
      <c r="BT22" s="39">
        <f t="shared" ca="1" si="49"/>
        <v>1841670</v>
      </c>
      <c r="BU22" s="39">
        <f t="shared" ca="1" si="49"/>
        <v>3103650</v>
      </c>
      <c r="BV22" s="39">
        <f t="shared" ca="1" si="49"/>
        <v>3809025</v>
      </c>
      <c r="BW22" s="39">
        <f t="shared" ca="1" si="49"/>
        <v>2423925</v>
      </c>
      <c r="BX22" s="39">
        <f t="shared" ca="1" si="49"/>
        <v>0</v>
      </c>
      <c r="BY22" s="39">
        <f t="shared" ca="1" si="49"/>
        <v>0</v>
      </c>
      <c r="BZ22" s="39">
        <f t="shared" ca="1" si="50"/>
        <v>3809025</v>
      </c>
      <c r="CA22" s="39">
        <f t="shared" ca="1" si="50"/>
        <v>3809025</v>
      </c>
      <c r="CB22" s="39">
        <f t="shared" ca="1" si="50"/>
        <v>0</v>
      </c>
      <c r="CC22" s="39">
        <f t="shared" ca="1" si="50"/>
        <v>3866737.5</v>
      </c>
      <c r="CD22" s="39">
        <f t="shared" ca="1" si="50"/>
        <v>3866737.5</v>
      </c>
      <c r="CE22" s="39">
        <f t="shared" ca="1" si="50"/>
        <v>277020</v>
      </c>
      <c r="CF22" s="39">
        <f t="shared" ca="1" si="50"/>
        <v>4143757.5</v>
      </c>
      <c r="CG22" s="39">
        <f t="shared" ca="1" si="50"/>
        <v>6290662.5</v>
      </c>
      <c r="CH22" s="39">
        <f t="shared" ca="1" si="50"/>
        <v>6665793.75</v>
      </c>
      <c r="CI22" s="39">
        <f t="shared" ca="1" si="50"/>
        <v>4241868.75</v>
      </c>
      <c r="CJ22" s="39">
        <f t="shared" ca="1" si="50"/>
        <v>0</v>
      </c>
      <c r="CK22" s="39">
        <f t="shared" ca="1" si="50"/>
        <v>0</v>
      </c>
      <c r="CL22" s="39">
        <f t="shared" ca="1" si="50"/>
        <v>6665793.75</v>
      </c>
      <c r="CM22" s="39">
        <f t="shared" ca="1" si="50"/>
        <v>6665793.75</v>
      </c>
      <c r="CN22" s="39">
        <f t="shared" ca="1" si="50"/>
        <v>0</v>
      </c>
      <c r="CO22" s="39">
        <f t="shared" ca="1" si="50"/>
        <v>6766790.625</v>
      </c>
      <c r="CP22" s="39">
        <f t="shared" ca="1" si="51"/>
        <v>6766790.625</v>
      </c>
      <c r="CQ22" s="39">
        <f t="shared" ca="1" si="51"/>
        <v>484785</v>
      </c>
      <c r="CR22" s="39">
        <f t="shared" ca="1" si="51"/>
        <v>7251575.625</v>
      </c>
      <c r="CS22" s="39">
        <f t="shared" ca="1" si="51"/>
        <v>9103185</v>
      </c>
      <c r="CT22" s="39">
        <f t="shared" ca="1" si="52"/>
        <v>4672788.75</v>
      </c>
      <c r="CU22" s="39">
        <f t="shared" ca="1" si="53"/>
        <v>4672788.75</v>
      </c>
      <c r="CV22" s="39">
        <f t="shared" ca="1" si="53"/>
        <v>2336394.375</v>
      </c>
      <c r="CW22" s="21"/>
    </row>
    <row r="23" spans="4:101" x14ac:dyDescent="0.25">
      <c r="D23" s="35" t="str">
        <f>[1]Key!$W$16</f>
        <v>MURAKAMI / TORITON</v>
      </c>
      <c r="F23" s="21"/>
      <c r="G23" s="21"/>
      <c r="H23" s="21"/>
      <c r="I23" s="21"/>
      <c r="J23" s="21"/>
      <c r="K23" s="21"/>
      <c r="L23" s="21"/>
      <c r="M23" s="21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39">
        <f t="shared" si="54"/>
        <v>0</v>
      </c>
      <c r="AA23" s="39">
        <f t="shared" ca="1" si="54"/>
        <v>138720</v>
      </c>
      <c r="AB23" s="39">
        <f t="shared" ca="1" si="48"/>
        <v>153170</v>
      </c>
      <c r="AC23" s="39">
        <f t="shared" ca="1" si="48"/>
        <v>14450</v>
      </c>
      <c r="AD23" s="39">
        <f t="shared" ca="1" si="48"/>
        <v>14450</v>
      </c>
      <c r="AE23" s="39">
        <f t="shared" ca="1" si="48"/>
        <v>361250</v>
      </c>
      <c r="AF23" s="39">
        <f t="shared" ca="1" si="48"/>
        <v>346800</v>
      </c>
      <c r="AG23" s="39">
        <f t="shared" ca="1" si="48"/>
        <v>28900</v>
      </c>
      <c r="AH23" s="39">
        <f t="shared" ca="1" si="48"/>
        <v>28900</v>
      </c>
      <c r="AI23" s="39">
        <f t="shared" ca="1" si="48"/>
        <v>78000</v>
      </c>
      <c r="AJ23" s="39">
        <f t="shared" ca="1" si="48"/>
        <v>184900</v>
      </c>
      <c r="AK23" s="39">
        <f t="shared" ca="1" si="48"/>
        <v>106900</v>
      </c>
      <c r="AL23" s="39">
        <f t="shared" ca="1" si="48"/>
        <v>260000</v>
      </c>
      <c r="AM23" s="39">
        <f t="shared" ca="1" si="48"/>
        <v>317800</v>
      </c>
      <c r="AN23" s="39">
        <f t="shared" ca="1" si="48"/>
        <v>57800</v>
      </c>
      <c r="AO23" s="39">
        <f t="shared" ca="1" si="48"/>
        <v>325000</v>
      </c>
      <c r="AP23" s="39">
        <f t="shared" ca="1" si="48"/>
        <v>479300</v>
      </c>
      <c r="AQ23" s="39">
        <f t="shared" ca="1" si="48"/>
        <v>243140</v>
      </c>
      <c r="AR23" s="39">
        <f t="shared" ca="1" si="48"/>
        <v>452520</v>
      </c>
      <c r="AS23" s="39">
        <f t="shared" ca="1" si="48"/>
        <v>363680</v>
      </c>
      <c r="AT23" s="39">
        <f t="shared" ca="1" si="48"/>
        <v>43200</v>
      </c>
      <c r="AU23" s="39">
        <f t="shared" ca="1" si="48"/>
        <v>430720</v>
      </c>
      <c r="AV23" s="39">
        <f t="shared" ca="1" si="48"/>
        <v>665220</v>
      </c>
      <c r="AW23" s="39">
        <f t="shared" ca="1" si="48"/>
        <v>335500</v>
      </c>
      <c r="AX23" s="39">
        <f t="shared" ca="1" si="48"/>
        <v>588080</v>
      </c>
      <c r="AY23" s="39">
        <f t="shared" ca="1" si="48"/>
        <v>789480</v>
      </c>
      <c r="AZ23" s="39">
        <f t="shared" ca="1" si="48"/>
        <v>277700</v>
      </c>
      <c r="BA23" s="39">
        <f t="shared" ca="1" si="48"/>
        <v>440500</v>
      </c>
      <c r="BB23" s="39">
        <f t="shared" ca="1" si="48"/>
        <v>784880</v>
      </c>
      <c r="BC23" s="39">
        <f t="shared" ca="1" si="48"/>
        <v>420680</v>
      </c>
      <c r="BD23" s="39">
        <f t="shared" ca="1" si="48"/>
        <v>620480</v>
      </c>
      <c r="BE23" s="39">
        <f t="shared" ca="1" si="48"/>
        <v>821880</v>
      </c>
      <c r="BF23" s="39">
        <f t="shared" ca="1" si="48"/>
        <v>277700</v>
      </c>
      <c r="BG23" s="39">
        <f t="shared" ca="1" si="48"/>
        <v>381780</v>
      </c>
      <c r="BH23" s="39">
        <f t="shared" ca="1" si="48"/>
        <v>622480</v>
      </c>
      <c r="BI23" s="39">
        <f t="shared" ca="1" si="48"/>
        <v>396475</v>
      </c>
      <c r="BJ23" s="39">
        <f t="shared" ca="1" si="49"/>
        <v>1396690</v>
      </c>
      <c r="BK23" s="39">
        <f t="shared" ca="1" si="49"/>
        <v>1875015</v>
      </c>
      <c r="BL23" s="39">
        <f t="shared" ca="1" si="49"/>
        <v>659537.5</v>
      </c>
      <c r="BM23" s="39">
        <f t="shared" ca="1" si="49"/>
        <v>1046187.5</v>
      </c>
      <c r="BN23" s="39">
        <f t="shared" ca="1" si="49"/>
        <v>1864090</v>
      </c>
      <c r="BO23" s="39">
        <f t="shared" ca="1" si="49"/>
        <v>999115</v>
      </c>
      <c r="BP23" s="39">
        <f t="shared" ca="1" si="49"/>
        <v>1473640</v>
      </c>
      <c r="BQ23" s="39">
        <f t="shared" ca="1" si="49"/>
        <v>1951965</v>
      </c>
      <c r="BR23" s="39">
        <f t="shared" ca="1" si="49"/>
        <v>659537.5</v>
      </c>
      <c r="BS23" s="39">
        <f t="shared" ca="1" si="49"/>
        <v>906727.5</v>
      </c>
      <c r="BT23" s="39">
        <f t="shared" ca="1" si="49"/>
        <v>1478390</v>
      </c>
      <c r="BU23" s="39">
        <f t="shared" ca="1" si="49"/>
        <v>855831.25</v>
      </c>
      <c r="BV23" s="39">
        <f t="shared" ca="1" si="49"/>
        <v>2444207.5</v>
      </c>
      <c r="BW23" s="39">
        <f t="shared" ca="1" si="49"/>
        <v>3281276.25</v>
      </c>
      <c r="BX23" s="39">
        <f t="shared" ca="1" si="49"/>
        <v>1154190.625</v>
      </c>
      <c r="BY23" s="39">
        <f t="shared" ca="1" si="49"/>
        <v>1830828.125</v>
      </c>
      <c r="BZ23" s="39">
        <f t="shared" ca="1" si="50"/>
        <v>3262157.5</v>
      </c>
      <c r="CA23" s="39">
        <f t="shared" ca="1" si="50"/>
        <v>1748451.25</v>
      </c>
      <c r="CB23" s="39">
        <f t="shared" ca="1" si="50"/>
        <v>2578870</v>
      </c>
      <c r="CC23" s="39">
        <f t="shared" ca="1" si="50"/>
        <v>3415938.75</v>
      </c>
      <c r="CD23" s="39">
        <f t="shared" ca="1" si="50"/>
        <v>1154190.625</v>
      </c>
      <c r="CE23" s="39">
        <f t="shared" ca="1" si="50"/>
        <v>1586773.125</v>
      </c>
      <c r="CF23" s="39">
        <f t="shared" ca="1" si="50"/>
        <v>2587182.5</v>
      </c>
      <c r="CG23" s="39">
        <f t="shared" ca="1" si="50"/>
        <v>1437646.875</v>
      </c>
      <c r="CH23" s="39">
        <f t="shared" ca="1" si="50"/>
        <v>3666311.25</v>
      </c>
      <c r="CI23" s="39">
        <f t="shared" ca="1" si="50"/>
        <v>4921914.375</v>
      </c>
      <c r="CJ23" s="39">
        <f t="shared" ca="1" si="50"/>
        <v>1731285.9375</v>
      </c>
      <c r="CK23" s="39">
        <f t="shared" ca="1" si="50"/>
        <v>2746242.1875</v>
      </c>
      <c r="CL23" s="39">
        <f t="shared" ca="1" si="50"/>
        <v>4893236.25</v>
      </c>
      <c r="CM23" s="39">
        <f t="shared" ca="1" si="50"/>
        <v>2622676.875</v>
      </c>
      <c r="CN23" s="39">
        <f t="shared" ca="1" si="50"/>
        <v>3868305</v>
      </c>
      <c r="CO23" s="39">
        <f t="shared" ca="1" si="50"/>
        <v>5123908.125</v>
      </c>
      <c r="CP23" s="39">
        <f t="shared" ca="1" si="51"/>
        <v>1731285.9375</v>
      </c>
      <c r="CQ23" s="39">
        <f t="shared" ca="1" si="51"/>
        <v>2380159.6875</v>
      </c>
      <c r="CR23" s="39">
        <f t="shared" ca="1" si="51"/>
        <v>3880773.75</v>
      </c>
      <c r="CS23" s="39">
        <f t="shared" ca="1" si="51"/>
        <v>3196010.78125</v>
      </c>
      <c r="CT23" s="39">
        <f t="shared" ca="1" si="52"/>
        <v>3160121.5625</v>
      </c>
      <c r="CU23" s="39">
        <f t="shared" ca="1" si="53"/>
        <v>3160121.5625</v>
      </c>
      <c r="CV23" s="39">
        <f t="shared" ca="1" si="53"/>
        <v>1580060.78125</v>
      </c>
      <c r="CW23" s="21"/>
    </row>
    <row r="24" spans="4:101" x14ac:dyDescent="0.25">
      <c r="D24" s="35" t="str">
        <f>[1]Key!$W$17</f>
        <v>NEW PARTNER 1</v>
      </c>
      <c r="F24" s="21"/>
      <c r="G24" s="21"/>
      <c r="H24" s="21"/>
      <c r="I24" s="21"/>
      <c r="J24" s="21"/>
      <c r="K24" s="21"/>
      <c r="L24" s="21"/>
      <c r="M24" s="21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39">
        <f t="shared" si="54"/>
        <v>0</v>
      </c>
      <c r="AA24" s="39">
        <f t="shared" ca="1" si="54"/>
        <v>0</v>
      </c>
      <c r="AB24" s="39">
        <f t="shared" ca="1" si="48"/>
        <v>0</v>
      </c>
      <c r="AC24" s="39">
        <f t="shared" ca="1" si="48"/>
        <v>0</v>
      </c>
      <c r="AD24" s="39">
        <f t="shared" ca="1" si="48"/>
        <v>0</v>
      </c>
      <c r="AE24" s="39">
        <f t="shared" ca="1" si="48"/>
        <v>0</v>
      </c>
      <c r="AF24" s="39">
        <f t="shared" ca="1" si="48"/>
        <v>0</v>
      </c>
      <c r="AG24" s="39">
        <f t="shared" ca="1" si="48"/>
        <v>0</v>
      </c>
      <c r="AH24" s="39">
        <f t="shared" ca="1" si="48"/>
        <v>0</v>
      </c>
      <c r="AI24" s="39">
        <f t="shared" ca="1" si="48"/>
        <v>0</v>
      </c>
      <c r="AJ24" s="39">
        <f t="shared" ca="1" si="48"/>
        <v>0</v>
      </c>
      <c r="AK24" s="39">
        <f t="shared" ca="1" si="48"/>
        <v>0</v>
      </c>
      <c r="AL24" s="39">
        <f t="shared" ca="1" si="48"/>
        <v>0</v>
      </c>
      <c r="AM24" s="39">
        <f t="shared" ca="1" si="48"/>
        <v>0</v>
      </c>
      <c r="AN24" s="39">
        <f t="shared" ca="1" si="48"/>
        <v>0</v>
      </c>
      <c r="AO24" s="39">
        <f t="shared" ca="1" si="48"/>
        <v>0</v>
      </c>
      <c r="AP24" s="39">
        <f t="shared" ca="1" si="48"/>
        <v>0</v>
      </c>
      <c r="AQ24" s="39">
        <f t="shared" ca="1" si="48"/>
        <v>0</v>
      </c>
      <c r="AR24" s="39">
        <f t="shared" ca="1" si="48"/>
        <v>0</v>
      </c>
      <c r="AS24" s="39">
        <f t="shared" ca="1" si="48"/>
        <v>0</v>
      </c>
      <c r="AT24" s="39">
        <f t="shared" ca="1" si="48"/>
        <v>0</v>
      </c>
      <c r="AU24" s="39">
        <f t="shared" ca="1" si="48"/>
        <v>0</v>
      </c>
      <c r="AV24" s="39">
        <f t="shared" ca="1" si="48"/>
        <v>0</v>
      </c>
      <c r="AW24" s="39">
        <f t="shared" ca="1" si="48"/>
        <v>103680</v>
      </c>
      <c r="AX24" s="39">
        <f t="shared" ca="1" si="48"/>
        <v>103680</v>
      </c>
      <c r="AY24" s="39">
        <f t="shared" ca="1" si="48"/>
        <v>0</v>
      </c>
      <c r="AZ24" s="39">
        <f t="shared" ca="1" si="48"/>
        <v>0</v>
      </c>
      <c r="BA24" s="39">
        <f t="shared" ca="1" si="48"/>
        <v>0</v>
      </c>
      <c r="BB24" s="39">
        <f t="shared" ca="1" si="48"/>
        <v>0</v>
      </c>
      <c r="BC24" s="39">
        <f t="shared" ca="1" si="48"/>
        <v>216000</v>
      </c>
      <c r="BD24" s="39">
        <f t="shared" ca="1" si="48"/>
        <v>216000</v>
      </c>
      <c r="BE24" s="39">
        <f t="shared" ca="1" si="48"/>
        <v>0</v>
      </c>
      <c r="BF24" s="39">
        <f t="shared" ca="1" si="48"/>
        <v>0</v>
      </c>
      <c r="BG24" s="39">
        <f t="shared" ca="1" si="48"/>
        <v>0</v>
      </c>
      <c r="BH24" s="39">
        <f t="shared" ca="1" si="48"/>
        <v>0</v>
      </c>
      <c r="BI24" s="39">
        <f t="shared" ca="1" si="48"/>
        <v>295488</v>
      </c>
      <c r="BJ24" s="39">
        <f t="shared" ca="1" si="49"/>
        <v>295488</v>
      </c>
      <c r="BK24" s="39">
        <f t="shared" ca="1" si="49"/>
        <v>0</v>
      </c>
      <c r="BL24" s="39">
        <f t="shared" ca="1" si="49"/>
        <v>0</v>
      </c>
      <c r="BM24" s="39">
        <f t="shared" ca="1" si="49"/>
        <v>0</v>
      </c>
      <c r="BN24" s="39">
        <f t="shared" ca="1" si="49"/>
        <v>0</v>
      </c>
      <c r="BO24" s="39">
        <f t="shared" ca="1" si="49"/>
        <v>615600</v>
      </c>
      <c r="BP24" s="39">
        <f t="shared" ca="1" si="49"/>
        <v>615600</v>
      </c>
      <c r="BQ24" s="39">
        <f t="shared" ca="1" si="49"/>
        <v>0</v>
      </c>
      <c r="BR24" s="39">
        <f t="shared" ca="1" si="49"/>
        <v>0</v>
      </c>
      <c r="BS24" s="39">
        <f t="shared" ca="1" si="49"/>
        <v>0</v>
      </c>
      <c r="BT24" s="39">
        <f t="shared" ca="1" si="49"/>
        <v>0</v>
      </c>
      <c r="BU24" s="39">
        <f t="shared" ca="1" si="49"/>
        <v>738720</v>
      </c>
      <c r="BV24" s="39">
        <f t="shared" ca="1" si="49"/>
        <v>738720</v>
      </c>
      <c r="BW24" s="39">
        <f t="shared" ca="1" si="49"/>
        <v>0</v>
      </c>
      <c r="BX24" s="39">
        <f t="shared" ca="1" si="49"/>
        <v>0</v>
      </c>
      <c r="BY24" s="39">
        <f t="shared" ca="1" si="49"/>
        <v>0</v>
      </c>
      <c r="BZ24" s="39">
        <f t="shared" ca="1" si="50"/>
        <v>0</v>
      </c>
      <c r="CA24" s="39">
        <f t="shared" ca="1" si="50"/>
        <v>1539000</v>
      </c>
      <c r="CB24" s="39">
        <f t="shared" ca="1" si="50"/>
        <v>1539000</v>
      </c>
      <c r="CC24" s="39">
        <f t="shared" ca="1" si="50"/>
        <v>0</v>
      </c>
      <c r="CD24" s="39">
        <f t="shared" ca="1" si="50"/>
        <v>0</v>
      </c>
      <c r="CE24" s="39">
        <f t="shared" ca="1" si="50"/>
        <v>0</v>
      </c>
      <c r="CF24" s="39">
        <f t="shared" ca="1" si="50"/>
        <v>0</v>
      </c>
      <c r="CG24" s="39">
        <f t="shared" ca="1" si="50"/>
        <v>1292760</v>
      </c>
      <c r="CH24" s="39">
        <f t="shared" ca="1" si="50"/>
        <v>1292760</v>
      </c>
      <c r="CI24" s="39">
        <f t="shared" ca="1" si="50"/>
        <v>0</v>
      </c>
      <c r="CJ24" s="39">
        <f t="shared" ca="1" si="50"/>
        <v>0</v>
      </c>
      <c r="CK24" s="39">
        <f t="shared" ca="1" si="50"/>
        <v>0</v>
      </c>
      <c r="CL24" s="39">
        <f t="shared" ca="1" si="50"/>
        <v>0</v>
      </c>
      <c r="CM24" s="39">
        <f t="shared" ca="1" si="50"/>
        <v>2693250</v>
      </c>
      <c r="CN24" s="39">
        <f t="shared" ca="1" si="50"/>
        <v>2693250</v>
      </c>
      <c r="CO24" s="39">
        <f t="shared" ca="1" si="50"/>
        <v>0</v>
      </c>
      <c r="CP24" s="39">
        <f t="shared" ca="1" si="51"/>
        <v>0</v>
      </c>
      <c r="CQ24" s="39">
        <f t="shared" ca="1" si="51"/>
        <v>0</v>
      </c>
      <c r="CR24" s="39">
        <f t="shared" ca="1" si="51"/>
        <v>0</v>
      </c>
      <c r="CS24" s="39">
        <f t="shared" ca="1" si="51"/>
        <v>448875</v>
      </c>
      <c r="CT24" s="39">
        <f t="shared" ca="1" si="52"/>
        <v>897750</v>
      </c>
      <c r="CU24" s="39">
        <f t="shared" ca="1" si="53"/>
        <v>897750</v>
      </c>
      <c r="CV24" s="39">
        <f t="shared" ca="1" si="53"/>
        <v>448875</v>
      </c>
      <c r="CW24" s="21"/>
    </row>
    <row r="25" spans="4:101" x14ac:dyDescent="0.25">
      <c r="D25" s="35" t="str">
        <f>[1]Key!$W$18</f>
        <v>NEW PARTNER 2</v>
      </c>
      <c r="F25" s="21"/>
      <c r="G25" s="21"/>
      <c r="H25" s="21"/>
      <c r="I25" s="21"/>
      <c r="J25" s="21"/>
      <c r="K25" s="21"/>
      <c r="L25" s="21"/>
      <c r="M25" s="21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39">
        <f t="shared" si="54"/>
        <v>0</v>
      </c>
      <c r="AA25" s="39">
        <f t="shared" ca="1" si="54"/>
        <v>0</v>
      </c>
      <c r="AB25" s="39">
        <f t="shared" ca="1" si="48"/>
        <v>0</v>
      </c>
      <c r="AC25" s="39">
        <f t="shared" ca="1" si="48"/>
        <v>0</v>
      </c>
      <c r="AD25" s="39">
        <f t="shared" ca="1" si="48"/>
        <v>0</v>
      </c>
      <c r="AE25" s="39">
        <f t="shared" ca="1" si="48"/>
        <v>0</v>
      </c>
      <c r="AF25" s="39">
        <f t="shared" ca="1" si="48"/>
        <v>0</v>
      </c>
      <c r="AG25" s="39">
        <f t="shared" ca="1" si="48"/>
        <v>0</v>
      </c>
      <c r="AH25" s="39">
        <f t="shared" ca="1" si="48"/>
        <v>0</v>
      </c>
      <c r="AI25" s="39">
        <f t="shared" ca="1" si="48"/>
        <v>0</v>
      </c>
      <c r="AJ25" s="39">
        <f t="shared" ca="1" si="48"/>
        <v>0</v>
      </c>
      <c r="AK25" s="39">
        <f t="shared" ca="1" si="48"/>
        <v>0</v>
      </c>
      <c r="AL25" s="39">
        <f t="shared" ca="1" si="48"/>
        <v>0</v>
      </c>
      <c r="AM25" s="39">
        <f t="shared" ca="1" si="48"/>
        <v>0</v>
      </c>
      <c r="AN25" s="39">
        <f t="shared" ca="1" si="48"/>
        <v>0</v>
      </c>
      <c r="AO25" s="39">
        <f t="shared" ca="1" si="48"/>
        <v>0</v>
      </c>
      <c r="AP25" s="39">
        <f t="shared" ca="1" si="48"/>
        <v>0</v>
      </c>
      <c r="AQ25" s="39">
        <f t="shared" ca="1" si="48"/>
        <v>0</v>
      </c>
      <c r="AR25" s="39">
        <f t="shared" ca="1" si="48"/>
        <v>0</v>
      </c>
      <c r="AS25" s="39">
        <f t="shared" ca="1" si="48"/>
        <v>0</v>
      </c>
      <c r="AT25" s="39">
        <f t="shared" ca="1" si="48"/>
        <v>0</v>
      </c>
      <c r="AU25" s="39">
        <f t="shared" ca="1" si="48"/>
        <v>0</v>
      </c>
      <c r="AV25" s="39">
        <f t="shared" ca="1" si="48"/>
        <v>0</v>
      </c>
      <c r="AW25" s="39">
        <f t="shared" ca="1" si="48"/>
        <v>216000</v>
      </c>
      <c r="AX25" s="39">
        <f t="shared" ca="1" si="48"/>
        <v>216000</v>
      </c>
      <c r="AY25" s="39">
        <f t="shared" ca="1" si="48"/>
        <v>0</v>
      </c>
      <c r="AZ25" s="39">
        <f t="shared" ca="1" si="48"/>
        <v>0</v>
      </c>
      <c r="BA25" s="39">
        <f t="shared" ca="1" si="48"/>
        <v>0</v>
      </c>
      <c r="BB25" s="39">
        <f t="shared" ca="1" si="48"/>
        <v>0</v>
      </c>
      <c r="BC25" s="39">
        <f t="shared" ca="1" si="48"/>
        <v>518400.00000000006</v>
      </c>
      <c r="BD25" s="39">
        <f t="shared" ca="1" si="48"/>
        <v>518400.00000000006</v>
      </c>
      <c r="BE25" s="39">
        <f t="shared" ca="1" si="48"/>
        <v>0</v>
      </c>
      <c r="BF25" s="39">
        <f t="shared" ca="1" si="48"/>
        <v>0</v>
      </c>
      <c r="BG25" s="39">
        <f t="shared" ca="1" si="48"/>
        <v>103680</v>
      </c>
      <c r="BH25" s="39">
        <f t="shared" ca="1" si="48"/>
        <v>103680</v>
      </c>
      <c r="BI25" s="39">
        <f t="shared" ca="1" si="48"/>
        <v>615600</v>
      </c>
      <c r="BJ25" s="39">
        <f t="shared" ca="1" si="49"/>
        <v>615600</v>
      </c>
      <c r="BK25" s="39">
        <f t="shared" ca="1" si="49"/>
        <v>0</v>
      </c>
      <c r="BL25" s="39">
        <f t="shared" ca="1" si="49"/>
        <v>0</v>
      </c>
      <c r="BM25" s="39">
        <f t="shared" ca="1" si="49"/>
        <v>0</v>
      </c>
      <c r="BN25" s="39">
        <f t="shared" ca="1" si="49"/>
        <v>0</v>
      </c>
      <c r="BO25" s="39">
        <f t="shared" ca="1" si="49"/>
        <v>1477440</v>
      </c>
      <c r="BP25" s="39">
        <f t="shared" ca="1" si="49"/>
        <v>1477440</v>
      </c>
      <c r="BQ25" s="39">
        <f t="shared" ca="1" si="49"/>
        <v>0</v>
      </c>
      <c r="BR25" s="39">
        <f t="shared" ca="1" si="49"/>
        <v>0</v>
      </c>
      <c r="BS25" s="39">
        <f t="shared" ca="1" si="49"/>
        <v>295488</v>
      </c>
      <c r="BT25" s="39">
        <f t="shared" ca="1" si="49"/>
        <v>295488</v>
      </c>
      <c r="BU25" s="39">
        <f t="shared" ca="1" si="49"/>
        <v>1539000</v>
      </c>
      <c r="BV25" s="39">
        <f t="shared" ca="1" si="49"/>
        <v>1539000</v>
      </c>
      <c r="BW25" s="39">
        <f t="shared" ca="1" si="49"/>
        <v>0</v>
      </c>
      <c r="BX25" s="39">
        <f t="shared" ca="1" si="49"/>
        <v>0</v>
      </c>
      <c r="BY25" s="39">
        <f t="shared" ca="1" si="49"/>
        <v>0</v>
      </c>
      <c r="BZ25" s="39">
        <f t="shared" ca="1" si="50"/>
        <v>0</v>
      </c>
      <c r="CA25" s="39">
        <f t="shared" ca="1" si="50"/>
        <v>3693600</v>
      </c>
      <c r="CB25" s="39">
        <f t="shared" ca="1" si="50"/>
        <v>3693600</v>
      </c>
      <c r="CC25" s="39">
        <f t="shared" ca="1" si="50"/>
        <v>0</v>
      </c>
      <c r="CD25" s="39">
        <f t="shared" ca="1" si="50"/>
        <v>0</v>
      </c>
      <c r="CE25" s="39">
        <f t="shared" ca="1" si="50"/>
        <v>738720</v>
      </c>
      <c r="CF25" s="39">
        <f t="shared" ca="1" si="50"/>
        <v>738720</v>
      </c>
      <c r="CG25" s="39">
        <f t="shared" ca="1" si="50"/>
        <v>2693250</v>
      </c>
      <c r="CH25" s="39">
        <f t="shared" ca="1" si="50"/>
        <v>2693250</v>
      </c>
      <c r="CI25" s="39">
        <f t="shared" ca="1" si="50"/>
        <v>0</v>
      </c>
      <c r="CJ25" s="39">
        <f t="shared" ca="1" si="50"/>
        <v>0</v>
      </c>
      <c r="CK25" s="39">
        <f t="shared" ca="1" si="50"/>
        <v>0</v>
      </c>
      <c r="CL25" s="39">
        <f t="shared" ca="1" si="50"/>
        <v>0</v>
      </c>
      <c r="CM25" s="39">
        <f t="shared" ca="1" si="50"/>
        <v>6463800</v>
      </c>
      <c r="CN25" s="39">
        <f t="shared" ca="1" si="50"/>
        <v>6463800</v>
      </c>
      <c r="CO25" s="39">
        <f t="shared" ca="1" si="50"/>
        <v>0</v>
      </c>
      <c r="CP25" s="39">
        <f t="shared" ca="1" si="51"/>
        <v>0</v>
      </c>
      <c r="CQ25" s="39">
        <f t="shared" ca="1" si="51"/>
        <v>1292760</v>
      </c>
      <c r="CR25" s="39">
        <f t="shared" ca="1" si="51"/>
        <v>1292760</v>
      </c>
      <c r="CS25" s="39">
        <f t="shared" ca="1" si="51"/>
        <v>1292760</v>
      </c>
      <c r="CT25" s="39">
        <f t="shared" ca="1" si="52"/>
        <v>2585520</v>
      </c>
      <c r="CU25" s="39">
        <f t="shared" ca="1" si="53"/>
        <v>2585520</v>
      </c>
      <c r="CV25" s="39">
        <f t="shared" ca="1" si="53"/>
        <v>1292760</v>
      </c>
      <c r="CW25" s="21"/>
    </row>
    <row r="26" spans="4:101" x14ac:dyDescent="0.25">
      <c r="D26" s="35" t="str">
        <f>[1]Key!$W$19</f>
        <v>PIGALLE</v>
      </c>
      <c r="F26" s="21"/>
      <c r="G26" s="21"/>
      <c r="H26" s="21"/>
      <c r="I26" s="21"/>
      <c r="J26" s="21"/>
      <c r="K26" s="21"/>
      <c r="L26" s="21"/>
      <c r="M26" s="21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39">
        <f t="shared" si="54"/>
        <v>0</v>
      </c>
      <c r="AA26" s="39">
        <f t="shared" ca="1" si="54"/>
        <v>0</v>
      </c>
      <c r="AB26" s="39">
        <f t="shared" ca="1" si="48"/>
        <v>0</v>
      </c>
      <c r="AC26" s="39">
        <f t="shared" ca="1" si="48"/>
        <v>0</v>
      </c>
      <c r="AD26" s="39">
        <f t="shared" ca="1" si="48"/>
        <v>0</v>
      </c>
      <c r="AE26" s="39">
        <f t="shared" ca="1" si="48"/>
        <v>0</v>
      </c>
      <c r="AF26" s="39">
        <f t="shared" ca="1" si="48"/>
        <v>0</v>
      </c>
      <c r="AG26" s="39">
        <f t="shared" ca="1" si="48"/>
        <v>0</v>
      </c>
      <c r="AH26" s="39">
        <f t="shared" ca="1" si="48"/>
        <v>0</v>
      </c>
      <c r="AI26" s="39">
        <f t="shared" ca="1" si="48"/>
        <v>0</v>
      </c>
      <c r="AJ26" s="39">
        <f t="shared" ca="1" si="48"/>
        <v>0</v>
      </c>
      <c r="AK26" s="39">
        <f t="shared" ca="1" si="48"/>
        <v>0</v>
      </c>
      <c r="AL26" s="39">
        <f t="shared" ca="1" si="48"/>
        <v>0</v>
      </c>
      <c r="AM26" s="39">
        <f t="shared" ca="1" si="48"/>
        <v>0</v>
      </c>
      <c r="AN26" s="39">
        <f t="shared" ca="1" si="48"/>
        <v>0</v>
      </c>
      <c r="AO26" s="39">
        <f t="shared" ca="1" si="48"/>
        <v>32400</v>
      </c>
      <c r="AP26" s="39">
        <f t="shared" ca="1" si="48"/>
        <v>32400</v>
      </c>
      <c r="AQ26" s="39">
        <f t="shared" ca="1" si="48"/>
        <v>64800</v>
      </c>
      <c r="AR26" s="39">
        <f t="shared" ca="1" si="48"/>
        <v>64800</v>
      </c>
      <c r="AS26" s="39">
        <f t="shared" ca="1" si="48"/>
        <v>0</v>
      </c>
      <c r="AT26" s="39">
        <f t="shared" ca="1" si="48"/>
        <v>0</v>
      </c>
      <c r="AU26" s="39">
        <f t="shared" ca="1" si="48"/>
        <v>129600</v>
      </c>
      <c r="AV26" s="39">
        <f t="shared" ca="1" si="48"/>
        <v>129600</v>
      </c>
      <c r="AW26" s="39">
        <f t="shared" ca="1" si="48"/>
        <v>0</v>
      </c>
      <c r="AX26" s="39">
        <f t="shared" ca="1" si="48"/>
        <v>129600</v>
      </c>
      <c r="AY26" s="39">
        <f t="shared" ca="1" si="48"/>
        <v>129600</v>
      </c>
      <c r="AZ26" s="39">
        <f t="shared" ca="1" si="48"/>
        <v>0</v>
      </c>
      <c r="BA26" s="39">
        <f t="shared" ca="1" si="48"/>
        <v>129600</v>
      </c>
      <c r="BB26" s="39">
        <f t="shared" ca="1" si="48"/>
        <v>129600</v>
      </c>
      <c r="BC26" s="39">
        <f t="shared" ca="1" si="48"/>
        <v>0</v>
      </c>
      <c r="BD26" s="39">
        <f t="shared" ca="1" si="48"/>
        <v>129600</v>
      </c>
      <c r="BE26" s="39">
        <f t="shared" ca="1" si="48"/>
        <v>129600</v>
      </c>
      <c r="BF26" s="39">
        <f t="shared" ca="1" si="48"/>
        <v>0</v>
      </c>
      <c r="BG26" s="39">
        <f t="shared" ca="1" si="48"/>
        <v>129600</v>
      </c>
      <c r="BH26" s="39">
        <f t="shared" ref="AB26:BI29" ca="1" si="55">BG80</f>
        <v>129600</v>
      </c>
      <c r="BI26" s="39">
        <f t="shared" ca="1" si="55"/>
        <v>0</v>
      </c>
      <c r="BJ26" s="39">
        <f t="shared" ca="1" si="49"/>
        <v>246240</v>
      </c>
      <c r="BK26" s="39">
        <f t="shared" ca="1" si="49"/>
        <v>246240</v>
      </c>
      <c r="BL26" s="39">
        <f t="shared" ca="1" si="49"/>
        <v>0</v>
      </c>
      <c r="BM26" s="39">
        <f t="shared" ca="1" si="49"/>
        <v>246240</v>
      </c>
      <c r="BN26" s="39">
        <f t="shared" ca="1" si="49"/>
        <v>246240</v>
      </c>
      <c r="BO26" s="39">
        <f t="shared" ca="1" si="49"/>
        <v>0</v>
      </c>
      <c r="BP26" s="39">
        <f t="shared" ca="1" si="49"/>
        <v>246240</v>
      </c>
      <c r="BQ26" s="39">
        <f t="shared" ca="1" si="49"/>
        <v>246240</v>
      </c>
      <c r="BR26" s="39">
        <f t="shared" ca="1" si="49"/>
        <v>0</v>
      </c>
      <c r="BS26" s="39">
        <f t="shared" ca="1" si="49"/>
        <v>246240</v>
      </c>
      <c r="BT26" s="39">
        <f t="shared" ca="1" si="49"/>
        <v>246240</v>
      </c>
      <c r="BU26" s="39">
        <f t="shared" ca="1" si="49"/>
        <v>0</v>
      </c>
      <c r="BV26" s="39">
        <f t="shared" ca="1" si="49"/>
        <v>369360</v>
      </c>
      <c r="BW26" s="39">
        <f t="shared" ca="1" si="49"/>
        <v>369360</v>
      </c>
      <c r="BX26" s="39">
        <f t="shared" ca="1" si="49"/>
        <v>0</v>
      </c>
      <c r="BY26" s="39">
        <f t="shared" ca="1" si="49"/>
        <v>369360</v>
      </c>
      <c r="BZ26" s="39">
        <f t="shared" ca="1" si="50"/>
        <v>369360</v>
      </c>
      <c r="CA26" s="39">
        <f t="shared" ca="1" si="50"/>
        <v>0</v>
      </c>
      <c r="CB26" s="39">
        <f t="shared" ca="1" si="50"/>
        <v>369360</v>
      </c>
      <c r="CC26" s="39">
        <f t="shared" ca="1" si="50"/>
        <v>369360</v>
      </c>
      <c r="CD26" s="39">
        <f t="shared" ca="1" si="50"/>
        <v>0</v>
      </c>
      <c r="CE26" s="39">
        <f t="shared" ca="1" si="50"/>
        <v>369360</v>
      </c>
      <c r="CF26" s="39">
        <f t="shared" ca="1" si="50"/>
        <v>369360</v>
      </c>
      <c r="CG26" s="39">
        <f t="shared" ca="1" si="50"/>
        <v>0</v>
      </c>
      <c r="CH26" s="39">
        <f t="shared" ca="1" si="50"/>
        <v>480168</v>
      </c>
      <c r="CI26" s="39">
        <f t="shared" ca="1" si="50"/>
        <v>480168</v>
      </c>
      <c r="CJ26" s="39">
        <f t="shared" ca="1" si="50"/>
        <v>0</v>
      </c>
      <c r="CK26" s="39">
        <f t="shared" ca="1" si="50"/>
        <v>480168</v>
      </c>
      <c r="CL26" s="39">
        <f t="shared" ca="1" si="50"/>
        <v>480168</v>
      </c>
      <c r="CM26" s="39">
        <f t="shared" ca="1" si="50"/>
        <v>0</v>
      </c>
      <c r="CN26" s="39">
        <f t="shared" ca="1" si="50"/>
        <v>480168</v>
      </c>
      <c r="CO26" s="39">
        <f t="shared" ca="1" si="50"/>
        <v>480168</v>
      </c>
      <c r="CP26" s="39">
        <f t="shared" ca="1" si="51"/>
        <v>0</v>
      </c>
      <c r="CQ26" s="39">
        <f t="shared" ca="1" si="51"/>
        <v>480168</v>
      </c>
      <c r="CR26" s="39">
        <f t="shared" ca="1" si="51"/>
        <v>480168</v>
      </c>
      <c r="CS26" s="39">
        <f t="shared" ca="1" si="51"/>
        <v>160056</v>
      </c>
      <c r="CT26" s="39">
        <f t="shared" ca="1" si="52"/>
        <v>320112</v>
      </c>
      <c r="CU26" s="39">
        <f t="shared" ca="1" si="53"/>
        <v>320112</v>
      </c>
      <c r="CV26" s="39">
        <f t="shared" ca="1" si="53"/>
        <v>160056</v>
      </c>
      <c r="CW26" s="21"/>
    </row>
    <row r="27" spans="4:101" x14ac:dyDescent="0.25">
      <c r="D27" s="35" t="str">
        <f>[1]Key!$W$20</f>
        <v>SPORT PLACEHOLDER</v>
      </c>
      <c r="F27" s="21"/>
      <c r="G27" s="21"/>
      <c r="H27" s="21"/>
      <c r="I27" s="21"/>
      <c r="J27" s="21"/>
      <c r="K27" s="21"/>
      <c r="L27" s="21"/>
      <c r="M27" s="21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39">
        <f t="shared" si="54"/>
        <v>0</v>
      </c>
      <c r="AA27" s="39">
        <f t="shared" ca="1" si="54"/>
        <v>0</v>
      </c>
      <c r="AB27" s="39">
        <f t="shared" ca="1" si="55"/>
        <v>0</v>
      </c>
      <c r="AC27" s="39">
        <f t="shared" ca="1" si="55"/>
        <v>0</v>
      </c>
      <c r="AD27" s="39">
        <f t="shared" ca="1" si="55"/>
        <v>0</v>
      </c>
      <c r="AE27" s="39">
        <f t="shared" ca="1" si="55"/>
        <v>0</v>
      </c>
      <c r="AF27" s="39">
        <f t="shared" ca="1" si="55"/>
        <v>0</v>
      </c>
      <c r="AG27" s="39">
        <f t="shared" ca="1" si="55"/>
        <v>0</v>
      </c>
      <c r="AH27" s="39">
        <f t="shared" ca="1" si="55"/>
        <v>0</v>
      </c>
      <c r="AI27" s="39">
        <f t="shared" ca="1" si="55"/>
        <v>0</v>
      </c>
      <c r="AJ27" s="39">
        <f t="shared" ca="1" si="55"/>
        <v>0</v>
      </c>
      <c r="AK27" s="39">
        <f t="shared" ca="1" si="55"/>
        <v>0</v>
      </c>
      <c r="AL27" s="39">
        <f t="shared" ca="1" si="55"/>
        <v>0</v>
      </c>
      <c r="AM27" s="39">
        <f t="shared" ca="1" si="55"/>
        <v>0</v>
      </c>
      <c r="AN27" s="39">
        <f t="shared" ca="1" si="55"/>
        <v>0</v>
      </c>
      <c r="AO27" s="39">
        <f t="shared" ca="1" si="55"/>
        <v>0</v>
      </c>
      <c r="AP27" s="39">
        <f t="shared" ca="1" si="55"/>
        <v>0</v>
      </c>
      <c r="AQ27" s="39">
        <f t="shared" ca="1" si="55"/>
        <v>0</v>
      </c>
      <c r="AR27" s="39">
        <f t="shared" ca="1" si="55"/>
        <v>0</v>
      </c>
      <c r="AS27" s="39">
        <f t="shared" ca="1" si="55"/>
        <v>0</v>
      </c>
      <c r="AT27" s="39">
        <f t="shared" ca="1" si="55"/>
        <v>0</v>
      </c>
      <c r="AU27" s="39">
        <f t="shared" ca="1" si="55"/>
        <v>0</v>
      </c>
      <c r="AV27" s="39">
        <f t="shared" ca="1" si="55"/>
        <v>0</v>
      </c>
      <c r="AW27" s="39">
        <f t="shared" ca="1" si="55"/>
        <v>648000</v>
      </c>
      <c r="AX27" s="39">
        <f t="shared" ca="1" si="55"/>
        <v>648000</v>
      </c>
      <c r="AY27" s="39">
        <f t="shared" ca="1" si="55"/>
        <v>0</v>
      </c>
      <c r="AZ27" s="39">
        <f t="shared" ca="1" si="55"/>
        <v>0</v>
      </c>
      <c r="BA27" s="39">
        <f t="shared" ca="1" si="55"/>
        <v>0</v>
      </c>
      <c r="BB27" s="39">
        <f t="shared" ca="1" si="55"/>
        <v>0</v>
      </c>
      <c r="BC27" s="39">
        <f t="shared" ca="1" si="55"/>
        <v>1296000</v>
      </c>
      <c r="BD27" s="39">
        <f t="shared" ca="1" si="55"/>
        <v>1296000</v>
      </c>
      <c r="BE27" s="39">
        <f t="shared" ca="1" si="55"/>
        <v>0</v>
      </c>
      <c r="BF27" s="39">
        <f t="shared" ca="1" si="55"/>
        <v>0</v>
      </c>
      <c r="BG27" s="39">
        <f t="shared" ca="1" si="55"/>
        <v>0</v>
      </c>
      <c r="BH27" s="39">
        <f t="shared" ca="1" si="55"/>
        <v>0</v>
      </c>
      <c r="BI27" s="39">
        <f t="shared" ca="1" si="55"/>
        <v>1846800</v>
      </c>
      <c r="BJ27" s="39">
        <f t="shared" ca="1" si="49"/>
        <v>1846800</v>
      </c>
      <c r="BK27" s="39">
        <f t="shared" ca="1" si="49"/>
        <v>0</v>
      </c>
      <c r="BL27" s="39">
        <f t="shared" ca="1" si="49"/>
        <v>0</v>
      </c>
      <c r="BM27" s="39">
        <f t="shared" ca="1" si="49"/>
        <v>0</v>
      </c>
      <c r="BN27" s="39">
        <f t="shared" ca="1" si="49"/>
        <v>0</v>
      </c>
      <c r="BO27" s="39">
        <f t="shared" ca="1" si="49"/>
        <v>3693600</v>
      </c>
      <c r="BP27" s="39">
        <f t="shared" ca="1" si="49"/>
        <v>3693600</v>
      </c>
      <c r="BQ27" s="39">
        <f t="shared" ca="1" si="49"/>
        <v>0</v>
      </c>
      <c r="BR27" s="39">
        <f t="shared" ca="1" si="49"/>
        <v>0</v>
      </c>
      <c r="BS27" s="39">
        <f t="shared" ca="1" si="49"/>
        <v>0</v>
      </c>
      <c r="BT27" s="39">
        <f t="shared" ca="1" si="49"/>
        <v>0</v>
      </c>
      <c r="BU27" s="39">
        <f t="shared" ca="1" si="49"/>
        <v>5540400</v>
      </c>
      <c r="BV27" s="39">
        <f t="shared" ca="1" si="49"/>
        <v>5540400</v>
      </c>
      <c r="BW27" s="39">
        <f t="shared" ca="1" si="49"/>
        <v>0</v>
      </c>
      <c r="BX27" s="39">
        <f t="shared" ca="1" si="49"/>
        <v>0</v>
      </c>
      <c r="BY27" s="39">
        <f t="shared" ca="1" si="49"/>
        <v>0</v>
      </c>
      <c r="BZ27" s="39">
        <f t="shared" ca="1" si="50"/>
        <v>0</v>
      </c>
      <c r="CA27" s="39">
        <f t="shared" ca="1" si="50"/>
        <v>11080800</v>
      </c>
      <c r="CB27" s="39">
        <f t="shared" ca="1" si="50"/>
        <v>11080800</v>
      </c>
      <c r="CC27" s="39">
        <f t="shared" ca="1" si="50"/>
        <v>0</v>
      </c>
      <c r="CD27" s="39">
        <f t="shared" ca="1" si="50"/>
        <v>0</v>
      </c>
      <c r="CE27" s="39">
        <f t="shared" ca="1" si="50"/>
        <v>0</v>
      </c>
      <c r="CF27" s="39">
        <f t="shared" ca="1" si="50"/>
        <v>0</v>
      </c>
      <c r="CG27" s="39">
        <f t="shared" ca="1" si="50"/>
        <v>13851000</v>
      </c>
      <c r="CH27" s="39">
        <f t="shared" ca="1" si="50"/>
        <v>13851000</v>
      </c>
      <c r="CI27" s="39">
        <f t="shared" ca="1" si="50"/>
        <v>0</v>
      </c>
      <c r="CJ27" s="39">
        <f t="shared" ca="1" si="50"/>
        <v>0</v>
      </c>
      <c r="CK27" s="39">
        <f t="shared" ca="1" si="50"/>
        <v>0</v>
      </c>
      <c r="CL27" s="39">
        <f t="shared" ca="1" si="50"/>
        <v>0</v>
      </c>
      <c r="CM27" s="39">
        <f t="shared" ca="1" si="50"/>
        <v>27702000</v>
      </c>
      <c r="CN27" s="39">
        <f t="shared" ca="1" si="50"/>
        <v>27702000</v>
      </c>
      <c r="CO27" s="39">
        <f t="shared" ca="1" si="50"/>
        <v>0</v>
      </c>
      <c r="CP27" s="39">
        <f t="shared" ca="1" si="51"/>
        <v>0</v>
      </c>
      <c r="CQ27" s="39">
        <f t="shared" ca="1" si="51"/>
        <v>0</v>
      </c>
      <c r="CR27" s="39">
        <f t="shared" ca="1" si="51"/>
        <v>0</v>
      </c>
      <c r="CS27" s="39">
        <f t="shared" ca="1" si="51"/>
        <v>4617000</v>
      </c>
      <c r="CT27" s="39">
        <f t="shared" ca="1" si="52"/>
        <v>9234000</v>
      </c>
      <c r="CU27" s="39">
        <f t="shared" ca="1" si="53"/>
        <v>9234000</v>
      </c>
      <c r="CV27" s="39">
        <f t="shared" ca="1" si="53"/>
        <v>4617000</v>
      </c>
      <c r="CW27" s="21"/>
    </row>
    <row r="28" spans="4:101" x14ac:dyDescent="0.25">
      <c r="D28" s="35" t="str">
        <f>[1]Key!$W$21</f>
        <v>SPUNGE</v>
      </c>
      <c r="F28" s="21"/>
      <c r="G28" s="21"/>
      <c r="H28" s="21"/>
      <c r="I28" s="21"/>
      <c r="J28" s="21"/>
      <c r="K28" s="21"/>
      <c r="L28" s="21"/>
      <c r="M28" s="21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39">
        <f t="shared" si="54"/>
        <v>0</v>
      </c>
      <c r="AA28" s="39">
        <f t="shared" ca="1" si="54"/>
        <v>0</v>
      </c>
      <c r="AB28" s="39">
        <f t="shared" ca="1" si="55"/>
        <v>0</v>
      </c>
      <c r="AC28" s="39">
        <f t="shared" ca="1" si="55"/>
        <v>0</v>
      </c>
      <c r="AD28" s="39">
        <f t="shared" ca="1" si="55"/>
        <v>0</v>
      </c>
      <c r="AE28" s="39">
        <f t="shared" ca="1" si="55"/>
        <v>0</v>
      </c>
      <c r="AF28" s="39">
        <f t="shared" ca="1" si="55"/>
        <v>0</v>
      </c>
      <c r="AG28" s="39">
        <f t="shared" ca="1" si="55"/>
        <v>0</v>
      </c>
      <c r="AH28" s="39">
        <f t="shared" ca="1" si="55"/>
        <v>0</v>
      </c>
      <c r="AI28" s="39">
        <f t="shared" ca="1" si="55"/>
        <v>0</v>
      </c>
      <c r="AJ28" s="39">
        <f t="shared" ca="1" si="55"/>
        <v>0</v>
      </c>
      <c r="AK28" s="39">
        <f t="shared" ca="1" si="55"/>
        <v>0</v>
      </c>
      <c r="AL28" s="39">
        <f t="shared" ca="1" si="55"/>
        <v>0</v>
      </c>
      <c r="AM28" s="39">
        <f t="shared" ca="1" si="55"/>
        <v>0</v>
      </c>
      <c r="AN28" s="39">
        <f t="shared" ca="1" si="55"/>
        <v>0</v>
      </c>
      <c r="AO28" s="39">
        <f t="shared" ca="1" si="55"/>
        <v>0</v>
      </c>
      <c r="AP28" s="39">
        <f t="shared" ca="1" si="55"/>
        <v>0</v>
      </c>
      <c r="AQ28" s="39">
        <f t="shared" ca="1" si="55"/>
        <v>0</v>
      </c>
      <c r="AR28" s="39">
        <f t="shared" ca="1" si="55"/>
        <v>0</v>
      </c>
      <c r="AS28" s="39">
        <f t="shared" ca="1" si="55"/>
        <v>51840</v>
      </c>
      <c r="AT28" s="39">
        <f t="shared" ca="1" si="55"/>
        <v>51840</v>
      </c>
      <c r="AU28" s="39">
        <f t="shared" ca="1" si="55"/>
        <v>51840</v>
      </c>
      <c r="AV28" s="39">
        <f t="shared" ca="1" si="55"/>
        <v>181440</v>
      </c>
      <c r="AW28" s="39">
        <f t="shared" ca="1" si="55"/>
        <v>129600</v>
      </c>
      <c r="AX28" s="39">
        <f t="shared" ca="1" si="55"/>
        <v>397440</v>
      </c>
      <c r="AY28" s="39">
        <f t="shared" ca="1" si="55"/>
        <v>397440</v>
      </c>
      <c r="AZ28" s="39">
        <f t="shared" ca="1" si="55"/>
        <v>0</v>
      </c>
      <c r="BA28" s="39">
        <f t="shared" ca="1" si="55"/>
        <v>449280</v>
      </c>
      <c r="BB28" s="39">
        <f t="shared" ca="1" si="55"/>
        <v>449280</v>
      </c>
      <c r="BC28" s="39">
        <f t="shared" ca="1" si="55"/>
        <v>518400</v>
      </c>
      <c r="BD28" s="39">
        <f t="shared" ca="1" si="55"/>
        <v>518400</v>
      </c>
      <c r="BE28" s="39">
        <f t="shared" ca="1" si="55"/>
        <v>51840</v>
      </c>
      <c r="BF28" s="39">
        <f t="shared" ca="1" si="55"/>
        <v>51840</v>
      </c>
      <c r="BG28" s="39">
        <f t="shared" ca="1" si="55"/>
        <v>691200</v>
      </c>
      <c r="BH28" s="39">
        <f t="shared" ca="1" si="55"/>
        <v>820800</v>
      </c>
      <c r="BI28" s="39">
        <f t="shared" ca="1" si="55"/>
        <v>129600</v>
      </c>
      <c r="BJ28" s="39">
        <f t="shared" ca="1" si="49"/>
        <v>1132704</v>
      </c>
      <c r="BK28" s="39">
        <f t="shared" ca="1" si="49"/>
        <v>1132704</v>
      </c>
      <c r="BL28" s="39">
        <f t="shared" ca="1" si="49"/>
        <v>0</v>
      </c>
      <c r="BM28" s="39">
        <f t="shared" ca="1" si="49"/>
        <v>1280448</v>
      </c>
      <c r="BN28" s="39">
        <f t="shared" ca="1" si="49"/>
        <v>1280448</v>
      </c>
      <c r="BO28" s="39">
        <f t="shared" ca="1" si="49"/>
        <v>1477440</v>
      </c>
      <c r="BP28" s="39">
        <f t="shared" ca="1" si="49"/>
        <v>1477440</v>
      </c>
      <c r="BQ28" s="39">
        <f t="shared" ca="1" si="49"/>
        <v>147744</v>
      </c>
      <c r="BR28" s="39">
        <f t="shared" ca="1" si="49"/>
        <v>147744</v>
      </c>
      <c r="BS28" s="39">
        <f t="shared" ca="1" si="49"/>
        <v>1969920</v>
      </c>
      <c r="BT28" s="39">
        <f t="shared" ca="1" si="49"/>
        <v>2339280</v>
      </c>
      <c r="BU28" s="39">
        <f t="shared" ca="1" si="49"/>
        <v>369360</v>
      </c>
      <c r="BV28" s="39">
        <f t="shared" ca="1" si="49"/>
        <v>2831760</v>
      </c>
      <c r="BW28" s="39">
        <f t="shared" ca="1" si="49"/>
        <v>2831760</v>
      </c>
      <c r="BX28" s="39">
        <f t="shared" ca="1" si="49"/>
        <v>0</v>
      </c>
      <c r="BY28" s="39">
        <f t="shared" ca="1" si="49"/>
        <v>3201120</v>
      </c>
      <c r="BZ28" s="39">
        <f t="shared" ca="1" si="50"/>
        <v>3201120</v>
      </c>
      <c r="CA28" s="39">
        <f t="shared" ca="1" si="50"/>
        <v>3693600</v>
      </c>
      <c r="CB28" s="39">
        <f t="shared" ca="1" si="50"/>
        <v>3693600</v>
      </c>
      <c r="CC28" s="39">
        <f t="shared" ca="1" si="50"/>
        <v>369360</v>
      </c>
      <c r="CD28" s="39">
        <f t="shared" ca="1" si="50"/>
        <v>369360</v>
      </c>
      <c r="CE28" s="39">
        <f t="shared" ca="1" si="50"/>
        <v>4924800</v>
      </c>
      <c r="CF28" s="39">
        <f t="shared" ca="1" si="50"/>
        <v>5848200</v>
      </c>
      <c r="CG28" s="39">
        <f t="shared" ca="1" si="50"/>
        <v>923400</v>
      </c>
      <c r="CH28" s="39">
        <f t="shared" ca="1" si="50"/>
        <v>4955580</v>
      </c>
      <c r="CI28" s="39">
        <f t="shared" ca="1" si="50"/>
        <v>4955580</v>
      </c>
      <c r="CJ28" s="39">
        <f t="shared" ca="1" si="50"/>
        <v>0</v>
      </c>
      <c r="CK28" s="39">
        <f t="shared" ca="1" si="50"/>
        <v>5601960</v>
      </c>
      <c r="CL28" s="39">
        <f t="shared" ca="1" si="50"/>
        <v>5601960</v>
      </c>
      <c r="CM28" s="39">
        <f t="shared" ca="1" si="50"/>
        <v>6463800</v>
      </c>
      <c r="CN28" s="39">
        <f t="shared" ca="1" si="50"/>
        <v>6463800</v>
      </c>
      <c r="CO28" s="39">
        <f t="shared" ca="1" si="50"/>
        <v>646380</v>
      </c>
      <c r="CP28" s="39">
        <f t="shared" ca="1" si="51"/>
        <v>646380</v>
      </c>
      <c r="CQ28" s="39">
        <f t="shared" ca="1" si="51"/>
        <v>8618400</v>
      </c>
      <c r="CR28" s="39">
        <f t="shared" ca="1" si="51"/>
        <v>10234350</v>
      </c>
      <c r="CS28" s="39">
        <f t="shared" ca="1" si="51"/>
        <v>4506705</v>
      </c>
      <c r="CT28" s="39">
        <f t="shared" ca="1" si="52"/>
        <v>5781510</v>
      </c>
      <c r="CU28" s="39">
        <f t="shared" ca="1" si="53"/>
        <v>5781510</v>
      </c>
      <c r="CV28" s="39">
        <f t="shared" ca="1" si="53"/>
        <v>2890755</v>
      </c>
      <c r="CW28" s="21"/>
    </row>
    <row r="29" spans="4:101" x14ac:dyDescent="0.25">
      <c r="D29" s="35" t="str">
        <f>[1]Key!$W$22</f>
        <v>SUNFLOWER</v>
      </c>
      <c r="F29" s="21"/>
      <c r="G29" s="21"/>
      <c r="H29" s="21"/>
      <c r="I29" s="21"/>
      <c r="J29" s="21"/>
      <c r="K29" s="21"/>
      <c r="L29" s="21"/>
      <c r="M29" s="21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39">
        <f t="shared" si="54"/>
        <v>0</v>
      </c>
      <c r="AA29" s="39">
        <f t="shared" ca="1" si="54"/>
        <v>0</v>
      </c>
      <c r="AB29" s="39">
        <f t="shared" ca="1" si="55"/>
        <v>0</v>
      </c>
      <c r="AC29" s="39">
        <f t="shared" ca="1" si="55"/>
        <v>0</v>
      </c>
      <c r="AD29" s="39">
        <f t="shared" ca="1" si="55"/>
        <v>0</v>
      </c>
      <c r="AE29" s="39">
        <f t="shared" ca="1" si="55"/>
        <v>0</v>
      </c>
      <c r="AF29" s="39">
        <f t="shared" ca="1" si="55"/>
        <v>0</v>
      </c>
      <c r="AG29" s="39">
        <f t="shared" ca="1" si="55"/>
        <v>0</v>
      </c>
      <c r="AH29" s="39">
        <f t="shared" ca="1" si="55"/>
        <v>0</v>
      </c>
      <c r="AI29" s="39">
        <f t="shared" ca="1" si="55"/>
        <v>0</v>
      </c>
      <c r="AJ29" s="39">
        <f t="shared" ca="1" si="55"/>
        <v>0</v>
      </c>
      <c r="AK29" s="39">
        <f t="shared" ca="1" si="55"/>
        <v>0</v>
      </c>
      <c r="AL29" s="39">
        <f t="shared" ca="1" si="55"/>
        <v>283500.00000000006</v>
      </c>
      <c r="AM29" s="39">
        <f t="shared" ca="1" si="55"/>
        <v>283500.00000000006</v>
      </c>
      <c r="AN29" s="39">
        <f t="shared" ca="1" si="55"/>
        <v>0</v>
      </c>
      <c r="AO29" s="39">
        <f t="shared" ca="1" si="55"/>
        <v>0</v>
      </c>
      <c r="AP29" s="39">
        <f t="shared" ca="1" si="55"/>
        <v>0</v>
      </c>
      <c r="AQ29" s="39">
        <f t="shared" ca="1" si="55"/>
        <v>0</v>
      </c>
      <c r="AR29" s="39">
        <f t="shared" ca="1" si="55"/>
        <v>567000.00000000012</v>
      </c>
      <c r="AS29" s="39">
        <f t="shared" ca="1" si="55"/>
        <v>567000.00000000012</v>
      </c>
      <c r="AT29" s="39">
        <f t="shared" ca="1" si="55"/>
        <v>0</v>
      </c>
      <c r="AU29" s="39">
        <f t="shared" ca="1" si="55"/>
        <v>0</v>
      </c>
      <c r="AV29" s="39">
        <f t="shared" ca="1" si="55"/>
        <v>0</v>
      </c>
      <c r="AW29" s="39">
        <f t="shared" ca="1" si="55"/>
        <v>0</v>
      </c>
      <c r="AX29" s="39">
        <f t="shared" ca="1" si="55"/>
        <v>567000.00000000012</v>
      </c>
      <c r="AY29" s="39">
        <f t="shared" ca="1" si="55"/>
        <v>567000.00000000012</v>
      </c>
      <c r="AZ29" s="39">
        <f t="shared" ca="1" si="55"/>
        <v>0</v>
      </c>
      <c r="BA29" s="39">
        <f t="shared" ca="1" si="55"/>
        <v>0</v>
      </c>
      <c r="BB29" s="39">
        <f t="shared" ca="1" si="55"/>
        <v>0</v>
      </c>
      <c r="BC29" s="39">
        <f t="shared" ca="1" si="55"/>
        <v>0</v>
      </c>
      <c r="BD29" s="39">
        <f t="shared" ca="1" si="55"/>
        <v>756000.00000000012</v>
      </c>
      <c r="BE29" s="39">
        <f t="shared" ca="1" si="55"/>
        <v>756000.00000000012</v>
      </c>
      <c r="BF29" s="39">
        <f t="shared" ca="1" si="55"/>
        <v>0</v>
      </c>
      <c r="BG29" s="39">
        <f t="shared" ca="1" si="55"/>
        <v>0</v>
      </c>
      <c r="BH29" s="39">
        <f t="shared" ca="1" si="55"/>
        <v>0</v>
      </c>
      <c r="BI29" s="39">
        <f t="shared" ca="1" si="55"/>
        <v>0</v>
      </c>
      <c r="BJ29" s="39">
        <f t="shared" ca="1" si="49"/>
        <v>1077300</v>
      </c>
      <c r="BK29" s="39">
        <f t="shared" ca="1" si="49"/>
        <v>1077300</v>
      </c>
      <c r="BL29" s="39">
        <f t="shared" ca="1" si="49"/>
        <v>0</v>
      </c>
      <c r="BM29" s="39">
        <f t="shared" ca="1" si="49"/>
        <v>0</v>
      </c>
      <c r="BN29" s="39">
        <f t="shared" ca="1" si="49"/>
        <v>0</v>
      </c>
      <c r="BO29" s="39">
        <f t="shared" ca="1" si="49"/>
        <v>0</v>
      </c>
      <c r="BP29" s="39">
        <f t="shared" ca="1" si="49"/>
        <v>1436400.0000000002</v>
      </c>
      <c r="BQ29" s="39">
        <f t="shared" ca="1" si="49"/>
        <v>1436400.0000000002</v>
      </c>
      <c r="BR29" s="39">
        <f t="shared" ca="1" si="49"/>
        <v>0</v>
      </c>
      <c r="BS29" s="39">
        <f t="shared" ca="1" si="49"/>
        <v>0</v>
      </c>
      <c r="BT29" s="39">
        <f t="shared" ca="1" si="49"/>
        <v>0</v>
      </c>
      <c r="BU29" s="39">
        <f t="shared" ca="1" si="49"/>
        <v>0</v>
      </c>
      <c r="BV29" s="39">
        <f t="shared" ca="1" si="49"/>
        <v>1615950.0000000002</v>
      </c>
      <c r="BW29" s="39">
        <f t="shared" ca="1" si="49"/>
        <v>1615950.0000000002</v>
      </c>
      <c r="BX29" s="39">
        <f t="shared" ca="1" si="49"/>
        <v>0</v>
      </c>
      <c r="BY29" s="39">
        <f t="shared" ca="1" si="49"/>
        <v>0</v>
      </c>
      <c r="BZ29" s="39">
        <f t="shared" ca="1" si="50"/>
        <v>0</v>
      </c>
      <c r="CA29" s="39">
        <f t="shared" ca="1" si="50"/>
        <v>0</v>
      </c>
      <c r="CB29" s="39">
        <f t="shared" ca="1" si="50"/>
        <v>2154600</v>
      </c>
      <c r="CC29" s="39">
        <f t="shared" ca="1" si="50"/>
        <v>2154600</v>
      </c>
      <c r="CD29" s="39">
        <f t="shared" ca="1" si="50"/>
        <v>0</v>
      </c>
      <c r="CE29" s="39">
        <f t="shared" ca="1" si="50"/>
        <v>0</v>
      </c>
      <c r="CF29" s="39">
        <f t="shared" ca="1" si="50"/>
        <v>0</v>
      </c>
      <c r="CG29" s="39">
        <f t="shared" ca="1" si="50"/>
        <v>0</v>
      </c>
      <c r="CH29" s="39">
        <f t="shared" ca="1" si="50"/>
        <v>2100735</v>
      </c>
      <c r="CI29" s="39">
        <f t="shared" ca="1" si="50"/>
        <v>2100735</v>
      </c>
      <c r="CJ29" s="39">
        <f t="shared" ca="1" si="50"/>
        <v>0</v>
      </c>
      <c r="CK29" s="39">
        <f t="shared" ca="1" si="50"/>
        <v>0</v>
      </c>
      <c r="CL29" s="39">
        <f t="shared" ca="1" si="50"/>
        <v>0</v>
      </c>
      <c r="CM29" s="39">
        <f t="shared" ca="1" si="50"/>
        <v>0</v>
      </c>
      <c r="CN29" s="39">
        <f t="shared" ca="1" si="50"/>
        <v>2800980.0000000005</v>
      </c>
      <c r="CO29" s="39">
        <f t="shared" ca="1" si="50"/>
        <v>2800980.0000000005</v>
      </c>
      <c r="CP29" s="39">
        <f t="shared" ca="1" si="51"/>
        <v>0</v>
      </c>
      <c r="CQ29" s="39">
        <f t="shared" ca="1" si="51"/>
        <v>0</v>
      </c>
      <c r="CR29" s="39">
        <f t="shared" ca="1" si="51"/>
        <v>0</v>
      </c>
      <c r="CS29" s="39">
        <f t="shared" ca="1" si="51"/>
        <v>466830.00000000006</v>
      </c>
      <c r="CT29" s="39">
        <f t="shared" ca="1" si="52"/>
        <v>933660.00000000012</v>
      </c>
      <c r="CU29" s="39">
        <f t="shared" ca="1" si="53"/>
        <v>933660.00000000012</v>
      </c>
      <c r="CV29" s="39">
        <f t="shared" ca="1" si="53"/>
        <v>466830.00000000006</v>
      </c>
      <c r="CW29" s="21"/>
    </row>
    <row r="30" spans="4:101" x14ac:dyDescent="0.25">
      <c r="D30" s="35" t="str">
        <f>[1]Key!$W$23</f>
        <v>Corporate</v>
      </c>
      <c r="F30" s="21"/>
      <c r="G30" s="21"/>
      <c r="H30" s="21"/>
      <c r="I30" s="21"/>
      <c r="J30" s="21"/>
      <c r="K30" s="21"/>
      <c r="L30" s="21"/>
      <c r="M30" s="21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39">
        <f>Y84</f>
        <v>1161.8399999999999</v>
      </c>
      <c r="AA30" s="39">
        <f t="shared" ref="AA30" si="56">Z84</f>
        <v>0</v>
      </c>
      <c r="AB30" s="39">
        <f t="shared" ref="AB30" si="57">AA84</f>
        <v>0</v>
      </c>
      <c r="AC30" s="39">
        <f t="shared" ref="AC30" si="58">AB84</f>
        <v>0</v>
      </c>
      <c r="AD30" s="39">
        <f t="shared" ref="AD30" si="59">AC84</f>
        <v>0</v>
      </c>
      <c r="AE30" s="39">
        <f t="shared" ref="AE30" si="60">AD84</f>
        <v>0</v>
      </c>
      <c r="AF30" s="39">
        <f t="shared" ref="AF30" si="61">AE84</f>
        <v>0</v>
      </c>
      <c r="AG30" s="39">
        <f t="shared" ref="AG30" si="62">AF84</f>
        <v>0</v>
      </c>
      <c r="AH30" s="39">
        <f t="shared" ref="AH30" si="63">AG84</f>
        <v>0</v>
      </c>
      <c r="AI30" s="39">
        <f t="shared" ref="AI30" si="64">AH84</f>
        <v>0</v>
      </c>
      <c r="AJ30" s="39">
        <f t="shared" ref="AJ30" si="65">AI84</f>
        <v>0</v>
      </c>
      <c r="AK30" s="39">
        <f t="shared" ref="AK30" si="66">AJ84</f>
        <v>0</v>
      </c>
      <c r="AL30" s="39">
        <f t="shared" ref="AL30" si="67">AK84</f>
        <v>0</v>
      </c>
      <c r="AM30" s="39">
        <f t="shared" ref="AM30" si="68">AL84</f>
        <v>0</v>
      </c>
      <c r="AN30" s="39">
        <f t="shared" ref="AN30" si="69">AM84</f>
        <v>0</v>
      </c>
      <c r="AO30" s="39">
        <f t="shared" ref="AO30" si="70">AN84</f>
        <v>0</v>
      </c>
      <c r="AP30" s="39">
        <f t="shared" ref="AP30" si="71">AO84</f>
        <v>0</v>
      </c>
      <c r="AQ30" s="39">
        <f t="shared" ref="AQ30" si="72">AP84</f>
        <v>0</v>
      </c>
      <c r="AR30" s="39">
        <f t="shared" ref="AR30" si="73">AQ84</f>
        <v>0</v>
      </c>
      <c r="AS30" s="39">
        <f t="shared" ref="AS30" si="74">AR84</f>
        <v>0</v>
      </c>
      <c r="AT30" s="39">
        <f t="shared" ref="AT30" si="75">AS84</f>
        <v>0</v>
      </c>
      <c r="AU30" s="39">
        <f t="shared" ref="AU30" si="76">AT84</f>
        <v>0</v>
      </c>
      <c r="AV30" s="39">
        <f t="shared" ref="AV30" si="77">AU84</f>
        <v>0</v>
      </c>
      <c r="AW30" s="39">
        <f t="shared" ref="AW30" si="78">AV84</f>
        <v>0</v>
      </c>
      <c r="AX30" s="39">
        <f t="shared" ref="AX30" si="79">AW84</f>
        <v>0</v>
      </c>
      <c r="AY30" s="39">
        <f t="shared" ref="AY30" si="80">AX84</f>
        <v>0</v>
      </c>
      <c r="AZ30" s="39">
        <f t="shared" ref="AZ30" si="81">AY84</f>
        <v>0</v>
      </c>
      <c r="BA30" s="39">
        <f t="shared" ref="BA30" si="82">AZ84</f>
        <v>0</v>
      </c>
      <c r="BB30" s="39">
        <f t="shared" ref="BB30" si="83">BA84</f>
        <v>0</v>
      </c>
      <c r="BC30" s="39">
        <f t="shared" ref="BC30" si="84">BB84</f>
        <v>0</v>
      </c>
      <c r="BD30" s="39">
        <f t="shared" ref="BD30" si="85">BC84</f>
        <v>0</v>
      </c>
      <c r="BE30" s="39">
        <f t="shared" ref="BE30" si="86">BD84</f>
        <v>0</v>
      </c>
      <c r="BF30" s="39">
        <f t="shared" ref="BF30" si="87">BE84</f>
        <v>0</v>
      </c>
      <c r="BG30" s="39">
        <f t="shared" ref="BG30" si="88">BF84</f>
        <v>0</v>
      </c>
      <c r="BH30" s="39">
        <f t="shared" ref="BH30" si="89">BG84</f>
        <v>0</v>
      </c>
      <c r="BI30" s="39">
        <f t="shared" ref="BI30" si="90">BH84</f>
        <v>0</v>
      </c>
      <c r="BJ30" s="39">
        <f t="shared" si="49"/>
        <v>0</v>
      </c>
      <c r="BK30" s="39">
        <f t="shared" si="49"/>
        <v>0</v>
      </c>
      <c r="BL30" s="39">
        <f t="shared" si="49"/>
        <v>0</v>
      </c>
      <c r="BM30" s="39">
        <f t="shared" si="49"/>
        <v>0</v>
      </c>
      <c r="BN30" s="39">
        <f t="shared" si="49"/>
        <v>0</v>
      </c>
      <c r="BO30" s="39">
        <f t="shared" si="49"/>
        <v>0</v>
      </c>
      <c r="BP30" s="39">
        <f t="shared" si="49"/>
        <v>0</v>
      </c>
      <c r="BQ30" s="39">
        <f t="shared" si="49"/>
        <v>0</v>
      </c>
      <c r="BR30" s="39">
        <f t="shared" si="49"/>
        <v>0</v>
      </c>
      <c r="BS30" s="39">
        <f t="shared" si="49"/>
        <v>0</v>
      </c>
      <c r="BT30" s="39">
        <f t="shared" si="49"/>
        <v>0</v>
      </c>
      <c r="BU30" s="39">
        <f t="shared" si="49"/>
        <v>0</v>
      </c>
      <c r="BV30" s="39">
        <f t="shared" si="49"/>
        <v>0</v>
      </c>
      <c r="BW30" s="39">
        <f t="shared" si="49"/>
        <v>0</v>
      </c>
      <c r="BX30" s="39">
        <f t="shared" si="49"/>
        <v>0</v>
      </c>
      <c r="BY30" s="39">
        <f t="shared" si="49"/>
        <v>0</v>
      </c>
      <c r="BZ30" s="39">
        <f t="shared" si="50"/>
        <v>0</v>
      </c>
      <c r="CA30" s="39">
        <f t="shared" si="50"/>
        <v>0</v>
      </c>
      <c r="CB30" s="39">
        <f t="shared" si="50"/>
        <v>0</v>
      </c>
      <c r="CC30" s="39">
        <f t="shared" si="50"/>
        <v>0</v>
      </c>
      <c r="CD30" s="39">
        <f t="shared" si="50"/>
        <v>0</v>
      </c>
      <c r="CE30" s="39">
        <f t="shared" si="50"/>
        <v>0</v>
      </c>
      <c r="CF30" s="39">
        <f t="shared" si="50"/>
        <v>0</v>
      </c>
      <c r="CG30" s="39">
        <f t="shared" si="50"/>
        <v>0</v>
      </c>
      <c r="CH30" s="39">
        <f t="shared" si="50"/>
        <v>0</v>
      </c>
      <c r="CI30" s="39">
        <f t="shared" si="50"/>
        <v>0</v>
      </c>
      <c r="CJ30" s="39">
        <f t="shared" si="50"/>
        <v>0</v>
      </c>
      <c r="CK30" s="39">
        <f t="shared" si="50"/>
        <v>0</v>
      </c>
      <c r="CL30" s="39">
        <f t="shared" si="50"/>
        <v>0</v>
      </c>
      <c r="CM30" s="39">
        <f t="shared" si="50"/>
        <v>0</v>
      </c>
      <c r="CN30" s="39">
        <f t="shared" si="50"/>
        <v>0</v>
      </c>
      <c r="CO30" s="39">
        <f t="shared" si="50"/>
        <v>0</v>
      </c>
      <c r="CP30" s="39">
        <f t="shared" si="51"/>
        <v>0</v>
      </c>
      <c r="CQ30" s="39">
        <f t="shared" si="51"/>
        <v>0</v>
      </c>
      <c r="CR30" s="39">
        <f t="shared" si="51"/>
        <v>0</v>
      </c>
      <c r="CS30" s="39">
        <f t="shared" si="51"/>
        <v>0</v>
      </c>
      <c r="CT30" s="39">
        <f t="shared" si="52"/>
        <v>0</v>
      </c>
      <c r="CU30" s="39">
        <f t="shared" ref="CU30" si="91">CT84</f>
        <v>0</v>
      </c>
      <c r="CV30" s="39">
        <f t="shared" ref="CV30" si="92">CU84</f>
        <v>0</v>
      </c>
      <c r="CW30" s="21"/>
    </row>
    <row r="31" spans="4:101" x14ac:dyDescent="0.25">
      <c r="F31" s="21"/>
      <c r="G31" s="21"/>
      <c r="H31" s="21"/>
      <c r="I31" s="21"/>
      <c r="J31" s="21"/>
      <c r="K31" s="21"/>
      <c r="L31" s="21"/>
      <c r="M31" s="21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21"/>
    </row>
    <row r="32" spans="4:101" x14ac:dyDescent="0.25">
      <c r="D32" s="38" t="s">
        <v>152</v>
      </c>
      <c r="F32" s="21"/>
      <c r="G32" s="21"/>
      <c r="H32" s="21"/>
      <c r="I32" s="21"/>
      <c r="J32" s="21"/>
      <c r="K32" s="21"/>
      <c r="L32" s="21"/>
      <c r="M32" s="21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37">
        <f>SUM(Z19:Z31)</f>
        <v>1161.8399999999999</v>
      </c>
      <c r="AA32" s="37">
        <f t="shared" ref="AA32" ca="1" si="93">SUM(AA19:AA31)</f>
        <v>138720</v>
      </c>
      <c r="AB32" s="37">
        <f t="shared" ref="AB32" ca="1" si="94">SUM(AB19:AB31)</f>
        <v>153170</v>
      </c>
      <c r="AC32" s="37">
        <f t="shared" ref="AC32" ca="1" si="95">SUM(AC19:AC31)</f>
        <v>14450</v>
      </c>
      <c r="AD32" s="37">
        <f t="shared" ref="AD32" ca="1" si="96">SUM(AD19:AD31)</f>
        <v>14450</v>
      </c>
      <c r="AE32" s="37">
        <f t="shared" ref="AE32" ca="1" si="97">SUM(AE19:AE31)</f>
        <v>361250</v>
      </c>
      <c r="AF32" s="37">
        <f t="shared" ref="AF32" ca="1" si="98">SUM(AF19:AF31)</f>
        <v>346800</v>
      </c>
      <c r="AG32" s="37">
        <f t="shared" ref="AG32" ca="1" si="99">SUM(AG19:AG31)</f>
        <v>28900</v>
      </c>
      <c r="AH32" s="37">
        <f t="shared" ref="AH32" ca="1" si="100">SUM(AH19:AH31)</f>
        <v>53200</v>
      </c>
      <c r="AI32" s="37">
        <f t="shared" ref="AI32" ca="1" si="101">SUM(AI19:AI31)</f>
        <v>161160</v>
      </c>
      <c r="AJ32" s="37">
        <f t="shared" ref="AJ32" ca="1" si="102">SUM(AJ19:AJ31)</f>
        <v>412780</v>
      </c>
      <c r="AK32" s="37">
        <f t="shared" ref="AK32" ca="1" si="103">SUM(AK19:AK31)</f>
        <v>334240</v>
      </c>
      <c r="AL32" s="37">
        <f t="shared" ref="AL32" ca="1" si="104">SUM(AL19:AL31)</f>
        <v>919340</v>
      </c>
      <c r="AM32" s="37">
        <f t="shared" ref="AM32" ca="1" si="105">SUM(AM19:AM31)</f>
        <v>993340</v>
      </c>
      <c r="AN32" s="37">
        <f t="shared" ref="AN32" ca="1" si="106">SUM(AN19:AN31)</f>
        <v>132320</v>
      </c>
      <c r="AO32" s="37">
        <f t="shared" ref="AO32" ca="1" si="107">SUM(AO19:AO31)</f>
        <v>357400</v>
      </c>
      <c r="AP32" s="37">
        <f t="shared" ref="AP32" ca="1" si="108">SUM(AP19:AP31)</f>
        <v>984740</v>
      </c>
      <c r="AQ32" s="37">
        <f t="shared" ref="AQ32" ca="1" si="109">SUM(AQ19:AQ31)</f>
        <v>813380</v>
      </c>
      <c r="AR32" s="37">
        <f t="shared" ref="AR32" ca="1" si="110">SUM(AR19:AR31)</f>
        <v>1175040</v>
      </c>
      <c r="AS32" s="37">
        <f t="shared" ref="AS32" ca="1" si="111">SUM(AS19:AS31)</f>
        <v>1931840</v>
      </c>
      <c r="AT32" s="37">
        <f t="shared" ref="AT32" ca="1" si="112">SUM(AT19:AT31)</f>
        <v>1534680</v>
      </c>
      <c r="AU32" s="37">
        <f t="shared" ref="AU32" ca="1" si="113">SUM(AU19:AU31)</f>
        <v>1182400</v>
      </c>
      <c r="AV32" s="37">
        <f t="shared" ref="AV32" ca="1" si="114">SUM(AV19:AV31)</f>
        <v>1799220</v>
      </c>
      <c r="AW32" s="37">
        <f t="shared" ref="AW32" ca="1" si="115">SUM(AW19:AW31)</f>
        <v>3525820</v>
      </c>
      <c r="AX32" s="37">
        <f t="shared" ref="AX32" ca="1" si="116">SUM(AX19:AX31)</f>
        <v>4589480</v>
      </c>
      <c r="AY32" s="37">
        <f t="shared" ref="AY32" ca="1" si="117">SUM(AY19:AY31)</f>
        <v>2648160</v>
      </c>
      <c r="AZ32" s="37">
        <f t="shared" ref="AZ32" ca="1" si="118">SUM(AZ19:AZ31)</f>
        <v>1258340</v>
      </c>
      <c r="BA32" s="37">
        <f t="shared" ref="BA32" ca="1" si="119">SUM(BA19:BA31)</f>
        <v>1883380</v>
      </c>
      <c r="BB32" s="37">
        <f t="shared" ref="BB32" ca="1" si="120">SUM(BB19:BB31)</f>
        <v>2361680</v>
      </c>
      <c r="BC32" s="37">
        <f t="shared" ref="BC32" ca="1" si="121">SUM(BC19:BC31)</f>
        <v>5047400</v>
      </c>
      <c r="BD32" s="37">
        <f t="shared" ref="BD32" ca="1" si="122">SUM(BD19:BD31)</f>
        <v>5134880</v>
      </c>
      <c r="BE32" s="37">
        <f t="shared" ref="BE32" ca="1" si="123">SUM(BE19:BE31)</f>
        <v>3027240</v>
      </c>
      <c r="BF32" s="37">
        <f t="shared" ref="BF32" ca="1" si="124">SUM(BF19:BF31)</f>
        <v>3329780</v>
      </c>
      <c r="BG32" s="37">
        <f t="shared" ref="BG32" ca="1" si="125">SUM(BG19:BG31)</f>
        <v>3090420</v>
      </c>
      <c r="BH32" s="37">
        <f t="shared" ref="BH32" ca="1" si="126">SUM(BH19:BH31)</f>
        <v>2590240</v>
      </c>
      <c r="BI32" s="37">
        <f t="shared" ref="BI32:CV32" ca="1" si="127">SUM(BI19:BI31)</f>
        <v>6723115</v>
      </c>
      <c r="BJ32" s="37">
        <f t="shared" ref="BJ32:CS32" ca="1" si="128">SUM(BJ19:BJ31)</f>
        <v>10634794</v>
      </c>
      <c r="BK32" s="37">
        <f t="shared" ca="1" si="128"/>
        <v>5999535</v>
      </c>
      <c r="BL32" s="37">
        <f t="shared" ca="1" si="128"/>
        <v>2522753.5</v>
      </c>
      <c r="BM32" s="37">
        <f t="shared" ca="1" si="128"/>
        <v>4214475.5</v>
      </c>
      <c r="BN32" s="37">
        <f t="shared" ca="1" si="128"/>
        <v>5625406</v>
      </c>
      <c r="BO32" s="37">
        <f t="shared" ca="1" si="128"/>
        <v>12549823</v>
      </c>
      <c r="BP32" s="37">
        <f t="shared" ca="1" si="128"/>
        <v>12472360</v>
      </c>
      <c r="BQ32" s="37">
        <f t="shared" ca="1" si="128"/>
        <v>6535107</v>
      </c>
      <c r="BR32" s="37">
        <f t="shared" ca="1" si="128"/>
        <v>6851447.5</v>
      </c>
      <c r="BS32" s="37">
        <f t="shared" ca="1" si="128"/>
        <v>6832903.5</v>
      </c>
      <c r="BT32" s="37">
        <f t="shared" ca="1" si="128"/>
        <v>6463724</v>
      </c>
      <c r="BU32" s="37">
        <f t="shared" ca="1" si="128"/>
        <v>15352185.25</v>
      </c>
      <c r="BV32" s="37">
        <f t="shared" ca="1" si="128"/>
        <v>22385030.5</v>
      </c>
      <c r="BW32" s="37">
        <f t="shared" ca="1" si="128"/>
        <v>11408735.25</v>
      </c>
      <c r="BX32" s="37">
        <f t="shared" ca="1" si="128"/>
        <v>3949014.625</v>
      </c>
      <c r="BY32" s="37">
        <f t="shared" ca="1" si="128"/>
        <v>7863708.125</v>
      </c>
      <c r="BZ32" s="37">
        <f t="shared" ca="1" si="128"/>
        <v>11454254.5</v>
      </c>
      <c r="CA32" s="37">
        <f t="shared" ca="1" si="128"/>
        <v>29455068.25</v>
      </c>
      <c r="CB32" s="37">
        <f t="shared" ca="1" si="128"/>
        <v>28187830</v>
      </c>
      <c r="CC32" s="37">
        <f t="shared" ca="1" si="128"/>
        <v>11727308.25</v>
      </c>
      <c r="CD32" s="37">
        <f t="shared" ca="1" si="128"/>
        <v>11878712.125</v>
      </c>
      <c r="CE32" s="37">
        <f t="shared" ca="1" si="128"/>
        <v>12833785.125</v>
      </c>
      <c r="CF32" s="37">
        <f t="shared" ca="1" si="128"/>
        <v>14081204</v>
      </c>
      <c r="CG32" s="37">
        <f t="shared" ca="1" si="128"/>
        <v>30708041.774999999</v>
      </c>
      <c r="CH32" s="37">
        <f t="shared" ca="1" si="128"/>
        <v>40251188.399999999</v>
      </c>
      <c r="CI32" s="37">
        <f t="shared" ca="1" si="128"/>
        <v>17852669.324999999</v>
      </c>
      <c r="CJ32" s="37">
        <f t="shared" ca="1" si="128"/>
        <v>5364557.1375000002</v>
      </c>
      <c r="CK32" s="37">
        <f t="shared" ca="1" si="128"/>
        <v>12029490.1875</v>
      </c>
      <c r="CL32" s="37">
        <f t="shared" ca="1" si="128"/>
        <v>18697527.600000001</v>
      </c>
      <c r="CM32" s="37">
        <f t="shared" ca="1" si="128"/>
        <v>57669090.225000001</v>
      </c>
      <c r="CN32" s="37">
        <f t="shared" ca="1" si="128"/>
        <v>54473703</v>
      </c>
      <c r="CO32" s="37">
        <f t="shared" ca="1" si="128"/>
        <v>17834932.350000001</v>
      </c>
      <c r="CP32" s="37">
        <f t="shared" ca="1" si="128"/>
        <v>17579407.762499999</v>
      </c>
      <c r="CQ32" s="37">
        <f t="shared" ca="1" si="128"/>
        <v>19674518.287500001</v>
      </c>
      <c r="CR32" s="37">
        <f t="shared" ca="1" si="128"/>
        <v>23651806.574999999</v>
      </c>
      <c r="CS32" s="37">
        <f t="shared" ca="1" si="128"/>
        <v>26461689.381250001</v>
      </c>
      <c r="CT32" s="37">
        <f t="shared" ca="1" si="127"/>
        <v>31901639.112500001</v>
      </c>
      <c r="CU32" s="37">
        <f t="shared" ca="1" si="127"/>
        <v>31901639.112500001</v>
      </c>
      <c r="CV32" s="37">
        <f t="shared" ca="1" si="127"/>
        <v>15950819.55625</v>
      </c>
      <c r="CW32" s="21"/>
    </row>
    <row r="33" spans="4:101" x14ac:dyDescent="0.25">
      <c r="F33" s="21"/>
      <c r="G33" s="21"/>
      <c r="H33" s="21"/>
      <c r="I33" s="21"/>
      <c r="J33" s="21"/>
      <c r="K33" s="21"/>
      <c r="L33" s="21"/>
      <c r="M33" s="21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21"/>
      <c r="CU33" s="21"/>
      <c r="CV33" s="21"/>
      <c r="CW33" s="21"/>
    </row>
    <row r="34" spans="4:101" x14ac:dyDescent="0.25">
      <c r="F34" s="21"/>
      <c r="G34" s="21"/>
      <c r="H34" s="21"/>
      <c r="I34" s="21"/>
      <c r="J34" s="21"/>
      <c r="K34" s="21"/>
      <c r="L34" s="21"/>
      <c r="M34" s="21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21"/>
      <c r="CU34" s="21"/>
      <c r="CV34" s="21"/>
      <c r="CW34" s="21"/>
    </row>
    <row r="35" spans="4:101" x14ac:dyDescent="0.25">
      <c r="F35" s="21"/>
      <c r="G35" s="21"/>
      <c r="H35" s="21"/>
      <c r="I35" s="21"/>
      <c r="J35" s="21"/>
      <c r="K35" s="21"/>
      <c r="L35" s="21"/>
      <c r="M35" s="21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21"/>
      <c r="CU35" s="21"/>
      <c r="CV35" s="21"/>
      <c r="CW35" s="21"/>
    </row>
    <row r="36" spans="4:101" x14ac:dyDescent="0.25">
      <c r="D36" s="38" t="s">
        <v>154</v>
      </c>
      <c r="F36" s="21"/>
      <c r="G36" s="21"/>
      <c r="H36" s="21"/>
      <c r="I36" s="21"/>
      <c r="J36" s="21"/>
      <c r="K36" s="21"/>
      <c r="L36" s="21"/>
      <c r="M36" s="21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21"/>
      <c r="CU36" s="21"/>
      <c r="CV36" s="21"/>
      <c r="CW36" s="21"/>
    </row>
    <row r="37" spans="4:101" x14ac:dyDescent="0.25">
      <c r="D37" s="35" t="str">
        <f>[1]Key!$W$12</f>
        <v>BARI</v>
      </c>
      <c r="F37" s="21"/>
      <c r="G37" s="21"/>
      <c r="H37" s="21"/>
      <c r="I37" s="21"/>
      <c r="J37" s="21"/>
      <c r="K37" s="21"/>
      <c r="L37" s="21"/>
      <c r="M37" s="21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23">
        <f>[1]CostSumm!AS28</f>
        <v>0</v>
      </c>
      <c r="AA37" s="23">
        <f>[1]CostSumm!AT28</f>
        <v>0</v>
      </c>
      <c r="AB37" s="23">
        <f>[1]CostSumm!AU28</f>
        <v>0</v>
      </c>
      <c r="AC37" s="23">
        <f>[1]CostSumm!AV28</f>
        <v>0</v>
      </c>
      <c r="AD37" s="23">
        <f>[1]CostSumm!AW28</f>
        <v>0</v>
      </c>
      <c r="AE37" s="23">
        <f>[1]CostSumm!AX28</f>
        <v>0</v>
      </c>
      <c r="AF37" s="23">
        <f>[1]CostSumm!AY28</f>
        <v>0</v>
      </c>
      <c r="AG37" s="23">
        <f>[1]CostSumm!AZ28</f>
        <v>0</v>
      </c>
      <c r="AH37" s="23">
        <f>[1]CostSumm!BA28</f>
        <v>0</v>
      </c>
      <c r="AI37" s="23">
        <f>[1]CostSumm!BB28</f>
        <v>24300</v>
      </c>
      <c r="AJ37" s="23">
        <f>[1]CostSumm!BC28</f>
        <v>24300</v>
      </c>
      <c r="AK37" s="23">
        <f>[1]CostSumm!BD28</f>
        <v>58320</v>
      </c>
      <c r="AL37" s="23">
        <f>[1]CostSumm!BE28</f>
        <v>58320</v>
      </c>
      <c r="AM37" s="23">
        <f>[1]CostSumm!BF28</f>
        <v>0</v>
      </c>
      <c r="AN37" s="23">
        <f>[1]CostSumm!BG28</f>
        <v>58320</v>
      </c>
      <c r="AO37" s="23">
        <f>[1]CostSumm!BH28</f>
        <v>0</v>
      </c>
      <c r="AP37" s="23">
        <f>[1]CostSumm!BI28</f>
        <v>0</v>
      </c>
      <c r="AQ37" s="23">
        <f>[1]CostSumm!BJ28</f>
        <v>116640</v>
      </c>
      <c r="AR37" s="23">
        <f>[1]CostSumm!BK28</f>
        <v>0</v>
      </c>
      <c r="AS37" s="23">
        <f>[1]CostSumm!BL28</f>
        <v>58320</v>
      </c>
      <c r="AT37" s="23">
        <f>[1]CostSumm!BM28</f>
        <v>116640</v>
      </c>
      <c r="AU37" s="23">
        <f>[1]CostSumm!BN28</f>
        <v>116640</v>
      </c>
      <c r="AV37" s="23">
        <f>[1]CostSumm!BO28</f>
        <v>21600</v>
      </c>
      <c r="AW37" s="23">
        <f>[1]CostSumm!BP28</f>
        <v>116640</v>
      </c>
      <c r="AX37" s="23">
        <f>[1]CostSumm!BQ28</f>
        <v>168480</v>
      </c>
      <c r="AY37" s="23">
        <f>[1]CostSumm!BR28</f>
        <v>0</v>
      </c>
      <c r="AZ37" s="23">
        <f>[1]CostSumm!BS28</f>
        <v>116640</v>
      </c>
      <c r="BA37" s="23">
        <f>[1]CostSumm!BT28</f>
        <v>0</v>
      </c>
      <c r="BB37" s="23">
        <f>[1]CostSumm!BU28</f>
        <v>0</v>
      </c>
      <c r="BC37" s="23">
        <f>[1]CostSumm!BV28</f>
        <v>285120</v>
      </c>
      <c r="BD37" s="23">
        <f>[1]CostSumm!BW28</f>
        <v>0</v>
      </c>
      <c r="BE37" s="23">
        <f>[1]CostSumm!BX28</f>
        <v>0</v>
      </c>
      <c r="BF37" s="23">
        <f>[1]CostSumm!BY28</f>
        <v>116640</v>
      </c>
      <c r="BG37" s="23">
        <f>[1]CostSumm!BZ28</f>
        <v>220320</v>
      </c>
      <c r="BH37" s="23">
        <f>[1]CostSumm!CA28</f>
        <v>0</v>
      </c>
      <c r="BI37" s="23">
        <f>[1]CostSumm!CB28</f>
        <v>138240</v>
      </c>
      <c r="BJ37" s="23">
        <f>[1]CostSumm!CC28</f>
        <v>320112</v>
      </c>
      <c r="BK37" s="23">
        <f>[1]CostSumm!CD28</f>
        <v>0</v>
      </c>
      <c r="BL37" s="23">
        <f>[1]CostSumm!CE28</f>
        <v>221616</v>
      </c>
      <c r="BM37" s="23">
        <f>[1]CostSumm!CF28</f>
        <v>0</v>
      </c>
      <c r="BN37" s="23">
        <f>[1]CostSumm!CG28</f>
        <v>0</v>
      </c>
      <c r="BO37" s="23">
        <f>[1]CostSumm!CH28</f>
        <v>541728</v>
      </c>
      <c r="BP37" s="23">
        <f>[1]CostSumm!CI28</f>
        <v>0</v>
      </c>
      <c r="BQ37" s="23">
        <f>[1]CostSumm!CJ28</f>
        <v>0</v>
      </c>
      <c r="BR37" s="23">
        <f>[1]CostSumm!CK28</f>
        <v>221616</v>
      </c>
      <c r="BS37" s="23">
        <f>[1]CostSumm!CL28</f>
        <v>418608</v>
      </c>
      <c r="BT37" s="23">
        <f>[1]CostSumm!CM28</f>
        <v>0</v>
      </c>
      <c r="BU37" s="23">
        <f>[1]CostSumm!CN28</f>
        <v>262656</v>
      </c>
      <c r="BV37" s="23">
        <f>[1]CostSumm!CO28</f>
        <v>480168</v>
      </c>
      <c r="BW37" s="23">
        <f>[1]CostSumm!CP28</f>
        <v>0</v>
      </c>
      <c r="BX37" s="23">
        <f>[1]CostSumm!CQ28</f>
        <v>332424</v>
      </c>
      <c r="BY37" s="23">
        <f>[1]CostSumm!CR28</f>
        <v>0</v>
      </c>
      <c r="BZ37" s="23">
        <f>[1]CostSumm!CS28</f>
        <v>0</v>
      </c>
      <c r="CA37" s="23">
        <f>[1]CostSumm!CT28</f>
        <v>812592</v>
      </c>
      <c r="CB37" s="23">
        <f>[1]CostSumm!CU28</f>
        <v>0</v>
      </c>
      <c r="CC37" s="23">
        <f>[1]CostSumm!CV28</f>
        <v>0</v>
      </c>
      <c r="CD37" s="23">
        <f>[1]CostSumm!CW28</f>
        <v>332424</v>
      </c>
      <c r="CE37" s="23">
        <f>[1]CostSumm!CX28</f>
        <v>627912</v>
      </c>
      <c r="CF37" s="23">
        <f>[1]CostSumm!CY28</f>
        <v>0</v>
      </c>
      <c r="CG37" s="23">
        <f>[1]CostSumm!CZ28</f>
        <v>393984</v>
      </c>
      <c r="CH37" s="23">
        <f>[1]CostSumm!DA28</f>
        <v>624218.40000000014</v>
      </c>
      <c r="CI37" s="23">
        <f>[1]CostSumm!DB28</f>
        <v>0</v>
      </c>
      <c r="CJ37" s="23">
        <f>[1]CostSumm!DC28</f>
        <v>432151.2</v>
      </c>
      <c r="CK37" s="23">
        <f>[1]CostSumm!DD28</f>
        <v>0</v>
      </c>
      <c r="CL37" s="23">
        <f>[1]CostSumm!DE28</f>
        <v>0</v>
      </c>
      <c r="CM37" s="23">
        <f>[1]CostSumm!DF28</f>
        <v>1056369.6000000001</v>
      </c>
      <c r="CN37" s="23">
        <f>[1]CostSumm!DG28</f>
        <v>0</v>
      </c>
      <c r="CO37" s="23">
        <f>[1]CostSumm!DH28</f>
        <v>0</v>
      </c>
      <c r="CP37" s="23">
        <f>[1]CostSumm!DI28</f>
        <v>432151.2</v>
      </c>
      <c r="CQ37" s="23">
        <f>[1]CostSumm!DJ28</f>
        <v>816285.6</v>
      </c>
      <c r="CR37" s="23">
        <f>[1]CostSumm!DK28</f>
        <v>0</v>
      </c>
      <c r="CS37" s="23">
        <f>[1]CostSumm!DL28</f>
        <v>512179.20000000001</v>
      </c>
      <c r="CT37" s="39">
        <f>AVERAGE($CN37:$CS37)</f>
        <v>293436</v>
      </c>
      <c r="CU37" s="39">
        <f t="shared" ref="CU37:CV37" si="129">AVERAGE($CN37:$CS37)</f>
        <v>293436</v>
      </c>
      <c r="CV37" s="39">
        <f t="shared" si="129"/>
        <v>293436</v>
      </c>
      <c r="CW37" s="21"/>
    </row>
    <row r="38" spans="4:101" x14ac:dyDescent="0.25">
      <c r="D38" s="35" t="str">
        <f>[1]Key!$W$13</f>
        <v>BRAIN DEAD OAKLEY</v>
      </c>
      <c r="F38" s="21"/>
      <c r="G38" s="21"/>
      <c r="H38" s="21"/>
      <c r="I38" s="21"/>
      <c r="J38" s="21"/>
      <c r="K38" s="21"/>
      <c r="L38" s="21"/>
      <c r="M38" s="21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23">
        <f>[1]CostSumm!AS29</f>
        <v>0</v>
      </c>
      <c r="AA38" s="23">
        <f>[1]CostSumm!AT29</f>
        <v>0</v>
      </c>
      <c r="AB38" s="23">
        <f>[1]CostSumm!AU29</f>
        <v>0</v>
      </c>
      <c r="AC38" s="23">
        <f>[1]CostSumm!AV29</f>
        <v>0</v>
      </c>
      <c r="AD38" s="23">
        <f>[1]CostSumm!AW29</f>
        <v>0</v>
      </c>
      <c r="AE38" s="23">
        <f>[1]CostSumm!AX29</f>
        <v>0</v>
      </c>
      <c r="AF38" s="23">
        <f>[1]CostSumm!AY29</f>
        <v>0</v>
      </c>
      <c r="AG38" s="23">
        <f>[1]CostSumm!AZ29</f>
        <v>0</v>
      </c>
      <c r="AH38" s="23">
        <f>[1]CostSumm!BA29</f>
        <v>0</v>
      </c>
      <c r="AI38" s="23">
        <f>[1]CostSumm!BB29</f>
        <v>0</v>
      </c>
      <c r="AJ38" s="23">
        <f>[1]CostSumm!BC29</f>
        <v>34560</v>
      </c>
      <c r="AK38" s="23">
        <f>[1]CostSumm!BD29</f>
        <v>0</v>
      </c>
      <c r="AL38" s="23">
        <f>[1]CostSumm!BE29</f>
        <v>0</v>
      </c>
      <c r="AM38" s="23">
        <f>[1]CostSumm!BF29</f>
        <v>103680</v>
      </c>
      <c r="AN38" s="23">
        <f>[1]CostSumm!BG29</f>
        <v>16200</v>
      </c>
      <c r="AO38" s="23">
        <f>[1]CostSumm!BH29</f>
        <v>0</v>
      </c>
      <c r="AP38" s="23">
        <f>[1]CostSumm!BI29</f>
        <v>0</v>
      </c>
      <c r="AQ38" s="23">
        <f>[1]CostSumm!BJ29</f>
        <v>0</v>
      </c>
      <c r="AR38" s="23">
        <f>[1]CostSumm!BK29</f>
        <v>32400</v>
      </c>
      <c r="AS38" s="23">
        <f>[1]CostSumm!BL29</f>
        <v>0</v>
      </c>
      <c r="AT38" s="23">
        <f>[1]CostSumm!BM29</f>
        <v>207360</v>
      </c>
      <c r="AU38" s="23">
        <f>[1]CostSumm!BN29</f>
        <v>0</v>
      </c>
      <c r="AV38" s="23">
        <f>[1]CostSumm!BO29</f>
        <v>0</v>
      </c>
      <c r="AW38" s="23">
        <f>[1]CostSumm!BP29</f>
        <v>0</v>
      </c>
      <c r="AX38" s="23">
        <f>[1]CostSumm!BQ29</f>
        <v>0</v>
      </c>
      <c r="AY38" s="23">
        <f>[1]CostSumm!BR29</f>
        <v>194400.00000000003</v>
      </c>
      <c r="AZ38" s="23">
        <f>[1]CostSumm!BS29</f>
        <v>0</v>
      </c>
      <c r="BA38" s="23">
        <f>[1]CostSumm!BT29</f>
        <v>0</v>
      </c>
      <c r="BB38" s="23">
        <f>[1]CostSumm!BU29</f>
        <v>0</v>
      </c>
      <c r="BC38" s="23">
        <f>[1]CostSumm!BV29</f>
        <v>0</v>
      </c>
      <c r="BD38" s="23">
        <f>[1]CostSumm!BW29</f>
        <v>0</v>
      </c>
      <c r="BE38" s="23">
        <f>[1]CostSumm!BX29</f>
        <v>0</v>
      </c>
      <c r="BF38" s="23">
        <f>[1]CostSumm!BY29</f>
        <v>427680</v>
      </c>
      <c r="BG38" s="23">
        <f>[1]CostSumm!BZ29</f>
        <v>0</v>
      </c>
      <c r="BH38" s="23">
        <f>[1]CostSumm!CA29</f>
        <v>0</v>
      </c>
      <c r="BI38" s="23">
        <f>[1]CostSumm!CB29</f>
        <v>0</v>
      </c>
      <c r="BJ38" s="23">
        <f>[1]CostSumm!CC29</f>
        <v>0</v>
      </c>
      <c r="BK38" s="23">
        <f>[1]CostSumm!CD29</f>
        <v>369360</v>
      </c>
      <c r="BL38" s="23">
        <f>[1]CostSumm!CE29</f>
        <v>0</v>
      </c>
      <c r="BM38" s="23">
        <f>[1]CostSumm!CF29</f>
        <v>0</v>
      </c>
      <c r="BN38" s="23">
        <f>[1]CostSumm!CG29</f>
        <v>0</v>
      </c>
      <c r="BO38" s="23">
        <f>[1]CostSumm!CH29</f>
        <v>0</v>
      </c>
      <c r="BP38" s="23">
        <f>[1]CostSumm!CI29</f>
        <v>0</v>
      </c>
      <c r="BQ38" s="23">
        <f>[1]CostSumm!CJ29</f>
        <v>0</v>
      </c>
      <c r="BR38" s="23">
        <f>[1]CostSumm!CK29</f>
        <v>812592</v>
      </c>
      <c r="BS38" s="23">
        <f>[1]CostSumm!CL29</f>
        <v>0</v>
      </c>
      <c r="BT38" s="23">
        <f>[1]CostSumm!CM29</f>
        <v>0</v>
      </c>
      <c r="BU38" s="23">
        <f>[1]CostSumm!CN29</f>
        <v>0</v>
      </c>
      <c r="BV38" s="23">
        <f>[1]CostSumm!CO29</f>
        <v>0</v>
      </c>
      <c r="BW38" s="23">
        <f>[1]CostSumm!CP29</f>
        <v>554040</v>
      </c>
      <c r="BX38" s="23">
        <f>[1]CostSumm!CQ29</f>
        <v>0</v>
      </c>
      <c r="BY38" s="23">
        <f>[1]CostSumm!CR29</f>
        <v>0</v>
      </c>
      <c r="BZ38" s="23">
        <f>[1]CostSumm!CS29</f>
        <v>0</v>
      </c>
      <c r="CA38" s="23">
        <f>[1]CostSumm!CT29</f>
        <v>0</v>
      </c>
      <c r="CB38" s="23">
        <f>[1]CostSumm!CU29</f>
        <v>0</v>
      </c>
      <c r="CC38" s="23">
        <f>[1]CostSumm!CV29</f>
        <v>0</v>
      </c>
      <c r="CD38" s="23">
        <f>[1]CostSumm!CW29</f>
        <v>1218888</v>
      </c>
      <c r="CE38" s="23">
        <f>[1]CostSumm!CX29</f>
        <v>0</v>
      </c>
      <c r="CF38" s="23">
        <f>[1]CostSumm!CY29</f>
        <v>0</v>
      </c>
      <c r="CG38" s="23">
        <f>[1]CostSumm!CZ29</f>
        <v>0</v>
      </c>
      <c r="CH38" s="23">
        <f>[1]CostSumm!DA29</f>
        <v>0</v>
      </c>
      <c r="CI38" s="23">
        <f>[1]CostSumm!DB29</f>
        <v>720252</v>
      </c>
      <c r="CJ38" s="23">
        <f>[1]CostSumm!DC29</f>
        <v>0</v>
      </c>
      <c r="CK38" s="23">
        <f>[1]CostSumm!DD29</f>
        <v>0</v>
      </c>
      <c r="CL38" s="23">
        <f>[1]CostSumm!DE29</f>
        <v>0</v>
      </c>
      <c r="CM38" s="23">
        <f>[1]CostSumm!DF29</f>
        <v>0</v>
      </c>
      <c r="CN38" s="23">
        <f>[1]CostSumm!DG29</f>
        <v>0</v>
      </c>
      <c r="CO38" s="23">
        <f>[1]CostSumm!DH29</f>
        <v>0</v>
      </c>
      <c r="CP38" s="23">
        <f>[1]CostSumm!DI29</f>
        <v>1584554.4</v>
      </c>
      <c r="CQ38" s="23">
        <f>[1]CostSumm!DJ29</f>
        <v>0</v>
      </c>
      <c r="CR38" s="23">
        <f>[1]CostSumm!DK29</f>
        <v>0</v>
      </c>
      <c r="CS38" s="23">
        <f>[1]CostSumm!DL29</f>
        <v>0</v>
      </c>
      <c r="CT38" s="39">
        <f t="shared" ref="CT38:CV47" si="130">AVERAGE($CN38:$CS38)</f>
        <v>264092.39999999997</v>
      </c>
      <c r="CU38" s="39">
        <f t="shared" si="130"/>
        <v>264092.39999999997</v>
      </c>
      <c r="CV38" s="39">
        <f t="shared" si="130"/>
        <v>264092.39999999997</v>
      </c>
      <c r="CW38" s="21"/>
    </row>
    <row r="39" spans="4:101" x14ac:dyDescent="0.25">
      <c r="D39" s="35" t="str">
        <f>[1]Key!$W$14</f>
        <v>GROWTH "HIT" PH</v>
      </c>
      <c r="F39" s="21"/>
      <c r="G39" s="21"/>
      <c r="H39" s="21"/>
      <c r="I39" s="21"/>
      <c r="J39" s="21"/>
      <c r="K39" s="21"/>
      <c r="L39" s="21"/>
      <c r="M39" s="21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23">
        <f>[1]CostSumm!AS30</f>
        <v>0</v>
      </c>
      <c r="AA39" s="23">
        <f>[1]CostSumm!AT30</f>
        <v>0</v>
      </c>
      <c r="AB39" s="23">
        <f>[1]CostSumm!AU30</f>
        <v>0</v>
      </c>
      <c r="AC39" s="23">
        <f>[1]CostSumm!AV30</f>
        <v>0</v>
      </c>
      <c r="AD39" s="23">
        <f>[1]CostSumm!AW30</f>
        <v>0</v>
      </c>
      <c r="AE39" s="23">
        <f>[1]CostSumm!AX30</f>
        <v>0</v>
      </c>
      <c r="AF39" s="23">
        <f>[1]CostSumm!AY30</f>
        <v>0</v>
      </c>
      <c r="AG39" s="23">
        <f>[1]CostSumm!AZ30</f>
        <v>0</v>
      </c>
      <c r="AH39" s="23">
        <f>[1]CostSumm!BA30</f>
        <v>0</v>
      </c>
      <c r="AI39" s="23">
        <f>[1]CostSumm!BB30</f>
        <v>0</v>
      </c>
      <c r="AJ39" s="23">
        <f>[1]CostSumm!BC30</f>
        <v>0</v>
      </c>
      <c r="AK39" s="23">
        <f>[1]CostSumm!BD30</f>
        <v>0</v>
      </c>
      <c r="AL39" s="23">
        <f>[1]CostSumm!BE30</f>
        <v>0</v>
      </c>
      <c r="AM39" s="23">
        <f>[1]CostSumm!BF30</f>
        <v>0</v>
      </c>
      <c r="AN39" s="23">
        <f>[1]CostSumm!BG30</f>
        <v>0</v>
      </c>
      <c r="AO39" s="23">
        <f>[1]CostSumm!BH30</f>
        <v>0</v>
      </c>
      <c r="AP39" s="23">
        <f>[1]CostSumm!BI30</f>
        <v>0</v>
      </c>
      <c r="AQ39" s="23">
        <f>[1]CostSumm!BJ30</f>
        <v>0</v>
      </c>
      <c r="AR39" s="23">
        <f>[1]CostSumm!BK30</f>
        <v>0</v>
      </c>
      <c r="AS39" s="23">
        <f>[1]CostSumm!BL30</f>
        <v>0</v>
      </c>
      <c r="AT39" s="23">
        <f>[1]CostSumm!BM30</f>
        <v>0</v>
      </c>
      <c r="AU39" s="23">
        <f>[1]CostSumm!BN30</f>
        <v>432000</v>
      </c>
      <c r="AV39" s="23">
        <f>[1]CostSumm!BO30</f>
        <v>0</v>
      </c>
      <c r="AW39" s="23">
        <f>[1]CostSumm!BP30</f>
        <v>0</v>
      </c>
      <c r="AX39" s="23">
        <f>[1]CostSumm!BQ30</f>
        <v>864000</v>
      </c>
      <c r="AY39" s="23">
        <f>[1]CostSumm!BR30</f>
        <v>0</v>
      </c>
      <c r="AZ39" s="23">
        <f>[1]CostSumm!BS30</f>
        <v>0</v>
      </c>
      <c r="BA39" s="23">
        <f>[1]CostSumm!BT30</f>
        <v>864000</v>
      </c>
      <c r="BB39" s="23">
        <f>[1]CostSumm!BU30</f>
        <v>0</v>
      </c>
      <c r="BC39" s="23">
        <f>[1]CostSumm!BV30</f>
        <v>0</v>
      </c>
      <c r="BD39" s="23">
        <f>[1]CostSumm!BW30</f>
        <v>1080000</v>
      </c>
      <c r="BE39" s="23">
        <f>[1]CostSumm!BX30</f>
        <v>0</v>
      </c>
      <c r="BF39" s="23">
        <f>[1]CostSumm!BY30</f>
        <v>0</v>
      </c>
      <c r="BG39" s="23">
        <f>[1]CostSumm!BZ30</f>
        <v>1512000</v>
      </c>
      <c r="BH39" s="23">
        <f>[1]CostSumm!CA30</f>
        <v>0</v>
      </c>
      <c r="BI39" s="23">
        <f>[1]CostSumm!CB30</f>
        <v>0</v>
      </c>
      <c r="BJ39" s="23">
        <f>[1]CostSumm!CC30</f>
        <v>1641600</v>
      </c>
      <c r="BK39" s="23">
        <f>[1]CostSumm!CD30</f>
        <v>0</v>
      </c>
      <c r="BL39" s="23">
        <f>[1]CostSumm!CE30</f>
        <v>0</v>
      </c>
      <c r="BM39" s="23">
        <f>[1]CostSumm!CF30</f>
        <v>1641600</v>
      </c>
      <c r="BN39" s="23">
        <f>[1]CostSumm!CG30</f>
        <v>0</v>
      </c>
      <c r="BO39" s="23">
        <f>[1]CostSumm!CH30</f>
        <v>0</v>
      </c>
      <c r="BP39" s="23">
        <f>[1]CostSumm!CI30</f>
        <v>2052000</v>
      </c>
      <c r="BQ39" s="23">
        <f>[1]CostSumm!CJ30</f>
        <v>0</v>
      </c>
      <c r="BR39" s="23">
        <f>[1]CostSumm!CK30</f>
        <v>0</v>
      </c>
      <c r="BS39" s="23">
        <f>[1]CostSumm!CL30</f>
        <v>2872800</v>
      </c>
      <c r="BT39" s="23">
        <f>[1]CostSumm!CM30</f>
        <v>0</v>
      </c>
      <c r="BU39" s="23">
        <f>[1]CostSumm!CN30</f>
        <v>0</v>
      </c>
      <c r="BV39" s="23">
        <f>[1]CostSumm!CO30</f>
        <v>2462400</v>
      </c>
      <c r="BW39" s="23">
        <f>[1]CostSumm!CP30</f>
        <v>0</v>
      </c>
      <c r="BX39" s="23">
        <f>[1]CostSumm!CQ30</f>
        <v>0</v>
      </c>
      <c r="BY39" s="23">
        <f>[1]CostSumm!CR30</f>
        <v>2462400</v>
      </c>
      <c r="BZ39" s="23">
        <f>[1]CostSumm!CS30</f>
        <v>0</v>
      </c>
      <c r="CA39" s="23">
        <f>[1]CostSumm!CT30</f>
        <v>0</v>
      </c>
      <c r="CB39" s="23">
        <f>[1]CostSumm!CU30</f>
        <v>3078000</v>
      </c>
      <c r="CC39" s="23">
        <f>[1]CostSumm!CV30</f>
        <v>0</v>
      </c>
      <c r="CD39" s="23">
        <f>[1]CostSumm!CW30</f>
        <v>0</v>
      </c>
      <c r="CE39" s="23">
        <f>[1]CostSumm!CX30</f>
        <v>4309200</v>
      </c>
      <c r="CF39" s="23">
        <f>[1]CostSumm!CY30</f>
        <v>0</v>
      </c>
      <c r="CG39" s="23">
        <f>[1]CostSumm!CZ30</f>
        <v>0</v>
      </c>
      <c r="CH39" s="23">
        <f>[1]CostSumm!DA30</f>
        <v>3201120</v>
      </c>
      <c r="CI39" s="23">
        <f>[1]CostSumm!DB30</f>
        <v>0</v>
      </c>
      <c r="CJ39" s="23">
        <f>[1]CostSumm!DC30</f>
        <v>0</v>
      </c>
      <c r="CK39" s="23">
        <f>[1]CostSumm!DD30</f>
        <v>3201120</v>
      </c>
      <c r="CL39" s="23">
        <f>[1]CostSumm!DE30</f>
        <v>0</v>
      </c>
      <c r="CM39" s="23">
        <f>[1]CostSumm!DF30</f>
        <v>0</v>
      </c>
      <c r="CN39" s="23">
        <f>[1]CostSumm!DG30</f>
        <v>4001400</v>
      </c>
      <c r="CO39" s="23">
        <f>[1]CostSumm!DH30</f>
        <v>0</v>
      </c>
      <c r="CP39" s="23">
        <f>[1]CostSumm!DI30</f>
        <v>0</v>
      </c>
      <c r="CQ39" s="23">
        <f>[1]CostSumm!DJ30</f>
        <v>5601960</v>
      </c>
      <c r="CR39" s="23">
        <f>[1]CostSumm!DK30</f>
        <v>0</v>
      </c>
      <c r="CS39" s="23">
        <f>[1]CostSumm!DL30</f>
        <v>0</v>
      </c>
      <c r="CT39" s="39">
        <f t="shared" si="130"/>
        <v>1600560</v>
      </c>
      <c r="CU39" s="39">
        <f>AVERAGE($CN39:$CS39)</f>
        <v>1600560</v>
      </c>
      <c r="CV39" s="39">
        <f t="shared" si="130"/>
        <v>1600560</v>
      </c>
      <c r="CW39" s="21"/>
    </row>
    <row r="40" spans="4:101" x14ac:dyDescent="0.25">
      <c r="D40" s="35" t="str">
        <f>[1]Key!$W$15</f>
        <v>ICE STUDIOS</v>
      </c>
      <c r="F40" s="21"/>
      <c r="G40" s="21"/>
      <c r="H40" s="21"/>
      <c r="I40" s="21"/>
      <c r="J40" s="21"/>
      <c r="K40" s="21"/>
      <c r="L40" s="21"/>
      <c r="M40" s="21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23">
        <f>[1]CostSumm!AS31</f>
        <v>0</v>
      </c>
      <c r="AA40" s="23">
        <f>[1]CostSumm!AT31</f>
        <v>0</v>
      </c>
      <c r="AB40" s="23">
        <f>[1]CostSumm!AU31</f>
        <v>0</v>
      </c>
      <c r="AC40" s="23">
        <f>[1]CostSumm!AV31</f>
        <v>0</v>
      </c>
      <c r="AD40" s="23">
        <f>[1]CostSumm!AW31</f>
        <v>0</v>
      </c>
      <c r="AE40" s="23">
        <f>[1]CostSumm!AX31</f>
        <v>0</v>
      </c>
      <c r="AF40" s="23">
        <f>[1]CostSumm!AY31</f>
        <v>0</v>
      </c>
      <c r="AG40" s="23">
        <f>[1]CostSumm!AZ31</f>
        <v>0</v>
      </c>
      <c r="AH40" s="23">
        <f>[1]CostSumm!BA31</f>
        <v>0</v>
      </c>
      <c r="AI40" s="23">
        <f>[1]CostSumm!BB31</f>
        <v>0</v>
      </c>
      <c r="AJ40" s="23">
        <f>[1]CostSumm!BC31</f>
        <v>0</v>
      </c>
      <c r="AK40" s="23">
        <f>[1]CostSumm!BD31</f>
        <v>110700</v>
      </c>
      <c r="AL40" s="23">
        <f>[1]CostSumm!BE31</f>
        <v>0</v>
      </c>
      <c r="AM40" s="23">
        <f>[1]CostSumm!BF31</f>
        <v>213840</v>
      </c>
      <c r="AN40" s="23">
        <f>[1]CostSumm!BG31</f>
        <v>0</v>
      </c>
      <c r="AO40" s="23">
        <f>[1]CostSumm!BH31</f>
        <v>0</v>
      </c>
      <c r="AP40" s="23">
        <f>[1]CostSumm!BI31</f>
        <v>0</v>
      </c>
      <c r="AQ40" s="23">
        <f>[1]CostSumm!BJ31</f>
        <v>356400</v>
      </c>
      <c r="AR40" s="23">
        <f>[1]CostSumm!BK31</f>
        <v>0</v>
      </c>
      <c r="AS40" s="23">
        <f>[1]CostSumm!BL31</f>
        <v>0</v>
      </c>
      <c r="AT40" s="23">
        <f>[1]CostSumm!BM31</f>
        <v>567000</v>
      </c>
      <c r="AU40" s="23">
        <f>[1]CostSumm!BN31</f>
        <v>0</v>
      </c>
      <c r="AV40" s="23">
        <f>[1]CostSumm!BO31</f>
        <v>0</v>
      </c>
      <c r="AW40" s="23">
        <f>[1]CostSumm!BP31</f>
        <v>684720</v>
      </c>
      <c r="AX40" s="23">
        <f>[1]CostSumm!BQ31</f>
        <v>259200</v>
      </c>
      <c r="AY40" s="23">
        <f>[1]CostSumm!BR31</f>
        <v>453600</v>
      </c>
      <c r="AZ40" s="23">
        <f>[1]CostSumm!BS31</f>
        <v>0</v>
      </c>
      <c r="BA40" s="23">
        <f>[1]CostSumm!BT31</f>
        <v>0</v>
      </c>
      <c r="BB40" s="23">
        <f>[1]CostSumm!BU31</f>
        <v>0</v>
      </c>
      <c r="BC40" s="23">
        <f>[1]CostSumm!BV31</f>
        <v>712800</v>
      </c>
      <c r="BD40" s="23">
        <f>[1]CostSumm!BW31</f>
        <v>0</v>
      </c>
      <c r="BE40" s="23">
        <f>[1]CostSumm!BX31</f>
        <v>0</v>
      </c>
      <c r="BF40" s="23">
        <f>[1]CostSumm!BY31</f>
        <v>723600</v>
      </c>
      <c r="BG40" s="23">
        <f>[1]CostSumm!BZ31</f>
        <v>0</v>
      </c>
      <c r="BH40" s="23">
        <f>[1]CostSumm!CA31</f>
        <v>51840</v>
      </c>
      <c r="BI40" s="23">
        <f>[1]CostSumm!CB31</f>
        <v>723600</v>
      </c>
      <c r="BJ40" s="23">
        <f>[1]CostSumm!CC31</f>
        <v>615600</v>
      </c>
      <c r="BK40" s="23">
        <f>[1]CostSumm!CD31</f>
        <v>1077300</v>
      </c>
      <c r="BL40" s="23">
        <f>[1]CostSumm!CE31</f>
        <v>0</v>
      </c>
      <c r="BM40" s="23">
        <f>[1]CostSumm!CF31</f>
        <v>0</v>
      </c>
      <c r="BN40" s="23">
        <f>[1]CostSumm!CG31</f>
        <v>0</v>
      </c>
      <c r="BO40" s="23">
        <f>[1]CostSumm!CH31</f>
        <v>1692900</v>
      </c>
      <c r="BP40" s="23">
        <f>[1]CostSumm!CI31</f>
        <v>0</v>
      </c>
      <c r="BQ40" s="23">
        <f>[1]CostSumm!CJ31</f>
        <v>0</v>
      </c>
      <c r="BR40" s="23">
        <f>[1]CostSumm!CK31</f>
        <v>1718550</v>
      </c>
      <c r="BS40" s="23">
        <f>[1]CostSumm!CL31</f>
        <v>0</v>
      </c>
      <c r="BT40" s="23">
        <f>[1]CostSumm!CM31</f>
        <v>123120</v>
      </c>
      <c r="BU40" s="23">
        <f>[1]CostSumm!CN31</f>
        <v>1718550</v>
      </c>
      <c r="BV40" s="23">
        <f>[1]CostSumm!CO31</f>
        <v>1385100</v>
      </c>
      <c r="BW40" s="23">
        <f>[1]CostSumm!CP31</f>
        <v>2423925</v>
      </c>
      <c r="BX40" s="23">
        <f>[1]CostSumm!CQ31</f>
        <v>0</v>
      </c>
      <c r="BY40" s="23">
        <f>[1]CostSumm!CR31</f>
        <v>0</v>
      </c>
      <c r="BZ40" s="23">
        <f>[1]CostSumm!CS31</f>
        <v>0</v>
      </c>
      <c r="CA40" s="23">
        <f>[1]CostSumm!CT31</f>
        <v>3809025</v>
      </c>
      <c r="CB40" s="23">
        <f>[1]CostSumm!CU31</f>
        <v>0</v>
      </c>
      <c r="CC40" s="23">
        <f>[1]CostSumm!CV31</f>
        <v>0</v>
      </c>
      <c r="CD40" s="23">
        <f>[1]CostSumm!CW31</f>
        <v>3866737.5</v>
      </c>
      <c r="CE40" s="23">
        <f>[1]CostSumm!CX31</f>
        <v>0</v>
      </c>
      <c r="CF40" s="23">
        <f>[1]CostSumm!CY31</f>
        <v>277020</v>
      </c>
      <c r="CG40" s="23">
        <f>[1]CostSumm!CZ31</f>
        <v>3866737.5</v>
      </c>
      <c r="CH40" s="23">
        <f>[1]CostSumm!DA31</f>
        <v>2423925</v>
      </c>
      <c r="CI40" s="23">
        <f>[1]CostSumm!DB31</f>
        <v>4241868.75</v>
      </c>
      <c r="CJ40" s="23">
        <f>[1]CostSumm!DC31</f>
        <v>0</v>
      </c>
      <c r="CK40" s="23">
        <f>[1]CostSumm!DD31</f>
        <v>0</v>
      </c>
      <c r="CL40" s="23">
        <f>[1]CostSumm!DE31</f>
        <v>0</v>
      </c>
      <c r="CM40" s="23">
        <f>[1]CostSumm!DF31</f>
        <v>6665793.75</v>
      </c>
      <c r="CN40" s="23">
        <f>[1]CostSumm!DG31</f>
        <v>0</v>
      </c>
      <c r="CO40" s="23">
        <f>[1]CostSumm!DH31</f>
        <v>0</v>
      </c>
      <c r="CP40" s="23">
        <f>[1]CostSumm!DI31</f>
        <v>6766790.625</v>
      </c>
      <c r="CQ40" s="23">
        <f>[1]CostSumm!DJ31</f>
        <v>0</v>
      </c>
      <c r="CR40" s="23">
        <f>[1]CostSumm!DK31</f>
        <v>484785</v>
      </c>
      <c r="CS40" s="23">
        <f>[1]CostSumm!DL31</f>
        <v>6766790.625</v>
      </c>
      <c r="CT40" s="39">
        <f t="shared" si="130"/>
        <v>2336394.375</v>
      </c>
      <c r="CU40" s="39">
        <f t="shared" si="130"/>
        <v>2336394.375</v>
      </c>
      <c r="CV40" s="39">
        <f t="shared" si="130"/>
        <v>2336394.375</v>
      </c>
      <c r="CW40" s="21"/>
    </row>
    <row r="41" spans="4:101" x14ac:dyDescent="0.25">
      <c r="D41" s="35" t="str">
        <f>[1]Key!$W$16</f>
        <v>MURAKAMI / TORITON</v>
      </c>
      <c r="F41" s="21"/>
      <c r="G41" s="21"/>
      <c r="H41" s="21"/>
      <c r="I41" s="21"/>
      <c r="J41" s="21"/>
      <c r="K41" s="21"/>
      <c r="L41" s="21"/>
      <c r="M41" s="21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23">
        <f>[1]CostSumm!AS32</f>
        <v>0</v>
      </c>
      <c r="AA41" s="23">
        <f>[1]CostSumm!AT32</f>
        <v>0</v>
      </c>
      <c r="AB41" s="23">
        <f>[1]CostSumm!AU32</f>
        <v>138720</v>
      </c>
      <c r="AC41" s="23">
        <f>[1]CostSumm!AV32</f>
        <v>14450</v>
      </c>
      <c r="AD41" s="23">
        <f>[1]CostSumm!AW32</f>
        <v>0</v>
      </c>
      <c r="AE41" s="23">
        <f>[1]CostSumm!AX32</f>
        <v>14450</v>
      </c>
      <c r="AF41" s="23">
        <f>[1]CostSumm!AY32</f>
        <v>346800</v>
      </c>
      <c r="AG41" s="23">
        <f>[1]CostSumm!AZ32</f>
        <v>0</v>
      </c>
      <c r="AH41" s="23">
        <f>[1]CostSumm!BA32</f>
        <v>28900</v>
      </c>
      <c r="AI41" s="23">
        <f>[1]CostSumm!BB32</f>
        <v>0</v>
      </c>
      <c r="AJ41" s="23">
        <f>[1]CostSumm!BC32</f>
        <v>78000</v>
      </c>
      <c r="AK41" s="23">
        <f>[1]CostSumm!BD32</f>
        <v>106900</v>
      </c>
      <c r="AL41" s="23">
        <f>[1]CostSumm!BE32</f>
        <v>0</v>
      </c>
      <c r="AM41" s="23">
        <f>[1]CostSumm!BF32</f>
        <v>260000</v>
      </c>
      <c r="AN41" s="23">
        <f>[1]CostSumm!BG32</f>
        <v>57800</v>
      </c>
      <c r="AO41" s="23">
        <f>[1]CostSumm!BH32</f>
        <v>0</v>
      </c>
      <c r="AP41" s="23">
        <f>[1]CostSumm!BI32</f>
        <v>325000</v>
      </c>
      <c r="AQ41" s="23">
        <f>[1]CostSumm!BJ32</f>
        <v>154300</v>
      </c>
      <c r="AR41" s="23">
        <f>[1]CostSumm!BK32</f>
        <v>88840</v>
      </c>
      <c r="AS41" s="23">
        <f>[1]CostSumm!BL32</f>
        <v>363680</v>
      </c>
      <c r="AT41" s="23">
        <f>[1]CostSumm!BM32</f>
        <v>0</v>
      </c>
      <c r="AU41" s="23">
        <f>[1]CostSumm!BN32</f>
        <v>43200</v>
      </c>
      <c r="AV41" s="23">
        <f>[1]CostSumm!BO32</f>
        <v>387520</v>
      </c>
      <c r="AW41" s="23">
        <f>[1]CostSumm!BP32</f>
        <v>277700</v>
      </c>
      <c r="AX41" s="23">
        <f>[1]CostSumm!BQ32</f>
        <v>57800</v>
      </c>
      <c r="AY41" s="23">
        <f>[1]CostSumm!BR32</f>
        <v>530280</v>
      </c>
      <c r="AZ41" s="23">
        <f>[1]CostSumm!BS32</f>
        <v>259200</v>
      </c>
      <c r="BA41" s="23">
        <f>[1]CostSumm!BT32</f>
        <v>18500</v>
      </c>
      <c r="BB41" s="23">
        <f>[1]CostSumm!BU32</f>
        <v>422000</v>
      </c>
      <c r="BC41" s="23">
        <f>[1]CostSumm!BV32</f>
        <v>362880</v>
      </c>
      <c r="BD41" s="23">
        <f>[1]CostSumm!BW32</f>
        <v>57800</v>
      </c>
      <c r="BE41" s="23">
        <f>[1]CostSumm!BX32</f>
        <v>562680</v>
      </c>
      <c r="BF41" s="23">
        <f>[1]CostSumm!BY32</f>
        <v>259200</v>
      </c>
      <c r="BG41" s="23">
        <f>[1]CostSumm!BZ32</f>
        <v>18500</v>
      </c>
      <c r="BH41" s="23">
        <f>[1]CostSumm!CA32</f>
        <v>363280</v>
      </c>
      <c r="BI41" s="23">
        <f>[1]CostSumm!CB32</f>
        <v>259200</v>
      </c>
      <c r="BJ41" s="23">
        <f>[1]CostSumm!CC32</f>
        <v>137275</v>
      </c>
      <c r="BK41" s="23">
        <f>[1]CostSumm!CD32</f>
        <v>1259415</v>
      </c>
      <c r="BL41" s="23">
        <f>[1]CostSumm!CE32</f>
        <v>615600</v>
      </c>
      <c r="BM41" s="23">
        <f>[1]CostSumm!CF32</f>
        <v>43937.5</v>
      </c>
      <c r="BN41" s="23">
        <f>[1]CostSumm!CG32</f>
        <v>1002250</v>
      </c>
      <c r="BO41" s="23">
        <f>[1]CostSumm!CH32</f>
        <v>861840</v>
      </c>
      <c r="BP41" s="23">
        <f>[1]CostSumm!CI32</f>
        <v>137275</v>
      </c>
      <c r="BQ41" s="23">
        <f>[1]CostSumm!CJ32</f>
        <v>1336365</v>
      </c>
      <c r="BR41" s="23">
        <f>[1]CostSumm!CK32</f>
        <v>615600</v>
      </c>
      <c r="BS41" s="23">
        <f>[1]CostSumm!CL32</f>
        <v>43937.5</v>
      </c>
      <c r="BT41" s="23">
        <f>[1]CostSumm!CM32</f>
        <v>862790</v>
      </c>
      <c r="BU41" s="23">
        <f>[1]CostSumm!CN32</f>
        <v>615600</v>
      </c>
      <c r="BV41" s="23">
        <f>[1]CostSumm!CO32</f>
        <v>240231.25</v>
      </c>
      <c r="BW41" s="23">
        <f>[1]CostSumm!CP32</f>
        <v>2203976.25</v>
      </c>
      <c r="BX41" s="23">
        <f>[1]CostSumm!CQ32</f>
        <v>1077300</v>
      </c>
      <c r="BY41" s="23">
        <f>[1]CostSumm!CR32</f>
        <v>76890.625</v>
      </c>
      <c r="BZ41" s="23">
        <f>[1]CostSumm!CS32</f>
        <v>1753937.5</v>
      </c>
      <c r="CA41" s="23">
        <f>[1]CostSumm!CT32</f>
        <v>1508220</v>
      </c>
      <c r="CB41" s="23">
        <f>[1]CostSumm!CU32</f>
        <v>240231.25</v>
      </c>
      <c r="CC41" s="23">
        <f>[1]CostSumm!CV32</f>
        <v>2338638.75</v>
      </c>
      <c r="CD41" s="23">
        <f>[1]CostSumm!CW32</f>
        <v>1077300</v>
      </c>
      <c r="CE41" s="23">
        <f>[1]CostSumm!CX32</f>
        <v>76890.625</v>
      </c>
      <c r="CF41" s="23">
        <f>[1]CostSumm!CY32</f>
        <v>1509882.5</v>
      </c>
      <c r="CG41" s="23">
        <f>[1]CostSumm!CZ32</f>
        <v>1077300</v>
      </c>
      <c r="CH41" s="23">
        <f>[1]CostSumm!DA32</f>
        <v>360346.875</v>
      </c>
      <c r="CI41" s="23">
        <f>[1]CostSumm!DB32</f>
        <v>3305964.375</v>
      </c>
      <c r="CJ41" s="23">
        <f>[1]CostSumm!DC32</f>
        <v>1615950</v>
      </c>
      <c r="CK41" s="23">
        <f>[1]CostSumm!DD32</f>
        <v>115335.9375</v>
      </c>
      <c r="CL41" s="23">
        <f>[1]CostSumm!DE32</f>
        <v>2630906.25</v>
      </c>
      <c r="CM41" s="23">
        <f>[1]CostSumm!DF32</f>
        <v>2262330</v>
      </c>
      <c r="CN41" s="23">
        <f>[1]CostSumm!DG32</f>
        <v>360346.875</v>
      </c>
      <c r="CO41" s="23">
        <f>[1]CostSumm!DH32</f>
        <v>3507958.125</v>
      </c>
      <c r="CP41" s="23">
        <f>[1]CostSumm!DI32</f>
        <v>1615950</v>
      </c>
      <c r="CQ41" s="23">
        <f>[1]CostSumm!DJ32</f>
        <v>115335.9375</v>
      </c>
      <c r="CR41" s="23">
        <f>[1]CostSumm!DK32</f>
        <v>2264823.75</v>
      </c>
      <c r="CS41" s="23">
        <f>[1]CostSumm!DL32</f>
        <v>1615950</v>
      </c>
      <c r="CT41" s="39">
        <f t="shared" si="130"/>
        <v>1580060.78125</v>
      </c>
      <c r="CU41" s="39">
        <f t="shared" si="130"/>
        <v>1580060.78125</v>
      </c>
      <c r="CV41" s="39">
        <f t="shared" si="130"/>
        <v>1580060.78125</v>
      </c>
      <c r="CW41" s="21"/>
    </row>
    <row r="42" spans="4:101" x14ac:dyDescent="0.25">
      <c r="D42" s="35" t="str">
        <f>[1]Key!$W$17</f>
        <v>NEW PARTNER 1</v>
      </c>
      <c r="F42" s="21"/>
      <c r="G42" s="21"/>
      <c r="H42" s="21"/>
      <c r="I42" s="21"/>
      <c r="J42" s="21"/>
      <c r="K42" s="21"/>
      <c r="L42" s="21"/>
      <c r="M42" s="21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23">
        <f>[1]CostSumm!AS33</f>
        <v>0</v>
      </c>
      <c r="AA42" s="23">
        <f>[1]CostSumm!AT33</f>
        <v>0</v>
      </c>
      <c r="AB42" s="23">
        <f>[1]CostSumm!AU33</f>
        <v>0</v>
      </c>
      <c r="AC42" s="23">
        <f>[1]CostSumm!AV33</f>
        <v>0</v>
      </c>
      <c r="AD42" s="23">
        <f>[1]CostSumm!AW33</f>
        <v>0</v>
      </c>
      <c r="AE42" s="23">
        <f>[1]CostSumm!AX33</f>
        <v>0</v>
      </c>
      <c r="AF42" s="23">
        <f>[1]CostSumm!AY33</f>
        <v>0</v>
      </c>
      <c r="AG42" s="23">
        <f>[1]CostSumm!AZ33</f>
        <v>0</v>
      </c>
      <c r="AH42" s="23">
        <f>[1]CostSumm!BA33</f>
        <v>0</v>
      </c>
      <c r="AI42" s="23">
        <f>[1]CostSumm!BB33</f>
        <v>0</v>
      </c>
      <c r="AJ42" s="23">
        <f>[1]CostSumm!BC33</f>
        <v>0</v>
      </c>
      <c r="AK42" s="23">
        <f>[1]CostSumm!BD33</f>
        <v>0</v>
      </c>
      <c r="AL42" s="23">
        <f>[1]CostSumm!BE33</f>
        <v>0</v>
      </c>
      <c r="AM42" s="23">
        <f>[1]CostSumm!BF33</f>
        <v>0</v>
      </c>
      <c r="AN42" s="23">
        <f>[1]CostSumm!BG33</f>
        <v>0</v>
      </c>
      <c r="AO42" s="23">
        <f>[1]CostSumm!BH33</f>
        <v>0</v>
      </c>
      <c r="AP42" s="23">
        <f>[1]CostSumm!BI33</f>
        <v>0</v>
      </c>
      <c r="AQ42" s="23">
        <f>[1]CostSumm!BJ33</f>
        <v>0</v>
      </c>
      <c r="AR42" s="23">
        <f>[1]CostSumm!BK33</f>
        <v>0</v>
      </c>
      <c r="AS42" s="23">
        <f>[1]CostSumm!BL33</f>
        <v>0</v>
      </c>
      <c r="AT42" s="23">
        <f>[1]CostSumm!BM33</f>
        <v>0</v>
      </c>
      <c r="AU42" s="23">
        <f>[1]CostSumm!BN33</f>
        <v>0</v>
      </c>
      <c r="AV42" s="23">
        <f>[1]CostSumm!BO33</f>
        <v>0</v>
      </c>
      <c r="AW42" s="23">
        <f>[1]CostSumm!BP33</f>
        <v>0</v>
      </c>
      <c r="AX42" s="23">
        <f>[1]CostSumm!BQ33</f>
        <v>103680</v>
      </c>
      <c r="AY42" s="23">
        <f>[1]CostSumm!BR33</f>
        <v>0</v>
      </c>
      <c r="AZ42" s="23">
        <f>[1]CostSumm!BS33</f>
        <v>0</v>
      </c>
      <c r="BA42" s="23">
        <f>[1]CostSumm!BT33</f>
        <v>0</v>
      </c>
      <c r="BB42" s="23">
        <f>[1]CostSumm!BU33</f>
        <v>0</v>
      </c>
      <c r="BC42" s="23">
        <f>[1]CostSumm!BV33</f>
        <v>0</v>
      </c>
      <c r="BD42" s="23">
        <f>[1]CostSumm!BW33</f>
        <v>216000</v>
      </c>
      <c r="BE42" s="23">
        <f>[1]CostSumm!BX33</f>
        <v>0</v>
      </c>
      <c r="BF42" s="23">
        <f>[1]CostSumm!BY33</f>
        <v>0</v>
      </c>
      <c r="BG42" s="23">
        <f>[1]CostSumm!BZ33</f>
        <v>0</v>
      </c>
      <c r="BH42" s="23">
        <f>[1]CostSumm!CA33</f>
        <v>0</v>
      </c>
      <c r="BI42" s="23">
        <f>[1]CostSumm!CB33</f>
        <v>0</v>
      </c>
      <c r="BJ42" s="23">
        <f>[1]CostSumm!CC33</f>
        <v>295488</v>
      </c>
      <c r="BK42" s="23">
        <f>[1]CostSumm!CD33</f>
        <v>0</v>
      </c>
      <c r="BL42" s="23">
        <f>[1]CostSumm!CE33</f>
        <v>0</v>
      </c>
      <c r="BM42" s="23">
        <f>[1]CostSumm!CF33</f>
        <v>0</v>
      </c>
      <c r="BN42" s="23">
        <f>[1]CostSumm!CG33</f>
        <v>0</v>
      </c>
      <c r="BO42" s="23">
        <f>[1]CostSumm!CH33</f>
        <v>0</v>
      </c>
      <c r="BP42" s="23">
        <f>[1]CostSumm!CI33</f>
        <v>615600</v>
      </c>
      <c r="BQ42" s="23">
        <f>[1]CostSumm!CJ33</f>
        <v>0</v>
      </c>
      <c r="BR42" s="23">
        <f>[1]CostSumm!CK33</f>
        <v>0</v>
      </c>
      <c r="BS42" s="23">
        <f>[1]CostSumm!CL33</f>
        <v>0</v>
      </c>
      <c r="BT42" s="23">
        <f>[1]CostSumm!CM33</f>
        <v>0</v>
      </c>
      <c r="BU42" s="23">
        <f>[1]CostSumm!CN33</f>
        <v>0</v>
      </c>
      <c r="BV42" s="23">
        <f>[1]CostSumm!CO33</f>
        <v>738720</v>
      </c>
      <c r="BW42" s="23">
        <f>[1]CostSumm!CP33</f>
        <v>0</v>
      </c>
      <c r="BX42" s="23">
        <f>[1]CostSumm!CQ33</f>
        <v>0</v>
      </c>
      <c r="BY42" s="23">
        <f>[1]CostSumm!CR33</f>
        <v>0</v>
      </c>
      <c r="BZ42" s="23">
        <f>[1]CostSumm!CS33</f>
        <v>0</v>
      </c>
      <c r="CA42" s="23">
        <f>[1]CostSumm!CT33</f>
        <v>0</v>
      </c>
      <c r="CB42" s="23">
        <f>[1]CostSumm!CU33</f>
        <v>1539000</v>
      </c>
      <c r="CC42" s="23">
        <f>[1]CostSumm!CV33</f>
        <v>0</v>
      </c>
      <c r="CD42" s="23">
        <f>[1]CostSumm!CW33</f>
        <v>0</v>
      </c>
      <c r="CE42" s="23">
        <f>[1]CostSumm!CX33</f>
        <v>0</v>
      </c>
      <c r="CF42" s="23">
        <f>[1]CostSumm!CY33</f>
        <v>0</v>
      </c>
      <c r="CG42" s="23">
        <f>[1]CostSumm!CZ33</f>
        <v>0</v>
      </c>
      <c r="CH42" s="23">
        <f>[1]CostSumm!DA33</f>
        <v>1292760</v>
      </c>
      <c r="CI42" s="23">
        <f>[1]CostSumm!DB33</f>
        <v>0</v>
      </c>
      <c r="CJ42" s="23">
        <f>[1]CostSumm!DC33</f>
        <v>0</v>
      </c>
      <c r="CK42" s="23">
        <f>[1]CostSumm!DD33</f>
        <v>0</v>
      </c>
      <c r="CL42" s="23">
        <f>[1]CostSumm!DE33</f>
        <v>0</v>
      </c>
      <c r="CM42" s="23">
        <f>[1]CostSumm!DF33</f>
        <v>0</v>
      </c>
      <c r="CN42" s="23">
        <f>[1]CostSumm!DG33</f>
        <v>2693250</v>
      </c>
      <c r="CO42" s="23">
        <f>[1]CostSumm!DH33</f>
        <v>0</v>
      </c>
      <c r="CP42" s="23">
        <f>[1]CostSumm!DI33</f>
        <v>0</v>
      </c>
      <c r="CQ42" s="23">
        <f>[1]CostSumm!DJ33</f>
        <v>0</v>
      </c>
      <c r="CR42" s="23">
        <f>[1]CostSumm!DK33</f>
        <v>0</v>
      </c>
      <c r="CS42" s="23">
        <f>[1]CostSumm!DL33</f>
        <v>0</v>
      </c>
      <c r="CT42" s="39">
        <f t="shared" si="130"/>
        <v>448875</v>
      </c>
      <c r="CU42" s="39">
        <f t="shared" si="130"/>
        <v>448875</v>
      </c>
      <c r="CV42" s="39">
        <f t="shared" si="130"/>
        <v>448875</v>
      </c>
      <c r="CW42" s="21"/>
    </row>
    <row r="43" spans="4:101" x14ac:dyDescent="0.25">
      <c r="D43" s="35" t="str">
        <f>[1]Key!$W$18</f>
        <v>NEW PARTNER 2</v>
      </c>
      <c r="F43" s="21"/>
      <c r="G43" s="21"/>
      <c r="H43" s="21"/>
      <c r="I43" s="21"/>
      <c r="J43" s="21"/>
      <c r="K43" s="21"/>
      <c r="L43" s="21"/>
      <c r="M43" s="21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23">
        <f>[1]CostSumm!AS34</f>
        <v>0</v>
      </c>
      <c r="AA43" s="23">
        <f>[1]CostSumm!AT34</f>
        <v>0</v>
      </c>
      <c r="AB43" s="23">
        <f>[1]CostSumm!AU34</f>
        <v>0</v>
      </c>
      <c r="AC43" s="23">
        <f>[1]CostSumm!AV34</f>
        <v>0</v>
      </c>
      <c r="AD43" s="23">
        <f>[1]CostSumm!AW34</f>
        <v>0</v>
      </c>
      <c r="AE43" s="23">
        <f>[1]CostSumm!AX34</f>
        <v>0</v>
      </c>
      <c r="AF43" s="23">
        <f>[1]CostSumm!AY34</f>
        <v>0</v>
      </c>
      <c r="AG43" s="23">
        <f>[1]CostSumm!AZ34</f>
        <v>0</v>
      </c>
      <c r="AH43" s="23">
        <f>[1]CostSumm!BA34</f>
        <v>0</v>
      </c>
      <c r="AI43" s="23">
        <f>[1]CostSumm!BB34</f>
        <v>0</v>
      </c>
      <c r="AJ43" s="23">
        <f>[1]CostSumm!BC34</f>
        <v>0</v>
      </c>
      <c r="AK43" s="23">
        <f>[1]CostSumm!BD34</f>
        <v>0</v>
      </c>
      <c r="AL43" s="23">
        <f>[1]CostSumm!BE34</f>
        <v>0</v>
      </c>
      <c r="AM43" s="23">
        <f>[1]CostSumm!BF34</f>
        <v>0</v>
      </c>
      <c r="AN43" s="23">
        <f>[1]CostSumm!BG34</f>
        <v>0</v>
      </c>
      <c r="AO43" s="23">
        <f>[1]CostSumm!BH34</f>
        <v>0</v>
      </c>
      <c r="AP43" s="23">
        <f>[1]CostSumm!BI34</f>
        <v>0</v>
      </c>
      <c r="AQ43" s="23">
        <f>[1]CostSumm!BJ34</f>
        <v>0</v>
      </c>
      <c r="AR43" s="23">
        <f>[1]CostSumm!BK34</f>
        <v>0</v>
      </c>
      <c r="AS43" s="23">
        <f>[1]CostSumm!BL34</f>
        <v>0</v>
      </c>
      <c r="AT43" s="23">
        <f>[1]CostSumm!BM34</f>
        <v>0</v>
      </c>
      <c r="AU43" s="23">
        <f>[1]CostSumm!BN34</f>
        <v>0</v>
      </c>
      <c r="AV43" s="23">
        <f>[1]CostSumm!BO34</f>
        <v>0</v>
      </c>
      <c r="AW43" s="23">
        <f>[1]CostSumm!BP34</f>
        <v>0</v>
      </c>
      <c r="AX43" s="23">
        <f>[1]CostSumm!BQ34</f>
        <v>216000</v>
      </c>
      <c r="AY43" s="23">
        <f>[1]CostSumm!BR34</f>
        <v>0</v>
      </c>
      <c r="AZ43" s="23">
        <f>[1]CostSumm!BS34</f>
        <v>0</v>
      </c>
      <c r="BA43" s="23">
        <f>[1]CostSumm!BT34</f>
        <v>0</v>
      </c>
      <c r="BB43" s="23">
        <f>[1]CostSumm!BU34</f>
        <v>0</v>
      </c>
      <c r="BC43" s="23">
        <f>[1]CostSumm!BV34</f>
        <v>0</v>
      </c>
      <c r="BD43" s="23">
        <f>[1]CostSumm!BW34</f>
        <v>518400.00000000006</v>
      </c>
      <c r="BE43" s="23">
        <f>[1]CostSumm!BX34</f>
        <v>0</v>
      </c>
      <c r="BF43" s="23">
        <f>[1]CostSumm!BY34</f>
        <v>0</v>
      </c>
      <c r="BG43" s="23">
        <f>[1]CostSumm!BZ34</f>
        <v>0</v>
      </c>
      <c r="BH43" s="23">
        <f>[1]CostSumm!CA34</f>
        <v>103680</v>
      </c>
      <c r="BI43" s="23">
        <f>[1]CostSumm!CB34</f>
        <v>0</v>
      </c>
      <c r="BJ43" s="23">
        <f>[1]CostSumm!CC34</f>
        <v>615600</v>
      </c>
      <c r="BK43" s="23">
        <f>[1]CostSumm!CD34</f>
        <v>0</v>
      </c>
      <c r="BL43" s="23">
        <f>[1]CostSumm!CE34</f>
        <v>0</v>
      </c>
      <c r="BM43" s="23">
        <f>[1]CostSumm!CF34</f>
        <v>0</v>
      </c>
      <c r="BN43" s="23">
        <f>[1]CostSumm!CG34</f>
        <v>0</v>
      </c>
      <c r="BO43" s="23">
        <f>[1]CostSumm!CH34</f>
        <v>0</v>
      </c>
      <c r="BP43" s="23">
        <f>[1]CostSumm!CI34</f>
        <v>1477440</v>
      </c>
      <c r="BQ43" s="23">
        <f>[1]CostSumm!CJ34</f>
        <v>0</v>
      </c>
      <c r="BR43" s="23">
        <f>[1]CostSumm!CK34</f>
        <v>0</v>
      </c>
      <c r="BS43" s="23">
        <f>[1]CostSumm!CL34</f>
        <v>0</v>
      </c>
      <c r="BT43" s="23">
        <f>[1]CostSumm!CM34</f>
        <v>295488</v>
      </c>
      <c r="BU43" s="23">
        <f>[1]CostSumm!CN34</f>
        <v>0</v>
      </c>
      <c r="BV43" s="23">
        <f>[1]CostSumm!CO34</f>
        <v>1539000</v>
      </c>
      <c r="BW43" s="23">
        <f>[1]CostSumm!CP34</f>
        <v>0</v>
      </c>
      <c r="BX43" s="23">
        <f>[1]CostSumm!CQ34</f>
        <v>0</v>
      </c>
      <c r="BY43" s="23">
        <f>[1]CostSumm!CR34</f>
        <v>0</v>
      </c>
      <c r="BZ43" s="23">
        <f>[1]CostSumm!CS34</f>
        <v>0</v>
      </c>
      <c r="CA43" s="23">
        <f>[1]CostSumm!CT34</f>
        <v>0</v>
      </c>
      <c r="CB43" s="23">
        <f>[1]CostSumm!CU34</f>
        <v>3693600</v>
      </c>
      <c r="CC43" s="23">
        <f>[1]CostSumm!CV34</f>
        <v>0</v>
      </c>
      <c r="CD43" s="23">
        <f>[1]CostSumm!CW34</f>
        <v>0</v>
      </c>
      <c r="CE43" s="23">
        <f>[1]CostSumm!CX34</f>
        <v>0</v>
      </c>
      <c r="CF43" s="23">
        <f>[1]CostSumm!CY34</f>
        <v>738720</v>
      </c>
      <c r="CG43" s="23">
        <f>[1]CostSumm!CZ34</f>
        <v>0</v>
      </c>
      <c r="CH43" s="23">
        <f>[1]CostSumm!DA34</f>
        <v>2693250</v>
      </c>
      <c r="CI43" s="23">
        <f>[1]CostSumm!DB34</f>
        <v>0</v>
      </c>
      <c r="CJ43" s="23">
        <f>[1]CostSumm!DC34</f>
        <v>0</v>
      </c>
      <c r="CK43" s="23">
        <f>[1]CostSumm!DD34</f>
        <v>0</v>
      </c>
      <c r="CL43" s="23">
        <f>[1]CostSumm!DE34</f>
        <v>0</v>
      </c>
      <c r="CM43" s="23">
        <f>[1]CostSumm!DF34</f>
        <v>0</v>
      </c>
      <c r="CN43" s="23">
        <f>[1]CostSumm!DG34</f>
        <v>6463800</v>
      </c>
      <c r="CO43" s="23">
        <f>[1]CostSumm!DH34</f>
        <v>0</v>
      </c>
      <c r="CP43" s="23">
        <f>[1]CostSumm!DI34</f>
        <v>0</v>
      </c>
      <c r="CQ43" s="23">
        <f>[1]CostSumm!DJ34</f>
        <v>0</v>
      </c>
      <c r="CR43" s="23">
        <f>[1]CostSumm!DK34</f>
        <v>1292760</v>
      </c>
      <c r="CS43" s="23">
        <f>[1]CostSumm!DL34</f>
        <v>0</v>
      </c>
      <c r="CT43" s="39">
        <f t="shared" si="130"/>
        <v>1292760</v>
      </c>
      <c r="CU43" s="39">
        <f t="shared" si="130"/>
        <v>1292760</v>
      </c>
      <c r="CV43" s="39">
        <f t="shared" si="130"/>
        <v>1292760</v>
      </c>
      <c r="CW43" s="21"/>
    </row>
    <row r="44" spans="4:101" x14ac:dyDescent="0.25">
      <c r="D44" s="35" t="str">
        <f>[1]Key!$W$19</f>
        <v>PIGALLE</v>
      </c>
      <c r="F44" s="21"/>
      <c r="G44" s="21"/>
      <c r="H44" s="21"/>
      <c r="I44" s="21"/>
      <c r="J44" s="21"/>
      <c r="K44" s="21"/>
      <c r="L44" s="21"/>
      <c r="M44" s="21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23">
        <f>[1]CostSumm!AS35</f>
        <v>0</v>
      </c>
      <c r="AA44" s="23">
        <f>[1]CostSumm!AT35</f>
        <v>0</v>
      </c>
      <c r="AB44" s="23">
        <f>[1]CostSumm!AU35</f>
        <v>0</v>
      </c>
      <c r="AC44" s="23">
        <f>[1]CostSumm!AV35</f>
        <v>0</v>
      </c>
      <c r="AD44" s="23">
        <f>[1]CostSumm!AW35</f>
        <v>0</v>
      </c>
      <c r="AE44" s="23">
        <f>[1]CostSumm!AX35</f>
        <v>0</v>
      </c>
      <c r="AF44" s="23">
        <f>[1]CostSumm!AY35</f>
        <v>0</v>
      </c>
      <c r="AG44" s="23">
        <f>[1]CostSumm!AZ35</f>
        <v>0</v>
      </c>
      <c r="AH44" s="23">
        <f>[1]CostSumm!BA35</f>
        <v>0</v>
      </c>
      <c r="AI44" s="23">
        <f>[1]CostSumm!BB35</f>
        <v>0</v>
      </c>
      <c r="AJ44" s="23">
        <f>[1]CostSumm!BC35</f>
        <v>0</v>
      </c>
      <c r="AK44" s="23">
        <f>[1]CostSumm!BD35</f>
        <v>0</v>
      </c>
      <c r="AL44" s="23">
        <f>[1]CostSumm!BE35</f>
        <v>0</v>
      </c>
      <c r="AM44" s="23">
        <f>[1]CostSumm!BF35</f>
        <v>0</v>
      </c>
      <c r="AN44" s="23">
        <f>[1]CostSumm!BG35</f>
        <v>0</v>
      </c>
      <c r="AO44" s="23">
        <f>[1]CostSumm!BH35</f>
        <v>0</v>
      </c>
      <c r="AP44" s="23">
        <f>[1]CostSumm!BI35</f>
        <v>32400</v>
      </c>
      <c r="AQ44" s="23">
        <f>[1]CostSumm!BJ35</f>
        <v>0</v>
      </c>
      <c r="AR44" s="23">
        <f>[1]CostSumm!BK35</f>
        <v>64800</v>
      </c>
      <c r="AS44" s="23">
        <f>[1]CostSumm!BL35</f>
        <v>0</v>
      </c>
      <c r="AT44" s="23">
        <f>[1]CostSumm!BM35</f>
        <v>0</v>
      </c>
      <c r="AU44" s="23">
        <f>[1]CostSumm!BN35</f>
        <v>0</v>
      </c>
      <c r="AV44" s="23">
        <f>[1]CostSumm!BO35</f>
        <v>129600</v>
      </c>
      <c r="AW44" s="23">
        <f>[1]CostSumm!BP35</f>
        <v>0</v>
      </c>
      <c r="AX44" s="23">
        <f>[1]CostSumm!BQ35</f>
        <v>0</v>
      </c>
      <c r="AY44" s="23">
        <f>[1]CostSumm!BR35</f>
        <v>129600</v>
      </c>
      <c r="AZ44" s="23">
        <f>[1]CostSumm!BS35</f>
        <v>0</v>
      </c>
      <c r="BA44" s="23">
        <f>[1]CostSumm!BT35</f>
        <v>0</v>
      </c>
      <c r="BB44" s="23">
        <f>[1]CostSumm!BU35</f>
        <v>129600</v>
      </c>
      <c r="BC44" s="23">
        <f>[1]CostSumm!BV35</f>
        <v>0</v>
      </c>
      <c r="BD44" s="23">
        <f>[1]CostSumm!BW35</f>
        <v>0</v>
      </c>
      <c r="BE44" s="23">
        <f>[1]CostSumm!BX35</f>
        <v>129600</v>
      </c>
      <c r="BF44" s="23">
        <f>[1]CostSumm!BY35</f>
        <v>0</v>
      </c>
      <c r="BG44" s="23">
        <f>[1]CostSumm!BZ35</f>
        <v>0</v>
      </c>
      <c r="BH44" s="23">
        <f>[1]CostSumm!CA35</f>
        <v>129600</v>
      </c>
      <c r="BI44" s="23">
        <f>[1]CostSumm!CB35</f>
        <v>0</v>
      </c>
      <c r="BJ44" s="23">
        <f>[1]CostSumm!CC35</f>
        <v>0</v>
      </c>
      <c r="BK44" s="23">
        <f>[1]CostSumm!CD35</f>
        <v>246240</v>
      </c>
      <c r="BL44" s="23">
        <f>[1]CostSumm!CE35</f>
        <v>0</v>
      </c>
      <c r="BM44" s="23">
        <f>[1]CostSumm!CF35</f>
        <v>0</v>
      </c>
      <c r="BN44" s="23">
        <f>[1]CostSumm!CG35</f>
        <v>246240</v>
      </c>
      <c r="BO44" s="23">
        <f>[1]CostSumm!CH35</f>
        <v>0</v>
      </c>
      <c r="BP44" s="23">
        <f>[1]CostSumm!CI35</f>
        <v>0</v>
      </c>
      <c r="BQ44" s="23">
        <f>[1]CostSumm!CJ35</f>
        <v>246240</v>
      </c>
      <c r="BR44" s="23">
        <f>[1]CostSumm!CK35</f>
        <v>0</v>
      </c>
      <c r="BS44" s="23">
        <f>[1]CostSumm!CL35</f>
        <v>0</v>
      </c>
      <c r="BT44" s="23">
        <f>[1]CostSumm!CM35</f>
        <v>246240</v>
      </c>
      <c r="BU44" s="23">
        <f>[1]CostSumm!CN35</f>
        <v>0</v>
      </c>
      <c r="BV44" s="23">
        <f>[1]CostSumm!CO35</f>
        <v>0</v>
      </c>
      <c r="BW44" s="23">
        <f>[1]CostSumm!CP35</f>
        <v>369360</v>
      </c>
      <c r="BX44" s="23">
        <f>[1]CostSumm!CQ35</f>
        <v>0</v>
      </c>
      <c r="BY44" s="23">
        <f>[1]CostSumm!CR35</f>
        <v>0</v>
      </c>
      <c r="BZ44" s="23">
        <f>[1]CostSumm!CS35</f>
        <v>369360</v>
      </c>
      <c r="CA44" s="23">
        <f>[1]CostSumm!CT35</f>
        <v>0</v>
      </c>
      <c r="CB44" s="23">
        <f>[1]CostSumm!CU35</f>
        <v>0</v>
      </c>
      <c r="CC44" s="23">
        <f>[1]CostSumm!CV35</f>
        <v>369360</v>
      </c>
      <c r="CD44" s="23">
        <f>[1]CostSumm!CW35</f>
        <v>0</v>
      </c>
      <c r="CE44" s="23">
        <f>[1]CostSumm!CX35</f>
        <v>0</v>
      </c>
      <c r="CF44" s="23">
        <f>[1]CostSumm!CY35</f>
        <v>369360</v>
      </c>
      <c r="CG44" s="23">
        <f>[1]CostSumm!CZ35</f>
        <v>0</v>
      </c>
      <c r="CH44" s="23">
        <f>[1]CostSumm!DA35</f>
        <v>0</v>
      </c>
      <c r="CI44" s="23">
        <f>[1]CostSumm!DB35</f>
        <v>480168</v>
      </c>
      <c r="CJ44" s="23">
        <f>[1]CostSumm!DC35</f>
        <v>0</v>
      </c>
      <c r="CK44" s="23">
        <f>[1]CostSumm!DD35</f>
        <v>0</v>
      </c>
      <c r="CL44" s="23">
        <f>[1]CostSumm!DE35</f>
        <v>480168</v>
      </c>
      <c r="CM44" s="23">
        <f>[1]CostSumm!DF35</f>
        <v>0</v>
      </c>
      <c r="CN44" s="23">
        <f>[1]CostSumm!DG35</f>
        <v>0</v>
      </c>
      <c r="CO44" s="23">
        <f>[1]CostSumm!DH35</f>
        <v>480168</v>
      </c>
      <c r="CP44" s="23">
        <f>[1]CostSumm!DI35</f>
        <v>0</v>
      </c>
      <c r="CQ44" s="23">
        <f>[1]CostSumm!DJ35</f>
        <v>0</v>
      </c>
      <c r="CR44" s="23">
        <f>[1]CostSumm!DK35</f>
        <v>480168</v>
      </c>
      <c r="CS44" s="23">
        <f>[1]CostSumm!DL35</f>
        <v>0</v>
      </c>
      <c r="CT44" s="39">
        <f t="shared" si="130"/>
        <v>160056</v>
      </c>
      <c r="CU44" s="39">
        <f t="shared" si="130"/>
        <v>160056</v>
      </c>
      <c r="CV44" s="39">
        <f t="shared" si="130"/>
        <v>160056</v>
      </c>
      <c r="CW44" s="21"/>
    </row>
    <row r="45" spans="4:101" x14ac:dyDescent="0.25">
      <c r="D45" s="35" t="str">
        <f>[1]Key!$W$20</f>
        <v>SPORT PLACEHOLDER</v>
      </c>
      <c r="F45" s="21"/>
      <c r="G45" s="21"/>
      <c r="H45" s="21"/>
      <c r="I45" s="21"/>
      <c r="J45" s="21"/>
      <c r="K45" s="21"/>
      <c r="L45" s="21"/>
      <c r="M45" s="21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23">
        <f>[1]CostSumm!AS36</f>
        <v>0</v>
      </c>
      <c r="AA45" s="23">
        <f>[1]CostSumm!AT36</f>
        <v>0</v>
      </c>
      <c r="AB45" s="23">
        <f>[1]CostSumm!AU36</f>
        <v>0</v>
      </c>
      <c r="AC45" s="23">
        <f>[1]CostSumm!AV36</f>
        <v>0</v>
      </c>
      <c r="AD45" s="23">
        <f>[1]CostSumm!AW36</f>
        <v>0</v>
      </c>
      <c r="AE45" s="23">
        <f>[1]CostSumm!AX36</f>
        <v>0</v>
      </c>
      <c r="AF45" s="23">
        <f>[1]CostSumm!AY36</f>
        <v>0</v>
      </c>
      <c r="AG45" s="23">
        <f>[1]CostSumm!AZ36</f>
        <v>0</v>
      </c>
      <c r="AH45" s="23">
        <f>[1]CostSumm!BA36</f>
        <v>0</v>
      </c>
      <c r="AI45" s="23">
        <f>[1]CostSumm!BB36</f>
        <v>0</v>
      </c>
      <c r="AJ45" s="23">
        <f>[1]CostSumm!BC36</f>
        <v>0</v>
      </c>
      <c r="AK45" s="23">
        <f>[1]CostSumm!BD36</f>
        <v>0</v>
      </c>
      <c r="AL45" s="23">
        <f>[1]CostSumm!BE36</f>
        <v>0</v>
      </c>
      <c r="AM45" s="23">
        <f>[1]CostSumm!BF36</f>
        <v>0</v>
      </c>
      <c r="AN45" s="23">
        <f>[1]CostSumm!BG36</f>
        <v>0</v>
      </c>
      <c r="AO45" s="23">
        <f>[1]CostSumm!BH36</f>
        <v>0</v>
      </c>
      <c r="AP45" s="23">
        <f>[1]CostSumm!BI36</f>
        <v>0</v>
      </c>
      <c r="AQ45" s="23">
        <f>[1]CostSumm!BJ36</f>
        <v>0</v>
      </c>
      <c r="AR45" s="23">
        <f>[1]CostSumm!BK36</f>
        <v>0</v>
      </c>
      <c r="AS45" s="23">
        <f>[1]CostSumm!BL36</f>
        <v>0</v>
      </c>
      <c r="AT45" s="23">
        <f>[1]CostSumm!BM36</f>
        <v>0</v>
      </c>
      <c r="AU45" s="23">
        <f>[1]CostSumm!BN36</f>
        <v>0</v>
      </c>
      <c r="AV45" s="23">
        <f>[1]CostSumm!BO36</f>
        <v>0</v>
      </c>
      <c r="AW45" s="23">
        <f>[1]CostSumm!BP36</f>
        <v>0</v>
      </c>
      <c r="AX45" s="23">
        <f>[1]CostSumm!BQ36</f>
        <v>648000</v>
      </c>
      <c r="AY45" s="23">
        <f>[1]CostSumm!BR36</f>
        <v>0</v>
      </c>
      <c r="AZ45" s="23">
        <f>[1]CostSumm!BS36</f>
        <v>0</v>
      </c>
      <c r="BA45" s="23">
        <f>[1]CostSumm!BT36</f>
        <v>0</v>
      </c>
      <c r="BB45" s="23">
        <f>[1]CostSumm!BU36</f>
        <v>0</v>
      </c>
      <c r="BC45" s="23">
        <f>[1]CostSumm!BV36</f>
        <v>0</v>
      </c>
      <c r="BD45" s="23">
        <f>[1]CostSumm!BW36</f>
        <v>1296000</v>
      </c>
      <c r="BE45" s="23">
        <f>[1]CostSumm!BX36</f>
        <v>0</v>
      </c>
      <c r="BF45" s="23">
        <f>[1]CostSumm!BY36</f>
        <v>0</v>
      </c>
      <c r="BG45" s="23">
        <f>[1]CostSumm!BZ36</f>
        <v>0</v>
      </c>
      <c r="BH45" s="23">
        <f>[1]CostSumm!CA36</f>
        <v>0</v>
      </c>
      <c r="BI45" s="23">
        <f>[1]CostSumm!CB36</f>
        <v>0</v>
      </c>
      <c r="BJ45" s="23">
        <f>[1]CostSumm!CC36</f>
        <v>1846800</v>
      </c>
      <c r="BK45" s="23">
        <f>[1]CostSumm!CD36</f>
        <v>0</v>
      </c>
      <c r="BL45" s="23">
        <f>[1]CostSumm!CE36</f>
        <v>0</v>
      </c>
      <c r="BM45" s="23">
        <f>[1]CostSumm!CF36</f>
        <v>0</v>
      </c>
      <c r="BN45" s="23">
        <f>[1]CostSumm!CG36</f>
        <v>0</v>
      </c>
      <c r="BO45" s="23">
        <f>[1]CostSumm!CH36</f>
        <v>0</v>
      </c>
      <c r="BP45" s="23">
        <f>[1]CostSumm!CI36</f>
        <v>3693600</v>
      </c>
      <c r="BQ45" s="23">
        <f>[1]CostSumm!CJ36</f>
        <v>0</v>
      </c>
      <c r="BR45" s="23">
        <f>[1]CostSumm!CK36</f>
        <v>0</v>
      </c>
      <c r="BS45" s="23">
        <f>[1]CostSumm!CL36</f>
        <v>0</v>
      </c>
      <c r="BT45" s="23">
        <f>[1]CostSumm!CM36</f>
        <v>0</v>
      </c>
      <c r="BU45" s="23">
        <f>[1]CostSumm!CN36</f>
        <v>0</v>
      </c>
      <c r="BV45" s="23">
        <f>[1]CostSumm!CO36</f>
        <v>5540400</v>
      </c>
      <c r="BW45" s="23">
        <f>[1]CostSumm!CP36</f>
        <v>0</v>
      </c>
      <c r="BX45" s="23">
        <f>[1]CostSumm!CQ36</f>
        <v>0</v>
      </c>
      <c r="BY45" s="23">
        <f>[1]CostSumm!CR36</f>
        <v>0</v>
      </c>
      <c r="BZ45" s="23">
        <f>[1]CostSumm!CS36</f>
        <v>0</v>
      </c>
      <c r="CA45" s="23">
        <f>[1]CostSumm!CT36</f>
        <v>0</v>
      </c>
      <c r="CB45" s="23">
        <f>[1]CostSumm!CU36</f>
        <v>11080800</v>
      </c>
      <c r="CC45" s="23">
        <f>[1]CostSumm!CV36</f>
        <v>0</v>
      </c>
      <c r="CD45" s="23">
        <f>[1]CostSumm!CW36</f>
        <v>0</v>
      </c>
      <c r="CE45" s="23">
        <f>[1]CostSumm!CX36</f>
        <v>0</v>
      </c>
      <c r="CF45" s="23">
        <f>[1]CostSumm!CY36</f>
        <v>0</v>
      </c>
      <c r="CG45" s="23">
        <f>[1]CostSumm!CZ36</f>
        <v>0</v>
      </c>
      <c r="CH45" s="23">
        <f>[1]CostSumm!DA36</f>
        <v>13851000</v>
      </c>
      <c r="CI45" s="23">
        <f>[1]CostSumm!DB36</f>
        <v>0</v>
      </c>
      <c r="CJ45" s="23">
        <f>[1]CostSumm!DC36</f>
        <v>0</v>
      </c>
      <c r="CK45" s="23">
        <f>[1]CostSumm!DD36</f>
        <v>0</v>
      </c>
      <c r="CL45" s="23">
        <f>[1]CostSumm!DE36</f>
        <v>0</v>
      </c>
      <c r="CM45" s="23">
        <f>[1]CostSumm!DF36</f>
        <v>0</v>
      </c>
      <c r="CN45" s="23">
        <f>[1]CostSumm!DG36</f>
        <v>27702000</v>
      </c>
      <c r="CO45" s="23">
        <f>[1]CostSumm!DH36</f>
        <v>0</v>
      </c>
      <c r="CP45" s="23">
        <f>[1]CostSumm!DI36</f>
        <v>0</v>
      </c>
      <c r="CQ45" s="23">
        <f>[1]CostSumm!DJ36</f>
        <v>0</v>
      </c>
      <c r="CR45" s="23">
        <f>[1]CostSumm!DK36</f>
        <v>0</v>
      </c>
      <c r="CS45" s="23">
        <f>[1]CostSumm!DL36</f>
        <v>0</v>
      </c>
      <c r="CT45" s="39">
        <f t="shared" si="130"/>
        <v>4617000</v>
      </c>
      <c r="CU45" s="39">
        <f t="shared" si="130"/>
        <v>4617000</v>
      </c>
      <c r="CV45" s="39">
        <f t="shared" si="130"/>
        <v>4617000</v>
      </c>
      <c r="CW45" s="21"/>
    </row>
    <row r="46" spans="4:101" x14ac:dyDescent="0.25">
      <c r="D46" s="35" t="str">
        <f>[1]Key!$W$21</f>
        <v>SPUNGE</v>
      </c>
      <c r="F46" s="21"/>
      <c r="G46" s="21"/>
      <c r="H46" s="21"/>
      <c r="I46" s="21"/>
      <c r="J46" s="21"/>
      <c r="K46" s="21"/>
      <c r="L46" s="21"/>
      <c r="M46" s="21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23">
        <f>[1]CostSumm!AS37</f>
        <v>0</v>
      </c>
      <c r="AA46" s="23">
        <f>[1]CostSumm!AT37</f>
        <v>0</v>
      </c>
      <c r="AB46" s="23">
        <f>[1]CostSumm!AU37</f>
        <v>0</v>
      </c>
      <c r="AC46" s="23">
        <f>[1]CostSumm!AV37</f>
        <v>0</v>
      </c>
      <c r="AD46" s="23">
        <f>[1]CostSumm!AW37</f>
        <v>0</v>
      </c>
      <c r="AE46" s="23">
        <f>[1]CostSumm!AX37</f>
        <v>0</v>
      </c>
      <c r="AF46" s="23">
        <f>[1]CostSumm!AY37</f>
        <v>0</v>
      </c>
      <c r="AG46" s="23">
        <f>[1]CostSumm!AZ37</f>
        <v>0</v>
      </c>
      <c r="AH46" s="23">
        <f>[1]CostSumm!BA37</f>
        <v>0</v>
      </c>
      <c r="AI46" s="23">
        <f>[1]CostSumm!BB37</f>
        <v>0</v>
      </c>
      <c r="AJ46" s="23">
        <f>[1]CostSumm!BC37</f>
        <v>0</v>
      </c>
      <c r="AK46" s="23">
        <f>[1]CostSumm!BD37</f>
        <v>0</v>
      </c>
      <c r="AL46" s="23">
        <f>[1]CostSumm!BE37</f>
        <v>0</v>
      </c>
      <c r="AM46" s="23">
        <f>[1]CostSumm!BF37</f>
        <v>0</v>
      </c>
      <c r="AN46" s="23">
        <f>[1]CostSumm!BG37</f>
        <v>0</v>
      </c>
      <c r="AO46" s="23">
        <f>[1]CostSumm!BH37</f>
        <v>0</v>
      </c>
      <c r="AP46" s="23">
        <f>[1]CostSumm!BI37</f>
        <v>0</v>
      </c>
      <c r="AQ46" s="23">
        <f>[1]CostSumm!BJ37</f>
        <v>0</v>
      </c>
      <c r="AR46" s="23">
        <f>[1]CostSumm!BK37</f>
        <v>0</v>
      </c>
      <c r="AS46" s="23">
        <f>[1]CostSumm!BL37</f>
        <v>0</v>
      </c>
      <c r="AT46" s="23">
        <f>[1]CostSumm!BM37</f>
        <v>51840</v>
      </c>
      <c r="AU46" s="23">
        <f>[1]CostSumm!BN37</f>
        <v>0</v>
      </c>
      <c r="AV46" s="23">
        <f>[1]CostSumm!BO37</f>
        <v>51840</v>
      </c>
      <c r="AW46" s="23">
        <f>[1]CostSumm!BP37</f>
        <v>129600</v>
      </c>
      <c r="AX46" s="23">
        <f>[1]CostSumm!BQ37</f>
        <v>0</v>
      </c>
      <c r="AY46" s="23">
        <f>[1]CostSumm!BR37</f>
        <v>397440</v>
      </c>
      <c r="AZ46" s="23">
        <f>[1]CostSumm!BS37</f>
        <v>0</v>
      </c>
      <c r="BA46" s="23">
        <f>[1]CostSumm!BT37</f>
        <v>0</v>
      </c>
      <c r="BB46" s="23">
        <f>[1]CostSumm!BU37</f>
        <v>449280</v>
      </c>
      <c r="BC46" s="23">
        <f>[1]CostSumm!BV37</f>
        <v>0</v>
      </c>
      <c r="BD46" s="23">
        <f>[1]CostSumm!BW37</f>
        <v>518400</v>
      </c>
      <c r="BE46" s="23">
        <f>[1]CostSumm!BX37</f>
        <v>0</v>
      </c>
      <c r="BF46" s="23">
        <f>[1]CostSumm!BY37</f>
        <v>51840</v>
      </c>
      <c r="BG46" s="23">
        <f>[1]CostSumm!BZ37</f>
        <v>0</v>
      </c>
      <c r="BH46" s="23">
        <f>[1]CostSumm!CA37</f>
        <v>691200</v>
      </c>
      <c r="BI46" s="23">
        <f>[1]CostSumm!CB37</f>
        <v>129600</v>
      </c>
      <c r="BJ46" s="23">
        <f>[1]CostSumm!CC37</f>
        <v>0</v>
      </c>
      <c r="BK46" s="23">
        <f>[1]CostSumm!CD37</f>
        <v>1132704</v>
      </c>
      <c r="BL46" s="23">
        <f>[1]CostSumm!CE37</f>
        <v>0</v>
      </c>
      <c r="BM46" s="23">
        <f>[1]CostSumm!CF37</f>
        <v>0</v>
      </c>
      <c r="BN46" s="23">
        <f>[1]CostSumm!CG37</f>
        <v>1280448</v>
      </c>
      <c r="BO46" s="23">
        <f>[1]CostSumm!CH37</f>
        <v>0</v>
      </c>
      <c r="BP46" s="23">
        <f>[1]CostSumm!CI37</f>
        <v>1477440</v>
      </c>
      <c r="BQ46" s="23">
        <f>[1]CostSumm!CJ37</f>
        <v>0</v>
      </c>
      <c r="BR46" s="23">
        <f>[1]CostSumm!CK37</f>
        <v>147744</v>
      </c>
      <c r="BS46" s="23">
        <f>[1]CostSumm!CL37</f>
        <v>0</v>
      </c>
      <c r="BT46" s="23">
        <f>[1]CostSumm!CM37</f>
        <v>1969920</v>
      </c>
      <c r="BU46" s="23">
        <f>[1]CostSumm!CN37</f>
        <v>369360</v>
      </c>
      <c r="BV46" s="23">
        <f>[1]CostSumm!CO37</f>
        <v>0</v>
      </c>
      <c r="BW46" s="23">
        <f>[1]CostSumm!CP37</f>
        <v>2831760</v>
      </c>
      <c r="BX46" s="23">
        <f>[1]CostSumm!CQ37</f>
        <v>0</v>
      </c>
      <c r="BY46" s="23">
        <f>[1]CostSumm!CR37</f>
        <v>0</v>
      </c>
      <c r="BZ46" s="23">
        <f>[1]CostSumm!CS37</f>
        <v>3201120</v>
      </c>
      <c r="CA46" s="23">
        <f>[1]CostSumm!CT37</f>
        <v>0</v>
      </c>
      <c r="CB46" s="23">
        <f>[1]CostSumm!CU37</f>
        <v>3693600</v>
      </c>
      <c r="CC46" s="23">
        <f>[1]CostSumm!CV37</f>
        <v>0</v>
      </c>
      <c r="CD46" s="23">
        <f>[1]CostSumm!CW37</f>
        <v>369360</v>
      </c>
      <c r="CE46" s="23">
        <f>[1]CostSumm!CX37</f>
        <v>0</v>
      </c>
      <c r="CF46" s="23">
        <f>[1]CostSumm!CY37</f>
        <v>4924800</v>
      </c>
      <c r="CG46" s="23">
        <f>[1]CostSumm!CZ37</f>
        <v>923400</v>
      </c>
      <c r="CH46" s="23">
        <f>[1]CostSumm!DA37</f>
        <v>0</v>
      </c>
      <c r="CI46" s="23">
        <f>[1]CostSumm!DB37</f>
        <v>4955580</v>
      </c>
      <c r="CJ46" s="23">
        <f>[1]CostSumm!DC37</f>
        <v>0</v>
      </c>
      <c r="CK46" s="23">
        <f>[1]CostSumm!DD37</f>
        <v>0</v>
      </c>
      <c r="CL46" s="23">
        <f>[1]CostSumm!DE37</f>
        <v>5601960</v>
      </c>
      <c r="CM46" s="23">
        <f>[1]CostSumm!DF37</f>
        <v>0</v>
      </c>
      <c r="CN46" s="23">
        <f>[1]CostSumm!DG37</f>
        <v>6463800</v>
      </c>
      <c r="CO46" s="23">
        <f>[1]CostSumm!DH37</f>
        <v>0</v>
      </c>
      <c r="CP46" s="23">
        <f>[1]CostSumm!DI37</f>
        <v>646380</v>
      </c>
      <c r="CQ46" s="23">
        <f>[1]CostSumm!DJ37</f>
        <v>0</v>
      </c>
      <c r="CR46" s="23">
        <f>[1]CostSumm!DK37</f>
        <v>8618400</v>
      </c>
      <c r="CS46" s="23">
        <f>[1]CostSumm!DL37</f>
        <v>1615950</v>
      </c>
      <c r="CT46" s="39">
        <f t="shared" si="130"/>
        <v>2890755</v>
      </c>
      <c r="CU46" s="39">
        <f t="shared" si="130"/>
        <v>2890755</v>
      </c>
      <c r="CV46" s="39">
        <f t="shared" si="130"/>
        <v>2890755</v>
      </c>
      <c r="CW46" s="21"/>
    </row>
    <row r="47" spans="4:101" x14ac:dyDescent="0.25">
      <c r="D47" s="35" t="str">
        <f>[1]Key!$W$22</f>
        <v>SUNFLOWER</v>
      </c>
      <c r="F47" s="21"/>
      <c r="G47" s="21"/>
      <c r="H47" s="21"/>
      <c r="I47" s="21"/>
      <c r="J47" s="21"/>
      <c r="K47" s="21"/>
      <c r="L47" s="21"/>
      <c r="M47" s="21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23">
        <f>[1]CostSumm!AS38</f>
        <v>0</v>
      </c>
      <c r="AA47" s="23">
        <f>[1]CostSumm!AT38</f>
        <v>0</v>
      </c>
      <c r="AB47" s="23">
        <f>[1]CostSumm!AU38</f>
        <v>0</v>
      </c>
      <c r="AC47" s="23">
        <f>[1]CostSumm!AV38</f>
        <v>0</v>
      </c>
      <c r="AD47" s="23">
        <f>[1]CostSumm!AW38</f>
        <v>0</v>
      </c>
      <c r="AE47" s="23">
        <f>[1]CostSumm!AX38</f>
        <v>0</v>
      </c>
      <c r="AF47" s="23">
        <f>[1]CostSumm!AY38</f>
        <v>0</v>
      </c>
      <c r="AG47" s="23">
        <f>[1]CostSumm!AZ38</f>
        <v>0</v>
      </c>
      <c r="AH47" s="23">
        <f>[1]CostSumm!BA38</f>
        <v>0</v>
      </c>
      <c r="AI47" s="23">
        <f>[1]CostSumm!BB38</f>
        <v>0</v>
      </c>
      <c r="AJ47" s="23">
        <f>[1]CostSumm!BC38</f>
        <v>0</v>
      </c>
      <c r="AK47" s="23">
        <f>[1]CostSumm!BD38</f>
        <v>0</v>
      </c>
      <c r="AL47" s="23">
        <f>[1]CostSumm!BE38</f>
        <v>0</v>
      </c>
      <c r="AM47" s="23">
        <f>[1]CostSumm!BF38</f>
        <v>283500.00000000006</v>
      </c>
      <c r="AN47" s="23">
        <f>[1]CostSumm!BG38</f>
        <v>0</v>
      </c>
      <c r="AO47" s="23">
        <f>[1]CostSumm!BH38</f>
        <v>0</v>
      </c>
      <c r="AP47" s="23">
        <f>[1]CostSumm!BI38</f>
        <v>0</v>
      </c>
      <c r="AQ47" s="23">
        <f>[1]CostSumm!BJ38</f>
        <v>0</v>
      </c>
      <c r="AR47" s="23">
        <f>[1]CostSumm!BK38</f>
        <v>0</v>
      </c>
      <c r="AS47" s="23">
        <f>[1]CostSumm!BL38</f>
        <v>567000.00000000012</v>
      </c>
      <c r="AT47" s="23">
        <f>[1]CostSumm!BM38</f>
        <v>0</v>
      </c>
      <c r="AU47" s="23">
        <f>[1]CostSumm!BN38</f>
        <v>0</v>
      </c>
      <c r="AV47" s="23">
        <f>[1]CostSumm!BO38</f>
        <v>0</v>
      </c>
      <c r="AW47" s="23">
        <f>[1]CostSumm!BP38</f>
        <v>0</v>
      </c>
      <c r="AX47" s="23">
        <f>[1]CostSumm!BQ38</f>
        <v>0</v>
      </c>
      <c r="AY47" s="23">
        <f>[1]CostSumm!BR38</f>
        <v>567000.00000000012</v>
      </c>
      <c r="AZ47" s="23">
        <f>[1]CostSumm!BS38</f>
        <v>0</v>
      </c>
      <c r="BA47" s="23">
        <f>[1]CostSumm!BT38</f>
        <v>0</v>
      </c>
      <c r="BB47" s="23">
        <f>[1]CostSumm!BU38</f>
        <v>0</v>
      </c>
      <c r="BC47" s="23">
        <f>[1]CostSumm!BV38</f>
        <v>0</v>
      </c>
      <c r="BD47" s="23">
        <f>[1]CostSumm!BW38</f>
        <v>0</v>
      </c>
      <c r="BE47" s="23">
        <f>[1]CostSumm!BX38</f>
        <v>756000.00000000012</v>
      </c>
      <c r="BF47" s="23">
        <f>[1]CostSumm!BY38</f>
        <v>0</v>
      </c>
      <c r="BG47" s="23">
        <f>[1]CostSumm!BZ38</f>
        <v>0</v>
      </c>
      <c r="BH47" s="23">
        <f>[1]CostSumm!CA38</f>
        <v>0</v>
      </c>
      <c r="BI47" s="23">
        <f>[1]CostSumm!CB38</f>
        <v>0</v>
      </c>
      <c r="BJ47" s="23">
        <f>[1]CostSumm!CC38</f>
        <v>0</v>
      </c>
      <c r="BK47" s="23">
        <f>[1]CostSumm!CD38</f>
        <v>1077300</v>
      </c>
      <c r="BL47" s="23">
        <f>[1]CostSumm!CE38</f>
        <v>0</v>
      </c>
      <c r="BM47" s="23">
        <f>[1]CostSumm!CF38</f>
        <v>0</v>
      </c>
      <c r="BN47" s="23">
        <f>[1]CostSumm!CG38</f>
        <v>0</v>
      </c>
      <c r="BO47" s="23">
        <f>[1]CostSumm!CH38</f>
        <v>0</v>
      </c>
      <c r="BP47" s="23">
        <f>[1]CostSumm!CI38</f>
        <v>0</v>
      </c>
      <c r="BQ47" s="23">
        <f>[1]CostSumm!CJ38</f>
        <v>1436400.0000000002</v>
      </c>
      <c r="BR47" s="23">
        <f>[1]CostSumm!CK38</f>
        <v>0</v>
      </c>
      <c r="BS47" s="23">
        <f>[1]CostSumm!CL38</f>
        <v>0</v>
      </c>
      <c r="BT47" s="23">
        <f>[1]CostSumm!CM38</f>
        <v>0</v>
      </c>
      <c r="BU47" s="23">
        <f>[1]CostSumm!CN38</f>
        <v>0</v>
      </c>
      <c r="BV47" s="23">
        <f>[1]CostSumm!CO38</f>
        <v>0</v>
      </c>
      <c r="BW47" s="23">
        <f>[1]CostSumm!CP38</f>
        <v>1615950.0000000002</v>
      </c>
      <c r="BX47" s="23">
        <f>[1]CostSumm!CQ38</f>
        <v>0</v>
      </c>
      <c r="BY47" s="23">
        <f>[1]CostSumm!CR38</f>
        <v>0</v>
      </c>
      <c r="BZ47" s="23">
        <f>[1]CostSumm!CS38</f>
        <v>0</v>
      </c>
      <c r="CA47" s="23">
        <f>[1]CostSumm!CT38</f>
        <v>0</v>
      </c>
      <c r="CB47" s="23">
        <f>[1]CostSumm!CU38</f>
        <v>0</v>
      </c>
      <c r="CC47" s="23">
        <f>[1]CostSumm!CV38</f>
        <v>2154600</v>
      </c>
      <c r="CD47" s="23">
        <f>[1]CostSumm!CW38</f>
        <v>0</v>
      </c>
      <c r="CE47" s="23">
        <f>[1]CostSumm!CX38</f>
        <v>0</v>
      </c>
      <c r="CF47" s="23">
        <f>[1]CostSumm!CY38</f>
        <v>0</v>
      </c>
      <c r="CG47" s="23">
        <f>[1]CostSumm!CZ38</f>
        <v>0</v>
      </c>
      <c r="CH47" s="23">
        <f>[1]CostSumm!DA38</f>
        <v>0</v>
      </c>
      <c r="CI47" s="23">
        <f>[1]CostSumm!DB38</f>
        <v>2100735</v>
      </c>
      <c r="CJ47" s="23">
        <f>[1]CostSumm!DC38</f>
        <v>0</v>
      </c>
      <c r="CK47" s="23">
        <f>[1]CostSumm!DD38</f>
        <v>0</v>
      </c>
      <c r="CL47" s="23">
        <f>[1]CostSumm!DE38</f>
        <v>0</v>
      </c>
      <c r="CM47" s="23">
        <f>[1]CostSumm!DF38</f>
        <v>0</v>
      </c>
      <c r="CN47" s="23">
        <f>[1]CostSumm!DG38</f>
        <v>0</v>
      </c>
      <c r="CO47" s="23">
        <f>[1]CostSumm!DH38</f>
        <v>2800980.0000000005</v>
      </c>
      <c r="CP47" s="23">
        <f>[1]CostSumm!DI38</f>
        <v>0</v>
      </c>
      <c r="CQ47" s="23">
        <f>[1]CostSumm!DJ38</f>
        <v>0</v>
      </c>
      <c r="CR47" s="23">
        <f>[1]CostSumm!DK38</f>
        <v>0</v>
      </c>
      <c r="CS47" s="23">
        <f>[1]CostSumm!DL38</f>
        <v>0</v>
      </c>
      <c r="CT47" s="39">
        <f t="shared" si="130"/>
        <v>466830.00000000006</v>
      </c>
      <c r="CU47" s="39">
        <f t="shared" si="130"/>
        <v>466830.00000000006</v>
      </c>
      <c r="CV47" s="39">
        <f t="shared" si="130"/>
        <v>466830.00000000006</v>
      </c>
      <c r="CW47" s="21"/>
    </row>
    <row r="48" spans="4:101" x14ac:dyDescent="0.25">
      <c r="D48" s="35" t="str">
        <f>[1]Key!$W$23</f>
        <v>Corporate</v>
      </c>
      <c r="F48" s="21"/>
      <c r="G48" s="21"/>
      <c r="H48" s="21"/>
      <c r="I48" s="21"/>
      <c r="J48" s="21"/>
      <c r="K48" s="21"/>
      <c r="L48" s="21"/>
      <c r="M48" s="21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60">
        <f>Y84</f>
        <v>1161.8399999999999</v>
      </c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21"/>
    </row>
    <row r="49" spans="4:101" x14ac:dyDescent="0.25">
      <c r="F49" s="21"/>
      <c r="G49" s="21"/>
      <c r="H49" s="21"/>
      <c r="I49" s="21"/>
      <c r="J49" s="21"/>
      <c r="K49" s="21"/>
      <c r="L49" s="21"/>
      <c r="M49" s="21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21"/>
    </row>
    <row r="50" spans="4:101" x14ac:dyDescent="0.25">
      <c r="D50" s="38" t="s">
        <v>152</v>
      </c>
      <c r="F50" s="21"/>
      <c r="G50" s="21"/>
      <c r="H50" s="21"/>
      <c r="I50" s="21"/>
      <c r="J50" s="21"/>
      <c r="K50" s="21"/>
      <c r="L50" s="21"/>
      <c r="M50" s="21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37">
        <f>SUM(Z37:Z49)</f>
        <v>1161.8399999999999</v>
      </c>
      <c r="AA50" s="37">
        <f t="shared" ref="AA50" si="131">SUM(AA37:AA49)</f>
        <v>0</v>
      </c>
      <c r="AB50" s="37">
        <f t="shared" ref="AB50" si="132">SUM(AB37:AB49)</f>
        <v>138720</v>
      </c>
      <c r="AC50" s="37">
        <f t="shared" ref="AC50" si="133">SUM(AC37:AC49)</f>
        <v>14450</v>
      </c>
      <c r="AD50" s="37">
        <f t="shared" ref="AD50" si="134">SUM(AD37:AD49)</f>
        <v>0</v>
      </c>
      <c r="AE50" s="37">
        <f t="shared" ref="AE50" si="135">SUM(AE37:AE49)</f>
        <v>14450</v>
      </c>
      <c r="AF50" s="37">
        <f t="shared" ref="AF50" si="136">SUM(AF37:AF49)</f>
        <v>346800</v>
      </c>
      <c r="AG50" s="37">
        <f t="shared" ref="AG50" si="137">SUM(AG37:AG49)</f>
        <v>0</v>
      </c>
      <c r="AH50" s="37">
        <f t="shared" ref="AH50" si="138">SUM(AH37:AH49)</f>
        <v>28900</v>
      </c>
      <c r="AI50" s="37">
        <f t="shared" ref="AI50" si="139">SUM(AI37:AI49)</f>
        <v>24300</v>
      </c>
      <c r="AJ50" s="37">
        <f t="shared" ref="AJ50" si="140">SUM(AJ37:AJ49)</f>
        <v>136860</v>
      </c>
      <c r="AK50" s="37">
        <f t="shared" ref="AK50" si="141">SUM(AK37:AK49)</f>
        <v>275920</v>
      </c>
      <c r="AL50" s="37">
        <f t="shared" ref="AL50" si="142">SUM(AL37:AL49)</f>
        <v>58320</v>
      </c>
      <c r="AM50" s="37">
        <f t="shared" ref="AM50" si="143">SUM(AM37:AM49)</f>
        <v>861020</v>
      </c>
      <c r="AN50" s="37">
        <f t="shared" ref="AN50" si="144">SUM(AN37:AN49)</f>
        <v>132320</v>
      </c>
      <c r="AO50" s="37">
        <f t="shared" ref="AO50" si="145">SUM(AO37:AO49)</f>
        <v>0</v>
      </c>
      <c r="AP50" s="37">
        <f t="shared" ref="AP50" si="146">SUM(AP37:AP49)</f>
        <v>357400</v>
      </c>
      <c r="AQ50" s="37">
        <f t="shared" ref="AQ50" si="147">SUM(AQ37:AQ49)</f>
        <v>627340</v>
      </c>
      <c r="AR50" s="37">
        <f t="shared" ref="AR50" si="148">SUM(AR37:AR49)</f>
        <v>186040</v>
      </c>
      <c r="AS50" s="37">
        <f t="shared" ref="AS50" si="149">SUM(AS37:AS49)</f>
        <v>989000.00000000012</v>
      </c>
      <c r="AT50" s="37">
        <f t="shared" ref="AT50" si="150">SUM(AT37:AT49)</f>
        <v>942840</v>
      </c>
      <c r="AU50" s="37">
        <f t="shared" ref="AU50" si="151">SUM(AU37:AU49)</f>
        <v>591840</v>
      </c>
      <c r="AV50" s="37">
        <f t="shared" ref="AV50" si="152">SUM(AV37:AV49)</f>
        <v>590560</v>
      </c>
      <c r="AW50" s="37">
        <f t="shared" ref="AW50" si="153">SUM(AW37:AW49)</f>
        <v>1208660</v>
      </c>
      <c r="AX50" s="37">
        <f t="shared" ref="AX50" si="154">SUM(AX37:AX49)</f>
        <v>2317160</v>
      </c>
      <c r="AY50" s="37">
        <f t="shared" ref="AY50" si="155">SUM(AY37:AY49)</f>
        <v>2272320</v>
      </c>
      <c r="AZ50" s="37">
        <f t="shared" ref="AZ50" si="156">SUM(AZ37:AZ49)</f>
        <v>375840</v>
      </c>
      <c r="BA50" s="37">
        <f t="shared" ref="BA50" si="157">SUM(BA37:BA49)</f>
        <v>882500</v>
      </c>
      <c r="BB50" s="37">
        <f t="shared" ref="BB50" si="158">SUM(BB37:BB49)</f>
        <v>1000880</v>
      </c>
      <c r="BC50" s="37">
        <f t="shared" ref="BC50" si="159">SUM(BC37:BC49)</f>
        <v>1360800</v>
      </c>
      <c r="BD50" s="37">
        <f t="shared" ref="BD50" si="160">SUM(BD37:BD49)</f>
        <v>3686600</v>
      </c>
      <c r="BE50" s="37">
        <f t="shared" ref="BE50" si="161">SUM(BE37:BE49)</f>
        <v>1448280</v>
      </c>
      <c r="BF50" s="37">
        <f t="shared" ref="BF50" si="162">SUM(BF37:BF49)</f>
        <v>1578960</v>
      </c>
      <c r="BG50" s="37">
        <f t="shared" ref="BG50" si="163">SUM(BG37:BG49)</f>
        <v>1750820</v>
      </c>
      <c r="BH50" s="37">
        <f t="shared" ref="BH50" si="164">SUM(BH37:BH49)</f>
        <v>1339600</v>
      </c>
      <c r="BI50" s="37">
        <f t="shared" ref="BI50:CV50" si="165">SUM(BI37:BI49)</f>
        <v>1250640</v>
      </c>
      <c r="BJ50" s="37">
        <f t="shared" ref="BJ50:CS50" si="166">SUM(BJ37:BJ49)</f>
        <v>5472475</v>
      </c>
      <c r="BK50" s="37">
        <f t="shared" si="166"/>
        <v>5162319</v>
      </c>
      <c r="BL50" s="37">
        <f t="shared" si="166"/>
        <v>837216</v>
      </c>
      <c r="BM50" s="37">
        <f t="shared" si="166"/>
        <v>1685537.5</v>
      </c>
      <c r="BN50" s="37">
        <f t="shared" si="166"/>
        <v>2528938</v>
      </c>
      <c r="BO50" s="37">
        <f t="shared" si="166"/>
        <v>3096468</v>
      </c>
      <c r="BP50" s="37">
        <f t="shared" si="166"/>
        <v>9453355</v>
      </c>
      <c r="BQ50" s="37">
        <f t="shared" si="166"/>
        <v>3019005</v>
      </c>
      <c r="BR50" s="37">
        <f t="shared" si="166"/>
        <v>3516102</v>
      </c>
      <c r="BS50" s="37">
        <f t="shared" si="166"/>
        <v>3335345.5</v>
      </c>
      <c r="BT50" s="37">
        <f t="shared" si="166"/>
        <v>3497558</v>
      </c>
      <c r="BU50" s="37">
        <f t="shared" si="166"/>
        <v>2966166</v>
      </c>
      <c r="BV50" s="37">
        <f t="shared" si="166"/>
        <v>12386019.25</v>
      </c>
      <c r="BW50" s="37">
        <f t="shared" si="166"/>
        <v>9999011.25</v>
      </c>
      <c r="BX50" s="37">
        <f t="shared" si="166"/>
        <v>1409724</v>
      </c>
      <c r="BY50" s="37">
        <f t="shared" si="166"/>
        <v>2539290.625</v>
      </c>
      <c r="BZ50" s="37">
        <f t="shared" si="166"/>
        <v>5324417.5</v>
      </c>
      <c r="CA50" s="37">
        <f t="shared" si="166"/>
        <v>6129837</v>
      </c>
      <c r="CB50" s="37">
        <f t="shared" si="166"/>
        <v>23325231.25</v>
      </c>
      <c r="CC50" s="37">
        <f t="shared" si="166"/>
        <v>4862598.75</v>
      </c>
      <c r="CD50" s="37">
        <f t="shared" si="166"/>
        <v>6864709.5</v>
      </c>
      <c r="CE50" s="37">
        <f t="shared" si="166"/>
        <v>5014002.625</v>
      </c>
      <c r="CF50" s="37">
        <f t="shared" si="166"/>
        <v>7819782.5</v>
      </c>
      <c r="CG50" s="37">
        <f t="shared" si="166"/>
        <v>6261421.5</v>
      </c>
      <c r="CH50" s="37">
        <f t="shared" si="166"/>
        <v>24446620.274999999</v>
      </c>
      <c r="CI50" s="37">
        <f t="shared" si="166"/>
        <v>15804568.125</v>
      </c>
      <c r="CJ50" s="37">
        <f t="shared" si="166"/>
        <v>2048101.2</v>
      </c>
      <c r="CK50" s="37">
        <f t="shared" si="166"/>
        <v>3316455.9375</v>
      </c>
      <c r="CL50" s="37">
        <f t="shared" si="166"/>
        <v>8713034.25</v>
      </c>
      <c r="CM50" s="37">
        <f t="shared" si="166"/>
        <v>9984493.3499999996</v>
      </c>
      <c r="CN50" s="37">
        <f t="shared" si="166"/>
        <v>47684596.875</v>
      </c>
      <c r="CO50" s="37">
        <f t="shared" si="166"/>
        <v>6789106.125</v>
      </c>
      <c r="CP50" s="37">
        <f t="shared" si="166"/>
        <v>11045826.225</v>
      </c>
      <c r="CQ50" s="37">
        <f t="shared" si="166"/>
        <v>6533581.5374999996</v>
      </c>
      <c r="CR50" s="37">
        <f t="shared" si="166"/>
        <v>13140936.75</v>
      </c>
      <c r="CS50" s="37">
        <f t="shared" si="166"/>
        <v>10510869.824999999</v>
      </c>
      <c r="CT50" s="37">
        <f t="shared" si="165"/>
        <v>15950819.55625</v>
      </c>
      <c r="CU50" s="37">
        <f t="shared" si="165"/>
        <v>15950819.55625</v>
      </c>
      <c r="CV50" s="37">
        <f t="shared" si="165"/>
        <v>15950819.55625</v>
      </c>
      <c r="CW50" s="21"/>
    </row>
    <row r="51" spans="4:101" x14ac:dyDescent="0.25">
      <c r="F51" s="21"/>
      <c r="G51" s="21"/>
      <c r="H51" s="21"/>
      <c r="I51" s="21"/>
      <c r="J51" s="21"/>
      <c r="K51" s="21"/>
      <c r="L51" s="21"/>
      <c r="M51" s="21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21"/>
      <c r="CU51" s="21"/>
      <c r="CV51" s="21"/>
      <c r="CW51" s="21"/>
    </row>
    <row r="52" spans="4:101" x14ac:dyDescent="0.25">
      <c r="F52" s="21"/>
      <c r="G52" s="21"/>
      <c r="H52" s="21"/>
      <c r="I52" s="21"/>
      <c r="J52" s="21"/>
      <c r="K52" s="21"/>
      <c r="L52" s="21"/>
      <c r="M52" s="21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21"/>
      <c r="CU52" s="21"/>
      <c r="CV52" s="21"/>
      <c r="CW52" s="21"/>
    </row>
    <row r="53" spans="4:101" x14ac:dyDescent="0.25">
      <c r="D53" s="136" t="s">
        <v>237</v>
      </c>
      <c r="F53" s="21"/>
      <c r="G53" s="21"/>
      <c r="H53" s="21"/>
      <c r="I53" s="21"/>
      <c r="J53" s="21"/>
      <c r="K53" s="21"/>
      <c r="L53" s="21"/>
      <c r="M53" s="21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21"/>
      <c r="CU53" s="21"/>
      <c r="CV53" s="21"/>
      <c r="CW53" s="21"/>
    </row>
    <row r="54" spans="4:101" x14ac:dyDescent="0.25">
      <c r="D54" s="38" t="s">
        <v>155</v>
      </c>
      <c r="F54" t="s">
        <v>157</v>
      </c>
      <c r="G54" s="21"/>
      <c r="H54" s="21"/>
      <c r="I54" s="21"/>
      <c r="J54" s="21"/>
      <c r="K54" s="21"/>
      <c r="L54" s="21"/>
      <c r="M54" s="21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21"/>
      <c r="CU54" s="21"/>
      <c r="CV54" s="21"/>
      <c r="CW54" s="21"/>
    </row>
    <row r="55" spans="4:101" x14ac:dyDescent="0.25">
      <c r="D55" s="35" t="str">
        <f>[1]Key!$W12</f>
        <v>BARI</v>
      </c>
      <c r="F55" s="23">
        <f>[1]Key!$AD12</f>
        <v>-60</v>
      </c>
      <c r="H55" s="21"/>
      <c r="I55" s="21"/>
      <c r="J55" s="21"/>
      <c r="K55" s="21"/>
      <c r="L55" s="21"/>
      <c r="M55" s="21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36">
        <f t="shared" ref="Z55:AI65" ca="1" si="167">IF($F55&lt;=0,OFFSET(INDEX($Z$37:$CV$49,MATCH($D55,$D$37:$D$49,0),MATCH(Z$11,$Z$11:$CV$11,0)),0,-ROUNDUP($F55/30,0)),OFFSET(INDEX($Z$37:$CV$49,MATCH($D55,$D$37:$D$49,0),MATCH(Z$11,$Z$11:$CV$11,0)),0,-ROUNDUP($F55/30,0)))</f>
        <v>0</v>
      </c>
      <c r="AA55" s="36">
        <f t="shared" ca="1" si="167"/>
        <v>0</v>
      </c>
      <c r="AB55" s="36">
        <f t="shared" ca="1" si="167"/>
        <v>0</v>
      </c>
      <c r="AC55" s="36">
        <f t="shared" ca="1" si="167"/>
        <v>0</v>
      </c>
      <c r="AD55" s="36">
        <f t="shared" ca="1" si="167"/>
        <v>0</v>
      </c>
      <c r="AE55" s="36">
        <f t="shared" ca="1" si="167"/>
        <v>0</v>
      </c>
      <c r="AF55" s="36">
        <f t="shared" ca="1" si="167"/>
        <v>0</v>
      </c>
      <c r="AG55" s="36">
        <f t="shared" ca="1" si="167"/>
        <v>24300</v>
      </c>
      <c r="AH55" s="36">
        <f t="shared" ca="1" si="167"/>
        <v>24300</v>
      </c>
      <c r="AI55" s="36">
        <f t="shared" ca="1" si="167"/>
        <v>58320</v>
      </c>
      <c r="AJ55" s="36">
        <f t="shared" ref="AJ55:AS65" ca="1" si="168">IF($F55&lt;=0,OFFSET(INDEX($Z$37:$CV$49,MATCH($D55,$D$37:$D$49,0),MATCH(AJ$11,$Z$11:$CV$11,0)),0,-ROUNDUP($F55/30,0)),OFFSET(INDEX($Z$37:$CV$49,MATCH($D55,$D$37:$D$49,0),MATCH(AJ$11,$Z$11:$CV$11,0)),0,-ROUNDUP($F55/30,0)))</f>
        <v>58320</v>
      </c>
      <c r="AK55" s="36">
        <f t="shared" ca="1" si="168"/>
        <v>0</v>
      </c>
      <c r="AL55" s="36">
        <f t="shared" ca="1" si="168"/>
        <v>58320</v>
      </c>
      <c r="AM55" s="36">
        <f t="shared" ca="1" si="168"/>
        <v>0</v>
      </c>
      <c r="AN55" s="36">
        <f t="shared" ca="1" si="168"/>
        <v>0</v>
      </c>
      <c r="AO55" s="36">
        <f t="shared" ca="1" si="168"/>
        <v>116640</v>
      </c>
      <c r="AP55" s="36">
        <f t="shared" ca="1" si="168"/>
        <v>0</v>
      </c>
      <c r="AQ55" s="36">
        <f t="shared" ca="1" si="168"/>
        <v>58320</v>
      </c>
      <c r="AR55" s="36">
        <f t="shared" ca="1" si="168"/>
        <v>116640</v>
      </c>
      <c r="AS55" s="36">
        <f t="shared" ca="1" si="168"/>
        <v>116640</v>
      </c>
      <c r="AT55" s="36">
        <f t="shared" ref="AT55:BG65" ca="1" si="169">IF($F55&lt;=0,OFFSET(INDEX($Z$37:$CV$49,MATCH($D55,$D$37:$D$49,0),MATCH(AT$11,$Z$11:$CV$11,0)),0,-ROUNDUP($F55/30,0)),OFFSET(INDEX($Z$37:$CV$49,MATCH($D55,$D$37:$D$49,0),MATCH(AT$11,$Z$11:$CV$11,0)),0,-ROUNDUP($F55/30,0)))</f>
        <v>21600</v>
      </c>
      <c r="AU55" s="36">
        <f t="shared" ca="1" si="169"/>
        <v>116640</v>
      </c>
      <c r="AV55" s="36">
        <f t="shared" ca="1" si="169"/>
        <v>168480</v>
      </c>
      <c r="AW55" s="36">
        <f t="shared" ca="1" si="169"/>
        <v>0</v>
      </c>
      <c r="AX55" s="36">
        <f t="shared" ca="1" si="169"/>
        <v>116640</v>
      </c>
      <c r="AY55" s="36">
        <f t="shared" ca="1" si="169"/>
        <v>0</v>
      </c>
      <c r="AZ55" s="36">
        <f t="shared" ca="1" si="169"/>
        <v>0</v>
      </c>
      <c r="BA55" s="36">
        <f t="shared" ca="1" si="169"/>
        <v>285120</v>
      </c>
      <c r="BB55" s="36">
        <f t="shared" ca="1" si="169"/>
        <v>0</v>
      </c>
      <c r="BC55" s="36">
        <f t="shared" ca="1" si="169"/>
        <v>0</v>
      </c>
      <c r="BD55" s="36">
        <f t="shared" ca="1" si="169"/>
        <v>116640</v>
      </c>
      <c r="BE55" s="36">
        <f t="shared" ca="1" si="169"/>
        <v>220320</v>
      </c>
      <c r="BF55" s="36">
        <f t="shared" ca="1" si="169"/>
        <v>0</v>
      </c>
      <c r="BG55" s="36">
        <f t="shared" ca="1" si="169"/>
        <v>138240</v>
      </c>
      <c r="BH55" s="36">
        <f t="shared" ref="BH55:BI65" ca="1" si="170">IF($F55&lt;=0,OFFSET(INDEX($Z$37:$CV$49,MATCH($D55,$D$37:$D$49,0),MATCH(BH$11,$Z$11:$CV$11,0)),0,-ROUNDUP($F55/30,0)),OFFSET(INDEX($Z$37:$CV$49,MATCH($D55,$D$37:$D$49,0),MATCH(BH$11,$Z$11:$CV$11,0)),0,-ROUNDUP($F55/30,0)))</f>
        <v>320112</v>
      </c>
      <c r="BI55" s="36">
        <f t="shared" ca="1" si="170"/>
        <v>0</v>
      </c>
      <c r="BJ55" s="36">
        <f t="shared" ref="BJ55:BS65" ca="1" si="171">IF($F55&lt;=0,OFFSET(INDEX($Z$37:$CV$49,MATCH($D55,$D$37:$D$49,0),MATCH(BJ$11,$Z$11:$CV$11,0)),0,-ROUNDUP($F55/30,0)),OFFSET(INDEX($Z$37:$CV$49,MATCH($D55,$D$37:$D$49,0),MATCH(BJ$11,$Z$11:$CV$11,0)),0,-ROUNDUP($F55/30,0)))</f>
        <v>221616</v>
      </c>
      <c r="BK55" s="36">
        <f t="shared" ca="1" si="171"/>
        <v>0</v>
      </c>
      <c r="BL55" s="36">
        <f t="shared" ca="1" si="171"/>
        <v>0</v>
      </c>
      <c r="BM55" s="36">
        <f t="shared" ca="1" si="171"/>
        <v>541728</v>
      </c>
      <c r="BN55" s="36">
        <f t="shared" ca="1" si="171"/>
        <v>0</v>
      </c>
      <c r="BO55" s="36">
        <f t="shared" ca="1" si="171"/>
        <v>0</v>
      </c>
      <c r="BP55" s="36">
        <f t="shared" ca="1" si="171"/>
        <v>221616</v>
      </c>
      <c r="BQ55" s="36">
        <f t="shared" ca="1" si="171"/>
        <v>418608</v>
      </c>
      <c r="BR55" s="36">
        <f t="shared" ca="1" si="171"/>
        <v>0</v>
      </c>
      <c r="BS55" s="36">
        <f t="shared" ca="1" si="171"/>
        <v>262656</v>
      </c>
      <c r="BT55" s="36">
        <f t="shared" ref="BT55:CC65" ca="1" si="172">IF($F55&lt;=0,OFFSET(INDEX($Z$37:$CV$49,MATCH($D55,$D$37:$D$49,0),MATCH(BT$11,$Z$11:$CV$11,0)),0,-ROUNDUP($F55/30,0)),OFFSET(INDEX($Z$37:$CV$49,MATCH($D55,$D$37:$D$49,0),MATCH(BT$11,$Z$11:$CV$11,0)),0,-ROUNDUP($F55/30,0)))</f>
        <v>480168</v>
      </c>
      <c r="BU55" s="36">
        <f t="shared" ca="1" si="172"/>
        <v>0</v>
      </c>
      <c r="BV55" s="36">
        <f t="shared" ca="1" si="172"/>
        <v>332424</v>
      </c>
      <c r="BW55" s="36">
        <f t="shared" ca="1" si="172"/>
        <v>0</v>
      </c>
      <c r="BX55" s="36">
        <f t="shared" ca="1" si="172"/>
        <v>0</v>
      </c>
      <c r="BY55" s="36">
        <f t="shared" ca="1" si="172"/>
        <v>812592</v>
      </c>
      <c r="BZ55" s="36">
        <f t="shared" ca="1" si="172"/>
        <v>0</v>
      </c>
      <c r="CA55" s="36">
        <f t="shared" ca="1" si="172"/>
        <v>0</v>
      </c>
      <c r="CB55" s="36">
        <f t="shared" ca="1" si="172"/>
        <v>332424</v>
      </c>
      <c r="CC55" s="36">
        <f t="shared" ca="1" si="172"/>
        <v>627912</v>
      </c>
      <c r="CD55" s="36">
        <f t="shared" ref="CD55:CM65" ca="1" si="173">IF($F55&lt;=0,OFFSET(INDEX($Z$37:$CV$49,MATCH($D55,$D$37:$D$49,0),MATCH(CD$11,$Z$11:$CV$11,0)),0,-ROUNDUP($F55/30,0)),OFFSET(INDEX($Z$37:$CV$49,MATCH($D55,$D$37:$D$49,0),MATCH(CD$11,$Z$11:$CV$11,0)),0,-ROUNDUP($F55/30,0)))</f>
        <v>0</v>
      </c>
      <c r="CE55" s="36">
        <f t="shared" ca="1" si="173"/>
        <v>393984</v>
      </c>
      <c r="CF55" s="36">
        <f t="shared" ca="1" si="173"/>
        <v>624218.40000000014</v>
      </c>
      <c r="CG55" s="36">
        <f t="shared" ca="1" si="173"/>
        <v>0</v>
      </c>
      <c r="CH55" s="36">
        <f t="shared" ca="1" si="173"/>
        <v>432151.2</v>
      </c>
      <c r="CI55" s="36">
        <f t="shared" ca="1" si="173"/>
        <v>0</v>
      </c>
      <c r="CJ55" s="36">
        <f t="shared" ca="1" si="173"/>
        <v>0</v>
      </c>
      <c r="CK55" s="36">
        <f t="shared" ca="1" si="173"/>
        <v>1056369.6000000001</v>
      </c>
      <c r="CL55" s="36">
        <f t="shared" ca="1" si="173"/>
        <v>0</v>
      </c>
      <c r="CM55" s="36">
        <f t="shared" ca="1" si="173"/>
        <v>0</v>
      </c>
      <c r="CN55" s="36">
        <f t="shared" ref="CN55:CV65" ca="1" si="174">IF($F55&lt;=0,OFFSET(INDEX($Z$37:$CV$49,MATCH($D55,$D$37:$D$49,0),MATCH(CN$11,$Z$11:$CV$11,0)),0,-ROUNDUP($F55/30,0)),OFFSET(INDEX($Z$37:$CV$49,MATCH($D55,$D$37:$D$49,0),MATCH(CN$11,$Z$11:$CV$11,0)),0,-ROUNDUP($F55/30,0)))</f>
        <v>432151.2</v>
      </c>
      <c r="CO55" s="36">
        <f t="shared" ca="1" si="174"/>
        <v>816285.6</v>
      </c>
      <c r="CP55" s="36">
        <f t="shared" ca="1" si="174"/>
        <v>0</v>
      </c>
      <c r="CQ55" s="36">
        <f t="shared" ca="1" si="174"/>
        <v>512179.20000000001</v>
      </c>
      <c r="CR55" s="36">
        <f t="shared" ca="1" si="174"/>
        <v>293436</v>
      </c>
      <c r="CS55" s="36">
        <f t="shared" ca="1" si="174"/>
        <v>293436</v>
      </c>
      <c r="CT55" s="36">
        <f t="shared" ca="1" si="174"/>
        <v>293436</v>
      </c>
      <c r="CU55" s="36">
        <f t="shared" ca="1" si="174"/>
        <v>0</v>
      </c>
      <c r="CV55" s="36">
        <f t="shared" ca="1" si="174"/>
        <v>0</v>
      </c>
      <c r="CW55" s="21"/>
    </row>
    <row r="56" spans="4:101" x14ac:dyDescent="0.25">
      <c r="D56" s="35" t="str">
        <f>[1]Key!$W13</f>
        <v>BRAIN DEAD OAKLEY</v>
      </c>
      <c r="F56" s="23">
        <f>[1]Key!$AD13</f>
        <v>-60</v>
      </c>
      <c r="G56" s="21"/>
      <c r="H56" s="21"/>
      <c r="I56" s="21"/>
      <c r="J56" s="21"/>
      <c r="K56" s="21"/>
      <c r="L56" s="21"/>
      <c r="M56" s="21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36">
        <f t="shared" ca="1" si="167"/>
        <v>0</v>
      </c>
      <c r="AA56" s="36">
        <f t="shared" ca="1" si="167"/>
        <v>0</v>
      </c>
      <c r="AB56" s="36">
        <f t="shared" ca="1" si="167"/>
        <v>0</v>
      </c>
      <c r="AC56" s="36">
        <f t="shared" ca="1" si="167"/>
        <v>0</v>
      </c>
      <c r="AD56" s="36">
        <f t="shared" ca="1" si="167"/>
        <v>0</v>
      </c>
      <c r="AE56" s="36">
        <f t="shared" ca="1" si="167"/>
        <v>0</v>
      </c>
      <c r="AF56" s="36">
        <f t="shared" ca="1" si="167"/>
        <v>0</v>
      </c>
      <c r="AG56" s="36">
        <f t="shared" ca="1" si="167"/>
        <v>0</v>
      </c>
      <c r="AH56" s="36">
        <f t="shared" ca="1" si="167"/>
        <v>34560</v>
      </c>
      <c r="AI56" s="36">
        <f t="shared" ca="1" si="167"/>
        <v>0</v>
      </c>
      <c r="AJ56" s="36">
        <f t="shared" ca="1" si="168"/>
        <v>0</v>
      </c>
      <c r="AK56" s="36">
        <f t="shared" ca="1" si="168"/>
        <v>103680</v>
      </c>
      <c r="AL56" s="36">
        <f t="shared" ca="1" si="168"/>
        <v>16200</v>
      </c>
      <c r="AM56" s="36">
        <f t="shared" ca="1" si="168"/>
        <v>0</v>
      </c>
      <c r="AN56" s="36">
        <f t="shared" ca="1" si="168"/>
        <v>0</v>
      </c>
      <c r="AO56" s="36">
        <f t="shared" ca="1" si="168"/>
        <v>0</v>
      </c>
      <c r="AP56" s="36">
        <f t="shared" ca="1" si="168"/>
        <v>32400</v>
      </c>
      <c r="AQ56" s="36">
        <f t="shared" ca="1" si="168"/>
        <v>0</v>
      </c>
      <c r="AR56" s="36">
        <f t="shared" ca="1" si="168"/>
        <v>207360</v>
      </c>
      <c r="AS56" s="36">
        <f t="shared" ca="1" si="168"/>
        <v>0</v>
      </c>
      <c r="AT56" s="36">
        <f t="shared" ca="1" si="169"/>
        <v>0</v>
      </c>
      <c r="AU56" s="36">
        <f t="shared" ca="1" si="169"/>
        <v>0</v>
      </c>
      <c r="AV56" s="36">
        <f t="shared" ca="1" si="169"/>
        <v>0</v>
      </c>
      <c r="AW56" s="36">
        <f t="shared" ca="1" si="169"/>
        <v>194400.00000000003</v>
      </c>
      <c r="AX56" s="36">
        <f t="shared" ca="1" si="169"/>
        <v>0</v>
      </c>
      <c r="AY56" s="36">
        <f t="shared" ca="1" si="169"/>
        <v>0</v>
      </c>
      <c r="AZ56" s="36">
        <f t="shared" ca="1" si="169"/>
        <v>0</v>
      </c>
      <c r="BA56" s="36">
        <f t="shared" ca="1" si="169"/>
        <v>0</v>
      </c>
      <c r="BB56" s="36">
        <f t="shared" ca="1" si="169"/>
        <v>0</v>
      </c>
      <c r="BC56" s="36">
        <f t="shared" ca="1" si="169"/>
        <v>0</v>
      </c>
      <c r="BD56" s="36">
        <f t="shared" ca="1" si="169"/>
        <v>427680</v>
      </c>
      <c r="BE56" s="36">
        <f t="shared" ca="1" si="169"/>
        <v>0</v>
      </c>
      <c r="BF56" s="36">
        <f t="shared" ca="1" si="169"/>
        <v>0</v>
      </c>
      <c r="BG56" s="36">
        <f t="shared" ca="1" si="169"/>
        <v>0</v>
      </c>
      <c r="BH56" s="36">
        <f t="shared" ca="1" si="170"/>
        <v>0</v>
      </c>
      <c r="BI56" s="36">
        <f t="shared" ca="1" si="170"/>
        <v>369360</v>
      </c>
      <c r="BJ56" s="36">
        <f t="shared" ca="1" si="171"/>
        <v>0</v>
      </c>
      <c r="BK56" s="36">
        <f t="shared" ca="1" si="171"/>
        <v>0</v>
      </c>
      <c r="BL56" s="36">
        <f t="shared" ca="1" si="171"/>
        <v>0</v>
      </c>
      <c r="BM56" s="36">
        <f t="shared" ca="1" si="171"/>
        <v>0</v>
      </c>
      <c r="BN56" s="36">
        <f t="shared" ca="1" si="171"/>
        <v>0</v>
      </c>
      <c r="BO56" s="36">
        <f t="shared" ca="1" si="171"/>
        <v>0</v>
      </c>
      <c r="BP56" s="36">
        <f t="shared" ca="1" si="171"/>
        <v>812592</v>
      </c>
      <c r="BQ56" s="36">
        <f t="shared" ca="1" si="171"/>
        <v>0</v>
      </c>
      <c r="BR56" s="36">
        <f t="shared" ca="1" si="171"/>
        <v>0</v>
      </c>
      <c r="BS56" s="36">
        <f t="shared" ca="1" si="171"/>
        <v>0</v>
      </c>
      <c r="BT56" s="36">
        <f t="shared" ca="1" si="172"/>
        <v>0</v>
      </c>
      <c r="BU56" s="36">
        <f t="shared" ca="1" si="172"/>
        <v>554040</v>
      </c>
      <c r="BV56" s="36">
        <f t="shared" ca="1" si="172"/>
        <v>0</v>
      </c>
      <c r="BW56" s="36">
        <f t="shared" ca="1" si="172"/>
        <v>0</v>
      </c>
      <c r="BX56" s="36">
        <f t="shared" ca="1" si="172"/>
        <v>0</v>
      </c>
      <c r="BY56" s="36">
        <f t="shared" ca="1" si="172"/>
        <v>0</v>
      </c>
      <c r="BZ56" s="36">
        <f t="shared" ca="1" si="172"/>
        <v>0</v>
      </c>
      <c r="CA56" s="36">
        <f t="shared" ca="1" si="172"/>
        <v>0</v>
      </c>
      <c r="CB56" s="36">
        <f t="shared" ca="1" si="172"/>
        <v>1218888</v>
      </c>
      <c r="CC56" s="36">
        <f t="shared" ca="1" si="172"/>
        <v>0</v>
      </c>
      <c r="CD56" s="36">
        <f t="shared" ca="1" si="173"/>
        <v>0</v>
      </c>
      <c r="CE56" s="36">
        <f t="shared" ca="1" si="173"/>
        <v>0</v>
      </c>
      <c r="CF56" s="36">
        <f t="shared" ca="1" si="173"/>
        <v>0</v>
      </c>
      <c r="CG56" s="36">
        <f t="shared" ca="1" si="173"/>
        <v>720252</v>
      </c>
      <c r="CH56" s="36">
        <f t="shared" ca="1" si="173"/>
        <v>0</v>
      </c>
      <c r="CI56" s="36">
        <f t="shared" ca="1" si="173"/>
        <v>0</v>
      </c>
      <c r="CJ56" s="36">
        <f t="shared" ca="1" si="173"/>
        <v>0</v>
      </c>
      <c r="CK56" s="36">
        <f t="shared" ca="1" si="173"/>
        <v>0</v>
      </c>
      <c r="CL56" s="36">
        <f t="shared" ca="1" si="173"/>
        <v>0</v>
      </c>
      <c r="CM56" s="36">
        <f t="shared" ca="1" si="173"/>
        <v>0</v>
      </c>
      <c r="CN56" s="36">
        <f t="shared" ca="1" si="174"/>
        <v>1584554.4</v>
      </c>
      <c r="CO56" s="36">
        <f t="shared" ca="1" si="174"/>
        <v>0</v>
      </c>
      <c r="CP56" s="36">
        <f t="shared" ca="1" si="174"/>
        <v>0</v>
      </c>
      <c r="CQ56" s="36">
        <f t="shared" ca="1" si="174"/>
        <v>0</v>
      </c>
      <c r="CR56" s="36">
        <f t="shared" ca="1" si="174"/>
        <v>264092.39999999997</v>
      </c>
      <c r="CS56" s="36">
        <f t="shared" ca="1" si="174"/>
        <v>264092.39999999997</v>
      </c>
      <c r="CT56" s="36">
        <f t="shared" ca="1" si="174"/>
        <v>264092.39999999997</v>
      </c>
      <c r="CU56" s="36">
        <f t="shared" ca="1" si="174"/>
        <v>0</v>
      </c>
      <c r="CV56" s="36">
        <f t="shared" ca="1" si="174"/>
        <v>0</v>
      </c>
      <c r="CW56" s="21"/>
    </row>
    <row r="57" spans="4:101" x14ac:dyDescent="0.25">
      <c r="D57" s="35" t="str">
        <f>[1]Key!$W14</f>
        <v>GROWTH "HIT" PH</v>
      </c>
      <c r="F57" s="23">
        <f>[1]Key!$AD14</f>
        <v>-60</v>
      </c>
      <c r="G57" s="21"/>
      <c r="H57" s="21"/>
      <c r="I57" s="21"/>
      <c r="J57" s="21"/>
      <c r="K57" s="21"/>
      <c r="L57" s="21"/>
      <c r="M57" s="21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36">
        <f t="shared" ca="1" si="167"/>
        <v>0</v>
      </c>
      <c r="AA57" s="36">
        <f t="shared" ca="1" si="167"/>
        <v>0</v>
      </c>
      <c r="AB57" s="36">
        <f t="shared" ca="1" si="167"/>
        <v>0</v>
      </c>
      <c r="AC57" s="36">
        <f t="shared" ca="1" si="167"/>
        <v>0</v>
      </c>
      <c r="AD57" s="36">
        <f t="shared" ca="1" si="167"/>
        <v>0</v>
      </c>
      <c r="AE57" s="36">
        <f t="shared" ca="1" si="167"/>
        <v>0</v>
      </c>
      <c r="AF57" s="36">
        <f t="shared" ca="1" si="167"/>
        <v>0</v>
      </c>
      <c r="AG57" s="36">
        <f t="shared" ca="1" si="167"/>
        <v>0</v>
      </c>
      <c r="AH57" s="36">
        <f t="shared" ca="1" si="167"/>
        <v>0</v>
      </c>
      <c r="AI57" s="36">
        <f t="shared" ca="1" si="167"/>
        <v>0</v>
      </c>
      <c r="AJ57" s="36">
        <f t="shared" ca="1" si="168"/>
        <v>0</v>
      </c>
      <c r="AK57" s="36">
        <f t="shared" ca="1" si="168"/>
        <v>0</v>
      </c>
      <c r="AL57" s="36">
        <f t="shared" ca="1" si="168"/>
        <v>0</v>
      </c>
      <c r="AM57" s="36">
        <f t="shared" ca="1" si="168"/>
        <v>0</v>
      </c>
      <c r="AN57" s="36">
        <f t="shared" ca="1" si="168"/>
        <v>0</v>
      </c>
      <c r="AO57" s="36">
        <f t="shared" ca="1" si="168"/>
        <v>0</v>
      </c>
      <c r="AP57" s="36">
        <f t="shared" ca="1" si="168"/>
        <v>0</v>
      </c>
      <c r="AQ57" s="36">
        <f t="shared" ca="1" si="168"/>
        <v>0</v>
      </c>
      <c r="AR57" s="36">
        <f t="shared" ca="1" si="168"/>
        <v>0</v>
      </c>
      <c r="AS57" s="36">
        <f t="shared" ca="1" si="168"/>
        <v>432000</v>
      </c>
      <c r="AT57" s="36">
        <f t="shared" ca="1" si="169"/>
        <v>0</v>
      </c>
      <c r="AU57" s="36">
        <f t="shared" ca="1" si="169"/>
        <v>0</v>
      </c>
      <c r="AV57" s="36">
        <f t="shared" ca="1" si="169"/>
        <v>864000</v>
      </c>
      <c r="AW57" s="36">
        <f t="shared" ca="1" si="169"/>
        <v>0</v>
      </c>
      <c r="AX57" s="36">
        <f t="shared" ca="1" si="169"/>
        <v>0</v>
      </c>
      <c r="AY57" s="36">
        <f t="shared" ca="1" si="169"/>
        <v>864000</v>
      </c>
      <c r="AZ57" s="36">
        <f t="shared" ca="1" si="169"/>
        <v>0</v>
      </c>
      <c r="BA57" s="36">
        <f t="shared" ca="1" si="169"/>
        <v>0</v>
      </c>
      <c r="BB57" s="36">
        <f t="shared" ca="1" si="169"/>
        <v>1080000</v>
      </c>
      <c r="BC57" s="36">
        <f t="shared" ca="1" si="169"/>
        <v>0</v>
      </c>
      <c r="BD57" s="36">
        <f t="shared" ca="1" si="169"/>
        <v>0</v>
      </c>
      <c r="BE57" s="36">
        <f t="shared" ca="1" si="169"/>
        <v>1512000</v>
      </c>
      <c r="BF57" s="36">
        <f t="shared" ca="1" si="169"/>
        <v>0</v>
      </c>
      <c r="BG57" s="36">
        <f t="shared" ca="1" si="169"/>
        <v>0</v>
      </c>
      <c r="BH57" s="36">
        <f t="shared" ca="1" si="170"/>
        <v>1641600</v>
      </c>
      <c r="BI57" s="36">
        <f t="shared" ca="1" si="170"/>
        <v>0</v>
      </c>
      <c r="BJ57" s="36">
        <f t="shared" ca="1" si="171"/>
        <v>0</v>
      </c>
      <c r="BK57" s="36">
        <f t="shared" ca="1" si="171"/>
        <v>1641600</v>
      </c>
      <c r="BL57" s="36">
        <f t="shared" ca="1" si="171"/>
        <v>0</v>
      </c>
      <c r="BM57" s="36">
        <f t="shared" ca="1" si="171"/>
        <v>0</v>
      </c>
      <c r="BN57" s="36">
        <f t="shared" ca="1" si="171"/>
        <v>2052000</v>
      </c>
      <c r="BO57" s="36">
        <f t="shared" ca="1" si="171"/>
        <v>0</v>
      </c>
      <c r="BP57" s="36">
        <f t="shared" ca="1" si="171"/>
        <v>0</v>
      </c>
      <c r="BQ57" s="36">
        <f t="shared" ca="1" si="171"/>
        <v>2872800</v>
      </c>
      <c r="BR57" s="36">
        <f t="shared" ca="1" si="171"/>
        <v>0</v>
      </c>
      <c r="BS57" s="36">
        <f t="shared" ca="1" si="171"/>
        <v>0</v>
      </c>
      <c r="BT57" s="36">
        <f t="shared" ca="1" si="172"/>
        <v>2462400</v>
      </c>
      <c r="BU57" s="36">
        <f t="shared" ca="1" si="172"/>
        <v>0</v>
      </c>
      <c r="BV57" s="36">
        <f t="shared" ca="1" si="172"/>
        <v>0</v>
      </c>
      <c r="BW57" s="36">
        <f t="shared" ca="1" si="172"/>
        <v>2462400</v>
      </c>
      <c r="BX57" s="36">
        <f t="shared" ca="1" si="172"/>
        <v>0</v>
      </c>
      <c r="BY57" s="36">
        <f t="shared" ca="1" si="172"/>
        <v>0</v>
      </c>
      <c r="BZ57" s="36">
        <f t="shared" ca="1" si="172"/>
        <v>3078000</v>
      </c>
      <c r="CA57" s="36">
        <f t="shared" ca="1" si="172"/>
        <v>0</v>
      </c>
      <c r="CB57" s="36">
        <f t="shared" ca="1" si="172"/>
        <v>0</v>
      </c>
      <c r="CC57" s="36">
        <f t="shared" ca="1" si="172"/>
        <v>4309200</v>
      </c>
      <c r="CD57" s="36">
        <f t="shared" ca="1" si="173"/>
        <v>0</v>
      </c>
      <c r="CE57" s="36">
        <f t="shared" ca="1" si="173"/>
        <v>0</v>
      </c>
      <c r="CF57" s="36">
        <f t="shared" ca="1" si="173"/>
        <v>3201120</v>
      </c>
      <c r="CG57" s="36">
        <f t="shared" ca="1" si="173"/>
        <v>0</v>
      </c>
      <c r="CH57" s="36">
        <f t="shared" ca="1" si="173"/>
        <v>0</v>
      </c>
      <c r="CI57" s="36">
        <f t="shared" ca="1" si="173"/>
        <v>3201120</v>
      </c>
      <c r="CJ57" s="36">
        <f t="shared" ca="1" si="173"/>
        <v>0</v>
      </c>
      <c r="CK57" s="36">
        <f t="shared" ca="1" si="173"/>
        <v>0</v>
      </c>
      <c r="CL57" s="36">
        <f t="shared" ca="1" si="173"/>
        <v>4001400</v>
      </c>
      <c r="CM57" s="36">
        <f t="shared" ca="1" si="173"/>
        <v>0</v>
      </c>
      <c r="CN57" s="36">
        <f t="shared" ca="1" si="174"/>
        <v>0</v>
      </c>
      <c r="CO57" s="36">
        <f t="shared" ca="1" si="174"/>
        <v>5601960</v>
      </c>
      <c r="CP57" s="36">
        <f t="shared" ca="1" si="174"/>
        <v>0</v>
      </c>
      <c r="CQ57" s="36">
        <f t="shared" ca="1" si="174"/>
        <v>0</v>
      </c>
      <c r="CR57" s="36">
        <f t="shared" ca="1" si="174"/>
        <v>1600560</v>
      </c>
      <c r="CS57" s="36">
        <f t="shared" ca="1" si="174"/>
        <v>1600560</v>
      </c>
      <c r="CT57" s="36">
        <f t="shared" ca="1" si="174"/>
        <v>1600560</v>
      </c>
      <c r="CU57" s="36">
        <f t="shared" ca="1" si="174"/>
        <v>0</v>
      </c>
      <c r="CV57" s="36">
        <f t="shared" ca="1" si="174"/>
        <v>0</v>
      </c>
      <c r="CW57" s="21"/>
    </row>
    <row r="58" spans="4:101" x14ac:dyDescent="0.25">
      <c r="D58" s="35" t="str">
        <f>[1]Key!$W15</f>
        <v>ICE STUDIOS</v>
      </c>
      <c r="F58" s="23">
        <f>[1]Key!$AD15</f>
        <v>-60</v>
      </c>
      <c r="G58" s="21"/>
      <c r="H58" s="21"/>
      <c r="I58" s="21"/>
      <c r="J58" s="21"/>
      <c r="K58" s="21"/>
      <c r="L58" s="21"/>
      <c r="M58" s="21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36">
        <f t="shared" ca="1" si="167"/>
        <v>0</v>
      </c>
      <c r="AA58" s="36">
        <f t="shared" ca="1" si="167"/>
        <v>0</v>
      </c>
      <c r="AB58" s="36">
        <f t="shared" ca="1" si="167"/>
        <v>0</v>
      </c>
      <c r="AC58" s="36">
        <f t="shared" ca="1" si="167"/>
        <v>0</v>
      </c>
      <c r="AD58" s="36">
        <f t="shared" ca="1" si="167"/>
        <v>0</v>
      </c>
      <c r="AE58" s="36">
        <f t="shared" ca="1" si="167"/>
        <v>0</v>
      </c>
      <c r="AF58" s="36">
        <f t="shared" ca="1" si="167"/>
        <v>0</v>
      </c>
      <c r="AG58" s="36">
        <f t="shared" ca="1" si="167"/>
        <v>0</v>
      </c>
      <c r="AH58" s="36">
        <f t="shared" ca="1" si="167"/>
        <v>0</v>
      </c>
      <c r="AI58" s="36">
        <f t="shared" ca="1" si="167"/>
        <v>110700</v>
      </c>
      <c r="AJ58" s="36">
        <f t="shared" ca="1" si="168"/>
        <v>0</v>
      </c>
      <c r="AK58" s="36">
        <f t="shared" ca="1" si="168"/>
        <v>213840</v>
      </c>
      <c r="AL58" s="36">
        <f t="shared" ca="1" si="168"/>
        <v>0</v>
      </c>
      <c r="AM58" s="36">
        <f t="shared" ca="1" si="168"/>
        <v>0</v>
      </c>
      <c r="AN58" s="36">
        <f t="shared" ca="1" si="168"/>
        <v>0</v>
      </c>
      <c r="AO58" s="36">
        <f t="shared" ca="1" si="168"/>
        <v>356400</v>
      </c>
      <c r="AP58" s="36">
        <f t="shared" ca="1" si="168"/>
        <v>0</v>
      </c>
      <c r="AQ58" s="36">
        <f t="shared" ca="1" si="168"/>
        <v>0</v>
      </c>
      <c r="AR58" s="36">
        <f t="shared" ca="1" si="168"/>
        <v>567000</v>
      </c>
      <c r="AS58" s="36">
        <f t="shared" ca="1" si="168"/>
        <v>0</v>
      </c>
      <c r="AT58" s="36">
        <f t="shared" ca="1" si="169"/>
        <v>0</v>
      </c>
      <c r="AU58" s="36">
        <f t="shared" ca="1" si="169"/>
        <v>684720</v>
      </c>
      <c r="AV58" s="36">
        <f t="shared" ca="1" si="169"/>
        <v>259200</v>
      </c>
      <c r="AW58" s="36">
        <f t="shared" ca="1" si="169"/>
        <v>453600</v>
      </c>
      <c r="AX58" s="36">
        <f t="shared" ca="1" si="169"/>
        <v>0</v>
      </c>
      <c r="AY58" s="36">
        <f t="shared" ca="1" si="169"/>
        <v>0</v>
      </c>
      <c r="AZ58" s="36">
        <f t="shared" ca="1" si="169"/>
        <v>0</v>
      </c>
      <c r="BA58" s="36">
        <f t="shared" ca="1" si="169"/>
        <v>712800</v>
      </c>
      <c r="BB58" s="36">
        <f t="shared" ca="1" si="169"/>
        <v>0</v>
      </c>
      <c r="BC58" s="36">
        <f t="shared" ca="1" si="169"/>
        <v>0</v>
      </c>
      <c r="BD58" s="36">
        <f t="shared" ca="1" si="169"/>
        <v>723600</v>
      </c>
      <c r="BE58" s="36">
        <f t="shared" ca="1" si="169"/>
        <v>0</v>
      </c>
      <c r="BF58" s="36">
        <f t="shared" ca="1" si="169"/>
        <v>51840</v>
      </c>
      <c r="BG58" s="36">
        <f t="shared" ca="1" si="169"/>
        <v>723600</v>
      </c>
      <c r="BH58" s="36">
        <f t="shared" ca="1" si="170"/>
        <v>615600</v>
      </c>
      <c r="BI58" s="36">
        <f t="shared" ca="1" si="170"/>
        <v>1077300</v>
      </c>
      <c r="BJ58" s="36">
        <f t="shared" ca="1" si="171"/>
        <v>0</v>
      </c>
      <c r="BK58" s="36">
        <f t="shared" ca="1" si="171"/>
        <v>0</v>
      </c>
      <c r="BL58" s="36">
        <f t="shared" ca="1" si="171"/>
        <v>0</v>
      </c>
      <c r="BM58" s="36">
        <f t="shared" ca="1" si="171"/>
        <v>1692900</v>
      </c>
      <c r="BN58" s="36">
        <f t="shared" ca="1" si="171"/>
        <v>0</v>
      </c>
      <c r="BO58" s="36">
        <f t="shared" ca="1" si="171"/>
        <v>0</v>
      </c>
      <c r="BP58" s="36">
        <f t="shared" ca="1" si="171"/>
        <v>1718550</v>
      </c>
      <c r="BQ58" s="36">
        <f t="shared" ca="1" si="171"/>
        <v>0</v>
      </c>
      <c r="BR58" s="36">
        <f t="shared" ca="1" si="171"/>
        <v>123120</v>
      </c>
      <c r="BS58" s="36">
        <f t="shared" ca="1" si="171"/>
        <v>1718550</v>
      </c>
      <c r="BT58" s="36">
        <f t="shared" ca="1" si="172"/>
        <v>1385100</v>
      </c>
      <c r="BU58" s="36">
        <f t="shared" ca="1" si="172"/>
        <v>2423925</v>
      </c>
      <c r="BV58" s="36">
        <f t="shared" ca="1" si="172"/>
        <v>0</v>
      </c>
      <c r="BW58" s="36">
        <f t="shared" ca="1" si="172"/>
        <v>0</v>
      </c>
      <c r="BX58" s="36">
        <f t="shared" ca="1" si="172"/>
        <v>0</v>
      </c>
      <c r="BY58" s="36">
        <f t="shared" ca="1" si="172"/>
        <v>3809025</v>
      </c>
      <c r="BZ58" s="36">
        <f t="shared" ca="1" si="172"/>
        <v>0</v>
      </c>
      <c r="CA58" s="36">
        <f t="shared" ca="1" si="172"/>
        <v>0</v>
      </c>
      <c r="CB58" s="36">
        <f t="shared" ca="1" si="172"/>
        <v>3866737.5</v>
      </c>
      <c r="CC58" s="36">
        <f t="shared" ca="1" si="172"/>
        <v>0</v>
      </c>
      <c r="CD58" s="36">
        <f t="shared" ca="1" si="173"/>
        <v>277020</v>
      </c>
      <c r="CE58" s="36">
        <f t="shared" ca="1" si="173"/>
        <v>3866737.5</v>
      </c>
      <c r="CF58" s="36">
        <f t="shared" ca="1" si="173"/>
        <v>2423925</v>
      </c>
      <c r="CG58" s="36">
        <f t="shared" ca="1" si="173"/>
        <v>4241868.75</v>
      </c>
      <c r="CH58" s="36">
        <f t="shared" ca="1" si="173"/>
        <v>0</v>
      </c>
      <c r="CI58" s="36">
        <f t="shared" ca="1" si="173"/>
        <v>0</v>
      </c>
      <c r="CJ58" s="36">
        <f t="shared" ca="1" si="173"/>
        <v>0</v>
      </c>
      <c r="CK58" s="36">
        <f t="shared" ca="1" si="173"/>
        <v>6665793.75</v>
      </c>
      <c r="CL58" s="36">
        <f t="shared" ca="1" si="173"/>
        <v>0</v>
      </c>
      <c r="CM58" s="36">
        <f t="shared" ca="1" si="173"/>
        <v>0</v>
      </c>
      <c r="CN58" s="36">
        <f t="shared" ca="1" si="174"/>
        <v>6766790.625</v>
      </c>
      <c r="CO58" s="36">
        <f t="shared" ca="1" si="174"/>
        <v>0</v>
      </c>
      <c r="CP58" s="36">
        <f t="shared" ca="1" si="174"/>
        <v>484785</v>
      </c>
      <c r="CQ58" s="36">
        <f t="shared" ca="1" si="174"/>
        <v>6766790.625</v>
      </c>
      <c r="CR58" s="36">
        <f t="shared" ca="1" si="174"/>
        <v>2336394.375</v>
      </c>
      <c r="CS58" s="36">
        <f t="shared" ca="1" si="174"/>
        <v>2336394.375</v>
      </c>
      <c r="CT58" s="36">
        <f t="shared" ca="1" si="174"/>
        <v>2336394.375</v>
      </c>
      <c r="CU58" s="36">
        <f t="shared" ca="1" si="174"/>
        <v>0</v>
      </c>
      <c r="CV58" s="36">
        <f t="shared" ca="1" si="174"/>
        <v>0</v>
      </c>
      <c r="CW58" s="21"/>
    </row>
    <row r="59" spans="4:101" x14ac:dyDescent="0.25">
      <c r="D59" s="35" t="str">
        <f>[1]Key!$W16</f>
        <v>MURAKAMI / TORITON</v>
      </c>
      <c r="F59" s="23">
        <f>[1]Key!$AD16</f>
        <v>-60</v>
      </c>
      <c r="G59" s="21"/>
      <c r="H59" s="21"/>
      <c r="I59" s="21"/>
      <c r="J59" s="21"/>
      <c r="K59" s="21"/>
      <c r="L59" s="21"/>
      <c r="M59" s="21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36">
        <f t="shared" ca="1" si="167"/>
        <v>138720</v>
      </c>
      <c r="AA59" s="36">
        <f t="shared" ca="1" si="167"/>
        <v>14450</v>
      </c>
      <c r="AB59" s="36">
        <f t="shared" ca="1" si="167"/>
        <v>0</v>
      </c>
      <c r="AC59" s="36">
        <f t="shared" ca="1" si="167"/>
        <v>14450</v>
      </c>
      <c r="AD59" s="36">
        <f t="shared" ca="1" si="167"/>
        <v>346800</v>
      </c>
      <c r="AE59" s="36">
        <f t="shared" ca="1" si="167"/>
        <v>0</v>
      </c>
      <c r="AF59" s="36">
        <f t="shared" ca="1" si="167"/>
        <v>28900</v>
      </c>
      <c r="AG59" s="36">
        <f t="shared" ca="1" si="167"/>
        <v>0</v>
      </c>
      <c r="AH59" s="36">
        <f t="shared" ca="1" si="167"/>
        <v>78000</v>
      </c>
      <c r="AI59" s="36">
        <f t="shared" ca="1" si="167"/>
        <v>106900</v>
      </c>
      <c r="AJ59" s="36">
        <f t="shared" ca="1" si="168"/>
        <v>0</v>
      </c>
      <c r="AK59" s="36">
        <f t="shared" ca="1" si="168"/>
        <v>260000</v>
      </c>
      <c r="AL59" s="36">
        <f t="shared" ca="1" si="168"/>
        <v>57800</v>
      </c>
      <c r="AM59" s="36">
        <f t="shared" ca="1" si="168"/>
        <v>0</v>
      </c>
      <c r="AN59" s="36">
        <f t="shared" ca="1" si="168"/>
        <v>325000</v>
      </c>
      <c r="AO59" s="36">
        <f t="shared" ca="1" si="168"/>
        <v>154300</v>
      </c>
      <c r="AP59" s="36">
        <f t="shared" ca="1" si="168"/>
        <v>88840</v>
      </c>
      <c r="AQ59" s="36">
        <f t="shared" ca="1" si="168"/>
        <v>363680</v>
      </c>
      <c r="AR59" s="36">
        <f t="shared" ca="1" si="168"/>
        <v>0</v>
      </c>
      <c r="AS59" s="36">
        <f t="shared" ca="1" si="168"/>
        <v>43200</v>
      </c>
      <c r="AT59" s="36">
        <f t="shared" ca="1" si="169"/>
        <v>387520</v>
      </c>
      <c r="AU59" s="36">
        <f t="shared" ca="1" si="169"/>
        <v>277700</v>
      </c>
      <c r="AV59" s="36">
        <f t="shared" ca="1" si="169"/>
        <v>57800</v>
      </c>
      <c r="AW59" s="36">
        <f t="shared" ca="1" si="169"/>
        <v>530280</v>
      </c>
      <c r="AX59" s="36">
        <f t="shared" ca="1" si="169"/>
        <v>259200</v>
      </c>
      <c r="AY59" s="36">
        <f t="shared" ca="1" si="169"/>
        <v>18500</v>
      </c>
      <c r="AZ59" s="36">
        <f t="shared" ca="1" si="169"/>
        <v>422000</v>
      </c>
      <c r="BA59" s="36">
        <f t="shared" ca="1" si="169"/>
        <v>362880</v>
      </c>
      <c r="BB59" s="36">
        <f t="shared" ca="1" si="169"/>
        <v>57800</v>
      </c>
      <c r="BC59" s="36">
        <f t="shared" ca="1" si="169"/>
        <v>562680</v>
      </c>
      <c r="BD59" s="36">
        <f t="shared" ca="1" si="169"/>
        <v>259200</v>
      </c>
      <c r="BE59" s="36">
        <f t="shared" ca="1" si="169"/>
        <v>18500</v>
      </c>
      <c r="BF59" s="36">
        <f t="shared" ca="1" si="169"/>
        <v>363280</v>
      </c>
      <c r="BG59" s="36">
        <f t="shared" ca="1" si="169"/>
        <v>259200</v>
      </c>
      <c r="BH59" s="36">
        <f t="shared" ca="1" si="170"/>
        <v>137275</v>
      </c>
      <c r="BI59" s="36">
        <f t="shared" ca="1" si="170"/>
        <v>1259415</v>
      </c>
      <c r="BJ59" s="36">
        <f t="shared" ca="1" si="171"/>
        <v>615600</v>
      </c>
      <c r="BK59" s="36">
        <f t="shared" ca="1" si="171"/>
        <v>43937.5</v>
      </c>
      <c r="BL59" s="36">
        <f t="shared" ca="1" si="171"/>
        <v>1002250</v>
      </c>
      <c r="BM59" s="36">
        <f t="shared" ca="1" si="171"/>
        <v>861840</v>
      </c>
      <c r="BN59" s="36">
        <f t="shared" ca="1" si="171"/>
        <v>137275</v>
      </c>
      <c r="BO59" s="36">
        <f t="shared" ca="1" si="171"/>
        <v>1336365</v>
      </c>
      <c r="BP59" s="36">
        <f t="shared" ca="1" si="171"/>
        <v>615600</v>
      </c>
      <c r="BQ59" s="36">
        <f t="shared" ca="1" si="171"/>
        <v>43937.5</v>
      </c>
      <c r="BR59" s="36">
        <f t="shared" ca="1" si="171"/>
        <v>862790</v>
      </c>
      <c r="BS59" s="36">
        <f t="shared" ca="1" si="171"/>
        <v>615600</v>
      </c>
      <c r="BT59" s="36">
        <f t="shared" ca="1" si="172"/>
        <v>240231.25</v>
      </c>
      <c r="BU59" s="36">
        <f t="shared" ca="1" si="172"/>
        <v>2203976.25</v>
      </c>
      <c r="BV59" s="36">
        <f t="shared" ca="1" si="172"/>
        <v>1077300</v>
      </c>
      <c r="BW59" s="36">
        <f t="shared" ca="1" si="172"/>
        <v>76890.625</v>
      </c>
      <c r="BX59" s="36">
        <f t="shared" ca="1" si="172"/>
        <v>1753937.5</v>
      </c>
      <c r="BY59" s="36">
        <f t="shared" ca="1" si="172"/>
        <v>1508220</v>
      </c>
      <c r="BZ59" s="36">
        <f t="shared" ca="1" si="172"/>
        <v>240231.25</v>
      </c>
      <c r="CA59" s="36">
        <f t="shared" ca="1" si="172"/>
        <v>2338638.75</v>
      </c>
      <c r="CB59" s="36">
        <f t="shared" ca="1" si="172"/>
        <v>1077300</v>
      </c>
      <c r="CC59" s="36">
        <f t="shared" ca="1" si="172"/>
        <v>76890.625</v>
      </c>
      <c r="CD59" s="36">
        <f t="shared" ca="1" si="173"/>
        <v>1509882.5</v>
      </c>
      <c r="CE59" s="36">
        <f t="shared" ca="1" si="173"/>
        <v>1077300</v>
      </c>
      <c r="CF59" s="36">
        <f t="shared" ca="1" si="173"/>
        <v>360346.875</v>
      </c>
      <c r="CG59" s="36">
        <f t="shared" ca="1" si="173"/>
        <v>3305964.375</v>
      </c>
      <c r="CH59" s="36">
        <f t="shared" ca="1" si="173"/>
        <v>1615950</v>
      </c>
      <c r="CI59" s="36">
        <f t="shared" ca="1" si="173"/>
        <v>115335.9375</v>
      </c>
      <c r="CJ59" s="36">
        <f t="shared" ca="1" si="173"/>
        <v>2630906.25</v>
      </c>
      <c r="CK59" s="36">
        <f t="shared" ca="1" si="173"/>
        <v>2262330</v>
      </c>
      <c r="CL59" s="36">
        <f t="shared" ca="1" si="173"/>
        <v>360346.875</v>
      </c>
      <c r="CM59" s="36">
        <f t="shared" ca="1" si="173"/>
        <v>3507958.125</v>
      </c>
      <c r="CN59" s="36">
        <f t="shared" ca="1" si="174"/>
        <v>1615950</v>
      </c>
      <c r="CO59" s="36">
        <f t="shared" ca="1" si="174"/>
        <v>115335.9375</v>
      </c>
      <c r="CP59" s="36">
        <f t="shared" ca="1" si="174"/>
        <v>2264823.75</v>
      </c>
      <c r="CQ59" s="36">
        <f t="shared" ca="1" si="174"/>
        <v>1615950</v>
      </c>
      <c r="CR59" s="36">
        <f t="shared" ca="1" si="174"/>
        <v>1580060.78125</v>
      </c>
      <c r="CS59" s="36">
        <f t="shared" ca="1" si="174"/>
        <v>1580060.78125</v>
      </c>
      <c r="CT59" s="36">
        <f t="shared" ca="1" si="174"/>
        <v>1580060.78125</v>
      </c>
      <c r="CU59" s="36">
        <f t="shared" ca="1" si="174"/>
        <v>0</v>
      </c>
      <c r="CV59" s="36">
        <f t="shared" ca="1" si="174"/>
        <v>0</v>
      </c>
      <c r="CW59" s="21"/>
    </row>
    <row r="60" spans="4:101" x14ac:dyDescent="0.25">
      <c r="D60" s="35" t="str">
        <f>[1]Key!$W17</f>
        <v>NEW PARTNER 1</v>
      </c>
      <c r="F60" s="23">
        <f>[1]Key!$AD17</f>
        <v>-60</v>
      </c>
      <c r="G60" s="21"/>
      <c r="H60" s="21"/>
      <c r="I60" s="21"/>
      <c r="J60" s="21"/>
      <c r="K60" s="21"/>
      <c r="L60" s="21"/>
      <c r="M60" s="21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36">
        <f t="shared" ca="1" si="167"/>
        <v>0</v>
      </c>
      <c r="AA60" s="36">
        <f t="shared" ca="1" si="167"/>
        <v>0</v>
      </c>
      <c r="AB60" s="36">
        <f t="shared" ca="1" si="167"/>
        <v>0</v>
      </c>
      <c r="AC60" s="36">
        <f t="shared" ca="1" si="167"/>
        <v>0</v>
      </c>
      <c r="AD60" s="36">
        <f t="shared" ca="1" si="167"/>
        <v>0</v>
      </c>
      <c r="AE60" s="36">
        <f t="shared" ca="1" si="167"/>
        <v>0</v>
      </c>
      <c r="AF60" s="36">
        <f t="shared" ca="1" si="167"/>
        <v>0</v>
      </c>
      <c r="AG60" s="36">
        <f t="shared" ca="1" si="167"/>
        <v>0</v>
      </c>
      <c r="AH60" s="36">
        <f t="shared" ca="1" si="167"/>
        <v>0</v>
      </c>
      <c r="AI60" s="36">
        <f t="shared" ca="1" si="167"/>
        <v>0</v>
      </c>
      <c r="AJ60" s="36">
        <f t="shared" ca="1" si="168"/>
        <v>0</v>
      </c>
      <c r="AK60" s="36">
        <f t="shared" ca="1" si="168"/>
        <v>0</v>
      </c>
      <c r="AL60" s="36">
        <f t="shared" ca="1" si="168"/>
        <v>0</v>
      </c>
      <c r="AM60" s="36">
        <f t="shared" ca="1" si="168"/>
        <v>0</v>
      </c>
      <c r="AN60" s="36">
        <f t="shared" ca="1" si="168"/>
        <v>0</v>
      </c>
      <c r="AO60" s="36">
        <f t="shared" ca="1" si="168"/>
        <v>0</v>
      </c>
      <c r="AP60" s="36">
        <f t="shared" ca="1" si="168"/>
        <v>0</v>
      </c>
      <c r="AQ60" s="36">
        <f t="shared" ca="1" si="168"/>
        <v>0</v>
      </c>
      <c r="AR60" s="36">
        <f t="shared" ca="1" si="168"/>
        <v>0</v>
      </c>
      <c r="AS60" s="36">
        <f t="shared" ca="1" si="168"/>
        <v>0</v>
      </c>
      <c r="AT60" s="36">
        <f t="shared" ca="1" si="169"/>
        <v>0</v>
      </c>
      <c r="AU60" s="36">
        <f t="shared" ca="1" si="169"/>
        <v>0</v>
      </c>
      <c r="AV60" s="36">
        <f t="shared" ca="1" si="169"/>
        <v>103680</v>
      </c>
      <c r="AW60" s="36">
        <f t="shared" ca="1" si="169"/>
        <v>0</v>
      </c>
      <c r="AX60" s="36">
        <f t="shared" ca="1" si="169"/>
        <v>0</v>
      </c>
      <c r="AY60" s="36">
        <f t="shared" ca="1" si="169"/>
        <v>0</v>
      </c>
      <c r="AZ60" s="36">
        <f t="shared" ca="1" si="169"/>
        <v>0</v>
      </c>
      <c r="BA60" s="36">
        <f t="shared" ca="1" si="169"/>
        <v>0</v>
      </c>
      <c r="BB60" s="36">
        <f t="shared" ca="1" si="169"/>
        <v>216000</v>
      </c>
      <c r="BC60" s="36">
        <f t="shared" ca="1" si="169"/>
        <v>0</v>
      </c>
      <c r="BD60" s="36">
        <f t="shared" ca="1" si="169"/>
        <v>0</v>
      </c>
      <c r="BE60" s="36">
        <f t="shared" ca="1" si="169"/>
        <v>0</v>
      </c>
      <c r="BF60" s="36">
        <f t="shared" ca="1" si="169"/>
        <v>0</v>
      </c>
      <c r="BG60" s="36">
        <f t="shared" ca="1" si="169"/>
        <v>0</v>
      </c>
      <c r="BH60" s="36">
        <f t="shared" ca="1" si="170"/>
        <v>295488</v>
      </c>
      <c r="BI60" s="36">
        <f t="shared" ca="1" si="170"/>
        <v>0</v>
      </c>
      <c r="BJ60" s="36">
        <f t="shared" ca="1" si="171"/>
        <v>0</v>
      </c>
      <c r="BK60" s="36">
        <f t="shared" ca="1" si="171"/>
        <v>0</v>
      </c>
      <c r="BL60" s="36">
        <f t="shared" ca="1" si="171"/>
        <v>0</v>
      </c>
      <c r="BM60" s="36">
        <f t="shared" ca="1" si="171"/>
        <v>0</v>
      </c>
      <c r="BN60" s="36">
        <f t="shared" ca="1" si="171"/>
        <v>615600</v>
      </c>
      <c r="BO60" s="36">
        <f t="shared" ca="1" si="171"/>
        <v>0</v>
      </c>
      <c r="BP60" s="36">
        <f t="shared" ca="1" si="171"/>
        <v>0</v>
      </c>
      <c r="BQ60" s="36">
        <f t="shared" ca="1" si="171"/>
        <v>0</v>
      </c>
      <c r="BR60" s="36">
        <f t="shared" ca="1" si="171"/>
        <v>0</v>
      </c>
      <c r="BS60" s="36">
        <f t="shared" ca="1" si="171"/>
        <v>0</v>
      </c>
      <c r="BT60" s="36">
        <f t="shared" ca="1" si="172"/>
        <v>738720</v>
      </c>
      <c r="BU60" s="36">
        <f t="shared" ca="1" si="172"/>
        <v>0</v>
      </c>
      <c r="BV60" s="36">
        <f t="shared" ca="1" si="172"/>
        <v>0</v>
      </c>
      <c r="BW60" s="36">
        <f t="shared" ca="1" si="172"/>
        <v>0</v>
      </c>
      <c r="BX60" s="36">
        <f t="shared" ca="1" si="172"/>
        <v>0</v>
      </c>
      <c r="BY60" s="36">
        <f t="shared" ca="1" si="172"/>
        <v>0</v>
      </c>
      <c r="BZ60" s="36">
        <f t="shared" ca="1" si="172"/>
        <v>1539000</v>
      </c>
      <c r="CA60" s="36">
        <f t="shared" ca="1" si="172"/>
        <v>0</v>
      </c>
      <c r="CB60" s="36">
        <f t="shared" ca="1" si="172"/>
        <v>0</v>
      </c>
      <c r="CC60" s="36">
        <f t="shared" ca="1" si="172"/>
        <v>0</v>
      </c>
      <c r="CD60" s="36">
        <f t="shared" ca="1" si="173"/>
        <v>0</v>
      </c>
      <c r="CE60" s="36">
        <f t="shared" ca="1" si="173"/>
        <v>0</v>
      </c>
      <c r="CF60" s="36">
        <f t="shared" ca="1" si="173"/>
        <v>1292760</v>
      </c>
      <c r="CG60" s="36">
        <f t="shared" ca="1" si="173"/>
        <v>0</v>
      </c>
      <c r="CH60" s="36">
        <f t="shared" ca="1" si="173"/>
        <v>0</v>
      </c>
      <c r="CI60" s="36">
        <f t="shared" ca="1" si="173"/>
        <v>0</v>
      </c>
      <c r="CJ60" s="36">
        <f t="shared" ca="1" si="173"/>
        <v>0</v>
      </c>
      <c r="CK60" s="36">
        <f t="shared" ca="1" si="173"/>
        <v>0</v>
      </c>
      <c r="CL60" s="36">
        <f t="shared" ca="1" si="173"/>
        <v>2693250</v>
      </c>
      <c r="CM60" s="36">
        <f t="shared" ca="1" si="173"/>
        <v>0</v>
      </c>
      <c r="CN60" s="36">
        <f t="shared" ca="1" si="174"/>
        <v>0</v>
      </c>
      <c r="CO60" s="36">
        <f t="shared" ca="1" si="174"/>
        <v>0</v>
      </c>
      <c r="CP60" s="36">
        <f t="shared" ca="1" si="174"/>
        <v>0</v>
      </c>
      <c r="CQ60" s="36">
        <f t="shared" ca="1" si="174"/>
        <v>0</v>
      </c>
      <c r="CR60" s="36">
        <f t="shared" ca="1" si="174"/>
        <v>448875</v>
      </c>
      <c r="CS60" s="36">
        <f t="shared" ca="1" si="174"/>
        <v>448875</v>
      </c>
      <c r="CT60" s="36">
        <f t="shared" ca="1" si="174"/>
        <v>448875</v>
      </c>
      <c r="CU60" s="36">
        <f t="shared" ca="1" si="174"/>
        <v>0</v>
      </c>
      <c r="CV60" s="36">
        <f t="shared" ca="1" si="174"/>
        <v>0</v>
      </c>
      <c r="CW60" s="21"/>
    </row>
    <row r="61" spans="4:101" x14ac:dyDescent="0.25">
      <c r="D61" s="35" t="str">
        <f>[1]Key!$W18</f>
        <v>NEW PARTNER 2</v>
      </c>
      <c r="F61" s="23">
        <f>[1]Key!$AD18</f>
        <v>-60</v>
      </c>
      <c r="G61" s="21"/>
      <c r="H61" s="21"/>
      <c r="I61" s="21"/>
      <c r="J61" s="21"/>
      <c r="K61" s="21"/>
      <c r="L61" s="21"/>
      <c r="M61" s="21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36">
        <f t="shared" ca="1" si="167"/>
        <v>0</v>
      </c>
      <c r="AA61" s="36">
        <f t="shared" ca="1" si="167"/>
        <v>0</v>
      </c>
      <c r="AB61" s="36">
        <f t="shared" ca="1" si="167"/>
        <v>0</v>
      </c>
      <c r="AC61" s="36">
        <f t="shared" ca="1" si="167"/>
        <v>0</v>
      </c>
      <c r="AD61" s="36">
        <f t="shared" ca="1" si="167"/>
        <v>0</v>
      </c>
      <c r="AE61" s="36">
        <f t="shared" ca="1" si="167"/>
        <v>0</v>
      </c>
      <c r="AF61" s="36">
        <f t="shared" ca="1" si="167"/>
        <v>0</v>
      </c>
      <c r="AG61" s="36">
        <f t="shared" ca="1" si="167"/>
        <v>0</v>
      </c>
      <c r="AH61" s="36">
        <f t="shared" ca="1" si="167"/>
        <v>0</v>
      </c>
      <c r="AI61" s="36">
        <f t="shared" ca="1" si="167"/>
        <v>0</v>
      </c>
      <c r="AJ61" s="36">
        <f t="shared" ca="1" si="168"/>
        <v>0</v>
      </c>
      <c r="AK61" s="36">
        <f t="shared" ca="1" si="168"/>
        <v>0</v>
      </c>
      <c r="AL61" s="36">
        <f t="shared" ca="1" si="168"/>
        <v>0</v>
      </c>
      <c r="AM61" s="36">
        <f t="shared" ca="1" si="168"/>
        <v>0</v>
      </c>
      <c r="AN61" s="36">
        <f t="shared" ca="1" si="168"/>
        <v>0</v>
      </c>
      <c r="AO61" s="36">
        <f t="shared" ca="1" si="168"/>
        <v>0</v>
      </c>
      <c r="AP61" s="36">
        <f t="shared" ca="1" si="168"/>
        <v>0</v>
      </c>
      <c r="AQ61" s="36">
        <f t="shared" ca="1" si="168"/>
        <v>0</v>
      </c>
      <c r="AR61" s="36">
        <f t="shared" ca="1" si="168"/>
        <v>0</v>
      </c>
      <c r="AS61" s="36">
        <f t="shared" ca="1" si="168"/>
        <v>0</v>
      </c>
      <c r="AT61" s="36">
        <f t="shared" ca="1" si="169"/>
        <v>0</v>
      </c>
      <c r="AU61" s="36">
        <f t="shared" ca="1" si="169"/>
        <v>0</v>
      </c>
      <c r="AV61" s="36">
        <f t="shared" ca="1" si="169"/>
        <v>216000</v>
      </c>
      <c r="AW61" s="36">
        <f t="shared" ca="1" si="169"/>
        <v>0</v>
      </c>
      <c r="AX61" s="36">
        <f t="shared" ca="1" si="169"/>
        <v>0</v>
      </c>
      <c r="AY61" s="36">
        <f t="shared" ca="1" si="169"/>
        <v>0</v>
      </c>
      <c r="AZ61" s="36">
        <f t="shared" ca="1" si="169"/>
        <v>0</v>
      </c>
      <c r="BA61" s="36">
        <f t="shared" ca="1" si="169"/>
        <v>0</v>
      </c>
      <c r="BB61" s="36">
        <f t="shared" ca="1" si="169"/>
        <v>518400.00000000006</v>
      </c>
      <c r="BC61" s="36">
        <f t="shared" ca="1" si="169"/>
        <v>0</v>
      </c>
      <c r="BD61" s="36">
        <f t="shared" ca="1" si="169"/>
        <v>0</v>
      </c>
      <c r="BE61" s="36">
        <f t="shared" ca="1" si="169"/>
        <v>0</v>
      </c>
      <c r="BF61" s="36">
        <f t="shared" ca="1" si="169"/>
        <v>103680</v>
      </c>
      <c r="BG61" s="36">
        <f t="shared" ca="1" si="169"/>
        <v>0</v>
      </c>
      <c r="BH61" s="36">
        <f t="shared" ca="1" si="170"/>
        <v>615600</v>
      </c>
      <c r="BI61" s="36">
        <f t="shared" ca="1" si="170"/>
        <v>0</v>
      </c>
      <c r="BJ61" s="36">
        <f t="shared" ca="1" si="171"/>
        <v>0</v>
      </c>
      <c r="BK61" s="36">
        <f t="shared" ca="1" si="171"/>
        <v>0</v>
      </c>
      <c r="BL61" s="36">
        <f t="shared" ca="1" si="171"/>
        <v>0</v>
      </c>
      <c r="BM61" s="36">
        <f t="shared" ca="1" si="171"/>
        <v>0</v>
      </c>
      <c r="BN61" s="36">
        <f t="shared" ca="1" si="171"/>
        <v>1477440</v>
      </c>
      <c r="BO61" s="36">
        <f t="shared" ca="1" si="171"/>
        <v>0</v>
      </c>
      <c r="BP61" s="36">
        <f t="shared" ca="1" si="171"/>
        <v>0</v>
      </c>
      <c r="BQ61" s="36">
        <f t="shared" ca="1" si="171"/>
        <v>0</v>
      </c>
      <c r="BR61" s="36">
        <f t="shared" ca="1" si="171"/>
        <v>295488</v>
      </c>
      <c r="BS61" s="36">
        <f t="shared" ca="1" si="171"/>
        <v>0</v>
      </c>
      <c r="BT61" s="36">
        <f t="shared" ca="1" si="172"/>
        <v>1539000</v>
      </c>
      <c r="BU61" s="36">
        <f t="shared" ca="1" si="172"/>
        <v>0</v>
      </c>
      <c r="BV61" s="36">
        <f t="shared" ca="1" si="172"/>
        <v>0</v>
      </c>
      <c r="BW61" s="36">
        <f t="shared" ca="1" si="172"/>
        <v>0</v>
      </c>
      <c r="BX61" s="36">
        <f t="shared" ca="1" si="172"/>
        <v>0</v>
      </c>
      <c r="BY61" s="36">
        <f t="shared" ca="1" si="172"/>
        <v>0</v>
      </c>
      <c r="BZ61" s="36">
        <f t="shared" ca="1" si="172"/>
        <v>3693600</v>
      </c>
      <c r="CA61" s="36">
        <f t="shared" ca="1" si="172"/>
        <v>0</v>
      </c>
      <c r="CB61" s="36">
        <f t="shared" ca="1" si="172"/>
        <v>0</v>
      </c>
      <c r="CC61" s="36">
        <f t="shared" ca="1" si="172"/>
        <v>0</v>
      </c>
      <c r="CD61" s="36">
        <f t="shared" ca="1" si="173"/>
        <v>738720</v>
      </c>
      <c r="CE61" s="36">
        <f t="shared" ca="1" si="173"/>
        <v>0</v>
      </c>
      <c r="CF61" s="36">
        <f t="shared" ca="1" si="173"/>
        <v>2693250</v>
      </c>
      <c r="CG61" s="36">
        <f t="shared" ca="1" si="173"/>
        <v>0</v>
      </c>
      <c r="CH61" s="36">
        <f t="shared" ca="1" si="173"/>
        <v>0</v>
      </c>
      <c r="CI61" s="36">
        <f t="shared" ca="1" si="173"/>
        <v>0</v>
      </c>
      <c r="CJ61" s="36">
        <f t="shared" ca="1" si="173"/>
        <v>0</v>
      </c>
      <c r="CK61" s="36">
        <f t="shared" ca="1" si="173"/>
        <v>0</v>
      </c>
      <c r="CL61" s="36">
        <f t="shared" ca="1" si="173"/>
        <v>6463800</v>
      </c>
      <c r="CM61" s="36">
        <f t="shared" ca="1" si="173"/>
        <v>0</v>
      </c>
      <c r="CN61" s="36">
        <f t="shared" ca="1" si="174"/>
        <v>0</v>
      </c>
      <c r="CO61" s="36">
        <f t="shared" ca="1" si="174"/>
        <v>0</v>
      </c>
      <c r="CP61" s="36">
        <f t="shared" ca="1" si="174"/>
        <v>1292760</v>
      </c>
      <c r="CQ61" s="36">
        <f t="shared" ca="1" si="174"/>
        <v>0</v>
      </c>
      <c r="CR61" s="36">
        <f t="shared" ca="1" si="174"/>
        <v>1292760</v>
      </c>
      <c r="CS61" s="36">
        <f t="shared" ca="1" si="174"/>
        <v>1292760</v>
      </c>
      <c r="CT61" s="36">
        <f t="shared" ca="1" si="174"/>
        <v>1292760</v>
      </c>
      <c r="CU61" s="36">
        <f t="shared" ca="1" si="174"/>
        <v>0</v>
      </c>
      <c r="CV61" s="36">
        <f t="shared" ca="1" si="174"/>
        <v>0</v>
      </c>
      <c r="CW61" s="21"/>
    </row>
    <row r="62" spans="4:101" x14ac:dyDescent="0.25">
      <c r="D62" s="35" t="str">
        <f>[1]Key!$W19</f>
        <v>PIGALLE</v>
      </c>
      <c r="F62" s="23">
        <f>[1]Key!$AD19</f>
        <v>-60</v>
      </c>
      <c r="G62" s="21"/>
      <c r="H62" s="21"/>
      <c r="I62" s="21"/>
      <c r="J62" s="21"/>
      <c r="K62" s="21"/>
      <c r="L62" s="21"/>
      <c r="M62" s="21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36">
        <f t="shared" ca="1" si="167"/>
        <v>0</v>
      </c>
      <c r="AA62" s="36">
        <f t="shared" ca="1" si="167"/>
        <v>0</v>
      </c>
      <c r="AB62" s="36">
        <f t="shared" ca="1" si="167"/>
        <v>0</v>
      </c>
      <c r="AC62" s="36">
        <f t="shared" ca="1" si="167"/>
        <v>0</v>
      </c>
      <c r="AD62" s="36">
        <f t="shared" ca="1" si="167"/>
        <v>0</v>
      </c>
      <c r="AE62" s="36">
        <f t="shared" ca="1" si="167"/>
        <v>0</v>
      </c>
      <c r="AF62" s="36">
        <f t="shared" ca="1" si="167"/>
        <v>0</v>
      </c>
      <c r="AG62" s="36">
        <f t="shared" ca="1" si="167"/>
        <v>0</v>
      </c>
      <c r="AH62" s="36">
        <f t="shared" ca="1" si="167"/>
        <v>0</v>
      </c>
      <c r="AI62" s="36">
        <f t="shared" ca="1" si="167"/>
        <v>0</v>
      </c>
      <c r="AJ62" s="36">
        <f t="shared" ca="1" si="168"/>
        <v>0</v>
      </c>
      <c r="AK62" s="36">
        <f t="shared" ca="1" si="168"/>
        <v>0</v>
      </c>
      <c r="AL62" s="36">
        <f t="shared" ca="1" si="168"/>
        <v>0</v>
      </c>
      <c r="AM62" s="36">
        <f t="shared" ca="1" si="168"/>
        <v>0</v>
      </c>
      <c r="AN62" s="36">
        <f t="shared" ca="1" si="168"/>
        <v>32400</v>
      </c>
      <c r="AO62" s="36">
        <f t="shared" ca="1" si="168"/>
        <v>0</v>
      </c>
      <c r="AP62" s="36">
        <f t="shared" ca="1" si="168"/>
        <v>64800</v>
      </c>
      <c r="AQ62" s="36">
        <f t="shared" ca="1" si="168"/>
        <v>0</v>
      </c>
      <c r="AR62" s="36">
        <f t="shared" ca="1" si="168"/>
        <v>0</v>
      </c>
      <c r="AS62" s="36">
        <f t="shared" ca="1" si="168"/>
        <v>0</v>
      </c>
      <c r="AT62" s="36">
        <f t="shared" ca="1" si="169"/>
        <v>129600</v>
      </c>
      <c r="AU62" s="36">
        <f t="shared" ca="1" si="169"/>
        <v>0</v>
      </c>
      <c r="AV62" s="36">
        <f t="shared" ca="1" si="169"/>
        <v>0</v>
      </c>
      <c r="AW62" s="36">
        <f t="shared" ca="1" si="169"/>
        <v>129600</v>
      </c>
      <c r="AX62" s="36">
        <f t="shared" ca="1" si="169"/>
        <v>0</v>
      </c>
      <c r="AY62" s="36">
        <f t="shared" ca="1" si="169"/>
        <v>0</v>
      </c>
      <c r="AZ62" s="36">
        <f t="shared" ca="1" si="169"/>
        <v>129600</v>
      </c>
      <c r="BA62" s="36">
        <f t="shared" ca="1" si="169"/>
        <v>0</v>
      </c>
      <c r="BB62" s="36">
        <f t="shared" ca="1" si="169"/>
        <v>0</v>
      </c>
      <c r="BC62" s="36">
        <f t="shared" ca="1" si="169"/>
        <v>129600</v>
      </c>
      <c r="BD62" s="36">
        <f t="shared" ca="1" si="169"/>
        <v>0</v>
      </c>
      <c r="BE62" s="36">
        <f t="shared" ca="1" si="169"/>
        <v>0</v>
      </c>
      <c r="BF62" s="36">
        <f t="shared" ca="1" si="169"/>
        <v>129600</v>
      </c>
      <c r="BG62" s="36">
        <f t="shared" ca="1" si="169"/>
        <v>0</v>
      </c>
      <c r="BH62" s="36">
        <f t="shared" ca="1" si="170"/>
        <v>0</v>
      </c>
      <c r="BI62" s="36">
        <f t="shared" ca="1" si="170"/>
        <v>246240</v>
      </c>
      <c r="BJ62" s="36">
        <f t="shared" ca="1" si="171"/>
        <v>0</v>
      </c>
      <c r="BK62" s="36">
        <f t="shared" ca="1" si="171"/>
        <v>0</v>
      </c>
      <c r="BL62" s="36">
        <f t="shared" ca="1" si="171"/>
        <v>246240</v>
      </c>
      <c r="BM62" s="36">
        <f t="shared" ca="1" si="171"/>
        <v>0</v>
      </c>
      <c r="BN62" s="36">
        <f t="shared" ca="1" si="171"/>
        <v>0</v>
      </c>
      <c r="BO62" s="36">
        <f t="shared" ca="1" si="171"/>
        <v>246240</v>
      </c>
      <c r="BP62" s="36">
        <f t="shared" ca="1" si="171"/>
        <v>0</v>
      </c>
      <c r="BQ62" s="36">
        <f t="shared" ca="1" si="171"/>
        <v>0</v>
      </c>
      <c r="BR62" s="36">
        <f t="shared" ca="1" si="171"/>
        <v>246240</v>
      </c>
      <c r="BS62" s="36">
        <f t="shared" ca="1" si="171"/>
        <v>0</v>
      </c>
      <c r="BT62" s="36">
        <f t="shared" ca="1" si="172"/>
        <v>0</v>
      </c>
      <c r="BU62" s="36">
        <f t="shared" ca="1" si="172"/>
        <v>369360</v>
      </c>
      <c r="BV62" s="36">
        <f t="shared" ca="1" si="172"/>
        <v>0</v>
      </c>
      <c r="BW62" s="36">
        <f t="shared" ca="1" si="172"/>
        <v>0</v>
      </c>
      <c r="BX62" s="36">
        <f t="shared" ca="1" si="172"/>
        <v>369360</v>
      </c>
      <c r="BY62" s="36">
        <f t="shared" ca="1" si="172"/>
        <v>0</v>
      </c>
      <c r="BZ62" s="36">
        <f t="shared" ca="1" si="172"/>
        <v>0</v>
      </c>
      <c r="CA62" s="36">
        <f t="shared" ca="1" si="172"/>
        <v>369360</v>
      </c>
      <c r="CB62" s="36">
        <f t="shared" ca="1" si="172"/>
        <v>0</v>
      </c>
      <c r="CC62" s="36">
        <f t="shared" ca="1" si="172"/>
        <v>0</v>
      </c>
      <c r="CD62" s="36">
        <f t="shared" ca="1" si="173"/>
        <v>369360</v>
      </c>
      <c r="CE62" s="36">
        <f t="shared" ca="1" si="173"/>
        <v>0</v>
      </c>
      <c r="CF62" s="36">
        <f t="shared" ca="1" si="173"/>
        <v>0</v>
      </c>
      <c r="CG62" s="36">
        <f t="shared" ca="1" si="173"/>
        <v>480168</v>
      </c>
      <c r="CH62" s="36">
        <f t="shared" ca="1" si="173"/>
        <v>0</v>
      </c>
      <c r="CI62" s="36">
        <f t="shared" ca="1" si="173"/>
        <v>0</v>
      </c>
      <c r="CJ62" s="36">
        <f t="shared" ca="1" si="173"/>
        <v>480168</v>
      </c>
      <c r="CK62" s="36">
        <f t="shared" ca="1" si="173"/>
        <v>0</v>
      </c>
      <c r="CL62" s="36">
        <f t="shared" ca="1" si="173"/>
        <v>0</v>
      </c>
      <c r="CM62" s="36">
        <f t="shared" ca="1" si="173"/>
        <v>480168</v>
      </c>
      <c r="CN62" s="36">
        <f t="shared" ca="1" si="174"/>
        <v>0</v>
      </c>
      <c r="CO62" s="36">
        <f t="shared" ca="1" si="174"/>
        <v>0</v>
      </c>
      <c r="CP62" s="36">
        <f t="shared" ca="1" si="174"/>
        <v>480168</v>
      </c>
      <c r="CQ62" s="36">
        <f t="shared" ca="1" si="174"/>
        <v>0</v>
      </c>
      <c r="CR62" s="36">
        <f t="shared" ca="1" si="174"/>
        <v>160056</v>
      </c>
      <c r="CS62" s="36">
        <f t="shared" ca="1" si="174"/>
        <v>160056</v>
      </c>
      <c r="CT62" s="36">
        <f t="shared" ca="1" si="174"/>
        <v>160056</v>
      </c>
      <c r="CU62" s="36">
        <f t="shared" ca="1" si="174"/>
        <v>0</v>
      </c>
      <c r="CV62" s="36">
        <f t="shared" ca="1" si="174"/>
        <v>0</v>
      </c>
      <c r="CW62" s="21"/>
    </row>
    <row r="63" spans="4:101" x14ac:dyDescent="0.25">
      <c r="D63" s="35" t="str">
        <f>[1]Key!$W20</f>
        <v>SPORT PLACEHOLDER</v>
      </c>
      <c r="F63" s="23">
        <f>[1]Key!$AD20</f>
        <v>-60</v>
      </c>
      <c r="G63" s="21"/>
      <c r="H63" s="21"/>
      <c r="I63" s="21"/>
      <c r="J63" s="21"/>
      <c r="K63" s="21"/>
      <c r="L63" s="21"/>
      <c r="M63" s="21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36">
        <f t="shared" ca="1" si="167"/>
        <v>0</v>
      </c>
      <c r="AA63" s="36">
        <f t="shared" ca="1" si="167"/>
        <v>0</v>
      </c>
      <c r="AB63" s="36">
        <f t="shared" ca="1" si="167"/>
        <v>0</v>
      </c>
      <c r="AC63" s="36">
        <f t="shared" ca="1" si="167"/>
        <v>0</v>
      </c>
      <c r="AD63" s="36">
        <f t="shared" ca="1" si="167"/>
        <v>0</v>
      </c>
      <c r="AE63" s="36">
        <f t="shared" ca="1" si="167"/>
        <v>0</v>
      </c>
      <c r="AF63" s="36">
        <f t="shared" ca="1" si="167"/>
        <v>0</v>
      </c>
      <c r="AG63" s="36">
        <f t="shared" ca="1" si="167"/>
        <v>0</v>
      </c>
      <c r="AH63" s="36">
        <f t="shared" ca="1" si="167"/>
        <v>0</v>
      </c>
      <c r="AI63" s="36">
        <f t="shared" ca="1" si="167"/>
        <v>0</v>
      </c>
      <c r="AJ63" s="36">
        <f t="shared" ca="1" si="168"/>
        <v>0</v>
      </c>
      <c r="AK63" s="36">
        <f t="shared" ca="1" si="168"/>
        <v>0</v>
      </c>
      <c r="AL63" s="36">
        <f t="shared" ca="1" si="168"/>
        <v>0</v>
      </c>
      <c r="AM63" s="36">
        <f t="shared" ca="1" si="168"/>
        <v>0</v>
      </c>
      <c r="AN63" s="36">
        <f t="shared" ca="1" si="168"/>
        <v>0</v>
      </c>
      <c r="AO63" s="36">
        <f t="shared" ca="1" si="168"/>
        <v>0</v>
      </c>
      <c r="AP63" s="36">
        <f t="shared" ca="1" si="168"/>
        <v>0</v>
      </c>
      <c r="AQ63" s="36">
        <f t="shared" ca="1" si="168"/>
        <v>0</v>
      </c>
      <c r="AR63" s="36">
        <f t="shared" ca="1" si="168"/>
        <v>0</v>
      </c>
      <c r="AS63" s="36">
        <f t="shared" ca="1" si="168"/>
        <v>0</v>
      </c>
      <c r="AT63" s="36">
        <f t="shared" ca="1" si="169"/>
        <v>0</v>
      </c>
      <c r="AU63" s="36">
        <f t="shared" ca="1" si="169"/>
        <v>0</v>
      </c>
      <c r="AV63" s="36">
        <f t="shared" ca="1" si="169"/>
        <v>648000</v>
      </c>
      <c r="AW63" s="36">
        <f t="shared" ca="1" si="169"/>
        <v>0</v>
      </c>
      <c r="AX63" s="36">
        <f t="shared" ca="1" si="169"/>
        <v>0</v>
      </c>
      <c r="AY63" s="36">
        <f t="shared" ca="1" si="169"/>
        <v>0</v>
      </c>
      <c r="AZ63" s="36">
        <f t="shared" ca="1" si="169"/>
        <v>0</v>
      </c>
      <c r="BA63" s="36">
        <f t="shared" ca="1" si="169"/>
        <v>0</v>
      </c>
      <c r="BB63" s="36">
        <f t="shared" ca="1" si="169"/>
        <v>1296000</v>
      </c>
      <c r="BC63" s="36">
        <f t="shared" ca="1" si="169"/>
        <v>0</v>
      </c>
      <c r="BD63" s="36">
        <f t="shared" ca="1" si="169"/>
        <v>0</v>
      </c>
      <c r="BE63" s="36">
        <f t="shared" ca="1" si="169"/>
        <v>0</v>
      </c>
      <c r="BF63" s="36">
        <f t="shared" ca="1" si="169"/>
        <v>0</v>
      </c>
      <c r="BG63" s="36">
        <f t="shared" ca="1" si="169"/>
        <v>0</v>
      </c>
      <c r="BH63" s="36">
        <f t="shared" ca="1" si="170"/>
        <v>1846800</v>
      </c>
      <c r="BI63" s="36">
        <f t="shared" ca="1" si="170"/>
        <v>0</v>
      </c>
      <c r="BJ63" s="36">
        <f t="shared" ca="1" si="171"/>
        <v>0</v>
      </c>
      <c r="BK63" s="36">
        <f t="shared" ca="1" si="171"/>
        <v>0</v>
      </c>
      <c r="BL63" s="36">
        <f t="shared" ca="1" si="171"/>
        <v>0</v>
      </c>
      <c r="BM63" s="36">
        <f t="shared" ca="1" si="171"/>
        <v>0</v>
      </c>
      <c r="BN63" s="36">
        <f t="shared" ca="1" si="171"/>
        <v>3693600</v>
      </c>
      <c r="BO63" s="36">
        <f t="shared" ca="1" si="171"/>
        <v>0</v>
      </c>
      <c r="BP63" s="36">
        <f t="shared" ca="1" si="171"/>
        <v>0</v>
      </c>
      <c r="BQ63" s="36">
        <f t="shared" ca="1" si="171"/>
        <v>0</v>
      </c>
      <c r="BR63" s="36">
        <f t="shared" ca="1" si="171"/>
        <v>0</v>
      </c>
      <c r="BS63" s="36">
        <f t="shared" ca="1" si="171"/>
        <v>0</v>
      </c>
      <c r="BT63" s="36">
        <f t="shared" ca="1" si="172"/>
        <v>5540400</v>
      </c>
      <c r="BU63" s="36">
        <f t="shared" ca="1" si="172"/>
        <v>0</v>
      </c>
      <c r="BV63" s="36">
        <f t="shared" ca="1" si="172"/>
        <v>0</v>
      </c>
      <c r="BW63" s="36">
        <f t="shared" ca="1" si="172"/>
        <v>0</v>
      </c>
      <c r="BX63" s="36">
        <f t="shared" ca="1" si="172"/>
        <v>0</v>
      </c>
      <c r="BY63" s="36">
        <f t="shared" ca="1" si="172"/>
        <v>0</v>
      </c>
      <c r="BZ63" s="36">
        <f t="shared" ca="1" si="172"/>
        <v>11080800</v>
      </c>
      <c r="CA63" s="36">
        <f t="shared" ca="1" si="172"/>
        <v>0</v>
      </c>
      <c r="CB63" s="36">
        <f t="shared" ca="1" si="172"/>
        <v>0</v>
      </c>
      <c r="CC63" s="36">
        <f t="shared" ca="1" si="172"/>
        <v>0</v>
      </c>
      <c r="CD63" s="36">
        <f t="shared" ca="1" si="173"/>
        <v>0</v>
      </c>
      <c r="CE63" s="36">
        <f t="shared" ca="1" si="173"/>
        <v>0</v>
      </c>
      <c r="CF63" s="36">
        <f t="shared" ca="1" si="173"/>
        <v>13851000</v>
      </c>
      <c r="CG63" s="36">
        <f t="shared" ca="1" si="173"/>
        <v>0</v>
      </c>
      <c r="CH63" s="36">
        <f t="shared" ca="1" si="173"/>
        <v>0</v>
      </c>
      <c r="CI63" s="36">
        <f t="shared" ca="1" si="173"/>
        <v>0</v>
      </c>
      <c r="CJ63" s="36">
        <f t="shared" ca="1" si="173"/>
        <v>0</v>
      </c>
      <c r="CK63" s="36">
        <f t="shared" ca="1" si="173"/>
        <v>0</v>
      </c>
      <c r="CL63" s="36">
        <f t="shared" ca="1" si="173"/>
        <v>27702000</v>
      </c>
      <c r="CM63" s="36">
        <f t="shared" ca="1" si="173"/>
        <v>0</v>
      </c>
      <c r="CN63" s="36">
        <f t="shared" ca="1" si="174"/>
        <v>0</v>
      </c>
      <c r="CO63" s="36">
        <f t="shared" ca="1" si="174"/>
        <v>0</v>
      </c>
      <c r="CP63" s="36">
        <f t="shared" ca="1" si="174"/>
        <v>0</v>
      </c>
      <c r="CQ63" s="36">
        <f t="shared" ca="1" si="174"/>
        <v>0</v>
      </c>
      <c r="CR63" s="36">
        <f t="shared" ca="1" si="174"/>
        <v>4617000</v>
      </c>
      <c r="CS63" s="36">
        <f t="shared" ca="1" si="174"/>
        <v>4617000</v>
      </c>
      <c r="CT63" s="36">
        <f t="shared" ca="1" si="174"/>
        <v>4617000</v>
      </c>
      <c r="CU63" s="36">
        <f t="shared" ca="1" si="174"/>
        <v>0</v>
      </c>
      <c r="CV63" s="36">
        <f t="shared" ca="1" si="174"/>
        <v>0</v>
      </c>
      <c r="CW63" s="21"/>
    </row>
    <row r="64" spans="4:101" x14ac:dyDescent="0.25">
      <c r="D64" s="35" t="str">
        <f>[1]Key!$W21</f>
        <v>SPUNGE</v>
      </c>
      <c r="F64" s="23">
        <f>[1]Key!$AD21</f>
        <v>-60</v>
      </c>
      <c r="G64" s="21"/>
      <c r="H64" s="21"/>
      <c r="I64" s="21"/>
      <c r="J64" s="21"/>
      <c r="K64" s="21"/>
      <c r="L64" s="21"/>
      <c r="M64" s="21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36">
        <f t="shared" ca="1" si="167"/>
        <v>0</v>
      </c>
      <c r="AA64" s="36">
        <f t="shared" ca="1" si="167"/>
        <v>0</v>
      </c>
      <c r="AB64" s="36">
        <f t="shared" ca="1" si="167"/>
        <v>0</v>
      </c>
      <c r="AC64" s="36">
        <f t="shared" ca="1" si="167"/>
        <v>0</v>
      </c>
      <c r="AD64" s="36">
        <f t="shared" ca="1" si="167"/>
        <v>0</v>
      </c>
      <c r="AE64" s="36">
        <f t="shared" ca="1" si="167"/>
        <v>0</v>
      </c>
      <c r="AF64" s="36">
        <f t="shared" ca="1" si="167"/>
        <v>0</v>
      </c>
      <c r="AG64" s="36">
        <f t="shared" ca="1" si="167"/>
        <v>0</v>
      </c>
      <c r="AH64" s="36">
        <f t="shared" ca="1" si="167"/>
        <v>0</v>
      </c>
      <c r="AI64" s="36">
        <f t="shared" ca="1" si="167"/>
        <v>0</v>
      </c>
      <c r="AJ64" s="36">
        <f t="shared" ca="1" si="168"/>
        <v>0</v>
      </c>
      <c r="AK64" s="36">
        <f t="shared" ca="1" si="168"/>
        <v>0</v>
      </c>
      <c r="AL64" s="36">
        <f t="shared" ca="1" si="168"/>
        <v>0</v>
      </c>
      <c r="AM64" s="36">
        <f t="shared" ca="1" si="168"/>
        <v>0</v>
      </c>
      <c r="AN64" s="36">
        <f t="shared" ca="1" si="168"/>
        <v>0</v>
      </c>
      <c r="AO64" s="36">
        <f t="shared" ca="1" si="168"/>
        <v>0</v>
      </c>
      <c r="AP64" s="36">
        <f t="shared" ca="1" si="168"/>
        <v>0</v>
      </c>
      <c r="AQ64" s="36">
        <f t="shared" ca="1" si="168"/>
        <v>0</v>
      </c>
      <c r="AR64" s="36">
        <f t="shared" ca="1" si="168"/>
        <v>51840</v>
      </c>
      <c r="AS64" s="36">
        <f t="shared" ca="1" si="168"/>
        <v>0</v>
      </c>
      <c r="AT64" s="36">
        <f t="shared" ca="1" si="169"/>
        <v>51840</v>
      </c>
      <c r="AU64" s="36">
        <f t="shared" ca="1" si="169"/>
        <v>129600</v>
      </c>
      <c r="AV64" s="36">
        <f t="shared" ca="1" si="169"/>
        <v>0</v>
      </c>
      <c r="AW64" s="36">
        <f t="shared" ca="1" si="169"/>
        <v>397440</v>
      </c>
      <c r="AX64" s="36">
        <f t="shared" ca="1" si="169"/>
        <v>0</v>
      </c>
      <c r="AY64" s="36">
        <f t="shared" ca="1" si="169"/>
        <v>0</v>
      </c>
      <c r="AZ64" s="36">
        <f t="shared" ca="1" si="169"/>
        <v>449280</v>
      </c>
      <c r="BA64" s="36">
        <f t="shared" ca="1" si="169"/>
        <v>0</v>
      </c>
      <c r="BB64" s="36">
        <f t="shared" ca="1" si="169"/>
        <v>518400</v>
      </c>
      <c r="BC64" s="36">
        <f t="shared" ca="1" si="169"/>
        <v>0</v>
      </c>
      <c r="BD64" s="36">
        <f t="shared" ca="1" si="169"/>
        <v>51840</v>
      </c>
      <c r="BE64" s="36">
        <f t="shared" ca="1" si="169"/>
        <v>0</v>
      </c>
      <c r="BF64" s="36">
        <f t="shared" ca="1" si="169"/>
        <v>691200</v>
      </c>
      <c r="BG64" s="36">
        <f t="shared" ca="1" si="169"/>
        <v>129600</v>
      </c>
      <c r="BH64" s="36">
        <f t="shared" ca="1" si="170"/>
        <v>0</v>
      </c>
      <c r="BI64" s="36">
        <f t="shared" ca="1" si="170"/>
        <v>1132704</v>
      </c>
      <c r="BJ64" s="36">
        <f t="shared" ca="1" si="171"/>
        <v>0</v>
      </c>
      <c r="BK64" s="36">
        <f t="shared" ca="1" si="171"/>
        <v>0</v>
      </c>
      <c r="BL64" s="36">
        <f t="shared" ca="1" si="171"/>
        <v>1280448</v>
      </c>
      <c r="BM64" s="36">
        <f t="shared" ca="1" si="171"/>
        <v>0</v>
      </c>
      <c r="BN64" s="36">
        <f t="shared" ca="1" si="171"/>
        <v>1477440</v>
      </c>
      <c r="BO64" s="36">
        <f t="shared" ca="1" si="171"/>
        <v>0</v>
      </c>
      <c r="BP64" s="36">
        <f t="shared" ca="1" si="171"/>
        <v>147744</v>
      </c>
      <c r="BQ64" s="36">
        <f t="shared" ca="1" si="171"/>
        <v>0</v>
      </c>
      <c r="BR64" s="36">
        <f t="shared" ca="1" si="171"/>
        <v>1969920</v>
      </c>
      <c r="BS64" s="36">
        <f t="shared" ca="1" si="171"/>
        <v>369360</v>
      </c>
      <c r="BT64" s="36">
        <f t="shared" ca="1" si="172"/>
        <v>0</v>
      </c>
      <c r="BU64" s="36">
        <f t="shared" ca="1" si="172"/>
        <v>2831760</v>
      </c>
      <c r="BV64" s="36">
        <f t="shared" ca="1" si="172"/>
        <v>0</v>
      </c>
      <c r="BW64" s="36">
        <f t="shared" ca="1" si="172"/>
        <v>0</v>
      </c>
      <c r="BX64" s="36">
        <f t="shared" ca="1" si="172"/>
        <v>3201120</v>
      </c>
      <c r="BY64" s="36">
        <f t="shared" ca="1" si="172"/>
        <v>0</v>
      </c>
      <c r="BZ64" s="36">
        <f t="shared" ca="1" si="172"/>
        <v>3693600</v>
      </c>
      <c r="CA64" s="36">
        <f t="shared" ca="1" si="172"/>
        <v>0</v>
      </c>
      <c r="CB64" s="36">
        <f t="shared" ca="1" si="172"/>
        <v>369360</v>
      </c>
      <c r="CC64" s="36">
        <f t="shared" ca="1" si="172"/>
        <v>0</v>
      </c>
      <c r="CD64" s="36">
        <f t="shared" ca="1" si="173"/>
        <v>4924800</v>
      </c>
      <c r="CE64" s="36">
        <f t="shared" ca="1" si="173"/>
        <v>923400</v>
      </c>
      <c r="CF64" s="36">
        <f t="shared" ca="1" si="173"/>
        <v>0</v>
      </c>
      <c r="CG64" s="36">
        <f t="shared" ca="1" si="173"/>
        <v>4955580</v>
      </c>
      <c r="CH64" s="36">
        <f t="shared" ca="1" si="173"/>
        <v>0</v>
      </c>
      <c r="CI64" s="36">
        <f t="shared" ca="1" si="173"/>
        <v>0</v>
      </c>
      <c r="CJ64" s="36">
        <f t="shared" ca="1" si="173"/>
        <v>5601960</v>
      </c>
      <c r="CK64" s="36">
        <f t="shared" ca="1" si="173"/>
        <v>0</v>
      </c>
      <c r="CL64" s="36">
        <f t="shared" ca="1" si="173"/>
        <v>6463800</v>
      </c>
      <c r="CM64" s="36">
        <f t="shared" ca="1" si="173"/>
        <v>0</v>
      </c>
      <c r="CN64" s="36">
        <f t="shared" ca="1" si="174"/>
        <v>646380</v>
      </c>
      <c r="CO64" s="36">
        <f t="shared" ca="1" si="174"/>
        <v>0</v>
      </c>
      <c r="CP64" s="36">
        <f t="shared" ca="1" si="174"/>
        <v>8618400</v>
      </c>
      <c r="CQ64" s="36">
        <f t="shared" ca="1" si="174"/>
        <v>1615950</v>
      </c>
      <c r="CR64" s="36">
        <f t="shared" ca="1" si="174"/>
        <v>2890755</v>
      </c>
      <c r="CS64" s="36">
        <f t="shared" ca="1" si="174"/>
        <v>2890755</v>
      </c>
      <c r="CT64" s="36">
        <f t="shared" ca="1" si="174"/>
        <v>2890755</v>
      </c>
      <c r="CU64" s="36">
        <f t="shared" ca="1" si="174"/>
        <v>0</v>
      </c>
      <c r="CV64" s="36">
        <f t="shared" ca="1" si="174"/>
        <v>0</v>
      </c>
      <c r="CW64" s="21"/>
    </row>
    <row r="65" spans="4:101" x14ac:dyDescent="0.25">
      <c r="D65" s="35" t="str">
        <f>[1]Key!$W22</f>
        <v>SUNFLOWER</v>
      </c>
      <c r="F65" s="23">
        <f>[1]Key!$AD22</f>
        <v>-60</v>
      </c>
      <c r="G65" s="21"/>
      <c r="H65" s="21"/>
      <c r="I65" s="21"/>
      <c r="J65" s="21"/>
      <c r="K65" s="21"/>
      <c r="L65" s="21"/>
      <c r="M65" s="21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36">
        <f t="shared" ca="1" si="167"/>
        <v>0</v>
      </c>
      <c r="AA65" s="36">
        <f t="shared" ca="1" si="167"/>
        <v>0</v>
      </c>
      <c r="AB65" s="36">
        <f t="shared" ca="1" si="167"/>
        <v>0</v>
      </c>
      <c r="AC65" s="36">
        <f t="shared" ca="1" si="167"/>
        <v>0</v>
      </c>
      <c r="AD65" s="36">
        <f t="shared" ca="1" si="167"/>
        <v>0</v>
      </c>
      <c r="AE65" s="36">
        <f t="shared" ca="1" si="167"/>
        <v>0</v>
      </c>
      <c r="AF65" s="36">
        <f t="shared" ca="1" si="167"/>
        <v>0</v>
      </c>
      <c r="AG65" s="36">
        <f t="shared" ca="1" si="167"/>
        <v>0</v>
      </c>
      <c r="AH65" s="36">
        <f t="shared" ca="1" si="167"/>
        <v>0</v>
      </c>
      <c r="AI65" s="36">
        <f t="shared" ca="1" si="167"/>
        <v>0</v>
      </c>
      <c r="AJ65" s="36">
        <f t="shared" ca="1" si="168"/>
        <v>0</v>
      </c>
      <c r="AK65" s="36">
        <f t="shared" ca="1" si="168"/>
        <v>283500.00000000006</v>
      </c>
      <c r="AL65" s="36">
        <f t="shared" ca="1" si="168"/>
        <v>0</v>
      </c>
      <c r="AM65" s="36">
        <f t="shared" ca="1" si="168"/>
        <v>0</v>
      </c>
      <c r="AN65" s="36">
        <f t="shared" ca="1" si="168"/>
        <v>0</v>
      </c>
      <c r="AO65" s="36">
        <f t="shared" ca="1" si="168"/>
        <v>0</v>
      </c>
      <c r="AP65" s="36">
        <f t="shared" ca="1" si="168"/>
        <v>0</v>
      </c>
      <c r="AQ65" s="36">
        <f t="shared" ca="1" si="168"/>
        <v>567000.00000000012</v>
      </c>
      <c r="AR65" s="36">
        <f t="shared" ca="1" si="168"/>
        <v>0</v>
      </c>
      <c r="AS65" s="36">
        <f t="shared" ca="1" si="168"/>
        <v>0</v>
      </c>
      <c r="AT65" s="36">
        <f t="shared" ca="1" si="169"/>
        <v>0</v>
      </c>
      <c r="AU65" s="36">
        <f t="shared" ca="1" si="169"/>
        <v>0</v>
      </c>
      <c r="AV65" s="36">
        <f t="shared" ca="1" si="169"/>
        <v>0</v>
      </c>
      <c r="AW65" s="36">
        <f t="shared" ca="1" si="169"/>
        <v>567000.00000000012</v>
      </c>
      <c r="AX65" s="36">
        <f t="shared" ca="1" si="169"/>
        <v>0</v>
      </c>
      <c r="AY65" s="36">
        <f t="shared" ca="1" si="169"/>
        <v>0</v>
      </c>
      <c r="AZ65" s="36">
        <f t="shared" ca="1" si="169"/>
        <v>0</v>
      </c>
      <c r="BA65" s="36">
        <f t="shared" ca="1" si="169"/>
        <v>0</v>
      </c>
      <c r="BB65" s="36">
        <f t="shared" ca="1" si="169"/>
        <v>0</v>
      </c>
      <c r="BC65" s="36">
        <f t="shared" ca="1" si="169"/>
        <v>756000.00000000012</v>
      </c>
      <c r="BD65" s="36">
        <f t="shared" ca="1" si="169"/>
        <v>0</v>
      </c>
      <c r="BE65" s="36">
        <f t="shared" ca="1" si="169"/>
        <v>0</v>
      </c>
      <c r="BF65" s="36">
        <f t="shared" ca="1" si="169"/>
        <v>0</v>
      </c>
      <c r="BG65" s="36">
        <f t="shared" ca="1" si="169"/>
        <v>0</v>
      </c>
      <c r="BH65" s="36">
        <f t="shared" ca="1" si="170"/>
        <v>0</v>
      </c>
      <c r="BI65" s="36">
        <f t="shared" ca="1" si="170"/>
        <v>1077300</v>
      </c>
      <c r="BJ65" s="36">
        <f t="shared" ca="1" si="171"/>
        <v>0</v>
      </c>
      <c r="BK65" s="36">
        <f t="shared" ca="1" si="171"/>
        <v>0</v>
      </c>
      <c r="BL65" s="36">
        <f t="shared" ca="1" si="171"/>
        <v>0</v>
      </c>
      <c r="BM65" s="36">
        <f t="shared" ca="1" si="171"/>
        <v>0</v>
      </c>
      <c r="BN65" s="36">
        <f t="shared" ca="1" si="171"/>
        <v>0</v>
      </c>
      <c r="BO65" s="36">
        <f t="shared" ca="1" si="171"/>
        <v>1436400.0000000002</v>
      </c>
      <c r="BP65" s="36">
        <f t="shared" ca="1" si="171"/>
        <v>0</v>
      </c>
      <c r="BQ65" s="36">
        <f t="shared" ca="1" si="171"/>
        <v>0</v>
      </c>
      <c r="BR65" s="36">
        <f t="shared" ca="1" si="171"/>
        <v>0</v>
      </c>
      <c r="BS65" s="36">
        <f t="shared" ca="1" si="171"/>
        <v>0</v>
      </c>
      <c r="BT65" s="36">
        <f t="shared" ca="1" si="172"/>
        <v>0</v>
      </c>
      <c r="BU65" s="36">
        <f t="shared" ca="1" si="172"/>
        <v>1615950.0000000002</v>
      </c>
      <c r="BV65" s="36">
        <f t="shared" ca="1" si="172"/>
        <v>0</v>
      </c>
      <c r="BW65" s="36">
        <f t="shared" ca="1" si="172"/>
        <v>0</v>
      </c>
      <c r="BX65" s="36">
        <f t="shared" ca="1" si="172"/>
        <v>0</v>
      </c>
      <c r="BY65" s="36">
        <f t="shared" ca="1" si="172"/>
        <v>0</v>
      </c>
      <c r="BZ65" s="36">
        <f t="shared" ca="1" si="172"/>
        <v>0</v>
      </c>
      <c r="CA65" s="36">
        <f t="shared" ca="1" si="172"/>
        <v>2154600</v>
      </c>
      <c r="CB65" s="36">
        <f t="shared" ca="1" si="172"/>
        <v>0</v>
      </c>
      <c r="CC65" s="36">
        <f t="shared" ca="1" si="172"/>
        <v>0</v>
      </c>
      <c r="CD65" s="36">
        <f t="shared" ca="1" si="173"/>
        <v>0</v>
      </c>
      <c r="CE65" s="36">
        <f t="shared" ca="1" si="173"/>
        <v>0</v>
      </c>
      <c r="CF65" s="36">
        <f t="shared" ca="1" si="173"/>
        <v>0</v>
      </c>
      <c r="CG65" s="36">
        <f t="shared" ca="1" si="173"/>
        <v>2100735</v>
      </c>
      <c r="CH65" s="36">
        <f t="shared" ca="1" si="173"/>
        <v>0</v>
      </c>
      <c r="CI65" s="36">
        <f t="shared" ca="1" si="173"/>
        <v>0</v>
      </c>
      <c r="CJ65" s="36">
        <f t="shared" ca="1" si="173"/>
        <v>0</v>
      </c>
      <c r="CK65" s="36">
        <f t="shared" ca="1" si="173"/>
        <v>0</v>
      </c>
      <c r="CL65" s="36">
        <f t="shared" ca="1" si="173"/>
        <v>0</v>
      </c>
      <c r="CM65" s="36">
        <f t="shared" ca="1" si="173"/>
        <v>2800980.0000000005</v>
      </c>
      <c r="CN65" s="36">
        <f t="shared" ca="1" si="174"/>
        <v>0</v>
      </c>
      <c r="CO65" s="36">
        <f t="shared" ca="1" si="174"/>
        <v>0</v>
      </c>
      <c r="CP65" s="36">
        <f t="shared" ca="1" si="174"/>
        <v>0</v>
      </c>
      <c r="CQ65" s="36">
        <f t="shared" ca="1" si="174"/>
        <v>0</v>
      </c>
      <c r="CR65" s="36">
        <f t="shared" ca="1" si="174"/>
        <v>466830.00000000006</v>
      </c>
      <c r="CS65" s="36">
        <f t="shared" ca="1" si="174"/>
        <v>466830.00000000006</v>
      </c>
      <c r="CT65" s="36">
        <f t="shared" ca="1" si="174"/>
        <v>466830.00000000006</v>
      </c>
      <c r="CU65" s="36">
        <f t="shared" ca="1" si="174"/>
        <v>0</v>
      </c>
      <c r="CV65" s="36">
        <f t="shared" ca="1" si="174"/>
        <v>0</v>
      </c>
      <c r="CW65" s="21"/>
    </row>
    <row r="66" spans="4:101" x14ac:dyDescent="0.25">
      <c r="D66" s="35" t="str">
        <f>[1]Key!$W23</f>
        <v>Corporate</v>
      </c>
      <c r="F66" s="23">
        <f>[1]Key!$AD23</f>
        <v>0</v>
      </c>
      <c r="G66" s="21"/>
      <c r="H66" s="21"/>
      <c r="I66" s="21"/>
      <c r="J66" s="21"/>
      <c r="K66" s="21"/>
      <c r="L66" s="21"/>
      <c r="M66" s="21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21"/>
    </row>
    <row r="67" spans="4:101" x14ac:dyDescent="0.25">
      <c r="F67" s="21"/>
      <c r="G67" s="21"/>
      <c r="H67" s="21"/>
      <c r="I67" s="21"/>
      <c r="J67" s="21"/>
      <c r="K67" s="21"/>
      <c r="L67" s="21"/>
      <c r="M67" s="21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21"/>
    </row>
    <row r="68" spans="4:101" x14ac:dyDescent="0.25">
      <c r="D68" s="38" t="s">
        <v>152</v>
      </c>
      <c r="F68" s="21"/>
      <c r="G68" s="21"/>
      <c r="H68" s="21"/>
      <c r="I68" s="21"/>
      <c r="J68" s="21"/>
      <c r="K68" s="21"/>
      <c r="L68" s="21"/>
      <c r="M68" s="21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37">
        <f ca="1">SUM(Z55:Z67)</f>
        <v>138720</v>
      </c>
      <c r="AA68" s="37">
        <f t="shared" ref="AA68" ca="1" si="175">SUM(AA55:AA67)</f>
        <v>14450</v>
      </c>
      <c r="AB68" s="37">
        <f t="shared" ref="AB68" ca="1" si="176">SUM(AB55:AB67)</f>
        <v>0</v>
      </c>
      <c r="AC68" s="37">
        <f t="shared" ref="AC68" ca="1" si="177">SUM(AC55:AC67)</f>
        <v>14450</v>
      </c>
      <c r="AD68" s="37">
        <f t="shared" ref="AD68" ca="1" si="178">SUM(AD55:AD67)</f>
        <v>346800</v>
      </c>
      <c r="AE68" s="37">
        <f t="shared" ref="AE68" ca="1" si="179">SUM(AE55:AE67)</f>
        <v>0</v>
      </c>
      <c r="AF68" s="37">
        <f t="shared" ref="AF68" ca="1" si="180">SUM(AF55:AF67)</f>
        <v>28900</v>
      </c>
      <c r="AG68" s="37">
        <f t="shared" ref="AG68" ca="1" si="181">SUM(AG55:AG67)</f>
        <v>24300</v>
      </c>
      <c r="AH68" s="37">
        <f t="shared" ref="AH68" ca="1" si="182">SUM(AH55:AH67)</f>
        <v>136860</v>
      </c>
      <c r="AI68" s="37">
        <f t="shared" ref="AI68" ca="1" si="183">SUM(AI55:AI67)</f>
        <v>275920</v>
      </c>
      <c r="AJ68" s="37">
        <f t="shared" ref="AJ68" ca="1" si="184">SUM(AJ55:AJ67)</f>
        <v>58320</v>
      </c>
      <c r="AK68" s="37">
        <f t="shared" ref="AK68" ca="1" si="185">SUM(AK55:AK67)</f>
        <v>861020</v>
      </c>
      <c r="AL68" s="37">
        <f t="shared" ref="AL68" ca="1" si="186">SUM(AL55:AL67)</f>
        <v>132320</v>
      </c>
      <c r="AM68" s="37">
        <f t="shared" ref="AM68" ca="1" si="187">SUM(AM55:AM67)</f>
        <v>0</v>
      </c>
      <c r="AN68" s="37">
        <f t="shared" ref="AN68" ca="1" si="188">SUM(AN55:AN67)</f>
        <v>357400</v>
      </c>
      <c r="AO68" s="37">
        <f t="shared" ref="AO68" ca="1" si="189">SUM(AO55:AO67)</f>
        <v>627340</v>
      </c>
      <c r="AP68" s="37">
        <f t="shared" ref="AP68" ca="1" si="190">SUM(AP55:AP67)</f>
        <v>186040</v>
      </c>
      <c r="AQ68" s="37">
        <f t="shared" ref="AQ68" ca="1" si="191">SUM(AQ55:AQ67)</f>
        <v>989000.00000000012</v>
      </c>
      <c r="AR68" s="37">
        <f t="shared" ref="AR68" ca="1" si="192">SUM(AR55:AR67)</f>
        <v>942840</v>
      </c>
      <c r="AS68" s="37">
        <f t="shared" ref="AS68" ca="1" si="193">SUM(AS55:AS67)</f>
        <v>591840</v>
      </c>
      <c r="AT68" s="37">
        <f t="shared" ref="AT68" ca="1" si="194">SUM(AT55:AT67)</f>
        <v>590560</v>
      </c>
      <c r="AU68" s="37">
        <f t="shared" ref="AU68" ca="1" si="195">SUM(AU55:AU67)</f>
        <v>1208660</v>
      </c>
      <c r="AV68" s="37">
        <f t="shared" ref="AV68" ca="1" si="196">SUM(AV55:AV67)</f>
        <v>2317160</v>
      </c>
      <c r="AW68" s="37">
        <f t="shared" ref="AW68" ca="1" si="197">SUM(AW55:AW67)</f>
        <v>2272320</v>
      </c>
      <c r="AX68" s="37">
        <f t="shared" ref="AX68" ca="1" si="198">SUM(AX55:AX67)</f>
        <v>375840</v>
      </c>
      <c r="AY68" s="37">
        <f t="shared" ref="AY68" ca="1" si="199">SUM(AY55:AY67)</f>
        <v>882500</v>
      </c>
      <c r="AZ68" s="37">
        <f t="shared" ref="AZ68" ca="1" si="200">SUM(AZ55:AZ67)</f>
        <v>1000880</v>
      </c>
      <c r="BA68" s="37">
        <f t="shared" ref="BA68" ca="1" si="201">SUM(BA55:BA67)</f>
        <v>1360800</v>
      </c>
      <c r="BB68" s="37">
        <f t="shared" ref="BB68" ca="1" si="202">SUM(BB55:BB67)</f>
        <v>3686600</v>
      </c>
      <c r="BC68" s="37">
        <f t="shared" ref="BC68" ca="1" si="203">SUM(BC55:BC67)</f>
        <v>1448280</v>
      </c>
      <c r="BD68" s="37">
        <f t="shared" ref="BD68" ca="1" si="204">SUM(BD55:BD67)</f>
        <v>1578960</v>
      </c>
      <c r="BE68" s="37">
        <f t="shared" ref="BE68" ca="1" si="205">SUM(BE55:BE67)</f>
        <v>1750820</v>
      </c>
      <c r="BF68" s="37">
        <f t="shared" ref="BF68" ca="1" si="206">SUM(BF55:BF67)</f>
        <v>1339600</v>
      </c>
      <c r="BG68" s="37">
        <f t="shared" ref="BG68" ca="1" si="207">SUM(BG55:BG67)</f>
        <v>1250640</v>
      </c>
      <c r="BH68" s="37">
        <f t="shared" ref="BH68" ca="1" si="208">SUM(BH55:BH67)</f>
        <v>5472475</v>
      </c>
      <c r="BI68" s="37">
        <f t="shared" ref="BI68:CV68" ca="1" si="209">SUM(BI55:BI67)</f>
        <v>5162319</v>
      </c>
      <c r="BJ68" s="37">
        <f t="shared" ref="BJ68:CS68" ca="1" si="210">SUM(BJ55:BJ67)</f>
        <v>837216</v>
      </c>
      <c r="BK68" s="37">
        <f t="shared" ca="1" si="210"/>
        <v>1685537.5</v>
      </c>
      <c r="BL68" s="37">
        <f t="shared" ca="1" si="210"/>
        <v>2528938</v>
      </c>
      <c r="BM68" s="37">
        <f t="shared" ca="1" si="210"/>
        <v>3096468</v>
      </c>
      <c r="BN68" s="37">
        <f t="shared" ca="1" si="210"/>
        <v>9453355</v>
      </c>
      <c r="BO68" s="37">
        <f t="shared" ca="1" si="210"/>
        <v>3019005</v>
      </c>
      <c r="BP68" s="37">
        <f t="shared" ca="1" si="210"/>
        <v>3516102</v>
      </c>
      <c r="BQ68" s="37">
        <f t="shared" ca="1" si="210"/>
        <v>3335345.5</v>
      </c>
      <c r="BR68" s="37">
        <f t="shared" ca="1" si="210"/>
        <v>3497558</v>
      </c>
      <c r="BS68" s="37">
        <f t="shared" ca="1" si="210"/>
        <v>2966166</v>
      </c>
      <c r="BT68" s="37">
        <f t="shared" ca="1" si="210"/>
        <v>12386019.25</v>
      </c>
      <c r="BU68" s="37">
        <f t="shared" ca="1" si="210"/>
        <v>9999011.25</v>
      </c>
      <c r="BV68" s="37">
        <f t="shared" ca="1" si="210"/>
        <v>1409724</v>
      </c>
      <c r="BW68" s="37">
        <f t="shared" ca="1" si="210"/>
        <v>2539290.625</v>
      </c>
      <c r="BX68" s="37">
        <f t="shared" ca="1" si="210"/>
        <v>5324417.5</v>
      </c>
      <c r="BY68" s="37">
        <f t="shared" ca="1" si="210"/>
        <v>6129837</v>
      </c>
      <c r="BZ68" s="37">
        <f t="shared" ca="1" si="210"/>
        <v>23325231.25</v>
      </c>
      <c r="CA68" s="37">
        <f t="shared" ca="1" si="210"/>
        <v>4862598.75</v>
      </c>
      <c r="CB68" s="37">
        <f t="shared" ca="1" si="210"/>
        <v>6864709.5</v>
      </c>
      <c r="CC68" s="37">
        <f t="shared" ca="1" si="210"/>
        <v>5014002.625</v>
      </c>
      <c r="CD68" s="37">
        <f t="shared" ca="1" si="210"/>
        <v>7819782.5</v>
      </c>
      <c r="CE68" s="37">
        <f t="shared" ca="1" si="210"/>
        <v>6261421.5</v>
      </c>
      <c r="CF68" s="37">
        <f t="shared" ca="1" si="210"/>
        <v>24446620.274999999</v>
      </c>
      <c r="CG68" s="37">
        <f t="shared" ca="1" si="210"/>
        <v>15804568.125</v>
      </c>
      <c r="CH68" s="37">
        <f t="shared" ca="1" si="210"/>
        <v>2048101.2</v>
      </c>
      <c r="CI68" s="37">
        <f t="shared" ca="1" si="210"/>
        <v>3316455.9375</v>
      </c>
      <c r="CJ68" s="37">
        <f t="shared" ca="1" si="210"/>
        <v>8713034.25</v>
      </c>
      <c r="CK68" s="37">
        <f t="shared" ca="1" si="210"/>
        <v>9984493.3499999996</v>
      </c>
      <c r="CL68" s="37">
        <f t="shared" ca="1" si="210"/>
        <v>47684596.875</v>
      </c>
      <c r="CM68" s="37">
        <f t="shared" ca="1" si="210"/>
        <v>6789106.125</v>
      </c>
      <c r="CN68" s="37">
        <f t="shared" ca="1" si="210"/>
        <v>11045826.225</v>
      </c>
      <c r="CO68" s="37">
        <f t="shared" ca="1" si="210"/>
        <v>6533581.5374999996</v>
      </c>
      <c r="CP68" s="37">
        <f t="shared" ca="1" si="210"/>
        <v>13140936.75</v>
      </c>
      <c r="CQ68" s="37">
        <f t="shared" ca="1" si="210"/>
        <v>10510869.824999999</v>
      </c>
      <c r="CR68" s="37">
        <f t="shared" ca="1" si="210"/>
        <v>15950819.55625</v>
      </c>
      <c r="CS68" s="37">
        <f t="shared" ca="1" si="210"/>
        <v>15950819.55625</v>
      </c>
      <c r="CT68" s="37">
        <f t="shared" ca="1" si="209"/>
        <v>15950819.55625</v>
      </c>
      <c r="CU68" s="37">
        <f t="shared" ca="1" si="209"/>
        <v>0</v>
      </c>
      <c r="CV68" s="37">
        <f t="shared" ca="1" si="209"/>
        <v>0</v>
      </c>
      <c r="CW68" s="21"/>
    </row>
    <row r="69" spans="4:101" x14ac:dyDescent="0.25">
      <c r="F69" s="21"/>
      <c r="G69" s="21"/>
      <c r="H69" s="21"/>
      <c r="I69" s="21"/>
      <c r="J69" s="21"/>
      <c r="K69" s="21"/>
      <c r="L69" s="21"/>
      <c r="M69" s="21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21"/>
      <c r="CU69" s="21"/>
      <c r="CV69" s="21"/>
      <c r="CW69" s="21"/>
    </row>
    <row r="70" spans="4:101" x14ac:dyDescent="0.25">
      <c r="F70" s="21"/>
      <c r="G70" s="21"/>
      <c r="H70" s="21"/>
      <c r="I70" s="21"/>
      <c r="J70" s="21"/>
      <c r="K70" s="21"/>
      <c r="L70" s="21"/>
      <c r="M70" s="21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21"/>
      <c r="CU70" s="21"/>
      <c r="CV70" s="21"/>
      <c r="CW70" s="21"/>
    </row>
    <row r="71" spans="4:101" x14ac:dyDescent="0.25">
      <c r="F71" s="21"/>
      <c r="G71" s="21"/>
      <c r="H71" s="21"/>
      <c r="I71" s="21"/>
      <c r="J71" s="21"/>
      <c r="K71" s="21"/>
      <c r="L71" s="21"/>
      <c r="M71" s="21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21"/>
      <c r="CU71" s="21"/>
      <c r="CV71" s="21"/>
      <c r="CW71" s="21"/>
    </row>
    <row r="72" spans="4:101" x14ac:dyDescent="0.25">
      <c r="D72" s="38" t="s">
        <v>156</v>
      </c>
      <c r="F72" s="21"/>
      <c r="G72" s="21"/>
      <c r="H72" s="21"/>
      <c r="I72" s="21"/>
      <c r="J72" s="21"/>
      <c r="K72" s="21"/>
      <c r="L72" s="21"/>
      <c r="M72" s="21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>
        <f>ROUNDUP($G73/30,0)</f>
        <v>0</v>
      </c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21"/>
      <c r="CU72" s="21"/>
      <c r="CV72" s="21"/>
      <c r="CW72" s="21"/>
    </row>
    <row r="73" spans="4:101" x14ac:dyDescent="0.25">
      <c r="D73" s="35" t="str">
        <f>[1]Key!$W$12</f>
        <v>BARI</v>
      </c>
      <c r="F73" s="21"/>
      <c r="G73" s="21"/>
      <c r="H73" s="21"/>
      <c r="I73" s="21"/>
      <c r="J73" s="21"/>
      <c r="K73" s="21"/>
      <c r="L73" s="21"/>
      <c r="M73" s="21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36">
        <f ca="1">Z19-Z37+Z55</f>
        <v>0</v>
      </c>
      <c r="AA73" s="36">
        <f t="shared" ref="AA73:BI73" ca="1" si="211">AA19-AA37+AA55</f>
        <v>0</v>
      </c>
      <c r="AB73" s="36">
        <f t="shared" ca="1" si="211"/>
        <v>0</v>
      </c>
      <c r="AC73" s="36">
        <f t="shared" ca="1" si="211"/>
        <v>0</v>
      </c>
      <c r="AD73" s="36">
        <f t="shared" ca="1" si="211"/>
        <v>0</v>
      </c>
      <c r="AE73" s="36">
        <f t="shared" ca="1" si="211"/>
        <v>0</v>
      </c>
      <c r="AF73" s="36">
        <f t="shared" ca="1" si="211"/>
        <v>0</v>
      </c>
      <c r="AG73" s="36">
        <f t="shared" ca="1" si="211"/>
        <v>24300</v>
      </c>
      <c r="AH73" s="36">
        <f t="shared" ca="1" si="211"/>
        <v>48600</v>
      </c>
      <c r="AI73" s="36">
        <f t="shared" ca="1" si="211"/>
        <v>82620</v>
      </c>
      <c r="AJ73" s="36">
        <f t="shared" ca="1" si="211"/>
        <v>116640</v>
      </c>
      <c r="AK73" s="36">
        <f t="shared" ca="1" si="211"/>
        <v>58320</v>
      </c>
      <c r="AL73" s="36">
        <f t="shared" ca="1" si="211"/>
        <v>58320</v>
      </c>
      <c r="AM73" s="36">
        <f t="shared" ca="1" si="211"/>
        <v>58320</v>
      </c>
      <c r="AN73" s="36">
        <f t="shared" ca="1" si="211"/>
        <v>0</v>
      </c>
      <c r="AO73" s="36">
        <f t="shared" ca="1" si="211"/>
        <v>116640</v>
      </c>
      <c r="AP73" s="36">
        <f t="shared" ca="1" si="211"/>
        <v>116640</v>
      </c>
      <c r="AQ73" s="36">
        <f t="shared" ca="1" si="211"/>
        <v>58320</v>
      </c>
      <c r="AR73" s="36">
        <f t="shared" ca="1" si="211"/>
        <v>174960</v>
      </c>
      <c r="AS73" s="36">
        <f t="shared" ca="1" si="211"/>
        <v>233280</v>
      </c>
      <c r="AT73" s="36">
        <f t="shared" ca="1" si="211"/>
        <v>138240</v>
      </c>
      <c r="AU73" s="36">
        <f t="shared" ca="1" si="211"/>
        <v>138240</v>
      </c>
      <c r="AV73" s="36">
        <f t="shared" ca="1" si="211"/>
        <v>285120</v>
      </c>
      <c r="AW73" s="36">
        <f t="shared" ca="1" si="211"/>
        <v>168480</v>
      </c>
      <c r="AX73" s="36">
        <f t="shared" ca="1" si="211"/>
        <v>116640</v>
      </c>
      <c r="AY73" s="36">
        <f t="shared" ca="1" si="211"/>
        <v>116640</v>
      </c>
      <c r="AZ73" s="36">
        <f t="shared" ca="1" si="211"/>
        <v>0</v>
      </c>
      <c r="BA73" s="36">
        <f t="shared" ca="1" si="211"/>
        <v>285120</v>
      </c>
      <c r="BB73" s="36">
        <f t="shared" ca="1" si="211"/>
        <v>285120</v>
      </c>
      <c r="BC73" s="36">
        <f t="shared" ca="1" si="211"/>
        <v>0</v>
      </c>
      <c r="BD73" s="36">
        <f t="shared" ca="1" si="211"/>
        <v>116640</v>
      </c>
      <c r="BE73" s="36">
        <f t="shared" ca="1" si="211"/>
        <v>336960</v>
      </c>
      <c r="BF73" s="36">
        <f t="shared" ca="1" si="211"/>
        <v>220320</v>
      </c>
      <c r="BG73" s="36">
        <f t="shared" ca="1" si="211"/>
        <v>138240</v>
      </c>
      <c r="BH73" s="36">
        <f t="shared" ca="1" si="211"/>
        <v>458352</v>
      </c>
      <c r="BI73" s="36">
        <f t="shared" ca="1" si="211"/>
        <v>320112</v>
      </c>
      <c r="BJ73" s="36">
        <f t="shared" ref="BJ73:CS73" ca="1" si="212">BJ19-BJ37+BJ55</f>
        <v>221616</v>
      </c>
      <c r="BK73" s="36">
        <f t="shared" ca="1" si="212"/>
        <v>221616</v>
      </c>
      <c r="BL73" s="36">
        <f t="shared" ca="1" si="212"/>
        <v>0</v>
      </c>
      <c r="BM73" s="36">
        <f t="shared" ca="1" si="212"/>
        <v>541728</v>
      </c>
      <c r="BN73" s="36">
        <f t="shared" ca="1" si="212"/>
        <v>541728</v>
      </c>
      <c r="BO73" s="36">
        <f t="shared" ca="1" si="212"/>
        <v>0</v>
      </c>
      <c r="BP73" s="36">
        <f t="shared" ca="1" si="212"/>
        <v>221616</v>
      </c>
      <c r="BQ73" s="36">
        <f t="shared" ca="1" si="212"/>
        <v>640224</v>
      </c>
      <c r="BR73" s="36">
        <f t="shared" ca="1" si="212"/>
        <v>418608</v>
      </c>
      <c r="BS73" s="36">
        <f t="shared" ca="1" si="212"/>
        <v>262656</v>
      </c>
      <c r="BT73" s="36">
        <f t="shared" ca="1" si="212"/>
        <v>742824</v>
      </c>
      <c r="BU73" s="36">
        <f t="shared" ca="1" si="212"/>
        <v>480168</v>
      </c>
      <c r="BV73" s="36">
        <f t="shared" ca="1" si="212"/>
        <v>332424</v>
      </c>
      <c r="BW73" s="36">
        <f t="shared" ca="1" si="212"/>
        <v>332424</v>
      </c>
      <c r="BX73" s="36">
        <f t="shared" ca="1" si="212"/>
        <v>0</v>
      </c>
      <c r="BY73" s="36">
        <f t="shared" ca="1" si="212"/>
        <v>812592</v>
      </c>
      <c r="BZ73" s="36">
        <f t="shared" ca="1" si="212"/>
        <v>812592</v>
      </c>
      <c r="CA73" s="36">
        <f t="shared" ca="1" si="212"/>
        <v>0</v>
      </c>
      <c r="CB73" s="36">
        <f t="shared" ca="1" si="212"/>
        <v>332424</v>
      </c>
      <c r="CC73" s="36">
        <f t="shared" ca="1" si="212"/>
        <v>960336</v>
      </c>
      <c r="CD73" s="36">
        <f t="shared" ca="1" si="212"/>
        <v>627912</v>
      </c>
      <c r="CE73" s="36">
        <f t="shared" ca="1" si="212"/>
        <v>393984</v>
      </c>
      <c r="CF73" s="36">
        <f t="shared" ca="1" si="212"/>
        <v>1018202.4000000001</v>
      </c>
      <c r="CG73" s="36">
        <f t="shared" ca="1" si="212"/>
        <v>624218.40000000014</v>
      </c>
      <c r="CH73" s="36">
        <f t="shared" ca="1" si="212"/>
        <v>432151.2</v>
      </c>
      <c r="CI73" s="36">
        <f t="shared" ca="1" si="212"/>
        <v>432151.2</v>
      </c>
      <c r="CJ73" s="36">
        <f t="shared" ca="1" si="212"/>
        <v>0</v>
      </c>
      <c r="CK73" s="36">
        <f t="shared" ca="1" si="212"/>
        <v>1056369.6000000001</v>
      </c>
      <c r="CL73" s="36">
        <f t="shared" ca="1" si="212"/>
        <v>1056369.6000000001</v>
      </c>
      <c r="CM73" s="36">
        <f t="shared" ca="1" si="212"/>
        <v>0</v>
      </c>
      <c r="CN73" s="36">
        <f t="shared" ca="1" si="212"/>
        <v>432151.2</v>
      </c>
      <c r="CO73" s="36">
        <f t="shared" ca="1" si="212"/>
        <v>1248436.8</v>
      </c>
      <c r="CP73" s="36">
        <f t="shared" ca="1" si="212"/>
        <v>816285.60000000009</v>
      </c>
      <c r="CQ73" s="36">
        <f t="shared" ca="1" si="212"/>
        <v>512179.20000000013</v>
      </c>
      <c r="CR73" s="36">
        <f t="shared" ca="1" si="212"/>
        <v>805615.20000000019</v>
      </c>
      <c r="CS73" s="36">
        <f t="shared" ca="1" si="212"/>
        <v>586872.00000000023</v>
      </c>
      <c r="CT73" s="36">
        <f t="shared" ref="CT73:CV73" ca="1" si="213">CT19-CT37+CT55</f>
        <v>586872.00000000023</v>
      </c>
      <c r="CU73" s="36">
        <f t="shared" ca="1" si="213"/>
        <v>293436.00000000023</v>
      </c>
      <c r="CV73" s="36">
        <f t="shared" ca="1" si="213"/>
        <v>2.3283064365386963E-10</v>
      </c>
      <c r="CW73" s="21"/>
    </row>
    <row r="74" spans="4:101" x14ac:dyDescent="0.25">
      <c r="D74" s="35" t="str">
        <f>[1]Key!$W$13</f>
        <v>BRAIN DEAD OAKLEY</v>
      </c>
      <c r="F74" s="21"/>
      <c r="G74" s="21"/>
      <c r="H74" s="21"/>
      <c r="I74" s="21"/>
      <c r="J74" s="21"/>
      <c r="K74" s="21"/>
      <c r="L74" s="21"/>
      <c r="M74" s="21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36">
        <f t="shared" ref="Z74:BI74" ca="1" si="214">Z20-Z38+Z56</f>
        <v>0</v>
      </c>
      <c r="AA74" s="36">
        <f t="shared" ca="1" si="214"/>
        <v>0</v>
      </c>
      <c r="AB74" s="36">
        <f t="shared" ca="1" si="214"/>
        <v>0</v>
      </c>
      <c r="AC74" s="36">
        <f t="shared" ca="1" si="214"/>
        <v>0</v>
      </c>
      <c r="AD74" s="36">
        <f t="shared" ca="1" si="214"/>
        <v>0</v>
      </c>
      <c r="AE74" s="36">
        <f t="shared" ca="1" si="214"/>
        <v>0</v>
      </c>
      <c r="AF74" s="36">
        <f t="shared" ca="1" si="214"/>
        <v>0</v>
      </c>
      <c r="AG74" s="36">
        <f t="shared" ca="1" si="214"/>
        <v>0</v>
      </c>
      <c r="AH74" s="36">
        <f t="shared" ca="1" si="214"/>
        <v>34560</v>
      </c>
      <c r="AI74" s="36">
        <f t="shared" ca="1" si="214"/>
        <v>34560</v>
      </c>
      <c r="AJ74" s="36">
        <f t="shared" ca="1" si="214"/>
        <v>0</v>
      </c>
      <c r="AK74" s="36">
        <f t="shared" ca="1" si="214"/>
        <v>103680</v>
      </c>
      <c r="AL74" s="36">
        <f t="shared" ca="1" si="214"/>
        <v>119880</v>
      </c>
      <c r="AM74" s="36">
        <f t="shared" ca="1" si="214"/>
        <v>16200</v>
      </c>
      <c r="AN74" s="36">
        <f t="shared" ca="1" si="214"/>
        <v>0</v>
      </c>
      <c r="AO74" s="36">
        <f t="shared" ca="1" si="214"/>
        <v>0</v>
      </c>
      <c r="AP74" s="36">
        <f t="shared" ca="1" si="214"/>
        <v>32400</v>
      </c>
      <c r="AQ74" s="36">
        <f t="shared" ca="1" si="214"/>
        <v>32400</v>
      </c>
      <c r="AR74" s="36">
        <f t="shared" ca="1" si="214"/>
        <v>207360</v>
      </c>
      <c r="AS74" s="36">
        <f t="shared" ca="1" si="214"/>
        <v>207360</v>
      </c>
      <c r="AT74" s="36">
        <f t="shared" ca="1" si="214"/>
        <v>0</v>
      </c>
      <c r="AU74" s="36">
        <f t="shared" ca="1" si="214"/>
        <v>0</v>
      </c>
      <c r="AV74" s="36">
        <f t="shared" ca="1" si="214"/>
        <v>0</v>
      </c>
      <c r="AW74" s="36">
        <f t="shared" ca="1" si="214"/>
        <v>194400.00000000003</v>
      </c>
      <c r="AX74" s="36">
        <f t="shared" ca="1" si="214"/>
        <v>194400.00000000003</v>
      </c>
      <c r="AY74" s="36">
        <f t="shared" ca="1" si="214"/>
        <v>0</v>
      </c>
      <c r="AZ74" s="36">
        <f t="shared" ca="1" si="214"/>
        <v>0</v>
      </c>
      <c r="BA74" s="36">
        <f t="shared" ca="1" si="214"/>
        <v>0</v>
      </c>
      <c r="BB74" s="36">
        <f t="shared" ca="1" si="214"/>
        <v>0</v>
      </c>
      <c r="BC74" s="36">
        <f t="shared" ca="1" si="214"/>
        <v>0</v>
      </c>
      <c r="BD74" s="36">
        <f t="shared" ca="1" si="214"/>
        <v>427680</v>
      </c>
      <c r="BE74" s="36">
        <f t="shared" ca="1" si="214"/>
        <v>427680</v>
      </c>
      <c r="BF74" s="36">
        <f t="shared" ca="1" si="214"/>
        <v>0</v>
      </c>
      <c r="BG74" s="36">
        <f t="shared" ca="1" si="214"/>
        <v>0</v>
      </c>
      <c r="BH74" s="36">
        <f t="shared" ca="1" si="214"/>
        <v>0</v>
      </c>
      <c r="BI74" s="36">
        <f t="shared" ca="1" si="214"/>
        <v>369360</v>
      </c>
      <c r="BJ74" s="36">
        <f t="shared" ref="BJ74:CS74" ca="1" si="215">BJ20-BJ38+BJ56</f>
        <v>369360</v>
      </c>
      <c r="BK74" s="36">
        <f t="shared" ca="1" si="215"/>
        <v>0</v>
      </c>
      <c r="BL74" s="36">
        <f t="shared" ca="1" si="215"/>
        <v>0</v>
      </c>
      <c r="BM74" s="36">
        <f t="shared" ca="1" si="215"/>
        <v>0</v>
      </c>
      <c r="BN74" s="36">
        <f t="shared" ca="1" si="215"/>
        <v>0</v>
      </c>
      <c r="BO74" s="36">
        <f t="shared" ca="1" si="215"/>
        <v>0</v>
      </c>
      <c r="BP74" s="36">
        <f t="shared" ca="1" si="215"/>
        <v>812592</v>
      </c>
      <c r="BQ74" s="36">
        <f t="shared" ca="1" si="215"/>
        <v>812592</v>
      </c>
      <c r="BR74" s="36">
        <f t="shared" ca="1" si="215"/>
        <v>0</v>
      </c>
      <c r="BS74" s="36">
        <f t="shared" ca="1" si="215"/>
        <v>0</v>
      </c>
      <c r="BT74" s="36">
        <f t="shared" ca="1" si="215"/>
        <v>0</v>
      </c>
      <c r="BU74" s="36">
        <f t="shared" ca="1" si="215"/>
        <v>554040</v>
      </c>
      <c r="BV74" s="36">
        <f t="shared" ca="1" si="215"/>
        <v>554040</v>
      </c>
      <c r="BW74" s="36">
        <f t="shared" ca="1" si="215"/>
        <v>0</v>
      </c>
      <c r="BX74" s="36">
        <f t="shared" ca="1" si="215"/>
        <v>0</v>
      </c>
      <c r="BY74" s="36">
        <f t="shared" ca="1" si="215"/>
        <v>0</v>
      </c>
      <c r="BZ74" s="36">
        <f t="shared" ca="1" si="215"/>
        <v>0</v>
      </c>
      <c r="CA74" s="36">
        <f t="shared" ca="1" si="215"/>
        <v>0</v>
      </c>
      <c r="CB74" s="36">
        <f t="shared" ca="1" si="215"/>
        <v>1218888</v>
      </c>
      <c r="CC74" s="36">
        <f t="shared" ca="1" si="215"/>
        <v>1218888</v>
      </c>
      <c r="CD74" s="36">
        <f t="shared" ca="1" si="215"/>
        <v>0</v>
      </c>
      <c r="CE74" s="36">
        <f t="shared" ca="1" si="215"/>
        <v>0</v>
      </c>
      <c r="CF74" s="36">
        <f t="shared" ca="1" si="215"/>
        <v>0</v>
      </c>
      <c r="CG74" s="36">
        <f t="shared" ca="1" si="215"/>
        <v>720252</v>
      </c>
      <c r="CH74" s="36">
        <f t="shared" ca="1" si="215"/>
        <v>720252</v>
      </c>
      <c r="CI74" s="36">
        <f t="shared" ca="1" si="215"/>
        <v>0</v>
      </c>
      <c r="CJ74" s="36">
        <f t="shared" ca="1" si="215"/>
        <v>0</v>
      </c>
      <c r="CK74" s="36">
        <f t="shared" ca="1" si="215"/>
        <v>0</v>
      </c>
      <c r="CL74" s="36">
        <f t="shared" ca="1" si="215"/>
        <v>0</v>
      </c>
      <c r="CM74" s="36">
        <f t="shared" ca="1" si="215"/>
        <v>0</v>
      </c>
      <c r="CN74" s="36">
        <f t="shared" ca="1" si="215"/>
        <v>1584554.4</v>
      </c>
      <c r="CO74" s="36">
        <f t="shared" ca="1" si="215"/>
        <v>1584554.4</v>
      </c>
      <c r="CP74" s="36">
        <f t="shared" ca="1" si="215"/>
        <v>0</v>
      </c>
      <c r="CQ74" s="36">
        <f t="shared" ca="1" si="215"/>
        <v>0</v>
      </c>
      <c r="CR74" s="36">
        <f t="shared" ca="1" si="215"/>
        <v>264092.39999999997</v>
      </c>
      <c r="CS74" s="36">
        <f t="shared" ca="1" si="215"/>
        <v>528184.79999999993</v>
      </c>
      <c r="CT74" s="36">
        <f t="shared" ref="CT74:CV74" ca="1" si="216">CT20-CT38+CT56</f>
        <v>528184.79999999993</v>
      </c>
      <c r="CU74" s="36">
        <f t="shared" ca="1" si="216"/>
        <v>264092.39999999997</v>
      </c>
      <c r="CV74" s="36">
        <f t="shared" ca="1" si="216"/>
        <v>0</v>
      </c>
      <c r="CW74" s="21"/>
    </row>
    <row r="75" spans="4:101" x14ac:dyDescent="0.25">
      <c r="D75" s="35" t="str">
        <f>[1]Key!$W$14</f>
        <v>GROWTH "HIT" PH</v>
      </c>
      <c r="F75" s="21"/>
      <c r="G75" s="21"/>
      <c r="H75" s="21"/>
      <c r="I75" s="21"/>
      <c r="J75" s="21"/>
      <c r="K75" s="21"/>
      <c r="L75" s="21"/>
      <c r="M75" s="21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36">
        <f t="shared" ref="Z75:BI75" ca="1" si="217">Z21-Z39+Z57</f>
        <v>0</v>
      </c>
      <c r="AA75" s="36">
        <f t="shared" ca="1" si="217"/>
        <v>0</v>
      </c>
      <c r="AB75" s="36">
        <f t="shared" ca="1" si="217"/>
        <v>0</v>
      </c>
      <c r="AC75" s="36">
        <f t="shared" ca="1" si="217"/>
        <v>0</v>
      </c>
      <c r="AD75" s="36">
        <f t="shared" ca="1" si="217"/>
        <v>0</v>
      </c>
      <c r="AE75" s="36">
        <f t="shared" ca="1" si="217"/>
        <v>0</v>
      </c>
      <c r="AF75" s="36">
        <f t="shared" ca="1" si="217"/>
        <v>0</v>
      </c>
      <c r="AG75" s="36">
        <f t="shared" ca="1" si="217"/>
        <v>0</v>
      </c>
      <c r="AH75" s="36">
        <f t="shared" ca="1" si="217"/>
        <v>0</v>
      </c>
      <c r="AI75" s="36">
        <f t="shared" ca="1" si="217"/>
        <v>0</v>
      </c>
      <c r="AJ75" s="36">
        <f t="shared" ca="1" si="217"/>
        <v>0</v>
      </c>
      <c r="AK75" s="36">
        <f t="shared" ca="1" si="217"/>
        <v>0</v>
      </c>
      <c r="AL75" s="36">
        <f t="shared" ca="1" si="217"/>
        <v>0</v>
      </c>
      <c r="AM75" s="36">
        <f t="shared" ca="1" si="217"/>
        <v>0</v>
      </c>
      <c r="AN75" s="36">
        <f t="shared" ca="1" si="217"/>
        <v>0</v>
      </c>
      <c r="AO75" s="36">
        <f t="shared" ca="1" si="217"/>
        <v>0</v>
      </c>
      <c r="AP75" s="36">
        <f t="shared" ca="1" si="217"/>
        <v>0</v>
      </c>
      <c r="AQ75" s="36">
        <f t="shared" ca="1" si="217"/>
        <v>0</v>
      </c>
      <c r="AR75" s="36">
        <f t="shared" ca="1" si="217"/>
        <v>0</v>
      </c>
      <c r="AS75" s="36">
        <f t="shared" ca="1" si="217"/>
        <v>432000</v>
      </c>
      <c r="AT75" s="36">
        <f t="shared" ca="1" si="217"/>
        <v>432000</v>
      </c>
      <c r="AU75" s="36">
        <f t="shared" ca="1" si="217"/>
        <v>0</v>
      </c>
      <c r="AV75" s="36">
        <f t="shared" ca="1" si="217"/>
        <v>864000</v>
      </c>
      <c r="AW75" s="36">
        <f t="shared" ca="1" si="217"/>
        <v>864000</v>
      </c>
      <c r="AX75" s="36">
        <f t="shared" ca="1" si="217"/>
        <v>0</v>
      </c>
      <c r="AY75" s="36">
        <f t="shared" ca="1" si="217"/>
        <v>864000</v>
      </c>
      <c r="AZ75" s="36">
        <f t="shared" ca="1" si="217"/>
        <v>864000</v>
      </c>
      <c r="BA75" s="36">
        <f t="shared" ca="1" si="217"/>
        <v>0</v>
      </c>
      <c r="BB75" s="36">
        <f t="shared" ca="1" si="217"/>
        <v>1080000</v>
      </c>
      <c r="BC75" s="36">
        <f t="shared" ca="1" si="217"/>
        <v>1080000</v>
      </c>
      <c r="BD75" s="36">
        <f t="shared" ca="1" si="217"/>
        <v>0</v>
      </c>
      <c r="BE75" s="36">
        <f t="shared" ca="1" si="217"/>
        <v>1512000</v>
      </c>
      <c r="BF75" s="36">
        <f t="shared" ca="1" si="217"/>
        <v>1512000</v>
      </c>
      <c r="BG75" s="36">
        <f t="shared" ca="1" si="217"/>
        <v>0</v>
      </c>
      <c r="BH75" s="36">
        <f t="shared" ca="1" si="217"/>
        <v>1641600</v>
      </c>
      <c r="BI75" s="36">
        <f t="shared" ca="1" si="217"/>
        <v>1641600</v>
      </c>
      <c r="BJ75" s="36">
        <f t="shared" ref="BJ75:CS75" ca="1" si="218">BJ21-BJ39+BJ57</f>
        <v>0</v>
      </c>
      <c r="BK75" s="36">
        <f t="shared" ca="1" si="218"/>
        <v>1641600</v>
      </c>
      <c r="BL75" s="36">
        <f t="shared" ca="1" si="218"/>
        <v>1641600</v>
      </c>
      <c r="BM75" s="36">
        <f t="shared" ca="1" si="218"/>
        <v>0</v>
      </c>
      <c r="BN75" s="36">
        <f t="shared" ca="1" si="218"/>
        <v>2052000</v>
      </c>
      <c r="BO75" s="36">
        <f t="shared" ca="1" si="218"/>
        <v>2052000</v>
      </c>
      <c r="BP75" s="36">
        <f t="shared" ca="1" si="218"/>
        <v>0</v>
      </c>
      <c r="BQ75" s="36">
        <f t="shared" ca="1" si="218"/>
        <v>2872800</v>
      </c>
      <c r="BR75" s="36">
        <f t="shared" ca="1" si="218"/>
        <v>2872800</v>
      </c>
      <c r="BS75" s="36">
        <f t="shared" ca="1" si="218"/>
        <v>0</v>
      </c>
      <c r="BT75" s="36">
        <f t="shared" ca="1" si="218"/>
        <v>2462400</v>
      </c>
      <c r="BU75" s="36">
        <f t="shared" ca="1" si="218"/>
        <v>2462400</v>
      </c>
      <c r="BV75" s="36">
        <f t="shared" ca="1" si="218"/>
        <v>0</v>
      </c>
      <c r="BW75" s="36">
        <f t="shared" ca="1" si="218"/>
        <v>2462400</v>
      </c>
      <c r="BX75" s="36">
        <f t="shared" ca="1" si="218"/>
        <v>2462400</v>
      </c>
      <c r="BY75" s="36">
        <f t="shared" ca="1" si="218"/>
        <v>0</v>
      </c>
      <c r="BZ75" s="36">
        <f t="shared" ca="1" si="218"/>
        <v>3078000</v>
      </c>
      <c r="CA75" s="36">
        <f t="shared" ca="1" si="218"/>
        <v>3078000</v>
      </c>
      <c r="CB75" s="36">
        <f t="shared" ca="1" si="218"/>
        <v>0</v>
      </c>
      <c r="CC75" s="36">
        <f t="shared" ca="1" si="218"/>
        <v>4309200</v>
      </c>
      <c r="CD75" s="36">
        <f t="shared" ca="1" si="218"/>
        <v>4309200</v>
      </c>
      <c r="CE75" s="36">
        <f t="shared" ca="1" si="218"/>
        <v>0</v>
      </c>
      <c r="CF75" s="36">
        <f t="shared" ca="1" si="218"/>
        <v>3201120</v>
      </c>
      <c r="CG75" s="36">
        <f t="shared" ca="1" si="218"/>
        <v>3201120</v>
      </c>
      <c r="CH75" s="36">
        <f t="shared" ca="1" si="218"/>
        <v>0</v>
      </c>
      <c r="CI75" s="36">
        <f t="shared" ca="1" si="218"/>
        <v>3201120</v>
      </c>
      <c r="CJ75" s="36">
        <f t="shared" ca="1" si="218"/>
        <v>3201120</v>
      </c>
      <c r="CK75" s="36">
        <f t="shared" ca="1" si="218"/>
        <v>0</v>
      </c>
      <c r="CL75" s="36">
        <f t="shared" ca="1" si="218"/>
        <v>4001400</v>
      </c>
      <c r="CM75" s="36">
        <f t="shared" ca="1" si="218"/>
        <v>4001400</v>
      </c>
      <c r="CN75" s="36">
        <f t="shared" ca="1" si="218"/>
        <v>0</v>
      </c>
      <c r="CO75" s="36">
        <f t="shared" ca="1" si="218"/>
        <v>5601960</v>
      </c>
      <c r="CP75" s="36">
        <f t="shared" ca="1" si="218"/>
        <v>5601960</v>
      </c>
      <c r="CQ75" s="36">
        <f t="shared" ca="1" si="218"/>
        <v>0</v>
      </c>
      <c r="CR75" s="36">
        <f t="shared" ca="1" si="218"/>
        <v>1600560</v>
      </c>
      <c r="CS75" s="36">
        <f t="shared" ca="1" si="218"/>
        <v>3201120</v>
      </c>
      <c r="CT75" s="36">
        <f t="shared" ref="CT75:CV75" ca="1" si="219">CT21-CT39+CT57</f>
        <v>3201120</v>
      </c>
      <c r="CU75" s="36">
        <f t="shared" ca="1" si="219"/>
        <v>1600560</v>
      </c>
      <c r="CV75" s="36">
        <f t="shared" ca="1" si="219"/>
        <v>0</v>
      </c>
      <c r="CW75" s="21"/>
    </row>
    <row r="76" spans="4:101" x14ac:dyDescent="0.25">
      <c r="D76" s="35" t="str">
        <f>[1]Key!$W$15</f>
        <v>ICE STUDIOS</v>
      </c>
      <c r="F76" s="21"/>
      <c r="G76" s="21"/>
      <c r="H76" s="21"/>
      <c r="I76" s="21"/>
      <c r="J76" s="21"/>
      <c r="K76" s="21"/>
      <c r="L76" s="21"/>
      <c r="M76" s="21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36">
        <f t="shared" ref="Z76:BI76" ca="1" si="220">Z22-Z40+Z58</f>
        <v>0</v>
      </c>
      <c r="AA76" s="36">
        <f t="shared" ca="1" si="220"/>
        <v>0</v>
      </c>
      <c r="AB76" s="36">
        <f t="shared" ca="1" si="220"/>
        <v>0</v>
      </c>
      <c r="AC76" s="36">
        <f t="shared" ca="1" si="220"/>
        <v>0</v>
      </c>
      <c r="AD76" s="36">
        <f t="shared" ca="1" si="220"/>
        <v>0</v>
      </c>
      <c r="AE76" s="36">
        <f t="shared" ca="1" si="220"/>
        <v>0</v>
      </c>
      <c r="AF76" s="36">
        <f t="shared" ca="1" si="220"/>
        <v>0</v>
      </c>
      <c r="AG76" s="36">
        <f t="shared" ca="1" si="220"/>
        <v>0</v>
      </c>
      <c r="AH76" s="36">
        <f t="shared" ca="1" si="220"/>
        <v>0</v>
      </c>
      <c r="AI76" s="36">
        <f t="shared" ca="1" si="220"/>
        <v>110700</v>
      </c>
      <c r="AJ76" s="36">
        <f t="shared" ca="1" si="220"/>
        <v>110700</v>
      </c>
      <c r="AK76" s="36">
        <f t="shared" ca="1" si="220"/>
        <v>213840</v>
      </c>
      <c r="AL76" s="36">
        <f t="shared" ca="1" si="220"/>
        <v>213840</v>
      </c>
      <c r="AM76" s="36">
        <f t="shared" ca="1" si="220"/>
        <v>0</v>
      </c>
      <c r="AN76" s="36">
        <f t="shared" ca="1" si="220"/>
        <v>0</v>
      </c>
      <c r="AO76" s="36">
        <f t="shared" ca="1" si="220"/>
        <v>356400</v>
      </c>
      <c r="AP76" s="36">
        <f t="shared" ca="1" si="220"/>
        <v>356400</v>
      </c>
      <c r="AQ76" s="36">
        <f t="shared" ca="1" si="220"/>
        <v>0</v>
      </c>
      <c r="AR76" s="36">
        <f t="shared" ca="1" si="220"/>
        <v>567000</v>
      </c>
      <c r="AS76" s="36">
        <f t="shared" ca="1" si="220"/>
        <v>567000</v>
      </c>
      <c r="AT76" s="36">
        <f t="shared" ca="1" si="220"/>
        <v>0</v>
      </c>
      <c r="AU76" s="36">
        <f t="shared" ca="1" si="220"/>
        <v>684720</v>
      </c>
      <c r="AV76" s="36">
        <f t="shared" ca="1" si="220"/>
        <v>943920</v>
      </c>
      <c r="AW76" s="36">
        <f t="shared" ca="1" si="220"/>
        <v>712800</v>
      </c>
      <c r="AX76" s="36">
        <f t="shared" ca="1" si="220"/>
        <v>453600</v>
      </c>
      <c r="AY76" s="36">
        <f t="shared" ca="1" si="220"/>
        <v>0</v>
      </c>
      <c r="AZ76" s="36">
        <f t="shared" ca="1" si="220"/>
        <v>0</v>
      </c>
      <c r="BA76" s="36">
        <f t="shared" ca="1" si="220"/>
        <v>712800</v>
      </c>
      <c r="BB76" s="36">
        <f t="shared" ca="1" si="220"/>
        <v>712800</v>
      </c>
      <c r="BC76" s="36">
        <f t="shared" ca="1" si="220"/>
        <v>0</v>
      </c>
      <c r="BD76" s="36">
        <f t="shared" ca="1" si="220"/>
        <v>723600</v>
      </c>
      <c r="BE76" s="36">
        <f t="shared" ca="1" si="220"/>
        <v>723600</v>
      </c>
      <c r="BF76" s="36">
        <f t="shared" ca="1" si="220"/>
        <v>51840</v>
      </c>
      <c r="BG76" s="36">
        <f t="shared" ca="1" si="220"/>
        <v>775440</v>
      </c>
      <c r="BH76" s="36">
        <f t="shared" ca="1" si="220"/>
        <v>1339200</v>
      </c>
      <c r="BI76" s="36">
        <f t="shared" ca="1" si="220"/>
        <v>1692900</v>
      </c>
      <c r="BJ76" s="36">
        <f t="shared" ref="BJ76:CS76" ca="1" si="221">BJ22-BJ40+BJ58</f>
        <v>1077300</v>
      </c>
      <c r="BK76" s="36">
        <f t="shared" ca="1" si="221"/>
        <v>0</v>
      </c>
      <c r="BL76" s="36">
        <f t="shared" ca="1" si="221"/>
        <v>0</v>
      </c>
      <c r="BM76" s="36">
        <f t="shared" ca="1" si="221"/>
        <v>1692900</v>
      </c>
      <c r="BN76" s="36">
        <f t="shared" ca="1" si="221"/>
        <v>1692900</v>
      </c>
      <c r="BO76" s="36">
        <f t="shared" ca="1" si="221"/>
        <v>0</v>
      </c>
      <c r="BP76" s="36">
        <f t="shared" ca="1" si="221"/>
        <v>1718550</v>
      </c>
      <c r="BQ76" s="36">
        <f t="shared" ca="1" si="221"/>
        <v>1718550</v>
      </c>
      <c r="BR76" s="36">
        <f t="shared" ca="1" si="221"/>
        <v>123120</v>
      </c>
      <c r="BS76" s="36">
        <f t="shared" ca="1" si="221"/>
        <v>1841670</v>
      </c>
      <c r="BT76" s="36">
        <f t="shared" ca="1" si="221"/>
        <v>3103650</v>
      </c>
      <c r="BU76" s="36">
        <f t="shared" ca="1" si="221"/>
        <v>3809025</v>
      </c>
      <c r="BV76" s="36">
        <f t="shared" ca="1" si="221"/>
        <v>2423925</v>
      </c>
      <c r="BW76" s="36">
        <f t="shared" ca="1" si="221"/>
        <v>0</v>
      </c>
      <c r="BX76" s="36">
        <f t="shared" ca="1" si="221"/>
        <v>0</v>
      </c>
      <c r="BY76" s="36">
        <f t="shared" ca="1" si="221"/>
        <v>3809025</v>
      </c>
      <c r="BZ76" s="36">
        <f t="shared" ca="1" si="221"/>
        <v>3809025</v>
      </c>
      <c r="CA76" s="36">
        <f t="shared" ca="1" si="221"/>
        <v>0</v>
      </c>
      <c r="CB76" s="36">
        <f t="shared" ca="1" si="221"/>
        <v>3866737.5</v>
      </c>
      <c r="CC76" s="36">
        <f t="shared" ca="1" si="221"/>
        <v>3866737.5</v>
      </c>
      <c r="CD76" s="36">
        <f t="shared" ca="1" si="221"/>
        <v>277020</v>
      </c>
      <c r="CE76" s="36">
        <f t="shared" ca="1" si="221"/>
        <v>4143757.5</v>
      </c>
      <c r="CF76" s="36">
        <f t="shared" ca="1" si="221"/>
        <v>6290662.5</v>
      </c>
      <c r="CG76" s="36">
        <f t="shared" ca="1" si="221"/>
        <v>6665793.75</v>
      </c>
      <c r="CH76" s="36">
        <f t="shared" ca="1" si="221"/>
        <v>4241868.75</v>
      </c>
      <c r="CI76" s="36">
        <f t="shared" ca="1" si="221"/>
        <v>0</v>
      </c>
      <c r="CJ76" s="36">
        <f t="shared" ca="1" si="221"/>
        <v>0</v>
      </c>
      <c r="CK76" s="36">
        <f t="shared" ca="1" si="221"/>
        <v>6665793.75</v>
      </c>
      <c r="CL76" s="36">
        <f t="shared" ca="1" si="221"/>
        <v>6665793.75</v>
      </c>
      <c r="CM76" s="36">
        <f t="shared" ca="1" si="221"/>
        <v>0</v>
      </c>
      <c r="CN76" s="36">
        <f t="shared" ca="1" si="221"/>
        <v>6766790.625</v>
      </c>
      <c r="CO76" s="36">
        <f t="shared" ca="1" si="221"/>
        <v>6766790.625</v>
      </c>
      <c r="CP76" s="36">
        <f t="shared" ca="1" si="221"/>
        <v>484785</v>
      </c>
      <c r="CQ76" s="36">
        <f t="shared" ca="1" si="221"/>
        <v>7251575.625</v>
      </c>
      <c r="CR76" s="36">
        <f t="shared" ca="1" si="221"/>
        <v>9103185</v>
      </c>
      <c r="CS76" s="36">
        <f t="shared" ca="1" si="221"/>
        <v>4672788.75</v>
      </c>
      <c r="CT76" s="36">
        <f t="shared" ref="CT76:CV76" ca="1" si="222">CT22-CT40+CT58</f>
        <v>4672788.75</v>
      </c>
      <c r="CU76" s="36">
        <f t="shared" ca="1" si="222"/>
        <v>2336394.375</v>
      </c>
      <c r="CV76" s="36">
        <f t="shared" ca="1" si="222"/>
        <v>0</v>
      </c>
      <c r="CW76" s="21"/>
    </row>
    <row r="77" spans="4:101" x14ac:dyDescent="0.25">
      <c r="D77" s="35" t="str">
        <f>[1]Key!$W$16</f>
        <v>MURAKAMI / TORITON</v>
      </c>
      <c r="F77" s="21"/>
      <c r="G77" s="21"/>
      <c r="H77" s="21"/>
      <c r="I77" s="21"/>
      <c r="J77" s="21"/>
      <c r="K77" s="21"/>
      <c r="L77" s="21"/>
      <c r="M77" s="21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36">
        <f t="shared" ref="Z77:BH77" ca="1" si="223">Z23-Z41+Z59</f>
        <v>138720</v>
      </c>
      <c r="AA77" s="36">
        <f t="shared" ca="1" si="223"/>
        <v>153170</v>
      </c>
      <c r="AB77" s="36">
        <f t="shared" ca="1" si="223"/>
        <v>14450</v>
      </c>
      <c r="AC77" s="36">
        <f t="shared" ca="1" si="223"/>
        <v>14450</v>
      </c>
      <c r="AD77" s="36">
        <f t="shared" ca="1" si="223"/>
        <v>361250</v>
      </c>
      <c r="AE77" s="36">
        <f t="shared" ca="1" si="223"/>
        <v>346800</v>
      </c>
      <c r="AF77" s="36">
        <f t="shared" ca="1" si="223"/>
        <v>28900</v>
      </c>
      <c r="AG77" s="36">
        <f t="shared" ca="1" si="223"/>
        <v>28900</v>
      </c>
      <c r="AH77" s="36">
        <f t="shared" ca="1" si="223"/>
        <v>78000</v>
      </c>
      <c r="AI77" s="36">
        <f t="shared" ca="1" si="223"/>
        <v>184900</v>
      </c>
      <c r="AJ77" s="36">
        <f t="shared" ca="1" si="223"/>
        <v>106900</v>
      </c>
      <c r="AK77" s="36">
        <f t="shared" ca="1" si="223"/>
        <v>260000</v>
      </c>
      <c r="AL77" s="36">
        <f t="shared" ca="1" si="223"/>
        <v>317800</v>
      </c>
      <c r="AM77" s="36">
        <f t="shared" ca="1" si="223"/>
        <v>57800</v>
      </c>
      <c r="AN77" s="36">
        <f t="shared" ca="1" si="223"/>
        <v>325000</v>
      </c>
      <c r="AO77" s="36">
        <f t="shared" ca="1" si="223"/>
        <v>479300</v>
      </c>
      <c r="AP77" s="36">
        <f t="shared" ca="1" si="223"/>
        <v>243140</v>
      </c>
      <c r="AQ77" s="36">
        <f t="shared" ca="1" si="223"/>
        <v>452520</v>
      </c>
      <c r="AR77" s="36">
        <f t="shared" ca="1" si="223"/>
        <v>363680</v>
      </c>
      <c r="AS77" s="36">
        <f t="shared" ca="1" si="223"/>
        <v>43200</v>
      </c>
      <c r="AT77" s="36">
        <f t="shared" ca="1" si="223"/>
        <v>430720</v>
      </c>
      <c r="AU77" s="36">
        <f t="shared" ca="1" si="223"/>
        <v>665220</v>
      </c>
      <c r="AV77" s="36">
        <f t="shared" ca="1" si="223"/>
        <v>335500</v>
      </c>
      <c r="AW77" s="36">
        <f t="shared" ca="1" si="223"/>
        <v>588080</v>
      </c>
      <c r="AX77" s="36">
        <f t="shared" ca="1" si="223"/>
        <v>789480</v>
      </c>
      <c r="AY77" s="36">
        <f t="shared" ca="1" si="223"/>
        <v>277700</v>
      </c>
      <c r="AZ77" s="36">
        <f t="shared" ca="1" si="223"/>
        <v>440500</v>
      </c>
      <c r="BA77" s="36">
        <f t="shared" ca="1" si="223"/>
        <v>784880</v>
      </c>
      <c r="BB77" s="36">
        <f t="shared" ca="1" si="223"/>
        <v>420680</v>
      </c>
      <c r="BC77" s="36">
        <f t="shared" ca="1" si="223"/>
        <v>620480</v>
      </c>
      <c r="BD77" s="36">
        <f t="shared" ca="1" si="223"/>
        <v>821880</v>
      </c>
      <c r="BE77" s="36">
        <f t="shared" ca="1" si="223"/>
        <v>277700</v>
      </c>
      <c r="BF77" s="36">
        <f t="shared" ca="1" si="223"/>
        <v>381780</v>
      </c>
      <c r="BG77" s="36">
        <f t="shared" ca="1" si="223"/>
        <v>622480</v>
      </c>
      <c r="BH77" s="36">
        <f t="shared" ca="1" si="223"/>
        <v>396475</v>
      </c>
      <c r="BI77" s="36">
        <f ca="1">BI23-BI41+BI59</f>
        <v>1396690</v>
      </c>
      <c r="BJ77" s="36">
        <f t="shared" ref="BJ77:CS77" ca="1" si="224">BJ23-BJ41+BJ59</f>
        <v>1875015</v>
      </c>
      <c r="BK77" s="36">
        <f t="shared" ca="1" si="224"/>
        <v>659537.5</v>
      </c>
      <c r="BL77" s="36">
        <f t="shared" ca="1" si="224"/>
        <v>1046187.5</v>
      </c>
      <c r="BM77" s="36">
        <f t="shared" ca="1" si="224"/>
        <v>1864090</v>
      </c>
      <c r="BN77" s="36">
        <f t="shared" ca="1" si="224"/>
        <v>999115</v>
      </c>
      <c r="BO77" s="36">
        <f t="shared" ca="1" si="224"/>
        <v>1473640</v>
      </c>
      <c r="BP77" s="36">
        <f t="shared" ca="1" si="224"/>
        <v>1951965</v>
      </c>
      <c r="BQ77" s="36">
        <f t="shared" ca="1" si="224"/>
        <v>659537.5</v>
      </c>
      <c r="BR77" s="36">
        <f t="shared" ca="1" si="224"/>
        <v>906727.5</v>
      </c>
      <c r="BS77" s="36">
        <f t="shared" ca="1" si="224"/>
        <v>1478390</v>
      </c>
      <c r="BT77" s="36">
        <f t="shared" ca="1" si="224"/>
        <v>855831.25</v>
      </c>
      <c r="BU77" s="36">
        <f t="shared" ca="1" si="224"/>
        <v>2444207.5</v>
      </c>
      <c r="BV77" s="36">
        <f t="shared" ca="1" si="224"/>
        <v>3281276.25</v>
      </c>
      <c r="BW77" s="36">
        <f t="shared" ca="1" si="224"/>
        <v>1154190.625</v>
      </c>
      <c r="BX77" s="36">
        <f t="shared" ca="1" si="224"/>
        <v>1830828.125</v>
      </c>
      <c r="BY77" s="36">
        <f t="shared" ca="1" si="224"/>
        <v>3262157.5</v>
      </c>
      <c r="BZ77" s="36">
        <f t="shared" ca="1" si="224"/>
        <v>1748451.25</v>
      </c>
      <c r="CA77" s="36">
        <f t="shared" ca="1" si="224"/>
        <v>2578870</v>
      </c>
      <c r="CB77" s="36">
        <f t="shared" ca="1" si="224"/>
        <v>3415938.75</v>
      </c>
      <c r="CC77" s="36">
        <f t="shared" ca="1" si="224"/>
        <v>1154190.625</v>
      </c>
      <c r="CD77" s="36">
        <f t="shared" ca="1" si="224"/>
        <v>1586773.125</v>
      </c>
      <c r="CE77" s="36">
        <f t="shared" ca="1" si="224"/>
        <v>2587182.5</v>
      </c>
      <c r="CF77" s="36">
        <f t="shared" ca="1" si="224"/>
        <v>1437646.875</v>
      </c>
      <c r="CG77" s="36">
        <f t="shared" ca="1" si="224"/>
        <v>3666311.25</v>
      </c>
      <c r="CH77" s="36">
        <f t="shared" ca="1" si="224"/>
        <v>4921914.375</v>
      </c>
      <c r="CI77" s="36">
        <f t="shared" ca="1" si="224"/>
        <v>1731285.9375</v>
      </c>
      <c r="CJ77" s="36">
        <f t="shared" ca="1" si="224"/>
        <v>2746242.1875</v>
      </c>
      <c r="CK77" s="36">
        <f t="shared" ca="1" si="224"/>
        <v>4893236.25</v>
      </c>
      <c r="CL77" s="36">
        <f t="shared" ca="1" si="224"/>
        <v>2622676.875</v>
      </c>
      <c r="CM77" s="36">
        <f t="shared" ca="1" si="224"/>
        <v>3868305</v>
      </c>
      <c r="CN77" s="36">
        <f t="shared" ca="1" si="224"/>
        <v>5123908.125</v>
      </c>
      <c r="CO77" s="36">
        <f t="shared" ca="1" si="224"/>
        <v>1731285.9375</v>
      </c>
      <c r="CP77" s="36">
        <f t="shared" ca="1" si="224"/>
        <v>2380159.6875</v>
      </c>
      <c r="CQ77" s="36">
        <f t="shared" ca="1" si="224"/>
        <v>3880773.75</v>
      </c>
      <c r="CR77" s="36">
        <f t="shared" ca="1" si="224"/>
        <v>3196010.78125</v>
      </c>
      <c r="CS77" s="36">
        <f t="shared" ca="1" si="224"/>
        <v>3160121.5625</v>
      </c>
      <c r="CT77" s="36">
        <f t="shared" ref="CT77:CV77" ca="1" si="225">CT23-CT41+CT59</f>
        <v>3160121.5625</v>
      </c>
      <c r="CU77" s="36">
        <f t="shared" ca="1" si="225"/>
        <v>1580060.78125</v>
      </c>
      <c r="CV77" s="36">
        <f t="shared" ca="1" si="225"/>
        <v>0</v>
      </c>
      <c r="CW77" s="21"/>
    </row>
    <row r="78" spans="4:101" x14ac:dyDescent="0.25">
      <c r="D78" s="35" t="str">
        <f>[1]Key!$W$17</f>
        <v>NEW PARTNER 1</v>
      </c>
      <c r="F78" s="21"/>
      <c r="G78" s="21"/>
      <c r="H78" s="21"/>
      <c r="I78" s="21"/>
      <c r="J78" s="21"/>
      <c r="K78" s="21"/>
      <c r="L78" s="21"/>
      <c r="M78" s="21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36">
        <f t="shared" ref="Z78:BI78" ca="1" si="226">Z24-Z42+Z60</f>
        <v>0</v>
      </c>
      <c r="AA78" s="36">
        <f t="shared" ca="1" si="226"/>
        <v>0</v>
      </c>
      <c r="AB78" s="36">
        <f t="shared" ca="1" si="226"/>
        <v>0</v>
      </c>
      <c r="AC78" s="36">
        <f t="shared" ca="1" si="226"/>
        <v>0</v>
      </c>
      <c r="AD78" s="36">
        <f t="shared" ca="1" si="226"/>
        <v>0</v>
      </c>
      <c r="AE78" s="36">
        <f t="shared" ca="1" si="226"/>
        <v>0</v>
      </c>
      <c r="AF78" s="36">
        <f t="shared" ca="1" si="226"/>
        <v>0</v>
      </c>
      <c r="AG78" s="36">
        <f t="shared" ca="1" si="226"/>
        <v>0</v>
      </c>
      <c r="AH78" s="36">
        <f t="shared" ca="1" si="226"/>
        <v>0</v>
      </c>
      <c r="AI78" s="36">
        <f t="shared" ca="1" si="226"/>
        <v>0</v>
      </c>
      <c r="AJ78" s="36">
        <f t="shared" ca="1" si="226"/>
        <v>0</v>
      </c>
      <c r="AK78" s="36">
        <f t="shared" ca="1" si="226"/>
        <v>0</v>
      </c>
      <c r="AL78" s="36">
        <f t="shared" ca="1" si="226"/>
        <v>0</v>
      </c>
      <c r="AM78" s="36">
        <f t="shared" ca="1" si="226"/>
        <v>0</v>
      </c>
      <c r="AN78" s="36">
        <f t="shared" ca="1" si="226"/>
        <v>0</v>
      </c>
      <c r="AO78" s="36">
        <f t="shared" ca="1" si="226"/>
        <v>0</v>
      </c>
      <c r="AP78" s="36">
        <f t="shared" ca="1" si="226"/>
        <v>0</v>
      </c>
      <c r="AQ78" s="36">
        <f t="shared" ca="1" si="226"/>
        <v>0</v>
      </c>
      <c r="AR78" s="36">
        <f t="shared" ca="1" si="226"/>
        <v>0</v>
      </c>
      <c r="AS78" s="36">
        <f t="shared" ca="1" si="226"/>
        <v>0</v>
      </c>
      <c r="AT78" s="36">
        <f t="shared" ca="1" si="226"/>
        <v>0</v>
      </c>
      <c r="AU78" s="36">
        <f t="shared" ca="1" si="226"/>
        <v>0</v>
      </c>
      <c r="AV78" s="36">
        <f t="shared" ca="1" si="226"/>
        <v>103680</v>
      </c>
      <c r="AW78" s="36">
        <f t="shared" ca="1" si="226"/>
        <v>103680</v>
      </c>
      <c r="AX78" s="36">
        <f t="shared" ca="1" si="226"/>
        <v>0</v>
      </c>
      <c r="AY78" s="36">
        <f t="shared" ca="1" si="226"/>
        <v>0</v>
      </c>
      <c r="AZ78" s="36">
        <f t="shared" ca="1" si="226"/>
        <v>0</v>
      </c>
      <c r="BA78" s="36">
        <f t="shared" ca="1" si="226"/>
        <v>0</v>
      </c>
      <c r="BB78" s="36">
        <f t="shared" ca="1" si="226"/>
        <v>216000</v>
      </c>
      <c r="BC78" s="36">
        <f t="shared" ca="1" si="226"/>
        <v>216000</v>
      </c>
      <c r="BD78" s="36">
        <f t="shared" ca="1" si="226"/>
        <v>0</v>
      </c>
      <c r="BE78" s="36">
        <f t="shared" ca="1" si="226"/>
        <v>0</v>
      </c>
      <c r="BF78" s="36">
        <f t="shared" ca="1" si="226"/>
        <v>0</v>
      </c>
      <c r="BG78" s="36">
        <f t="shared" ca="1" si="226"/>
        <v>0</v>
      </c>
      <c r="BH78" s="36">
        <f t="shared" ca="1" si="226"/>
        <v>295488</v>
      </c>
      <c r="BI78" s="36">
        <f t="shared" ca="1" si="226"/>
        <v>295488</v>
      </c>
      <c r="BJ78" s="36">
        <f t="shared" ref="BJ78:CS78" ca="1" si="227">BJ24-BJ42+BJ60</f>
        <v>0</v>
      </c>
      <c r="BK78" s="36">
        <f t="shared" ca="1" si="227"/>
        <v>0</v>
      </c>
      <c r="BL78" s="36">
        <f t="shared" ca="1" si="227"/>
        <v>0</v>
      </c>
      <c r="BM78" s="36">
        <f t="shared" ca="1" si="227"/>
        <v>0</v>
      </c>
      <c r="BN78" s="36">
        <f t="shared" ca="1" si="227"/>
        <v>615600</v>
      </c>
      <c r="BO78" s="36">
        <f t="shared" ca="1" si="227"/>
        <v>615600</v>
      </c>
      <c r="BP78" s="36">
        <f t="shared" ca="1" si="227"/>
        <v>0</v>
      </c>
      <c r="BQ78" s="36">
        <f t="shared" ca="1" si="227"/>
        <v>0</v>
      </c>
      <c r="BR78" s="36">
        <f t="shared" ca="1" si="227"/>
        <v>0</v>
      </c>
      <c r="BS78" s="36">
        <f t="shared" ca="1" si="227"/>
        <v>0</v>
      </c>
      <c r="BT78" s="36">
        <f t="shared" ca="1" si="227"/>
        <v>738720</v>
      </c>
      <c r="BU78" s="36">
        <f t="shared" ca="1" si="227"/>
        <v>738720</v>
      </c>
      <c r="BV78" s="36">
        <f t="shared" ca="1" si="227"/>
        <v>0</v>
      </c>
      <c r="BW78" s="36">
        <f t="shared" ca="1" si="227"/>
        <v>0</v>
      </c>
      <c r="BX78" s="36">
        <f t="shared" ca="1" si="227"/>
        <v>0</v>
      </c>
      <c r="BY78" s="36">
        <f t="shared" ca="1" si="227"/>
        <v>0</v>
      </c>
      <c r="BZ78" s="36">
        <f t="shared" ca="1" si="227"/>
        <v>1539000</v>
      </c>
      <c r="CA78" s="36">
        <f t="shared" ca="1" si="227"/>
        <v>1539000</v>
      </c>
      <c r="CB78" s="36">
        <f t="shared" ca="1" si="227"/>
        <v>0</v>
      </c>
      <c r="CC78" s="36">
        <f t="shared" ca="1" si="227"/>
        <v>0</v>
      </c>
      <c r="CD78" s="36">
        <f t="shared" ca="1" si="227"/>
        <v>0</v>
      </c>
      <c r="CE78" s="36">
        <f t="shared" ca="1" si="227"/>
        <v>0</v>
      </c>
      <c r="CF78" s="36">
        <f t="shared" ca="1" si="227"/>
        <v>1292760</v>
      </c>
      <c r="CG78" s="36">
        <f t="shared" ca="1" si="227"/>
        <v>1292760</v>
      </c>
      <c r="CH78" s="36">
        <f t="shared" ca="1" si="227"/>
        <v>0</v>
      </c>
      <c r="CI78" s="36">
        <f t="shared" ca="1" si="227"/>
        <v>0</v>
      </c>
      <c r="CJ78" s="36">
        <f t="shared" ca="1" si="227"/>
        <v>0</v>
      </c>
      <c r="CK78" s="36">
        <f t="shared" ca="1" si="227"/>
        <v>0</v>
      </c>
      <c r="CL78" s="36">
        <f t="shared" ca="1" si="227"/>
        <v>2693250</v>
      </c>
      <c r="CM78" s="36">
        <f t="shared" ca="1" si="227"/>
        <v>2693250</v>
      </c>
      <c r="CN78" s="36">
        <f t="shared" ca="1" si="227"/>
        <v>0</v>
      </c>
      <c r="CO78" s="36">
        <f t="shared" ca="1" si="227"/>
        <v>0</v>
      </c>
      <c r="CP78" s="36">
        <f t="shared" ca="1" si="227"/>
        <v>0</v>
      </c>
      <c r="CQ78" s="36">
        <f t="shared" ca="1" si="227"/>
        <v>0</v>
      </c>
      <c r="CR78" s="36">
        <f t="shared" ca="1" si="227"/>
        <v>448875</v>
      </c>
      <c r="CS78" s="36">
        <f t="shared" ca="1" si="227"/>
        <v>897750</v>
      </c>
      <c r="CT78" s="36">
        <f t="shared" ref="CT78:CV78" ca="1" si="228">CT24-CT42+CT60</f>
        <v>897750</v>
      </c>
      <c r="CU78" s="36">
        <f t="shared" ca="1" si="228"/>
        <v>448875</v>
      </c>
      <c r="CV78" s="36">
        <f t="shared" ca="1" si="228"/>
        <v>0</v>
      </c>
      <c r="CW78" s="21"/>
    </row>
    <row r="79" spans="4:101" x14ac:dyDescent="0.25">
      <c r="D79" s="35" t="str">
        <f>[1]Key!$W$18</f>
        <v>NEW PARTNER 2</v>
      </c>
      <c r="F79" s="21"/>
      <c r="G79" s="21"/>
      <c r="H79" s="21"/>
      <c r="I79" s="21"/>
      <c r="J79" s="21"/>
      <c r="K79" s="21"/>
      <c r="L79" s="21"/>
      <c r="M79" s="21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36">
        <f t="shared" ref="Z79:BI79" ca="1" si="229">Z25-Z43+Z61</f>
        <v>0</v>
      </c>
      <c r="AA79" s="36">
        <f t="shared" ca="1" si="229"/>
        <v>0</v>
      </c>
      <c r="AB79" s="36">
        <f t="shared" ca="1" si="229"/>
        <v>0</v>
      </c>
      <c r="AC79" s="36">
        <f t="shared" ca="1" si="229"/>
        <v>0</v>
      </c>
      <c r="AD79" s="36">
        <f t="shared" ca="1" si="229"/>
        <v>0</v>
      </c>
      <c r="AE79" s="36">
        <f t="shared" ca="1" si="229"/>
        <v>0</v>
      </c>
      <c r="AF79" s="36">
        <f t="shared" ca="1" si="229"/>
        <v>0</v>
      </c>
      <c r="AG79" s="36">
        <f t="shared" ca="1" si="229"/>
        <v>0</v>
      </c>
      <c r="AH79" s="36">
        <f t="shared" ca="1" si="229"/>
        <v>0</v>
      </c>
      <c r="AI79" s="36">
        <f t="shared" ca="1" si="229"/>
        <v>0</v>
      </c>
      <c r="AJ79" s="36">
        <f t="shared" ca="1" si="229"/>
        <v>0</v>
      </c>
      <c r="AK79" s="36">
        <f t="shared" ca="1" si="229"/>
        <v>0</v>
      </c>
      <c r="AL79" s="36">
        <f t="shared" ca="1" si="229"/>
        <v>0</v>
      </c>
      <c r="AM79" s="36">
        <f t="shared" ca="1" si="229"/>
        <v>0</v>
      </c>
      <c r="AN79" s="36">
        <f t="shared" ca="1" si="229"/>
        <v>0</v>
      </c>
      <c r="AO79" s="36">
        <f t="shared" ca="1" si="229"/>
        <v>0</v>
      </c>
      <c r="AP79" s="36">
        <f t="shared" ca="1" si="229"/>
        <v>0</v>
      </c>
      <c r="AQ79" s="36">
        <f t="shared" ca="1" si="229"/>
        <v>0</v>
      </c>
      <c r="AR79" s="36">
        <f t="shared" ca="1" si="229"/>
        <v>0</v>
      </c>
      <c r="AS79" s="36">
        <f t="shared" ca="1" si="229"/>
        <v>0</v>
      </c>
      <c r="AT79" s="36">
        <f t="shared" ca="1" si="229"/>
        <v>0</v>
      </c>
      <c r="AU79" s="36">
        <f t="shared" ca="1" si="229"/>
        <v>0</v>
      </c>
      <c r="AV79" s="36">
        <f t="shared" ca="1" si="229"/>
        <v>216000</v>
      </c>
      <c r="AW79" s="36">
        <f t="shared" ca="1" si="229"/>
        <v>216000</v>
      </c>
      <c r="AX79" s="36">
        <f t="shared" ca="1" si="229"/>
        <v>0</v>
      </c>
      <c r="AY79" s="36">
        <f t="shared" ca="1" si="229"/>
        <v>0</v>
      </c>
      <c r="AZ79" s="36">
        <f t="shared" ca="1" si="229"/>
        <v>0</v>
      </c>
      <c r="BA79" s="36">
        <f t="shared" ca="1" si="229"/>
        <v>0</v>
      </c>
      <c r="BB79" s="36">
        <f t="shared" ca="1" si="229"/>
        <v>518400.00000000006</v>
      </c>
      <c r="BC79" s="36">
        <f t="shared" ca="1" si="229"/>
        <v>518400.00000000006</v>
      </c>
      <c r="BD79" s="36">
        <f t="shared" ca="1" si="229"/>
        <v>0</v>
      </c>
      <c r="BE79" s="36">
        <f t="shared" ca="1" si="229"/>
        <v>0</v>
      </c>
      <c r="BF79" s="36">
        <f t="shared" ca="1" si="229"/>
        <v>103680</v>
      </c>
      <c r="BG79" s="36">
        <f t="shared" ca="1" si="229"/>
        <v>103680</v>
      </c>
      <c r="BH79" s="36">
        <f t="shared" ca="1" si="229"/>
        <v>615600</v>
      </c>
      <c r="BI79" s="36">
        <f t="shared" ca="1" si="229"/>
        <v>615600</v>
      </c>
      <c r="BJ79" s="36">
        <f t="shared" ref="BJ79:CS79" ca="1" si="230">BJ25-BJ43+BJ61</f>
        <v>0</v>
      </c>
      <c r="BK79" s="36">
        <f t="shared" ca="1" si="230"/>
        <v>0</v>
      </c>
      <c r="BL79" s="36">
        <f t="shared" ca="1" si="230"/>
        <v>0</v>
      </c>
      <c r="BM79" s="36">
        <f t="shared" ca="1" si="230"/>
        <v>0</v>
      </c>
      <c r="BN79" s="36">
        <f t="shared" ca="1" si="230"/>
        <v>1477440</v>
      </c>
      <c r="BO79" s="36">
        <f t="shared" ca="1" si="230"/>
        <v>1477440</v>
      </c>
      <c r="BP79" s="36">
        <f t="shared" ca="1" si="230"/>
        <v>0</v>
      </c>
      <c r="BQ79" s="36">
        <f t="shared" ca="1" si="230"/>
        <v>0</v>
      </c>
      <c r="BR79" s="36">
        <f t="shared" ca="1" si="230"/>
        <v>295488</v>
      </c>
      <c r="BS79" s="36">
        <f t="shared" ca="1" si="230"/>
        <v>295488</v>
      </c>
      <c r="BT79" s="36">
        <f t="shared" ca="1" si="230"/>
        <v>1539000</v>
      </c>
      <c r="BU79" s="36">
        <f t="shared" ca="1" si="230"/>
        <v>1539000</v>
      </c>
      <c r="BV79" s="36">
        <f t="shared" ca="1" si="230"/>
        <v>0</v>
      </c>
      <c r="BW79" s="36">
        <f t="shared" ca="1" si="230"/>
        <v>0</v>
      </c>
      <c r="BX79" s="36">
        <f t="shared" ca="1" si="230"/>
        <v>0</v>
      </c>
      <c r="BY79" s="36">
        <f t="shared" ca="1" si="230"/>
        <v>0</v>
      </c>
      <c r="BZ79" s="36">
        <f t="shared" ca="1" si="230"/>
        <v>3693600</v>
      </c>
      <c r="CA79" s="36">
        <f t="shared" ca="1" si="230"/>
        <v>3693600</v>
      </c>
      <c r="CB79" s="36">
        <f t="shared" ca="1" si="230"/>
        <v>0</v>
      </c>
      <c r="CC79" s="36">
        <f t="shared" ca="1" si="230"/>
        <v>0</v>
      </c>
      <c r="CD79" s="36">
        <f t="shared" ca="1" si="230"/>
        <v>738720</v>
      </c>
      <c r="CE79" s="36">
        <f t="shared" ca="1" si="230"/>
        <v>738720</v>
      </c>
      <c r="CF79" s="36">
        <f t="shared" ca="1" si="230"/>
        <v>2693250</v>
      </c>
      <c r="CG79" s="36">
        <f t="shared" ca="1" si="230"/>
        <v>2693250</v>
      </c>
      <c r="CH79" s="36">
        <f t="shared" ca="1" si="230"/>
        <v>0</v>
      </c>
      <c r="CI79" s="36">
        <f t="shared" ca="1" si="230"/>
        <v>0</v>
      </c>
      <c r="CJ79" s="36">
        <f t="shared" ca="1" si="230"/>
        <v>0</v>
      </c>
      <c r="CK79" s="36">
        <f t="shared" ca="1" si="230"/>
        <v>0</v>
      </c>
      <c r="CL79" s="36">
        <f t="shared" ca="1" si="230"/>
        <v>6463800</v>
      </c>
      <c r="CM79" s="36">
        <f t="shared" ca="1" si="230"/>
        <v>6463800</v>
      </c>
      <c r="CN79" s="36">
        <f t="shared" ca="1" si="230"/>
        <v>0</v>
      </c>
      <c r="CO79" s="36">
        <f t="shared" ca="1" si="230"/>
        <v>0</v>
      </c>
      <c r="CP79" s="36">
        <f t="shared" ca="1" si="230"/>
        <v>1292760</v>
      </c>
      <c r="CQ79" s="36">
        <f t="shared" ca="1" si="230"/>
        <v>1292760</v>
      </c>
      <c r="CR79" s="36">
        <f t="shared" ca="1" si="230"/>
        <v>1292760</v>
      </c>
      <c r="CS79" s="36">
        <f t="shared" ca="1" si="230"/>
        <v>2585520</v>
      </c>
      <c r="CT79" s="36">
        <f t="shared" ref="CT79:CV79" ca="1" si="231">CT25-CT43+CT61</f>
        <v>2585520</v>
      </c>
      <c r="CU79" s="36">
        <f t="shared" ca="1" si="231"/>
        <v>1292760</v>
      </c>
      <c r="CV79" s="36">
        <f t="shared" ca="1" si="231"/>
        <v>0</v>
      </c>
      <c r="CW79" s="21"/>
    </row>
    <row r="80" spans="4:101" x14ac:dyDescent="0.25">
      <c r="D80" s="35" t="str">
        <f>[1]Key!$W$19</f>
        <v>PIGALLE</v>
      </c>
      <c r="F80" s="21"/>
      <c r="G80" s="21"/>
      <c r="H80" s="21"/>
      <c r="I80" s="21"/>
      <c r="J80" s="21"/>
      <c r="K80" s="21"/>
      <c r="L80" s="21"/>
      <c r="M80" s="21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36">
        <f t="shared" ref="Z80:BI80" ca="1" si="232">Z26-Z44+Z62</f>
        <v>0</v>
      </c>
      <c r="AA80" s="36">
        <f t="shared" ca="1" si="232"/>
        <v>0</v>
      </c>
      <c r="AB80" s="36">
        <f t="shared" ca="1" si="232"/>
        <v>0</v>
      </c>
      <c r="AC80" s="36">
        <f t="shared" ca="1" si="232"/>
        <v>0</v>
      </c>
      <c r="AD80" s="36">
        <f t="shared" ca="1" si="232"/>
        <v>0</v>
      </c>
      <c r="AE80" s="36">
        <f t="shared" ca="1" si="232"/>
        <v>0</v>
      </c>
      <c r="AF80" s="36">
        <f t="shared" ca="1" si="232"/>
        <v>0</v>
      </c>
      <c r="AG80" s="36">
        <f t="shared" ca="1" si="232"/>
        <v>0</v>
      </c>
      <c r="AH80" s="36">
        <f t="shared" ca="1" si="232"/>
        <v>0</v>
      </c>
      <c r="AI80" s="36">
        <f t="shared" ca="1" si="232"/>
        <v>0</v>
      </c>
      <c r="AJ80" s="36">
        <f t="shared" ca="1" si="232"/>
        <v>0</v>
      </c>
      <c r="AK80" s="36">
        <f t="shared" ca="1" si="232"/>
        <v>0</v>
      </c>
      <c r="AL80" s="36">
        <f t="shared" ca="1" si="232"/>
        <v>0</v>
      </c>
      <c r="AM80" s="36">
        <f t="shared" ca="1" si="232"/>
        <v>0</v>
      </c>
      <c r="AN80" s="36">
        <f t="shared" ca="1" si="232"/>
        <v>32400</v>
      </c>
      <c r="AO80" s="36">
        <f t="shared" ca="1" si="232"/>
        <v>32400</v>
      </c>
      <c r="AP80" s="36">
        <f t="shared" ca="1" si="232"/>
        <v>64800</v>
      </c>
      <c r="AQ80" s="36">
        <f t="shared" ca="1" si="232"/>
        <v>64800</v>
      </c>
      <c r="AR80" s="36">
        <f t="shared" ca="1" si="232"/>
        <v>0</v>
      </c>
      <c r="AS80" s="36">
        <f t="shared" ca="1" si="232"/>
        <v>0</v>
      </c>
      <c r="AT80" s="36">
        <f t="shared" ca="1" si="232"/>
        <v>129600</v>
      </c>
      <c r="AU80" s="36">
        <f t="shared" ca="1" si="232"/>
        <v>129600</v>
      </c>
      <c r="AV80" s="36">
        <f t="shared" ca="1" si="232"/>
        <v>0</v>
      </c>
      <c r="AW80" s="36">
        <f t="shared" ca="1" si="232"/>
        <v>129600</v>
      </c>
      <c r="AX80" s="36">
        <f t="shared" ca="1" si="232"/>
        <v>129600</v>
      </c>
      <c r="AY80" s="36">
        <f t="shared" ca="1" si="232"/>
        <v>0</v>
      </c>
      <c r="AZ80" s="36">
        <f t="shared" ca="1" si="232"/>
        <v>129600</v>
      </c>
      <c r="BA80" s="36">
        <f t="shared" ca="1" si="232"/>
        <v>129600</v>
      </c>
      <c r="BB80" s="36">
        <f t="shared" ca="1" si="232"/>
        <v>0</v>
      </c>
      <c r="BC80" s="36">
        <f t="shared" ca="1" si="232"/>
        <v>129600</v>
      </c>
      <c r="BD80" s="36">
        <f t="shared" ca="1" si="232"/>
        <v>129600</v>
      </c>
      <c r="BE80" s="36">
        <f t="shared" ca="1" si="232"/>
        <v>0</v>
      </c>
      <c r="BF80" s="36">
        <f t="shared" ca="1" si="232"/>
        <v>129600</v>
      </c>
      <c r="BG80" s="36">
        <f t="shared" ca="1" si="232"/>
        <v>129600</v>
      </c>
      <c r="BH80" s="36">
        <f t="shared" ca="1" si="232"/>
        <v>0</v>
      </c>
      <c r="BI80" s="36">
        <f t="shared" ca="1" si="232"/>
        <v>246240</v>
      </c>
      <c r="BJ80" s="36">
        <f t="shared" ref="BJ80:CS80" ca="1" si="233">BJ26-BJ44+BJ62</f>
        <v>246240</v>
      </c>
      <c r="BK80" s="36">
        <f t="shared" ca="1" si="233"/>
        <v>0</v>
      </c>
      <c r="BL80" s="36">
        <f t="shared" ca="1" si="233"/>
        <v>246240</v>
      </c>
      <c r="BM80" s="36">
        <f t="shared" ca="1" si="233"/>
        <v>246240</v>
      </c>
      <c r="BN80" s="36">
        <f t="shared" ca="1" si="233"/>
        <v>0</v>
      </c>
      <c r="BO80" s="36">
        <f t="shared" ca="1" si="233"/>
        <v>246240</v>
      </c>
      <c r="BP80" s="36">
        <f t="shared" ca="1" si="233"/>
        <v>246240</v>
      </c>
      <c r="BQ80" s="36">
        <f t="shared" ca="1" si="233"/>
        <v>0</v>
      </c>
      <c r="BR80" s="36">
        <f t="shared" ca="1" si="233"/>
        <v>246240</v>
      </c>
      <c r="BS80" s="36">
        <f t="shared" ca="1" si="233"/>
        <v>246240</v>
      </c>
      <c r="BT80" s="36">
        <f t="shared" ca="1" si="233"/>
        <v>0</v>
      </c>
      <c r="BU80" s="36">
        <f t="shared" ca="1" si="233"/>
        <v>369360</v>
      </c>
      <c r="BV80" s="36">
        <f t="shared" ca="1" si="233"/>
        <v>369360</v>
      </c>
      <c r="BW80" s="36">
        <f t="shared" ca="1" si="233"/>
        <v>0</v>
      </c>
      <c r="BX80" s="36">
        <f t="shared" ca="1" si="233"/>
        <v>369360</v>
      </c>
      <c r="BY80" s="36">
        <f t="shared" ca="1" si="233"/>
        <v>369360</v>
      </c>
      <c r="BZ80" s="36">
        <f t="shared" ca="1" si="233"/>
        <v>0</v>
      </c>
      <c r="CA80" s="36">
        <f t="shared" ca="1" si="233"/>
        <v>369360</v>
      </c>
      <c r="CB80" s="36">
        <f t="shared" ca="1" si="233"/>
        <v>369360</v>
      </c>
      <c r="CC80" s="36">
        <f t="shared" ca="1" si="233"/>
        <v>0</v>
      </c>
      <c r="CD80" s="36">
        <f t="shared" ca="1" si="233"/>
        <v>369360</v>
      </c>
      <c r="CE80" s="36">
        <f t="shared" ca="1" si="233"/>
        <v>369360</v>
      </c>
      <c r="CF80" s="36">
        <f t="shared" ca="1" si="233"/>
        <v>0</v>
      </c>
      <c r="CG80" s="36">
        <f t="shared" ca="1" si="233"/>
        <v>480168</v>
      </c>
      <c r="CH80" s="36">
        <f t="shared" ca="1" si="233"/>
        <v>480168</v>
      </c>
      <c r="CI80" s="36">
        <f t="shared" ca="1" si="233"/>
        <v>0</v>
      </c>
      <c r="CJ80" s="36">
        <f t="shared" ca="1" si="233"/>
        <v>480168</v>
      </c>
      <c r="CK80" s="36">
        <f t="shared" ca="1" si="233"/>
        <v>480168</v>
      </c>
      <c r="CL80" s="36">
        <f t="shared" ca="1" si="233"/>
        <v>0</v>
      </c>
      <c r="CM80" s="36">
        <f t="shared" ca="1" si="233"/>
        <v>480168</v>
      </c>
      <c r="CN80" s="36">
        <f t="shared" ca="1" si="233"/>
        <v>480168</v>
      </c>
      <c r="CO80" s="36">
        <f t="shared" ca="1" si="233"/>
        <v>0</v>
      </c>
      <c r="CP80" s="36">
        <f t="shared" ca="1" si="233"/>
        <v>480168</v>
      </c>
      <c r="CQ80" s="36">
        <f t="shared" ca="1" si="233"/>
        <v>480168</v>
      </c>
      <c r="CR80" s="36">
        <f t="shared" ca="1" si="233"/>
        <v>160056</v>
      </c>
      <c r="CS80" s="36">
        <f t="shared" ca="1" si="233"/>
        <v>320112</v>
      </c>
      <c r="CT80" s="36">
        <f t="shared" ref="CT80:CV80" ca="1" si="234">CT26-CT44+CT62</f>
        <v>320112</v>
      </c>
      <c r="CU80" s="36">
        <f t="shared" ca="1" si="234"/>
        <v>160056</v>
      </c>
      <c r="CV80" s="36">
        <f t="shared" ca="1" si="234"/>
        <v>0</v>
      </c>
      <c r="CW80" s="21"/>
    </row>
    <row r="81" spans="2:101" x14ac:dyDescent="0.25">
      <c r="D81" s="35" t="str">
        <f>[1]Key!$W$20</f>
        <v>SPORT PLACEHOLDER</v>
      </c>
      <c r="F81" s="21"/>
      <c r="G81" s="21"/>
      <c r="H81" s="21"/>
      <c r="I81" s="21"/>
      <c r="J81" s="21"/>
      <c r="K81" s="21"/>
      <c r="L81" s="21"/>
      <c r="M81" s="21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36">
        <f t="shared" ref="Z81:BI81" ca="1" si="235">Z27-Z45+Z63</f>
        <v>0</v>
      </c>
      <c r="AA81" s="36">
        <f t="shared" ca="1" si="235"/>
        <v>0</v>
      </c>
      <c r="AB81" s="36">
        <f t="shared" ca="1" si="235"/>
        <v>0</v>
      </c>
      <c r="AC81" s="36">
        <f t="shared" ca="1" si="235"/>
        <v>0</v>
      </c>
      <c r="AD81" s="36">
        <f t="shared" ca="1" si="235"/>
        <v>0</v>
      </c>
      <c r="AE81" s="36">
        <f t="shared" ca="1" si="235"/>
        <v>0</v>
      </c>
      <c r="AF81" s="36">
        <f t="shared" ca="1" si="235"/>
        <v>0</v>
      </c>
      <c r="AG81" s="36">
        <f t="shared" ca="1" si="235"/>
        <v>0</v>
      </c>
      <c r="AH81" s="36">
        <f t="shared" ca="1" si="235"/>
        <v>0</v>
      </c>
      <c r="AI81" s="36">
        <f t="shared" ca="1" si="235"/>
        <v>0</v>
      </c>
      <c r="AJ81" s="36">
        <f t="shared" ca="1" si="235"/>
        <v>0</v>
      </c>
      <c r="AK81" s="36">
        <f t="shared" ca="1" si="235"/>
        <v>0</v>
      </c>
      <c r="AL81" s="36">
        <f t="shared" ca="1" si="235"/>
        <v>0</v>
      </c>
      <c r="AM81" s="36">
        <f t="shared" ca="1" si="235"/>
        <v>0</v>
      </c>
      <c r="AN81" s="36">
        <f t="shared" ca="1" si="235"/>
        <v>0</v>
      </c>
      <c r="AO81" s="36">
        <f t="shared" ca="1" si="235"/>
        <v>0</v>
      </c>
      <c r="AP81" s="36">
        <f t="shared" ca="1" si="235"/>
        <v>0</v>
      </c>
      <c r="AQ81" s="36">
        <f t="shared" ca="1" si="235"/>
        <v>0</v>
      </c>
      <c r="AR81" s="36">
        <f t="shared" ca="1" si="235"/>
        <v>0</v>
      </c>
      <c r="AS81" s="36">
        <f t="shared" ca="1" si="235"/>
        <v>0</v>
      </c>
      <c r="AT81" s="36">
        <f t="shared" ca="1" si="235"/>
        <v>0</v>
      </c>
      <c r="AU81" s="36">
        <f t="shared" ca="1" si="235"/>
        <v>0</v>
      </c>
      <c r="AV81" s="36">
        <f t="shared" ca="1" si="235"/>
        <v>648000</v>
      </c>
      <c r="AW81" s="36">
        <f t="shared" ca="1" si="235"/>
        <v>648000</v>
      </c>
      <c r="AX81" s="36">
        <f t="shared" ca="1" si="235"/>
        <v>0</v>
      </c>
      <c r="AY81" s="36">
        <f t="shared" ca="1" si="235"/>
        <v>0</v>
      </c>
      <c r="AZ81" s="36">
        <f t="shared" ca="1" si="235"/>
        <v>0</v>
      </c>
      <c r="BA81" s="36">
        <f t="shared" ca="1" si="235"/>
        <v>0</v>
      </c>
      <c r="BB81" s="36">
        <f t="shared" ca="1" si="235"/>
        <v>1296000</v>
      </c>
      <c r="BC81" s="36">
        <f t="shared" ca="1" si="235"/>
        <v>1296000</v>
      </c>
      <c r="BD81" s="36">
        <f t="shared" ca="1" si="235"/>
        <v>0</v>
      </c>
      <c r="BE81" s="36">
        <f t="shared" ca="1" si="235"/>
        <v>0</v>
      </c>
      <c r="BF81" s="36">
        <f t="shared" ca="1" si="235"/>
        <v>0</v>
      </c>
      <c r="BG81" s="36">
        <f t="shared" ca="1" si="235"/>
        <v>0</v>
      </c>
      <c r="BH81" s="36">
        <f t="shared" ca="1" si="235"/>
        <v>1846800</v>
      </c>
      <c r="BI81" s="36">
        <f t="shared" ca="1" si="235"/>
        <v>1846800</v>
      </c>
      <c r="BJ81" s="36">
        <f t="shared" ref="BJ81:CS81" ca="1" si="236">BJ27-BJ45+BJ63</f>
        <v>0</v>
      </c>
      <c r="BK81" s="36">
        <f t="shared" ca="1" si="236"/>
        <v>0</v>
      </c>
      <c r="BL81" s="36">
        <f t="shared" ca="1" si="236"/>
        <v>0</v>
      </c>
      <c r="BM81" s="36">
        <f t="shared" ca="1" si="236"/>
        <v>0</v>
      </c>
      <c r="BN81" s="36">
        <f t="shared" ca="1" si="236"/>
        <v>3693600</v>
      </c>
      <c r="BO81" s="36">
        <f t="shared" ca="1" si="236"/>
        <v>3693600</v>
      </c>
      <c r="BP81" s="36">
        <f t="shared" ca="1" si="236"/>
        <v>0</v>
      </c>
      <c r="BQ81" s="36">
        <f t="shared" ca="1" si="236"/>
        <v>0</v>
      </c>
      <c r="BR81" s="36">
        <f t="shared" ca="1" si="236"/>
        <v>0</v>
      </c>
      <c r="BS81" s="36">
        <f t="shared" ca="1" si="236"/>
        <v>0</v>
      </c>
      <c r="BT81" s="36">
        <f t="shared" ca="1" si="236"/>
        <v>5540400</v>
      </c>
      <c r="BU81" s="36">
        <f t="shared" ca="1" si="236"/>
        <v>5540400</v>
      </c>
      <c r="BV81" s="36">
        <f t="shared" ca="1" si="236"/>
        <v>0</v>
      </c>
      <c r="BW81" s="36">
        <f t="shared" ca="1" si="236"/>
        <v>0</v>
      </c>
      <c r="BX81" s="36">
        <f t="shared" ca="1" si="236"/>
        <v>0</v>
      </c>
      <c r="BY81" s="36">
        <f t="shared" ca="1" si="236"/>
        <v>0</v>
      </c>
      <c r="BZ81" s="36">
        <f t="shared" ca="1" si="236"/>
        <v>11080800</v>
      </c>
      <c r="CA81" s="36">
        <f t="shared" ca="1" si="236"/>
        <v>11080800</v>
      </c>
      <c r="CB81" s="36">
        <f t="shared" ca="1" si="236"/>
        <v>0</v>
      </c>
      <c r="CC81" s="36">
        <f t="shared" ca="1" si="236"/>
        <v>0</v>
      </c>
      <c r="CD81" s="36">
        <f t="shared" ca="1" si="236"/>
        <v>0</v>
      </c>
      <c r="CE81" s="36">
        <f t="shared" ca="1" si="236"/>
        <v>0</v>
      </c>
      <c r="CF81" s="36">
        <f t="shared" ca="1" si="236"/>
        <v>13851000</v>
      </c>
      <c r="CG81" s="36">
        <f t="shared" ca="1" si="236"/>
        <v>13851000</v>
      </c>
      <c r="CH81" s="36">
        <f t="shared" ca="1" si="236"/>
        <v>0</v>
      </c>
      <c r="CI81" s="36">
        <f t="shared" ca="1" si="236"/>
        <v>0</v>
      </c>
      <c r="CJ81" s="36">
        <f t="shared" ca="1" si="236"/>
        <v>0</v>
      </c>
      <c r="CK81" s="36">
        <f t="shared" ca="1" si="236"/>
        <v>0</v>
      </c>
      <c r="CL81" s="36">
        <f t="shared" ca="1" si="236"/>
        <v>27702000</v>
      </c>
      <c r="CM81" s="36">
        <f t="shared" ca="1" si="236"/>
        <v>27702000</v>
      </c>
      <c r="CN81" s="36">
        <f t="shared" ca="1" si="236"/>
        <v>0</v>
      </c>
      <c r="CO81" s="36">
        <f t="shared" ca="1" si="236"/>
        <v>0</v>
      </c>
      <c r="CP81" s="36">
        <f t="shared" ca="1" si="236"/>
        <v>0</v>
      </c>
      <c r="CQ81" s="36">
        <f t="shared" ca="1" si="236"/>
        <v>0</v>
      </c>
      <c r="CR81" s="36">
        <f t="shared" ca="1" si="236"/>
        <v>4617000</v>
      </c>
      <c r="CS81" s="36">
        <f t="shared" ca="1" si="236"/>
        <v>9234000</v>
      </c>
      <c r="CT81" s="36">
        <f t="shared" ref="CT81:CV81" ca="1" si="237">CT27-CT45+CT63</f>
        <v>9234000</v>
      </c>
      <c r="CU81" s="36">
        <f t="shared" ca="1" si="237"/>
        <v>4617000</v>
      </c>
      <c r="CV81" s="36">
        <f t="shared" ca="1" si="237"/>
        <v>0</v>
      </c>
      <c r="CW81" s="21"/>
    </row>
    <row r="82" spans="2:101" x14ac:dyDescent="0.25">
      <c r="D82" s="35" t="str">
        <f>[1]Key!$W$21</f>
        <v>SPUNGE</v>
      </c>
      <c r="F82" s="21"/>
      <c r="G82" s="21"/>
      <c r="H82" s="21"/>
      <c r="I82" s="21"/>
      <c r="J82" s="21"/>
      <c r="K82" s="21"/>
      <c r="L82" s="21"/>
      <c r="M82" s="21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36">
        <f t="shared" ref="Z82:BI82" ca="1" si="238">Z28-Z46+Z64</f>
        <v>0</v>
      </c>
      <c r="AA82" s="36">
        <f t="shared" ca="1" si="238"/>
        <v>0</v>
      </c>
      <c r="AB82" s="36">
        <f t="shared" ca="1" si="238"/>
        <v>0</v>
      </c>
      <c r="AC82" s="36">
        <f t="shared" ca="1" si="238"/>
        <v>0</v>
      </c>
      <c r="AD82" s="36">
        <f t="shared" ca="1" si="238"/>
        <v>0</v>
      </c>
      <c r="AE82" s="36">
        <f t="shared" ca="1" si="238"/>
        <v>0</v>
      </c>
      <c r="AF82" s="36">
        <f t="shared" ca="1" si="238"/>
        <v>0</v>
      </c>
      <c r="AG82" s="36">
        <f t="shared" ca="1" si="238"/>
        <v>0</v>
      </c>
      <c r="AH82" s="36">
        <f t="shared" ca="1" si="238"/>
        <v>0</v>
      </c>
      <c r="AI82" s="36">
        <f t="shared" ca="1" si="238"/>
        <v>0</v>
      </c>
      <c r="AJ82" s="36">
        <f t="shared" ca="1" si="238"/>
        <v>0</v>
      </c>
      <c r="AK82" s="36">
        <f t="shared" ca="1" si="238"/>
        <v>0</v>
      </c>
      <c r="AL82" s="36">
        <f t="shared" ca="1" si="238"/>
        <v>0</v>
      </c>
      <c r="AM82" s="36">
        <f t="shared" ca="1" si="238"/>
        <v>0</v>
      </c>
      <c r="AN82" s="36">
        <f t="shared" ca="1" si="238"/>
        <v>0</v>
      </c>
      <c r="AO82" s="36">
        <f t="shared" ca="1" si="238"/>
        <v>0</v>
      </c>
      <c r="AP82" s="36">
        <f t="shared" ca="1" si="238"/>
        <v>0</v>
      </c>
      <c r="AQ82" s="36">
        <f t="shared" ca="1" si="238"/>
        <v>0</v>
      </c>
      <c r="AR82" s="36">
        <f t="shared" ca="1" si="238"/>
        <v>51840</v>
      </c>
      <c r="AS82" s="36">
        <f t="shared" ca="1" si="238"/>
        <v>51840</v>
      </c>
      <c r="AT82" s="36">
        <f t="shared" ca="1" si="238"/>
        <v>51840</v>
      </c>
      <c r="AU82" s="36">
        <f t="shared" ca="1" si="238"/>
        <v>181440</v>
      </c>
      <c r="AV82" s="36">
        <f t="shared" ca="1" si="238"/>
        <v>129600</v>
      </c>
      <c r="AW82" s="36">
        <f t="shared" ca="1" si="238"/>
        <v>397440</v>
      </c>
      <c r="AX82" s="36">
        <f t="shared" ca="1" si="238"/>
        <v>397440</v>
      </c>
      <c r="AY82" s="36">
        <f t="shared" ca="1" si="238"/>
        <v>0</v>
      </c>
      <c r="AZ82" s="36">
        <f t="shared" ca="1" si="238"/>
        <v>449280</v>
      </c>
      <c r="BA82" s="36">
        <f t="shared" ca="1" si="238"/>
        <v>449280</v>
      </c>
      <c r="BB82" s="36">
        <f t="shared" ca="1" si="238"/>
        <v>518400</v>
      </c>
      <c r="BC82" s="36">
        <f t="shared" ca="1" si="238"/>
        <v>518400</v>
      </c>
      <c r="BD82" s="36">
        <f t="shared" ca="1" si="238"/>
        <v>51840</v>
      </c>
      <c r="BE82" s="36">
        <f t="shared" ca="1" si="238"/>
        <v>51840</v>
      </c>
      <c r="BF82" s="36">
        <f t="shared" ca="1" si="238"/>
        <v>691200</v>
      </c>
      <c r="BG82" s="36">
        <f t="shared" ca="1" si="238"/>
        <v>820800</v>
      </c>
      <c r="BH82" s="36">
        <f t="shared" ca="1" si="238"/>
        <v>129600</v>
      </c>
      <c r="BI82" s="36">
        <f t="shared" ca="1" si="238"/>
        <v>1132704</v>
      </c>
      <c r="BJ82" s="36">
        <f t="shared" ref="BJ82:CS82" ca="1" si="239">BJ28-BJ46+BJ64</f>
        <v>1132704</v>
      </c>
      <c r="BK82" s="36">
        <f t="shared" ca="1" si="239"/>
        <v>0</v>
      </c>
      <c r="BL82" s="36">
        <f t="shared" ca="1" si="239"/>
        <v>1280448</v>
      </c>
      <c r="BM82" s="36">
        <f t="shared" ca="1" si="239"/>
        <v>1280448</v>
      </c>
      <c r="BN82" s="36">
        <f t="shared" ca="1" si="239"/>
        <v>1477440</v>
      </c>
      <c r="BO82" s="36">
        <f t="shared" ca="1" si="239"/>
        <v>1477440</v>
      </c>
      <c r="BP82" s="36">
        <f t="shared" ca="1" si="239"/>
        <v>147744</v>
      </c>
      <c r="BQ82" s="36">
        <f t="shared" ca="1" si="239"/>
        <v>147744</v>
      </c>
      <c r="BR82" s="36">
        <f t="shared" ca="1" si="239"/>
        <v>1969920</v>
      </c>
      <c r="BS82" s="36">
        <f t="shared" ca="1" si="239"/>
        <v>2339280</v>
      </c>
      <c r="BT82" s="36">
        <f t="shared" ca="1" si="239"/>
        <v>369360</v>
      </c>
      <c r="BU82" s="36">
        <f t="shared" ca="1" si="239"/>
        <v>2831760</v>
      </c>
      <c r="BV82" s="36">
        <f t="shared" ca="1" si="239"/>
        <v>2831760</v>
      </c>
      <c r="BW82" s="36">
        <f t="shared" ca="1" si="239"/>
        <v>0</v>
      </c>
      <c r="BX82" s="36">
        <f t="shared" ca="1" si="239"/>
        <v>3201120</v>
      </c>
      <c r="BY82" s="36">
        <f t="shared" ca="1" si="239"/>
        <v>3201120</v>
      </c>
      <c r="BZ82" s="36">
        <f t="shared" ca="1" si="239"/>
        <v>3693600</v>
      </c>
      <c r="CA82" s="36">
        <f t="shared" ca="1" si="239"/>
        <v>3693600</v>
      </c>
      <c r="CB82" s="36">
        <f t="shared" ca="1" si="239"/>
        <v>369360</v>
      </c>
      <c r="CC82" s="36">
        <f t="shared" ca="1" si="239"/>
        <v>369360</v>
      </c>
      <c r="CD82" s="36">
        <f t="shared" ca="1" si="239"/>
        <v>4924800</v>
      </c>
      <c r="CE82" s="36">
        <f t="shared" ca="1" si="239"/>
        <v>5848200</v>
      </c>
      <c r="CF82" s="36">
        <f t="shared" ca="1" si="239"/>
        <v>923400</v>
      </c>
      <c r="CG82" s="36">
        <f t="shared" ca="1" si="239"/>
        <v>4955580</v>
      </c>
      <c r="CH82" s="36">
        <f t="shared" ca="1" si="239"/>
        <v>4955580</v>
      </c>
      <c r="CI82" s="36">
        <f t="shared" ca="1" si="239"/>
        <v>0</v>
      </c>
      <c r="CJ82" s="36">
        <f t="shared" ca="1" si="239"/>
        <v>5601960</v>
      </c>
      <c r="CK82" s="36">
        <f t="shared" ca="1" si="239"/>
        <v>5601960</v>
      </c>
      <c r="CL82" s="36">
        <f t="shared" ca="1" si="239"/>
        <v>6463800</v>
      </c>
      <c r="CM82" s="36">
        <f t="shared" ca="1" si="239"/>
        <v>6463800</v>
      </c>
      <c r="CN82" s="36">
        <f t="shared" ca="1" si="239"/>
        <v>646380</v>
      </c>
      <c r="CO82" s="36">
        <f t="shared" ca="1" si="239"/>
        <v>646380</v>
      </c>
      <c r="CP82" s="36">
        <f t="shared" ca="1" si="239"/>
        <v>8618400</v>
      </c>
      <c r="CQ82" s="36">
        <f t="shared" ca="1" si="239"/>
        <v>10234350</v>
      </c>
      <c r="CR82" s="36">
        <f t="shared" ca="1" si="239"/>
        <v>4506705</v>
      </c>
      <c r="CS82" s="36">
        <f t="shared" ca="1" si="239"/>
        <v>5781510</v>
      </c>
      <c r="CT82" s="36">
        <f t="shared" ref="CT82:CV82" ca="1" si="240">CT28-CT46+CT64</f>
        <v>5781510</v>
      </c>
      <c r="CU82" s="36">
        <f t="shared" ca="1" si="240"/>
        <v>2890755</v>
      </c>
      <c r="CV82" s="36">
        <f t="shared" ca="1" si="240"/>
        <v>0</v>
      </c>
      <c r="CW82" s="21"/>
    </row>
    <row r="83" spans="2:101" x14ac:dyDescent="0.25">
      <c r="D83" s="35" t="str">
        <f>[1]Key!$W$22</f>
        <v>SUNFLOWER</v>
      </c>
      <c r="F83" s="21"/>
      <c r="G83" s="21"/>
      <c r="H83" s="21"/>
      <c r="I83" s="21"/>
      <c r="J83" s="21"/>
      <c r="K83" s="21"/>
      <c r="L83" s="21"/>
      <c r="M83" s="21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36">
        <f t="shared" ref="Z83:BI84" ca="1" si="241">Z29-Z47+Z65</f>
        <v>0</v>
      </c>
      <c r="AA83" s="36">
        <f t="shared" ca="1" si="241"/>
        <v>0</v>
      </c>
      <c r="AB83" s="36">
        <f t="shared" ca="1" si="241"/>
        <v>0</v>
      </c>
      <c r="AC83" s="36">
        <f t="shared" ca="1" si="241"/>
        <v>0</v>
      </c>
      <c r="AD83" s="36">
        <f t="shared" ca="1" si="241"/>
        <v>0</v>
      </c>
      <c r="AE83" s="36">
        <f t="shared" ca="1" si="241"/>
        <v>0</v>
      </c>
      <c r="AF83" s="36">
        <f t="shared" ca="1" si="241"/>
        <v>0</v>
      </c>
      <c r="AG83" s="36">
        <f t="shared" ca="1" si="241"/>
        <v>0</v>
      </c>
      <c r="AH83" s="36">
        <f t="shared" ca="1" si="241"/>
        <v>0</v>
      </c>
      <c r="AI83" s="36">
        <f t="shared" ca="1" si="241"/>
        <v>0</v>
      </c>
      <c r="AJ83" s="36">
        <f t="shared" ca="1" si="241"/>
        <v>0</v>
      </c>
      <c r="AK83" s="36">
        <f t="shared" ca="1" si="241"/>
        <v>283500.00000000006</v>
      </c>
      <c r="AL83" s="36">
        <f t="shared" ca="1" si="241"/>
        <v>283500.00000000006</v>
      </c>
      <c r="AM83" s="36">
        <f t="shared" ca="1" si="241"/>
        <v>0</v>
      </c>
      <c r="AN83" s="36">
        <f t="shared" ca="1" si="241"/>
        <v>0</v>
      </c>
      <c r="AO83" s="36">
        <f t="shared" ca="1" si="241"/>
        <v>0</v>
      </c>
      <c r="AP83" s="36">
        <f t="shared" ca="1" si="241"/>
        <v>0</v>
      </c>
      <c r="AQ83" s="36">
        <f t="shared" ca="1" si="241"/>
        <v>567000.00000000012</v>
      </c>
      <c r="AR83" s="36">
        <f t="shared" ca="1" si="241"/>
        <v>567000.00000000012</v>
      </c>
      <c r="AS83" s="36">
        <f t="shared" ca="1" si="241"/>
        <v>0</v>
      </c>
      <c r="AT83" s="36">
        <f t="shared" ca="1" si="241"/>
        <v>0</v>
      </c>
      <c r="AU83" s="36">
        <f t="shared" ca="1" si="241"/>
        <v>0</v>
      </c>
      <c r="AV83" s="36">
        <f t="shared" ca="1" si="241"/>
        <v>0</v>
      </c>
      <c r="AW83" s="36">
        <f t="shared" ca="1" si="241"/>
        <v>567000.00000000012</v>
      </c>
      <c r="AX83" s="36">
        <f t="shared" ca="1" si="241"/>
        <v>567000.00000000012</v>
      </c>
      <c r="AY83" s="36">
        <f t="shared" ca="1" si="241"/>
        <v>0</v>
      </c>
      <c r="AZ83" s="36">
        <f t="shared" ca="1" si="241"/>
        <v>0</v>
      </c>
      <c r="BA83" s="36">
        <f t="shared" ca="1" si="241"/>
        <v>0</v>
      </c>
      <c r="BB83" s="36">
        <f t="shared" ca="1" si="241"/>
        <v>0</v>
      </c>
      <c r="BC83" s="36">
        <f t="shared" ca="1" si="241"/>
        <v>756000.00000000012</v>
      </c>
      <c r="BD83" s="36">
        <f t="shared" ca="1" si="241"/>
        <v>756000.00000000012</v>
      </c>
      <c r="BE83" s="36">
        <f t="shared" ca="1" si="241"/>
        <v>0</v>
      </c>
      <c r="BF83" s="36">
        <f t="shared" ca="1" si="241"/>
        <v>0</v>
      </c>
      <c r="BG83" s="36">
        <f t="shared" ca="1" si="241"/>
        <v>0</v>
      </c>
      <c r="BH83" s="36">
        <f t="shared" ca="1" si="241"/>
        <v>0</v>
      </c>
      <c r="BI83" s="36">
        <f t="shared" ca="1" si="241"/>
        <v>1077300</v>
      </c>
      <c r="BJ83" s="36">
        <f t="shared" ref="BJ83:CS83" ca="1" si="242">BJ29-BJ47+BJ65</f>
        <v>1077300</v>
      </c>
      <c r="BK83" s="36">
        <f t="shared" ca="1" si="242"/>
        <v>0</v>
      </c>
      <c r="BL83" s="36">
        <f t="shared" ca="1" si="242"/>
        <v>0</v>
      </c>
      <c r="BM83" s="36">
        <f t="shared" ca="1" si="242"/>
        <v>0</v>
      </c>
      <c r="BN83" s="36">
        <f t="shared" ca="1" si="242"/>
        <v>0</v>
      </c>
      <c r="BO83" s="36">
        <f t="shared" ca="1" si="242"/>
        <v>1436400.0000000002</v>
      </c>
      <c r="BP83" s="36">
        <f t="shared" ca="1" si="242"/>
        <v>1436400.0000000002</v>
      </c>
      <c r="BQ83" s="36">
        <f t="shared" ca="1" si="242"/>
        <v>0</v>
      </c>
      <c r="BR83" s="36">
        <f t="shared" ca="1" si="242"/>
        <v>0</v>
      </c>
      <c r="BS83" s="36">
        <f t="shared" ca="1" si="242"/>
        <v>0</v>
      </c>
      <c r="BT83" s="36">
        <f t="shared" ca="1" si="242"/>
        <v>0</v>
      </c>
      <c r="BU83" s="36">
        <f t="shared" ca="1" si="242"/>
        <v>1615950.0000000002</v>
      </c>
      <c r="BV83" s="36">
        <f t="shared" ca="1" si="242"/>
        <v>1615950.0000000002</v>
      </c>
      <c r="BW83" s="36">
        <f t="shared" ca="1" si="242"/>
        <v>0</v>
      </c>
      <c r="BX83" s="36">
        <f t="shared" ca="1" si="242"/>
        <v>0</v>
      </c>
      <c r="BY83" s="36">
        <f t="shared" ca="1" si="242"/>
        <v>0</v>
      </c>
      <c r="BZ83" s="36">
        <f t="shared" ca="1" si="242"/>
        <v>0</v>
      </c>
      <c r="CA83" s="36">
        <f t="shared" ca="1" si="242"/>
        <v>2154600</v>
      </c>
      <c r="CB83" s="36">
        <f t="shared" ca="1" si="242"/>
        <v>2154600</v>
      </c>
      <c r="CC83" s="36">
        <f t="shared" ca="1" si="242"/>
        <v>0</v>
      </c>
      <c r="CD83" s="36">
        <f t="shared" ca="1" si="242"/>
        <v>0</v>
      </c>
      <c r="CE83" s="36">
        <f t="shared" ca="1" si="242"/>
        <v>0</v>
      </c>
      <c r="CF83" s="36">
        <f t="shared" ca="1" si="242"/>
        <v>0</v>
      </c>
      <c r="CG83" s="36">
        <f t="shared" ca="1" si="242"/>
        <v>2100735</v>
      </c>
      <c r="CH83" s="36">
        <f t="shared" ca="1" si="242"/>
        <v>2100735</v>
      </c>
      <c r="CI83" s="36">
        <f t="shared" ca="1" si="242"/>
        <v>0</v>
      </c>
      <c r="CJ83" s="36">
        <f t="shared" ca="1" si="242"/>
        <v>0</v>
      </c>
      <c r="CK83" s="36">
        <f t="shared" ca="1" si="242"/>
        <v>0</v>
      </c>
      <c r="CL83" s="36">
        <f t="shared" ca="1" si="242"/>
        <v>0</v>
      </c>
      <c r="CM83" s="36">
        <f t="shared" ca="1" si="242"/>
        <v>2800980.0000000005</v>
      </c>
      <c r="CN83" s="36">
        <f t="shared" ca="1" si="242"/>
        <v>2800980.0000000005</v>
      </c>
      <c r="CO83" s="36">
        <f t="shared" ca="1" si="242"/>
        <v>0</v>
      </c>
      <c r="CP83" s="36">
        <f t="shared" ca="1" si="242"/>
        <v>0</v>
      </c>
      <c r="CQ83" s="36">
        <f t="shared" ca="1" si="242"/>
        <v>0</v>
      </c>
      <c r="CR83" s="36">
        <f t="shared" ca="1" si="242"/>
        <v>466830.00000000006</v>
      </c>
      <c r="CS83" s="36">
        <f t="shared" ca="1" si="242"/>
        <v>933660.00000000012</v>
      </c>
      <c r="CT83" s="36">
        <f t="shared" ref="CT83:CV83" ca="1" si="243">CT29-CT47+CT65</f>
        <v>933660.00000000012</v>
      </c>
      <c r="CU83" s="36">
        <f t="shared" ca="1" si="243"/>
        <v>466830.00000000006</v>
      </c>
      <c r="CV83" s="36">
        <f t="shared" ca="1" si="243"/>
        <v>0</v>
      </c>
      <c r="CW83" s="21"/>
    </row>
    <row r="84" spans="2:101" x14ac:dyDescent="0.25">
      <c r="D84" s="35" t="str">
        <f>[1]Key!$W$23</f>
        <v>Corporate</v>
      </c>
      <c r="F84" s="21"/>
      <c r="G84" s="21"/>
      <c r="H84" s="21"/>
      <c r="I84" s="21"/>
      <c r="J84" s="21"/>
      <c r="K84" s="21"/>
      <c r="L84" s="21"/>
      <c r="M84" s="21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60">
        <f>$Y$4</f>
        <v>1161.8399999999999</v>
      </c>
      <c r="Z84" s="36">
        <f t="shared" si="241"/>
        <v>0</v>
      </c>
      <c r="AA84" s="36">
        <f t="shared" si="241"/>
        <v>0</v>
      </c>
      <c r="AB84" s="36">
        <f t="shared" si="241"/>
        <v>0</v>
      </c>
      <c r="AC84" s="36">
        <f t="shared" si="241"/>
        <v>0</v>
      </c>
      <c r="AD84" s="36">
        <f t="shared" si="241"/>
        <v>0</v>
      </c>
      <c r="AE84" s="36">
        <f t="shared" si="241"/>
        <v>0</v>
      </c>
      <c r="AF84" s="36">
        <f t="shared" si="241"/>
        <v>0</v>
      </c>
      <c r="AG84" s="36">
        <f t="shared" si="241"/>
        <v>0</v>
      </c>
      <c r="AH84" s="36">
        <f t="shared" si="241"/>
        <v>0</v>
      </c>
      <c r="AI84" s="36">
        <f t="shared" si="241"/>
        <v>0</v>
      </c>
      <c r="AJ84" s="36">
        <f t="shared" si="241"/>
        <v>0</v>
      </c>
      <c r="AK84" s="36">
        <f t="shared" si="241"/>
        <v>0</v>
      </c>
      <c r="AL84" s="36">
        <f t="shared" si="241"/>
        <v>0</v>
      </c>
      <c r="AM84" s="36">
        <f t="shared" si="241"/>
        <v>0</v>
      </c>
      <c r="AN84" s="36">
        <f t="shared" si="241"/>
        <v>0</v>
      </c>
      <c r="AO84" s="36">
        <f t="shared" si="241"/>
        <v>0</v>
      </c>
      <c r="AP84" s="36">
        <f t="shared" si="241"/>
        <v>0</v>
      </c>
      <c r="AQ84" s="36">
        <f t="shared" si="241"/>
        <v>0</v>
      </c>
      <c r="AR84" s="36">
        <f t="shared" si="241"/>
        <v>0</v>
      </c>
      <c r="AS84" s="36">
        <f t="shared" si="241"/>
        <v>0</v>
      </c>
      <c r="AT84" s="36">
        <f t="shared" si="241"/>
        <v>0</v>
      </c>
      <c r="AU84" s="36">
        <f t="shared" si="241"/>
        <v>0</v>
      </c>
      <c r="AV84" s="36">
        <f t="shared" si="241"/>
        <v>0</v>
      </c>
      <c r="AW84" s="36">
        <f t="shared" si="241"/>
        <v>0</v>
      </c>
      <c r="AX84" s="36">
        <f t="shared" si="241"/>
        <v>0</v>
      </c>
      <c r="AY84" s="36">
        <f t="shared" si="241"/>
        <v>0</v>
      </c>
      <c r="AZ84" s="36">
        <f t="shared" si="241"/>
        <v>0</v>
      </c>
      <c r="BA84" s="36">
        <f t="shared" si="241"/>
        <v>0</v>
      </c>
      <c r="BB84" s="36">
        <f t="shared" si="241"/>
        <v>0</v>
      </c>
      <c r="BC84" s="36">
        <f t="shared" si="241"/>
        <v>0</v>
      </c>
      <c r="BD84" s="36">
        <f t="shared" si="241"/>
        <v>0</v>
      </c>
      <c r="BE84" s="36">
        <f t="shared" si="241"/>
        <v>0</v>
      </c>
      <c r="BF84" s="36">
        <f t="shared" si="241"/>
        <v>0</v>
      </c>
      <c r="BG84" s="36">
        <f t="shared" si="241"/>
        <v>0</v>
      </c>
      <c r="BH84" s="36">
        <f t="shared" si="241"/>
        <v>0</v>
      </c>
      <c r="BI84" s="36">
        <f t="shared" si="241"/>
        <v>0</v>
      </c>
      <c r="BJ84" s="36">
        <f t="shared" ref="BJ84:CS84" si="244">BJ30-BJ48+BJ66</f>
        <v>0</v>
      </c>
      <c r="BK84" s="36">
        <f t="shared" si="244"/>
        <v>0</v>
      </c>
      <c r="BL84" s="36">
        <f t="shared" si="244"/>
        <v>0</v>
      </c>
      <c r="BM84" s="36">
        <f t="shared" si="244"/>
        <v>0</v>
      </c>
      <c r="BN84" s="36">
        <f t="shared" si="244"/>
        <v>0</v>
      </c>
      <c r="BO84" s="36">
        <f t="shared" si="244"/>
        <v>0</v>
      </c>
      <c r="BP84" s="36">
        <f t="shared" si="244"/>
        <v>0</v>
      </c>
      <c r="BQ84" s="36">
        <f t="shared" si="244"/>
        <v>0</v>
      </c>
      <c r="BR84" s="36">
        <f t="shared" si="244"/>
        <v>0</v>
      </c>
      <c r="BS84" s="36">
        <f t="shared" si="244"/>
        <v>0</v>
      </c>
      <c r="BT84" s="36">
        <f t="shared" si="244"/>
        <v>0</v>
      </c>
      <c r="BU84" s="36">
        <f t="shared" si="244"/>
        <v>0</v>
      </c>
      <c r="BV84" s="36">
        <f t="shared" si="244"/>
        <v>0</v>
      </c>
      <c r="BW84" s="36">
        <f t="shared" si="244"/>
        <v>0</v>
      </c>
      <c r="BX84" s="36">
        <f t="shared" si="244"/>
        <v>0</v>
      </c>
      <c r="BY84" s="36">
        <f t="shared" si="244"/>
        <v>0</v>
      </c>
      <c r="BZ84" s="36">
        <f t="shared" si="244"/>
        <v>0</v>
      </c>
      <c r="CA84" s="36">
        <f t="shared" si="244"/>
        <v>0</v>
      </c>
      <c r="CB84" s="36">
        <f t="shared" si="244"/>
        <v>0</v>
      </c>
      <c r="CC84" s="36">
        <f t="shared" si="244"/>
        <v>0</v>
      </c>
      <c r="CD84" s="36">
        <f t="shared" si="244"/>
        <v>0</v>
      </c>
      <c r="CE84" s="36">
        <f t="shared" si="244"/>
        <v>0</v>
      </c>
      <c r="CF84" s="36">
        <f t="shared" si="244"/>
        <v>0</v>
      </c>
      <c r="CG84" s="36">
        <f t="shared" si="244"/>
        <v>0</v>
      </c>
      <c r="CH84" s="36">
        <f t="shared" si="244"/>
        <v>0</v>
      </c>
      <c r="CI84" s="36">
        <f t="shared" si="244"/>
        <v>0</v>
      </c>
      <c r="CJ84" s="36">
        <f t="shared" si="244"/>
        <v>0</v>
      </c>
      <c r="CK84" s="36">
        <f t="shared" si="244"/>
        <v>0</v>
      </c>
      <c r="CL84" s="36">
        <f t="shared" si="244"/>
        <v>0</v>
      </c>
      <c r="CM84" s="36">
        <f t="shared" si="244"/>
        <v>0</v>
      </c>
      <c r="CN84" s="36">
        <f t="shared" si="244"/>
        <v>0</v>
      </c>
      <c r="CO84" s="36">
        <f t="shared" si="244"/>
        <v>0</v>
      </c>
      <c r="CP84" s="36">
        <f t="shared" si="244"/>
        <v>0</v>
      </c>
      <c r="CQ84" s="36">
        <f t="shared" si="244"/>
        <v>0</v>
      </c>
      <c r="CR84" s="36">
        <f t="shared" si="244"/>
        <v>0</v>
      </c>
      <c r="CS84" s="36">
        <f t="shared" si="244"/>
        <v>0</v>
      </c>
      <c r="CT84" s="36">
        <f t="shared" ref="CT84:CV84" si="245">CT30-CT48+CT66</f>
        <v>0</v>
      </c>
      <c r="CU84" s="36">
        <f t="shared" si="245"/>
        <v>0</v>
      </c>
      <c r="CV84" s="36">
        <f t="shared" si="245"/>
        <v>0</v>
      </c>
      <c r="CW84" s="21"/>
    </row>
    <row r="85" spans="2:101" x14ac:dyDescent="0.25">
      <c r="F85" s="21"/>
      <c r="G85" s="21"/>
      <c r="H85" s="21"/>
      <c r="I85" s="21"/>
      <c r="J85" s="21"/>
      <c r="K85" s="21"/>
      <c r="L85" s="21"/>
      <c r="M85" s="21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21"/>
    </row>
    <row r="86" spans="2:101" x14ac:dyDescent="0.25">
      <c r="D86" s="38" t="s">
        <v>152</v>
      </c>
      <c r="F86" s="21"/>
      <c r="G86" s="21"/>
      <c r="H86" s="21"/>
      <c r="I86" s="21"/>
      <c r="J86" s="21"/>
      <c r="K86" s="21"/>
      <c r="L86" s="21"/>
      <c r="M86" s="21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37">
        <f>SUM(Y73:Y85)</f>
        <v>1161.8399999999999</v>
      </c>
      <c r="Z86" s="37">
        <f ca="1">SUM(Z73:Z85)</f>
        <v>138720</v>
      </c>
      <c r="AA86" s="37">
        <f t="shared" ref="AA86" ca="1" si="246">SUM(AA73:AA85)</f>
        <v>153170</v>
      </c>
      <c r="AB86" s="37">
        <f t="shared" ref="AB86" ca="1" si="247">SUM(AB73:AB85)</f>
        <v>14450</v>
      </c>
      <c r="AC86" s="37">
        <f t="shared" ref="AC86" ca="1" si="248">SUM(AC73:AC85)</f>
        <v>14450</v>
      </c>
      <c r="AD86" s="37">
        <f t="shared" ref="AD86" ca="1" si="249">SUM(AD73:AD85)</f>
        <v>361250</v>
      </c>
      <c r="AE86" s="37">
        <f t="shared" ref="AE86" ca="1" si="250">SUM(AE73:AE85)</f>
        <v>346800</v>
      </c>
      <c r="AF86" s="37">
        <f t="shared" ref="AF86" ca="1" si="251">SUM(AF73:AF85)</f>
        <v>28900</v>
      </c>
      <c r="AG86" s="37">
        <f t="shared" ref="AG86" ca="1" si="252">SUM(AG73:AG85)</f>
        <v>53200</v>
      </c>
      <c r="AH86" s="37">
        <f t="shared" ref="AH86" ca="1" si="253">SUM(AH73:AH85)</f>
        <v>161160</v>
      </c>
      <c r="AI86" s="37">
        <f t="shared" ref="AI86" ca="1" si="254">SUM(AI73:AI85)</f>
        <v>412780</v>
      </c>
      <c r="AJ86" s="37">
        <f t="shared" ref="AJ86" ca="1" si="255">SUM(AJ73:AJ85)</f>
        <v>334240</v>
      </c>
      <c r="AK86" s="37">
        <f t="shared" ref="AK86" ca="1" si="256">SUM(AK73:AK85)</f>
        <v>919340</v>
      </c>
      <c r="AL86" s="37">
        <f t="shared" ref="AL86" ca="1" si="257">SUM(AL73:AL85)</f>
        <v>993340</v>
      </c>
      <c r="AM86" s="37">
        <f t="shared" ref="AM86" ca="1" si="258">SUM(AM73:AM85)</f>
        <v>132320</v>
      </c>
      <c r="AN86" s="37">
        <f t="shared" ref="AN86" ca="1" si="259">SUM(AN73:AN85)</f>
        <v>357400</v>
      </c>
      <c r="AO86" s="37">
        <f t="shared" ref="AO86" ca="1" si="260">SUM(AO73:AO85)</f>
        <v>984740</v>
      </c>
      <c r="AP86" s="37">
        <f t="shared" ref="AP86" ca="1" si="261">SUM(AP73:AP85)</f>
        <v>813380</v>
      </c>
      <c r="AQ86" s="37">
        <f t="shared" ref="AQ86" ca="1" si="262">SUM(AQ73:AQ85)</f>
        <v>1175040</v>
      </c>
      <c r="AR86" s="37">
        <f t="shared" ref="AR86" ca="1" si="263">SUM(AR73:AR85)</f>
        <v>1931840</v>
      </c>
      <c r="AS86" s="37">
        <f t="shared" ref="AS86" ca="1" si="264">SUM(AS73:AS85)</f>
        <v>1534680</v>
      </c>
      <c r="AT86" s="37">
        <f t="shared" ref="AT86" ca="1" si="265">SUM(AT73:AT85)</f>
        <v>1182400</v>
      </c>
      <c r="AU86" s="37">
        <f t="shared" ref="AU86" ca="1" si="266">SUM(AU73:AU85)</f>
        <v>1799220</v>
      </c>
      <c r="AV86" s="37">
        <f t="shared" ref="AV86" ca="1" si="267">SUM(AV73:AV85)</f>
        <v>3525820</v>
      </c>
      <c r="AW86" s="37">
        <f t="shared" ref="AW86" ca="1" si="268">SUM(AW73:AW85)</f>
        <v>4589480</v>
      </c>
      <c r="AX86" s="37">
        <f t="shared" ref="AX86" ca="1" si="269">SUM(AX73:AX85)</f>
        <v>2648160</v>
      </c>
      <c r="AY86" s="37">
        <f t="shared" ref="AY86" ca="1" si="270">SUM(AY73:AY85)</f>
        <v>1258340</v>
      </c>
      <c r="AZ86" s="37">
        <f t="shared" ref="AZ86" ca="1" si="271">SUM(AZ73:AZ85)</f>
        <v>1883380</v>
      </c>
      <c r="BA86" s="37">
        <f t="shared" ref="BA86" ca="1" si="272">SUM(BA73:BA85)</f>
        <v>2361680</v>
      </c>
      <c r="BB86" s="37">
        <f t="shared" ref="BB86" ca="1" si="273">SUM(BB73:BB85)</f>
        <v>5047400</v>
      </c>
      <c r="BC86" s="37">
        <f t="shared" ref="BC86" ca="1" si="274">SUM(BC73:BC85)</f>
        <v>5134880</v>
      </c>
      <c r="BD86" s="37">
        <f t="shared" ref="BD86" ca="1" si="275">SUM(BD73:BD85)</f>
        <v>3027240</v>
      </c>
      <c r="BE86" s="37">
        <f t="shared" ref="BE86" ca="1" si="276">SUM(BE73:BE85)</f>
        <v>3329780</v>
      </c>
      <c r="BF86" s="37">
        <f t="shared" ref="BF86" ca="1" si="277">SUM(BF73:BF85)</f>
        <v>3090420</v>
      </c>
      <c r="BG86" s="37">
        <f t="shared" ref="BG86" ca="1" si="278">SUM(BG73:BG85)</f>
        <v>2590240</v>
      </c>
      <c r="BH86" s="37">
        <f t="shared" ref="BH86" ca="1" si="279">SUM(BH73:BH85)</f>
        <v>6723115</v>
      </c>
      <c r="BI86" s="37">
        <f t="shared" ref="BI86" ca="1" si="280">SUM(BI73:BI85)</f>
        <v>10634794</v>
      </c>
      <c r="BJ86" s="37">
        <f t="shared" ref="BJ86:CS86" ca="1" si="281">SUM(BJ73:BJ85)</f>
        <v>5999535</v>
      </c>
      <c r="BK86" s="37">
        <f t="shared" ca="1" si="281"/>
        <v>2522753.5</v>
      </c>
      <c r="BL86" s="37">
        <f t="shared" ca="1" si="281"/>
        <v>4214475.5</v>
      </c>
      <c r="BM86" s="37">
        <f t="shared" ca="1" si="281"/>
        <v>5625406</v>
      </c>
      <c r="BN86" s="37">
        <f t="shared" ca="1" si="281"/>
        <v>12549823</v>
      </c>
      <c r="BO86" s="37">
        <f t="shared" ca="1" si="281"/>
        <v>12472360</v>
      </c>
      <c r="BP86" s="37">
        <f t="shared" ca="1" si="281"/>
        <v>6535107</v>
      </c>
      <c r="BQ86" s="37">
        <f t="shared" ca="1" si="281"/>
        <v>6851447.5</v>
      </c>
      <c r="BR86" s="37">
        <f t="shared" ca="1" si="281"/>
        <v>6832903.5</v>
      </c>
      <c r="BS86" s="37">
        <f t="shared" ca="1" si="281"/>
        <v>6463724</v>
      </c>
      <c r="BT86" s="37">
        <f t="shared" ca="1" si="281"/>
        <v>15352185.25</v>
      </c>
      <c r="BU86" s="37">
        <f t="shared" ca="1" si="281"/>
        <v>22385030.5</v>
      </c>
      <c r="BV86" s="37">
        <f t="shared" ca="1" si="281"/>
        <v>11408735.25</v>
      </c>
      <c r="BW86" s="37">
        <f t="shared" ca="1" si="281"/>
        <v>3949014.625</v>
      </c>
      <c r="BX86" s="37">
        <f t="shared" ca="1" si="281"/>
        <v>7863708.125</v>
      </c>
      <c r="BY86" s="37">
        <f t="shared" ca="1" si="281"/>
        <v>11454254.5</v>
      </c>
      <c r="BZ86" s="37">
        <f t="shared" ca="1" si="281"/>
        <v>29455068.25</v>
      </c>
      <c r="CA86" s="37">
        <f t="shared" ca="1" si="281"/>
        <v>28187830</v>
      </c>
      <c r="CB86" s="37">
        <f t="shared" ca="1" si="281"/>
        <v>11727308.25</v>
      </c>
      <c r="CC86" s="37">
        <f t="shared" ca="1" si="281"/>
        <v>11878712.125</v>
      </c>
      <c r="CD86" s="37">
        <f t="shared" ca="1" si="281"/>
        <v>12833785.125</v>
      </c>
      <c r="CE86" s="37">
        <f t="shared" ca="1" si="281"/>
        <v>14081204</v>
      </c>
      <c r="CF86" s="37">
        <f t="shared" ca="1" si="281"/>
        <v>30708041.774999999</v>
      </c>
      <c r="CG86" s="37">
        <f t="shared" ca="1" si="281"/>
        <v>40251188.399999999</v>
      </c>
      <c r="CH86" s="37">
        <f t="shared" ca="1" si="281"/>
        <v>17852669.324999999</v>
      </c>
      <c r="CI86" s="37">
        <f t="shared" ca="1" si="281"/>
        <v>5364557.1375000002</v>
      </c>
      <c r="CJ86" s="37">
        <f t="shared" ca="1" si="281"/>
        <v>12029490.1875</v>
      </c>
      <c r="CK86" s="37">
        <f t="shared" ca="1" si="281"/>
        <v>18697527.600000001</v>
      </c>
      <c r="CL86" s="37">
        <f t="shared" ca="1" si="281"/>
        <v>57669090.225000001</v>
      </c>
      <c r="CM86" s="37">
        <f t="shared" ca="1" si="281"/>
        <v>54473703</v>
      </c>
      <c r="CN86" s="37">
        <f t="shared" ca="1" si="281"/>
        <v>17834932.350000001</v>
      </c>
      <c r="CO86" s="37">
        <f t="shared" ca="1" si="281"/>
        <v>17579407.762499999</v>
      </c>
      <c r="CP86" s="37">
        <f t="shared" ca="1" si="281"/>
        <v>19674518.287500001</v>
      </c>
      <c r="CQ86" s="37">
        <f t="shared" ca="1" si="281"/>
        <v>23651806.574999999</v>
      </c>
      <c r="CR86" s="37">
        <f t="shared" ca="1" si="281"/>
        <v>26461689.381250001</v>
      </c>
      <c r="CS86" s="37">
        <f t="shared" ca="1" si="281"/>
        <v>31901639.112500001</v>
      </c>
      <c r="CT86" s="37">
        <f t="shared" ref="CT86:CV86" ca="1" si="282">SUM(CT73:CT85)</f>
        <v>31901639.112500001</v>
      </c>
      <c r="CU86" s="37">
        <f t="shared" ca="1" si="282"/>
        <v>15950819.55625</v>
      </c>
      <c r="CV86" s="37">
        <f t="shared" ca="1" si="282"/>
        <v>2.3283064365386963E-10</v>
      </c>
      <c r="CW86" s="21"/>
    </row>
    <row r="90" spans="2:101" s="44" customFormat="1" x14ac:dyDescent="0.25">
      <c r="B90" s="44" t="s">
        <v>158</v>
      </c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</row>
    <row r="92" spans="2:101" x14ac:dyDescent="0.25">
      <c r="C92" s="40" t="s">
        <v>21</v>
      </c>
      <c r="D92" s="46"/>
    </row>
    <row r="93" spans="2:101" x14ac:dyDescent="0.25">
      <c r="D93" s="52" t="s">
        <v>159</v>
      </c>
      <c r="F93" s="21"/>
      <c r="G93" s="21"/>
      <c r="H93" s="21"/>
      <c r="I93" s="21"/>
      <c r="J93" s="21"/>
      <c r="K93" s="21"/>
      <c r="L93" s="21"/>
      <c r="M93" s="21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21"/>
      <c r="CU93" s="21"/>
      <c r="CV93" s="21"/>
      <c r="CW93" s="21"/>
    </row>
    <row r="94" spans="2:101" x14ac:dyDescent="0.25">
      <c r="D94" s="35" t="str">
        <f>[1]Key!C$12</f>
        <v>BARI</v>
      </c>
      <c r="E94" s="35" t="str">
        <f>[1]Key!D$12</f>
        <v>Wholesale</v>
      </c>
      <c r="F94" s="21"/>
      <c r="H94" s="21"/>
      <c r="I94" s="21"/>
      <c r="J94" s="21"/>
      <c r="K94" s="21"/>
      <c r="L94" s="21"/>
      <c r="M94" s="21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36">
        <f>[1]contras!AS12</f>
        <v>0</v>
      </c>
      <c r="AA94" s="36">
        <f>[1]contras!AT12</f>
        <v>0</v>
      </c>
      <c r="AB94" s="36">
        <f>[1]contras!AU12</f>
        <v>0</v>
      </c>
      <c r="AC94" s="36">
        <f>[1]contras!AV12</f>
        <v>0</v>
      </c>
      <c r="AD94" s="36">
        <f>[1]contras!AW12</f>
        <v>0</v>
      </c>
      <c r="AE94" s="36">
        <f>[1]contras!AX12</f>
        <v>0</v>
      </c>
      <c r="AF94" s="36">
        <f>[1]contras!AY12</f>
        <v>0</v>
      </c>
      <c r="AG94" s="36">
        <f>[1]contras!AZ12</f>
        <v>0</v>
      </c>
      <c r="AH94" s="36">
        <f>[1]contras!BA12</f>
        <v>0</v>
      </c>
      <c r="AI94" s="36">
        <f>[1]contras!BB12</f>
        <v>0</v>
      </c>
      <c r="AJ94" s="36">
        <f>[1]contras!BC12</f>
        <v>0</v>
      </c>
      <c r="AK94" s="36">
        <f>[1]contras!BD12</f>
        <v>0</v>
      </c>
      <c r="AL94" s="36">
        <f>[1]contras!BE12</f>
        <v>37500</v>
      </c>
      <c r="AM94" s="36">
        <f>[1]contras!BF12</f>
        <v>0</v>
      </c>
      <c r="AN94" s="36">
        <f>[1]contras!BG12</f>
        <v>37500</v>
      </c>
      <c r="AO94" s="36">
        <f>[1]contras!BH12</f>
        <v>0</v>
      </c>
      <c r="AP94" s="36">
        <f>[1]contras!BI12</f>
        <v>0</v>
      </c>
      <c r="AQ94" s="36">
        <f>[1]contras!BJ12</f>
        <v>75000</v>
      </c>
      <c r="AR94" s="36">
        <f>[1]contras!BK12</f>
        <v>0</v>
      </c>
      <c r="AS94" s="36">
        <f>[1]contras!BL12</f>
        <v>37500</v>
      </c>
      <c r="AT94" s="36">
        <f>[1]contras!BM12</f>
        <v>75000</v>
      </c>
      <c r="AU94" s="36">
        <f>[1]contras!BN12</f>
        <v>75000</v>
      </c>
      <c r="AV94" s="36">
        <f>[1]contras!BO12</f>
        <v>15625</v>
      </c>
      <c r="AW94" s="36">
        <f>[1]contras!BP12</f>
        <v>75000</v>
      </c>
      <c r="AX94" s="36">
        <f>[1]contras!BQ12</f>
        <v>112500</v>
      </c>
      <c r="AY94" s="36">
        <f>[1]contras!BR12</f>
        <v>0</v>
      </c>
      <c r="AZ94" s="36">
        <f>[1]contras!BS12</f>
        <v>75000</v>
      </c>
      <c r="BA94" s="36">
        <f>[1]contras!BT12</f>
        <v>0</v>
      </c>
      <c r="BB94" s="36">
        <f>[1]contras!BU12</f>
        <v>0</v>
      </c>
      <c r="BC94" s="36">
        <f>[1]contras!BV12</f>
        <v>187500</v>
      </c>
      <c r="BD94" s="36">
        <f>[1]contras!BW12</f>
        <v>0</v>
      </c>
      <c r="BE94" s="36">
        <f>[1]contras!BX12</f>
        <v>0</v>
      </c>
      <c r="BF94" s="36">
        <f>[1]contras!BY12</f>
        <v>75000</v>
      </c>
      <c r="BG94" s="36">
        <f>[1]contras!BZ12</f>
        <v>150000</v>
      </c>
      <c r="BH94" s="36">
        <f>[1]contras!CA12</f>
        <v>0</v>
      </c>
      <c r="BI94" s="36">
        <f>[1]contras!CB12</f>
        <v>90625</v>
      </c>
      <c r="BJ94" s="36">
        <f>[1]contras!CC12</f>
        <v>225000</v>
      </c>
      <c r="BK94" s="36">
        <f>[1]contras!CD12</f>
        <v>0</v>
      </c>
      <c r="BL94" s="36">
        <f>[1]contras!CE12</f>
        <v>150000</v>
      </c>
      <c r="BM94" s="36">
        <f>[1]contras!CF12</f>
        <v>0</v>
      </c>
      <c r="BN94" s="36">
        <f>[1]contras!CG12</f>
        <v>0</v>
      </c>
      <c r="BO94" s="36">
        <f>[1]contras!CH12</f>
        <v>375000</v>
      </c>
      <c r="BP94" s="36">
        <f>[1]contras!CI12</f>
        <v>0</v>
      </c>
      <c r="BQ94" s="36">
        <f>[1]contras!CJ12</f>
        <v>0</v>
      </c>
      <c r="BR94" s="36">
        <f>[1]contras!CK12</f>
        <v>150000</v>
      </c>
      <c r="BS94" s="36">
        <f>[1]contras!CL12</f>
        <v>300000</v>
      </c>
      <c r="BT94" s="36">
        <f>[1]contras!CM12</f>
        <v>0</v>
      </c>
      <c r="BU94" s="36">
        <f>[1]contras!CN12</f>
        <v>181250</v>
      </c>
      <c r="BV94" s="36">
        <f>[1]contras!CO12</f>
        <v>337500</v>
      </c>
      <c r="BW94" s="36">
        <f>[1]contras!CP12</f>
        <v>0</v>
      </c>
      <c r="BX94" s="36">
        <f>[1]contras!CQ12</f>
        <v>225000</v>
      </c>
      <c r="BY94" s="36">
        <f>[1]contras!CR12</f>
        <v>0</v>
      </c>
      <c r="BZ94" s="36">
        <f>[1]contras!CS12</f>
        <v>0</v>
      </c>
      <c r="CA94" s="36">
        <f>[1]contras!CT12</f>
        <v>562500</v>
      </c>
      <c r="CB94" s="36">
        <f>[1]contras!CU12</f>
        <v>0</v>
      </c>
      <c r="CC94" s="36">
        <f>[1]contras!CV12</f>
        <v>0</v>
      </c>
      <c r="CD94" s="36">
        <f>[1]contras!CW12</f>
        <v>225000</v>
      </c>
      <c r="CE94" s="36">
        <f>[1]contras!CX12</f>
        <v>450000</v>
      </c>
      <c r="CF94" s="36">
        <f>[1]contras!CY12</f>
        <v>0</v>
      </c>
      <c r="CG94" s="36">
        <f>[1]contras!CZ12</f>
        <v>271875</v>
      </c>
      <c r="CH94" s="36">
        <f>[1]contras!DA12</f>
        <v>438750</v>
      </c>
      <c r="CI94" s="36">
        <f>[1]contras!DB12</f>
        <v>0</v>
      </c>
      <c r="CJ94" s="36">
        <f>[1]contras!DC12</f>
        <v>292500</v>
      </c>
      <c r="CK94" s="36">
        <f>[1]contras!DD12</f>
        <v>0</v>
      </c>
      <c r="CL94" s="36">
        <f>[1]contras!DE12</f>
        <v>0</v>
      </c>
      <c r="CM94" s="36">
        <f>[1]contras!DF12</f>
        <v>731250</v>
      </c>
      <c r="CN94" s="36">
        <f>[1]contras!DG12</f>
        <v>0</v>
      </c>
      <c r="CO94" s="36">
        <f>[1]contras!DH12</f>
        <v>0</v>
      </c>
      <c r="CP94" s="36">
        <f>[1]contras!DI12</f>
        <v>292500</v>
      </c>
      <c r="CQ94" s="36">
        <f>[1]contras!DJ12</f>
        <v>585000</v>
      </c>
      <c r="CR94" s="36">
        <f>[1]contras!DK12</f>
        <v>0</v>
      </c>
      <c r="CS94" s="36">
        <f>[1]contras!DL12</f>
        <v>353437.5</v>
      </c>
      <c r="CT94" s="36"/>
      <c r="CU94" s="36"/>
      <c r="CV94" s="36"/>
      <c r="CW94" s="21"/>
    </row>
    <row r="95" spans="2:101" x14ac:dyDescent="0.25">
      <c r="D95" s="35" t="str">
        <f>[1]Key!C$13</f>
        <v>BRAIN DEAD OAKLEY</v>
      </c>
      <c r="E95" s="35" t="str">
        <f>[1]Key!D$13</f>
        <v>Wholesale</v>
      </c>
      <c r="F95" s="21"/>
      <c r="G95" s="21"/>
      <c r="H95" s="21"/>
      <c r="I95" s="21"/>
      <c r="J95" s="21"/>
      <c r="K95" s="21"/>
      <c r="L95" s="21"/>
      <c r="M95" s="21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36">
        <f>[1]contras!AS13</f>
        <v>0</v>
      </c>
      <c r="AA95" s="36">
        <f>[1]contras!AT13</f>
        <v>0</v>
      </c>
      <c r="AB95" s="36">
        <f>[1]contras!AU13</f>
        <v>0</v>
      </c>
      <c r="AC95" s="36">
        <f>[1]contras!AV13</f>
        <v>0</v>
      </c>
      <c r="AD95" s="36">
        <f>[1]contras!AW13</f>
        <v>0</v>
      </c>
      <c r="AE95" s="36">
        <f>[1]contras!AX13</f>
        <v>0</v>
      </c>
      <c r="AF95" s="36">
        <f>[1]contras!AY13</f>
        <v>0</v>
      </c>
      <c r="AG95" s="36">
        <f>[1]contras!AZ13</f>
        <v>0</v>
      </c>
      <c r="AH95" s="36">
        <f>[1]contras!BA13</f>
        <v>0</v>
      </c>
      <c r="AI95" s="36">
        <f>[1]contras!BB13</f>
        <v>0</v>
      </c>
      <c r="AJ95" s="36">
        <f>[1]contras!BC13</f>
        <v>49600</v>
      </c>
      <c r="AK95" s="36">
        <f>[1]contras!BD13</f>
        <v>0</v>
      </c>
      <c r="AL95" s="36">
        <f>[1]contras!BE13</f>
        <v>0</v>
      </c>
      <c r="AM95" s="36">
        <f>[1]contras!BF13</f>
        <v>148800</v>
      </c>
      <c r="AN95" s="36">
        <f>[1]contras!BG13</f>
        <v>37200</v>
      </c>
      <c r="AO95" s="36">
        <f>[1]contras!BH13</f>
        <v>0</v>
      </c>
      <c r="AP95" s="36">
        <f>[1]contras!BI13</f>
        <v>0</v>
      </c>
      <c r="AQ95" s="36">
        <f>[1]contras!BJ13</f>
        <v>0</v>
      </c>
      <c r="AR95" s="36">
        <f>[1]contras!BK13</f>
        <v>74400</v>
      </c>
      <c r="AS95" s="36">
        <f>[1]contras!BL13</f>
        <v>0</v>
      </c>
      <c r="AT95" s="36">
        <f>[1]contras!BM13</f>
        <v>297600</v>
      </c>
      <c r="AU95" s="36">
        <f>[1]contras!BN13</f>
        <v>0</v>
      </c>
      <c r="AV95" s="36">
        <f>[1]contras!BO13</f>
        <v>0</v>
      </c>
      <c r="AW95" s="36">
        <f>[1]contras!BP13</f>
        <v>0</v>
      </c>
      <c r="AX95" s="36">
        <f>[1]contras!BQ13</f>
        <v>0</v>
      </c>
      <c r="AY95" s="36">
        <f>[1]contras!BR13</f>
        <v>279000</v>
      </c>
      <c r="AZ95" s="36">
        <f>[1]contras!BS13</f>
        <v>0</v>
      </c>
      <c r="BA95" s="36">
        <f>[1]contras!BT13</f>
        <v>0</v>
      </c>
      <c r="BB95" s="36">
        <f>[1]contras!BU13</f>
        <v>0</v>
      </c>
      <c r="BC95" s="36">
        <f>[1]contras!BV13</f>
        <v>0</v>
      </c>
      <c r="BD95" s="36">
        <f>[1]contras!BW13</f>
        <v>0</v>
      </c>
      <c r="BE95" s="36">
        <f>[1]contras!BX13</f>
        <v>0</v>
      </c>
      <c r="BF95" s="36">
        <f>[1]contras!BY13</f>
        <v>613800</v>
      </c>
      <c r="BG95" s="36">
        <f>[1]contras!BZ13</f>
        <v>0</v>
      </c>
      <c r="BH95" s="36">
        <f>[1]contras!CA13</f>
        <v>0</v>
      </c>
      <c r="BI95" s="36">
        <f>[1]contras!CB13</f>
        <v>0</v>
      </c>
      <c r="BJ95" s="36">
        <f>[1]contras!CC13</f>
        <v>0</v>
      </c>
      <c r="BK95" s="36">
        <f>[1]contras!CD13</f>
        <v>558000</v>
      </c>
      <c r="BL95" s="36">
        <f>[1]contras!CE13</f>
        <v>0</v>
      </c>
      <c r="BM95" s="36">
        <f>[1]contras!CF13</f>
        <v>0</v>
      </c>
      <c r="BN95" s="36">
        <f>[1]contras!CG13</f>
        <v>0</v>
      </c>
      <c r="BO95" s="36">
        <f>[1]contras!CH13</f>
        <v>0</v>
      </c>
      <c r="BP95" s="36">
        <f>[1]contras!CI13</f>
        <v>0</v>
      </c>
      <c r="BQ95" s="36">
        <f>[1]contras!CJ13</f>
        <v>0</v>
      </c>
      <c r="BR95" s="36">
        <f>[1]contras!CK13</f>
        <v>1227600</v>
      </c>
      <c r="BS95" s="36">
        <f>[1]contras!CL13</f>
        <v>0</v>
      </c>
      <c r="BT95" s="36">
        <f>[1]contras!CM13</f>
        <v>0</v>
      </c>
      <c r="BU95" s="36">
        <f>[1]contras!CN13</f>
        <v>0</v>
      </c>
      <c r="BV95" s="36">
        <f>[1]contras!CO13</f>
        <v>0</v>
      </c>
      <c r="BW95" s="36">
        <f>[1]contras!CP13</f>
        <v>837000</v>
      </c>
      <c r="BX95" s="36">
        <f>[1]contras!CQ13</f>
        <v>0</v>
      </c>
      <c r="BY95" s="36">
        <f>[1]contras!CR13</f>
        <v>0</v>
      </c>
      <c r="BZ95" s="36">
        <f>[1]contras!CS13</f>
        <v>0</v>
      </c>
      <c r="CA95" s="36">
        <f>[1]contras!CT13</f>
        <v>0</v>
      </c>
      <c r="CB95" s="36">
        <f>[1]contras!CU13</f>
        <v>0</v>
      </c>
      <c r="CC95" s="36">
        <f>[1]contras!CV13</f>
        <v>0</v>
      </c>
      <c r="CD95" s="36">
        <f>[1]contras!CW13</f>
        <v>1841400</v>
      </c>
      <c r="CE95" s="36">
        <f>[1]contras!CX13</f>
        <v>0</v>
      </c>
      <c r="CF95" s="36">
        <f>[1]contras!CY13</f>
        <v>0</v>
      </c>
      <c r="CG95" s="36">
        <f>[1]contras!CZ13</f>
        <v>0</v>
      </c>
      <c r="CH95" s="36">
        <f>[1]contras!DA13</f>
        <v>0</v>
      </c>
      <c r="CI95" s="36">
        <f>[1]contras!DB13</f>
        <v>1088100</v>
      </c>
      <c r="CJ95" s="36">
        <f>[1]contras!DC13</f>
        <v>0</v>
      </c>
      <c r="CK95" s="36">
        <f>[1]contras!DD13</f>
        <v>0</v>
      </c>
      <c r="CL95" s="36">
        <f>[1]contras!DE13</f>
        <v>0</v>
      </c>
      <c r="CM95" s="36">
        <f>[1]contras!DF13</f>
        <v>0</v>
      </c>
      <c r="CN95" s="36">
        <f>[1]contras!DG13</f>
        <v>0</v>
      </c>
      <c r="CO95" s="36">
        <f>[1]contras!DH13</f>
        <v>0</v>
      </c>
      <c r="CP95" s="36">
        <f>[1]contras!DI13</f>
        <v>2393820</v>
      </c>
      <c r="CQ95" s="36">
        <f>[1]contras!DJ13</f>
        <v>0</v>
      </c>
      <c r="CR95" s="36">
        <f>[1]contras!DK13</f>
        <v>0</v>
      </c>
      <c r="CS95" s="36">
        <f>[1]contras!DL13</f>
        <v>0</v>
      </c>
      <c r="CT95" s="39"/>
      <c r="CU95" s="39"/>
      <c r="CV95" s="39"/>
      <c r="CW95" s="21"/>
    </row>
    <row r="96" spans="2:101" x14ac:dyDescent="0.25">
      <c r="D96" s="35" t="str">
        <f>[1]Key!C$14</f>
        <v>GROWTH "HIT" PH</v>
      </c>
      <c r="E96" s="35" t="str">
        <f>[1]Key!D$14</f>
        <v>Wholesale</v>
      </c>
      <c r="F96" s="21"/>
      <c r="G96" s="21"/>
      <c r="H96" s="21"/>
      <c r="I96" s="21"/>
      <c r="J96" s="21"/>
      <c r="K96" s="21"/>
      <c r="L96" s="21"/>
      <c r="M96" s="21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36">
        <f>[1]contras!AS14</f>
        <v>0</v>
      </c>
      <c r="AA96" s="36">
        <f>[1]contras!AT14</f>
        <v>0</v>
      </c>
      <c r="AB96" s="36">
        <f>[1]contras!AU14</f>
        <v>0</v>
      </c>
      <c r="AC96" s="36">
        <f>[1]contras!AV14</f>
        <v>0</v>
      </c>
      <c r="AD96" s="36">
        <f>[1]contras!AW14</f>
        <v>0</v>
      </c>
      <c r="AE96" s="36">
        <f>[1]contras!AX14</f>
        <v>0</v>
      </c>
      <c r="AF96" s="36">
        <f>[1]contras!AY14</f>
        <v>0</v>
      </c>
      <c r="AG96" s="36">
        <f>[1]contras!AZ14</f>
        <v>0</v>
      </c>
      <c r="AH96" s="36">
        <f>[1]contras!BA14</f>
        <v>0</v>
      </c>
      <c r="AI96" s="36">
        <f>[1]contras!BB14</f>
        <v>0</v>
      </c>
      <c r="AJ96" s="36">
        <f>[1]contras!BC14</f>
        <v>0</v>
      </c>
      <c r="AK96" s="36">
        <f>[1]contras!BD14</f>
        <v>0</v>
      </c>
      <c r="AL96" s="36">
        <f>[1]contras!BE14</f>
        <v>0</v>
      </c>
      <c r="AM96" s="36">
        <f>[1]contras!BF14</f>
        <v>0</v>
      </c>
      <c r="AN96" s="36">
        <f>[1]contras!BG14</f>
        <v>0</v>
      </c>
      <c r="AO96" s="36">
        <f>[1]contras!BH14</f>
        <v>0</v>
      </c>
      <c r="AP96" s="36">
        <f>[1]contras!BI14</f>
        <v>0</v>
      </c>
      <c r="AQ96" s="36">
        <f>[1]contras!BJ14</f>
        <v>0</v>
      </c>
      <c r="AR96" s="36">
        <f>[1]contras!BK14</f>
        <v>0</v>
      </c>
      <c r="AS96" s="36">
        <f>[1]contras!BL14</f>
        <v>0</v>
      </c>
      <c r="AT96" s="36">
        <f>[1]contras!BM14</f>
        <v>0</v>
      </c>
      <c r="AU96" s="36">
        <f>[1]contras!BN14</f>
        <v>350000</v>
      </c>
      <c r="AV96" s="36">
        <f>[1]contras!BO14</f>
        <v>0</v>
      </c>
      <c r="AW96" s="36">
        <f>[1]contras!BP14</f>
        <v>0</v>
      </c>
      <c r="AX96" s="36">
        <f>[1]contras!BQ14</f>
        <v>750000</v>
      </c>
      <c r="AY96" s="36">
        <f>[1]contras!BR14</f>
        <v>0</v>
      </c>
      <c r="AZ96" s="36">
        <f>[1]contras!BS14</f>
        <v>0</v>
      </c>
      <c r="BA96" s="36">
        <f>[1]contras!BT14</f>
        <v>750000</v>
      </c>
      <c r="BB96" s="36">
        <f>[1]contras!BU14</f>
        <v>0</v>
      </c>
      <c r="BC96" s="36">
        <f>[1]contras!BV14</f>
        <v>0</v>
      </c>
      <c r="BD96" s="36">
        <f>[1]contras!BW14</f>
        <v>937500</v>
      </c>
      <c r="BE96" s="36">
        <f>[1]contras!BX14</f>
        <v>0</v>
      </c>
      <c r="BF96" s="36">
        <f>[1]contras!BY14</f>
        <v>0</v>
      </c>
      <c r="BG96" s="36">
        <f>[1]contras!BZ14</f>
        <v>1312500</v>
      </c>
      <c r="BH96" s="36">
        <f>[1]contras!CA14</f>
        <v>0</v>
      </c>
      <c r="BI96" s="36">
        <f>[1]contras!CB14</f>
        <v>0</v>
      </c>
      <c r="BJ96" s="36">
        <f>[1]contras!CC14</f>
        <v>1500000</v>
      </c>
      <c r="BK96" s="36">
        <f>[1]contras!CD14</f>
        <v>0</v>
      </c>
      <c r="BL96" s="36">
        <f>[1]contras!CE14</f>
        <v>0</v>
      </c>
      <c r="BM96" s="36">
        <f>[1]contras!CF14</f>
        <v>1500000</v>
      </c>
      <c r="BN96" s="36">
        <f>[1]contras!CG14</f>
        <v>0</v>
      </c>
      <c r="BO96" s="36">
        <f>[1]contras!CH14</f>
        <v>0</v>
      </c>
      <c r="BP96" s="36">
        <f>[1]contras!CI14</f>
        <v>1875000</v>
      </c>
      <c r="BQ96" s="36">
        <f>[1]contras!CJ14</f>
        <v>0</v>
      </c>
      <c r="BR96" s="36">
        <f>[1]contras!CK14</f>
        <v>0</v>
      </c>
      <c r="BS96" s="36">
        <f>[1]contras!CL14</f>
        <v>2625000</v>
      </c>
      <c r="BT96" s="36">
        <f>[1]contras!CM14</f>
        <v>0</v>
      </c>
      <c r="BU96" s="36">
        <f>[1]contras!CN14</f>
        <v>0</v>
      </c>
      <c r="BV96" s="36">
        <f>[1]contras!CO14</f>
        <v>2250000</v>
      </c>
      <c r="BW96" s="36">
        <f>[1]contras!CP14</f>
        <v>0</v>
      </c>
      <c r="BX96" s="36">
        <f>[1]contras!CQ14</f>
        <v>0</v>
      </c>
      <c r="BY96" s="36">
        <f>[1]contras!CR14</f>
        <v>2250000</v>
      </c>
      <c r="BZ96" s="36">
        <f>[1]contras!CS14</f>
        <v>0</v>
      </c>
      <c r="CA96" s="36">
        <f>[1]contras!CT14</f>
        <v>0</v>
      </c>
      <c r="CB96" s="36">
        <f>[1]contras!CU14</f>
        <v>2812500</v>
      </c>
      <c r="CC96" s="36">
        <f>[1]contras!CV14</f>
        <v>0</v>
      </c>
      <c r="CD96" s="36">
        <f>[1]contras!CW14</f>
        <v>0</v>
      </c>
      <c r="CE96" s="36">
        <f>[1]contras!CX14</f>
        <v>3937500</v>
      </c>
      <c r="CF96" s="36">
        <f>[1]contras!CY14</f>
        <v>0</v>
      </c>
      <c r="CG96" s="36">
        <f>[1]contras!CZ14</f>
        <v>0</v>
      </c>
      <c r="CH96" s="36">
        <f>[1]contras!DA14</f>
        <v>2925000</v>
      </c>
      <c r="CI96" s="36">
        <f>[1]contras!DB14</f>
        <v>0</v>
      </c>
      <c r="CJ96" s="36">
        <f>[1]contras!DC14</f>
        <v>0</v>
      </c>
      <c r="CK96" s="36">
        <f>[1]contras!DD14</f>
        <v>2925000</v>
      </c>
      <c r="CL96" s="36">
        <f>[1]contras!DE14</f>
        <v>0</v>
      </c>
      <c r="CM96" s="36">
        <f>[1]contras!DF14</f>
        <v>0</v>
      </c>
      <c r="CN96" s="36">
        <f>[1]contras!DG14</f>
        <v>3656250</v>
      </c>
      <c r="CO96" s="36">
        <f>[1]contras!DH14</f>
        <v>0</v>
      </c>
      <c r="CP96" s="36">
        <f>[1]contras!DI14</f>
        <v>0</v>
      </c>
      <c r="CQ96" s="36">
        <f>[1]contras!DJ14</f>
        <v>5118750</v>
      </c>
      <c r="CR96" s="36">
        <f>[1]contras!DK14</f>
        <v>0</v>
      </c>
      <c r="CS96" s="36">
        <f>[1]contras!DL14</f>
        <v>0</v>
      </c>
      <c r="CT96" s="39"/>
      <c r="CU96" s="39"/>
      <c r="CV96" s="39"/>
      <c r="CW96" s="21"/>
    </row>
    <row r="97" spans="4:101" x14ac:dyDescent="0.25">
      <c r="D97" s="35" t="str">
        <f>[1]Key!C$15</f>
        <v>ICE STUDIOS</v>
      </c>
      <c r="E97" s="35" t="str">
        <f>[1]Key!D$15</f>
        <v>Wholesale</v>
      </c>
      <c r="F97" s="21"/>
      <c r="G97" s="21"/>
      <c r="H97" s="21"/>
      <c r="I97" s="21"/>
      <c r="J97" s="21"/>
      <c r="K97" s="21"/>
      <c r="L97" s="21"/>
      <c r="M97" s="21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36">
        <f>[1]contras!AS15</f>
        <v>0</v>
      </c>
      <c r="AA97" s="36">
        <f>[1]contras!AT15</f>
        <v>0</v>
      </c>
      <c r="AB97" s="36">
        <f>[1]contras!AU15</f>
        <v>0</v>
      </c>
      <c r="AC97" s="36">
        <f>[1]contras!AV15</f>
        <v>0</v>
      </c>
      <c r="AD97" s="36">
        <f>[1]contras!AW15</f>
        <v>0</v>
      </c>
      <c r="AE97" s="36">
        <f>[1]contras!AX15</f>
        <v>0</v>
      </c>
      <c r="AF97" s="36">
        <f>[1]contras!AY15</f>
        <v>0</v>
      </c>
      <c r="AG97" s="36">
        <f>[1]contras!AZ15</f>
        <v>0</v>
      </c>
      <c r="AH97" s="36">
        <f>[1]contras!BA15</f>
        <v>0</v>
      </c>
      <c r="AI97" s="36">
        <f>[1]contras!BB15</f>
        <v>0</v>
      </c>
      <c r="AJ97" s="36">
        <f>[1]contras!BC15</f>
        <v>0</v>
      </c>
      <c r="AK97" s="36">
        <f>[1]contras!BD15</f>
        <v>11250</v>
      </c>
      <c r="AL97" s="36">
        <f>[1]contras!BE15</f>
        <v>0</v>
      </c>
      <c r="AM97" s="36">
        <f>[1]contras!BF15</f>
        <v>94500</v>
      </c>
      <c r="AN97" s="36">
        <f>[1]contras!BG15</f>
        <v>0</v>
      </c>
      <c r="AO97" s="36">
        <f>[1]contras!BH15</f>
        <v>0</v>
      </c>
      <c r="AP97" s="36">
        <f>[1]contras!BI15</f>
        <v>0</v>
      </c>
      <c r="AQ97" s="36">
        <f>[1]contras!BJ15</f>
        <v>157500</v>
      </c>
      <c r="AR97" s="36">
        <f>[1]contras!BK15</f>
        <v>0</v>
      </c>
      <c r="AS97" s="36">
        <f>[1]contras!BL15</f>
        <v>0</v>
      </c>
      <c r="AT97" s="36">
        <f>[1]contras!BM15</f>
        <v>255000</v>
      </c>
      <c r="AU97" s="36">
        <f>[1]contras!BN15</f>
        <v>0</v>
      </c>
      <c r="AV97" s="36">
        <f>[1]contras!BO15</f>
        <v>0</v>
      </c>
      <c r="AW97" s="36">
        <f>[1]contras!BP15</f>
        <v>307000</v>
      </c>
      <c r="AX97" s="36">
        <f>[1]contras!BQ15</f>
        <v>192000</v>
      </c>
      <c r="AY97" s="36">
        <f>[1]contras!BR15</f>
        <v>312000</v>
      </c>
      <c r="AZ97" s="36">
        <f>[1]contras!BS15</f>
        <v>0</v>
      </c>
      <c r="BA97" s="36">
        <f>[1]contras!BT15</f>
        <v>0</v>
      </c>
      <c r="BB97" s="36">
        <f>[1]contras!BU15</f>
        <v>0</v>
      </c>
      <c r="BC97" s="36">
        <f>[1]contras!BV15</f>
        <v>504000</v>
      </c>
      <c r="BD97" s="36">
        <f>[1]contras!BW15</f>
        <v>0</v>
      </c>
      <c r="BE97" s="36">
        <f>[1]contras!BX15</f>
        <v>0</v>
      </c>
      <c r="BF97" s="36">
        <f>[1]contras!BY15</f>
        <v>520000</v>
      </c>
      <c r="BG97" s="36">
        <f>[1]contras!BZ15</f>
        <v>0</v>
      </c>
      <c r="BH97" s="36">
        <f>[1]contras!CA15</f>
        <v>38400</v>
      </c>
      <c r="BI97" s="36">
        <f>[1]contras!CB15</f>
        <v>520000</v>
      </c>
      <c r="BJ97" s="36">
        <f>[1]contras!CC15</f>
        <v>480000</v>
      </c>
      <c r="BK97" s="36">
        <f>[1]contras!CD15</f>
        <v>780000</v>
      </c>
      <c r="BL97" s="36">
        <f>[1]contras!CE15</f>
        <v>0</v>
      </c>
      <c r="BM97" s="36">
        <f>[1]contras!CF15</f>
        <v>0</v>
      </c>
      <c r="BN97" s="36">
        <f>[1]contras!CG15</f>
        <v>0</v>
      </c>
      <c r="BO97" s="36">
        <f>[1]contras!CH15</f>
        <v>1260000</v>
      </c>
      <c r="BP97" s="36">
        <f>[1]contras!CI15</f>
        <v>0</v>
      </c>
      <c r="BQ97" s="36">
        <f>[1]contras!CJ15</f>
        <v>0</v>
      </c>
      <c r="BR97" s="36">
        <f>[1]contras!CK15</f>
        <v>1300000</v>
      </c>
      <c r="BS97" s="36">
        <f>[1]contras!CL15</f>
        <v>0</v>
      </c>
      <c r="BT97" s="36">
        <f>[1]contras!CM15</f>
        <v>96000</v>
      </c>
      <c r="BU97" s="36">
        <f>[1]contras!CN15</f>
        <v>1300000</v>
      </c>
      <c r="BV97" s="36">
        <f>[1]contras!CO15</f>
        <v>1080000</v>
      </c>
      <c r="BW97" s="36">
        <f>[1]contras!CP15</f>
        <v>1755000</v>
      </c>
      <c r="BX97" s="36">
        <f>[1]contras!CQ15</f>
        <v>0</v>
      </c>
      <c r="BY97" s="36">
        <f>[1]contras!CR15</f>
        <v>0</v>
      </c>
      <c r="BZ97" s="36">
        <f>[1]contras!CS15</f>
        <v>0</v>
      </c>
      <c r="CA97" s="36">
        <f>[1]contras!CT15</f>
        <v>2835000</v>
      </c>
      <c r="CB97" s="36">
        <f>[1]contras!CU15</f>
        <v>0</v>
      </c>
      <c r="CC97" s="36">
        <f>[1]contras!CV15</f>
        <v>0</v>
      </c>
      <c r="CD97" s="36">
        <f>[1]contras!CW15</f>
        <v>2925000</v>
      </c>
      <c r="CE97" s="36">
        <f>[1]contras!CX15</f>
        <v>0</v>
      </c>
      <c r="CF97" s="36">
        <f>[1]contras!CY15</f>
        <v>216000</v>
      </c>
      <c r="CG97" s="36">
        <f>[1]contras!CZ15</f>
        <v>2925000</v>
      </c>
      <c r="CH97" s="36">
        <f>[1]contras!DA15</f>
        <v>1890000</v>
      </c>
      <c r="CI97" s="36">
        <f>[1]contras!DB15</f>
        <v>3071250</v>
      </c>
      <c r="CJ97" s="36">
        <f>[1]contras!DC15</f>
        <v>0</v>
      </c>
      <c r="CK97" s="36">
        <f>[1]contras!DD15</f>
        <v>0</v>
      </c>
      <c r="CL97" s="36">
        <f>[1]contras!DE15</f>
        <v>0</v>
      </c>
      <c r="CM97" s="36">
        <f>[1]contras!DF15</f>
        <v>4961250</v>
      </c>
      <c r="CN97" s="36">
        <f>[1]contras!DG15</f>
        <v>0</v>
      </c>
      <c r="CO97" s="36">
        <f>[1]contras!DH15</f>
        <v>0</v>
      </c>
      <c r="CP97" s="36">
        <f>[1]contras!DI15</f>
        <v>5118750</v>
      </c>
      <c r="CQ97" s="36">
        <f>[1]contras!DJ15</f>
        <v>0</v>
      </c>
      <c r="CR97" s="36">
        <f>[1]contras!DK15</f>
        <v>378000</v>
      </c>
      <c r="CS97" s="36">
        <f>[1]contras!DL15</f>
        <v>5118750</v>
      </c>
      <c r="CT97" s="39"/>
      <c r="CU97" s="39"/>
      <c r="CV97" s="39"/>
      <c r="CW97" s="21"/>
    </row>
    <row r="98" spans="4:101" x14ac:dyDescent="0.25">
      <c r="D98" s="35" t="str">
        <f>[1]Key!C$16</f>
        <v>MURAKAMI / TORITON</v>
      </c>
      <c r="E98" s="35" t="str">
        <f>[1]Key!D$16</f>
        <v>Wholesale</v>
      </c>
      <c r="F98" s="21"/>
      <c r="G98" s="21"/>
      <c r="H98" s="21"/>
      <c r="I98" s="21"/>
      <c r="J98" s="21"/>
      <c r="K98" s="21"/>
      <c r="L98" s="21"/>
      <c r="M98" s="21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36">
        <f>[1]contras!AS16</f>
        <v>0</v>
      </c>
      <c r="AA98" s="36">
        <f>[1]contras!AT16</f>
        <v>0</v>
      </c>
      <c r="AB98" s="36">
        <f>[1]contras!AU16</f>
        <v>360000</v>
      </c>
      <c r="AC98" s="36">
        <f>[1]contras!AV16</f>
        <v>37500</v>
      </c>
      <c r="AD98" s="36">
        <f>[1]contras!AW16</f>
        <v>0</v>
      </c>
      <c r="AE98" s="36">
        <f>[1]contras!AX16</f>
        <v>0</v>
      </c>
      <c r="AF98" s="36">
        <f>[1]contras!AY16</f>
        <v>0</v>
      </c>
      <c r="AG98" s="36">
        <f>[1]contras!AZ16</f>
        <v>0</v>
      </c>
      <c r="AH98" s="36">
        <f>[1]contras!BA16</f>
        <v>0</v>
      </c>
      <c r="AI98" s="36">
        <f>[1]contras!BB16</f>
        <v>0</v>
      </c>
      <c r="AJ98" s="36">
        <f>[1]contras!BC16</f>
        <v>37500</v>
      </c>
      <c r="AK98" s="36">
        <f>[1]contras!BD16</f>
        <v>56250</v>
      </c>
      <c r="AL98" s="36">
        <f>[1]contras!BE16</f>
        <v>0</v>
      </c>
      <c r="AM98" s="36">
        <f>[1]contras!BF16</f>
        <v>125000</v>
      </c>
      <c r="AN98" s="36">
        <f>[1]contras!BG16</f>
        <v>37500</v>
      </c>
      <c r="AO98" s="36">
        <f>[1]contras!BH16</f>
        <v>0</v>
      </c>
      <c r="AP98" s="36">
        <f>[1]contras!BI16</f>
        <v>156250</v>
      </c>
      <c r="AQ98" s="36">
        <f>[1]contras!BJ16</f>
        <v>84375</v>
      </c>
      <c r="AR98" s="36">
        <f>[1]contras!BK16</f>
        <v>48750</v>
      </c>
      <c r="AS98" s="36">
        <f>[1]contras!BL16</f>
        <v>185000</v>
      </c>
      <c r="AT98" s="36">
        <f>[1]contras!BM16</f>
        <v>0</v>
      </c>
      <c r="AU98" s="36">
        <f>[1]contras!BN16</f>
        <v>25000</v>
      </c>
      <c r="AV98" s="36">
        <f>[1]contras!BO16</f>
        <v>202500</v>
      </c>
      <c r="AW98" s="36">
        <f>[1]contras!BP16</f>
        <v>114375</v>
      </c>
      <c r="AX98" s="36">
        <f>[1]contras!BQ16</f>
        <v>37500</v>
      </c>
      <c r="AY98" s="36">
        <f>[1]contras!BR16</f>
        <v>278750</v>
      </c>
      <c r="AZ98" s="36">
        <f>[1]contras!BS16</f>
        <v>105000</v>
      </c>
      <c r="BA98" s="36">
        <f>[1]contras!BT16</f>
        <v>9375</v>
      </c>
      <c r="BB98" s="36">
        <f>[1]contras!BU16</f>
        <v>218750</v>
      </c>
      <c r="BC98" s="36">
        <f>[1]contras!BV16</f>
        <v>165000</v>
      </c>
      <c r="BD98" s="36">
        <f>[1]contras!BW16</f>
        <v>37500</v>
      </c>
      <c r="BE98" s="36">
        <f>[1]contras!BX16</f>
        <v>297500</v>
      </c>
      <c r="BF98" s="36">
        <f>[1]contras!BY16</f>
        <v>105000</v>
      </c>
      <c r="BG98" s="36">
        <f>[1]contras!BZ16</f>
        <v>9375</v>
      </c>
      <c r="BH98" s="36">
        <f>[1]contras!CA16</f>
        <v>197500</v>
      </c>
      <c r="BI98" s="36">
        <f>[1]contras!CB16</f>
        <v>105000</v>
      </c>
      <c r="BJ98" s="36">
        <f>[1]contras!CC16</f>
        <v>93750</v>
      </c>
      <c r="BK98" s="36">
        <f>[1]contras!CD16</f>
        <v>696875</v>
      </c>
      <c r="BL98" s="36">
        <f>[1]contras!CE16</f>
        <v>262500</v>
      </c>
      <c r="BM98" s="36">
        <f>[1]contras!CF16</f>
        <v>23437.5</v>
      </c>
      <c r="BN98" s="36">
        <f>[1]contras!CG16</f>
        <v>546875</v>
      </c>
      <c r="BO98" s="36">
        <f>[1]contras!CH16</f>
        <v>412500</v>
      </c>
      <c r="BP98" s="36">
        <f>[1]contras!CI16</f>
        <v>93750</v>
      </c>
      <c r="BQ98" s="36">
        <f>[1]contras!CJ16</f>
        <v>743750</v>
      </c>
      <c r="BR98" s="36">
        <f>[1]contras!CK16</f>
        <v>262500</v>
      </c>
      <c r="BS98" s="36">
        <f>[1]contras!CL16</f>
        <v>23437.5</v>
      </c>
      <c r="BT98" s="36">
        <f>[1]contras!CM16</f>
        <v>493750</v>
      </c>
      <c r="BU98" s="36">
        <f>[1]contras!CN16</f>
        <v>262500</v>
      </c>
      <c r="BV98" s="36">
        <f>[1]contras!CO16</f>
        <v>164062.5</v>
      </c>
      <c r="BW98" s="36">
        <f>[1]contras!CP16</f>
        <v>1219531.25</v>
      </c>
      <c r="BX98" s="36">
        <f>[1]contras!CQ16</f>
        <v>459375</v>
      </c>
      <c r="BY98" s="36">
        <f>[1]contras!CR16</f>
        <v>41015.625</v>
      </c>
      <c r="BZ98" s="36">
        <f>[1]contras!CS16</f>
        <v>957031.25</v>
      </c>
      <c r="CA98" s="36">
        <f>[1]contras!CT16</f>
        <v>721875</v>
      </c>
      <c r="CB98" s="36">
        <f>[1]contras!CU16</f>
        <v>164062.5</v>
      </c>
      <c r="CC98" s="36">
        <f>[1]contras!CV16</f>
        <v>1301562.5</v>
      </c>
      <c r="CD98" s="36">
        <f>[1]contras!CW16</f>
        <v>459375</v>
      </c>
      <c r="CE98" s="36">
        <f>[1]contras!CX16</f>
        <v>41015.625</v>
      </c>
      <c r="CF98" s="36">
        <f>[1]contras!CY16</f>
        <v>864062.5</v>
      </c>
      <c r="CG98" s="36">
        <f>[1]contras!CZ16</f>
        <v>459375</v>
      </c>
      <c r="CH98" s="36">
        <f>[1]contras!DA16</f>
        <v>246093.75</v>
      </c>
      <c r="CI98" s="36">
        <f>[1]contras!DB16</f>
        <v>1829296.875</v>
      </c>
      <c r="CJ98" s="36">
        <f>[1]contras!DC16</f>
        <v>689062.5</v>
      </c>
      <c r="CK98" s="36">
        <f>[1]contras!DD16</f>
        <v>61523.4375</v>
      </c>
      <c r="CL98" s="36">
        <f>[1]contras!DE16</f>
        <v>1435546.875</v>
      </c>
      <c r="CM98" s="36">
        <f>[1]contras!DF16</f>
        <v>1082812.5</v>
      </c>
      <c r="CN98" s="36">
        <f>[1]contras!DG16</f>
        <v>246093.75</v>
      </c>
      <c r="CO98" s="36">
        <f>[1]contras!DH16</f>
        <v>1952343.75</v>
      </c>
      <c r="CP98" s="36">
        <f>[1]contras!DI16</f>
        <v>689062.5</v>
      </c>
      <c r="CQ98" s="36">
        <f>[1]contras!DJ16</f>
        <v>61523.4375</v>
      </c>
      <c r="CR98" s="36">
        <f>[1]contras!DK16</f>
        <v>1296093.75</v>
      </c>
      <c r="CS98" s="36">
        <f>[1]contras!DL16</f>
        <v>689062.5</v>
      </c>
      <c r="CT98" s="39"/>
      <c r="CU98" s="39"/>
      <c r="CV98" s="39"/>
      <c r="CW98" s="21"/>
    </row>
    <row r="99" spans="4:101" x14ac:dyDescent="0.25">
      <c r="D99" s="35" t="str">
        <f>[1]Key!C$17</f>
        <v>NEW PARTNER 1</v>
      </c>
      <c r="E99" s="35" t="str">
        <f>[1]Key!D$17</f>
        <v>Wholesale</v>
      </c>
      <c r="F99" s="21"/>
      <c r="G99" s="21"/>
      <c r="H99" s="21"/>
      <c r="I99" s="21"/>
      <c r="J99" s="21"/>
      <c r="K99" s="21"/>
      <c r="L99" s="21"/>
      <c r="M99" s="21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36">
        <f>[1]contras!AS17</f>
        <v>0</v>
      </c>
      <c r="AA99" s="36">
        <f>[1]contras!AT17</f>
        <v>0</v>
      </c>
      <c r="AB99" s="36">
        <f>[1]contras!AU17</f>
        <v>0</v>
      </c>
      <c r="AC99" s="36">
        <f>[1]contras!AV17</f>
        <v>0</v>
      </c>
      <c r="AD99" s="36">
        <f>[1]contras!AW17</f>
        <v>0</v>
      </c>
      <c r="AE99" s="36">
        <f>[1]contras!AX17</f>
        <v>0</v>
      </c>
      <c r="AF99" s="36">
        <f>[1]contras!AY17</f>
        <v>0</v>
      </c>
      <c r="AG99" s="36">
        <f>[1]contras!AZ17</f>
        <v>0</v>
      </c>
      <c r="AH99" s="36">
        <f>[1]contras!BA17</f>
        <v>0</v>
      </c>
      <c r="AI99" s="36">
        <f>[1]contras!BB17</f>
        <v>0</v>
      </c>
      <c r="AJ99" s="36">
        <f>[1]contras!BC17</f>
        <v>0</v>
      </c>
      <c r="AK99" s="36">
        <f>[1]contras!BD17</f>
        <v>0</v>
      </c>
      <c r="AL99" s="36">
        <f>[1]contras!BE17</f>
        <v>0</v>
      </c>
      <c r="AM99" s="36">
        <f>[1]contras!BF17</f>
        <v>0</v>
      </c>
      <c r="AN99" s="36">
        <f>[1]contras!BG17</f>
        <v>0</v>
      </c>
      <c r="AO99" s="36">
        <f>[1]contras!BH17</f>
        <v>0</v>
      </c>
      <c r="AP99" s="36">
        <f>[1]contras!BI17</f>
        <v>0</v>
      </c>
      <c r="AQ99" s="36">
        <f>[1]contras!BJ17</f>
        <v>0</v>
      </c>
      <c r="AR99" s="36">
        <f>[1]contras!BK17</f>
        <v>0</v>
      </c>
      <c r="AS99" s="36">
        <f>[1]contras!BL17</f>
        <v>0</v>
      </c>
      <c r="AT99" s="36">
        <f>[1]contras!BM17</f>
        <v>0</v>
      </c>
      <c r="AU99" s="36">
        <f>[1]contras!BN17</f>
        <v>0</v>
      </c>
      <c r="AV99" s="36">
        <f>[1]contras!BO17</f>
        <v>0</v>
      </c>
      <c r="AW99" s="36">
        <f>[1]contras!BP17</f>
        <v>0</v>
      </c>
      <c r="AX99" s="36">
        <f>[1]contras!BQ17</f>
        <v>54000</v>
      </c>
      <c r="AY99" s="36">
        <f>[1]contras!BR17</f>
        <v>0</v>
      </c>
      <c r="AZ99" s="36">
        <f>[1]contras!BS17</f>
        <v>0</v>
      </c>
      <c r="BA99" s="36">
        <f>[1]contras!BT17</f>
        <v>0</v>
      </c>
      <c r="BB99" s="36">
        <f>[1]contras!BU17</f>
        <v>0</v>
      </c>
      <c r="BC99" s="36">
        <f>[1]contras!BV17</f>
        <v>0</v>
      </c>
      <c r="BD99" s="36">
        <f>[1]contras!BW17</f>
        <v>112500</v>
      </c>
      <c r="BE99" s="36">
        <f>[1]contras!BX17</f>
        <v>0</v>
      </c>
      <c r="BF99" s="36">
        <f>[1]contras!BY17</f>
        <v>0</v>
      </c>
      <c r="BG99" s="36">
        <f>[1]contras!BZ17</f>
        <v>0</v>
      </c>
      <c r="BH99" s="36">
        <f>[1]contras!CA17</f>
        <v>0</v>
      </c>
      <c r="BI99" s="36">
        <f>[1]contras!CB17</f>
        <v>0</v>
      </c>
      <c r="BJ99" s="36">
        <f>[1]contras!CC17</f>
        <v>162000</v>
      </c>
      <c r="BK99" s="36">
        <f>[1]contras!CD17</f>
        <v>0</v>
      </c>
      <c r="BL99" s="36">
        <f>[1]contras!CE17</f>
        <v>0</v>
      </c>
      <c r="BM99" s="36">
        <f>[1]contras!CF17</f>
        <v>0</v>
      </c>
      <c r="BN99" s="36">
        <f>[1]contras!CG17</f>
        <v>0</v>
      </c>
      <c r="BO99" s="36">
        <f>[1]contras!CH17</f>
        <v>0</v>
      </c>
      <c r="BP99" s="36">
        <f>[1]contras!CI17</f>
        <v>337500</v>
      </c>
      <c r="BQ99" s="36">
        <f>[1]contras!CJ17</f>
        <v>0</v>
      </c>
      <c r="BR99" s="36">
        <f>[1]contras!CK17</f>
        <v>0</v>
      </c>
      <c r="BS99" s="36">
        <f>[1]contras!CL17</f>
        <v>0</v>
      </c>
      <c r="BT99" s="36">
        <f>[1]contras!CM17</f>
        <v>0</v>
      </c>
      <c r="BU99" s="36">
        <f>[1]contras!CN17</f>
        <v>0</v>
      </c>
      <c r="BV99" s="36">
        <f>[1]contras!CO17</f>
        <v>405000</v>
      </c>
      <c r="BW99" s="36">
        <f>[1]contras!CP17</f>
        <v>0</v>
      </c>
      <c r="BX99" s="36">
        <f>[1]contras!CQ17</f>
        <v>0</v>
      </c>
      <c r="BY99" s="36">
        <f>[1]contras!CR17</f>
        <v>0</v>
      </c>
      <c r="BZ99" s="36">
        <f>[1]contras!CS17</f>
        <v>0</v>
      </c>
      <c r="CA99" s="36">
        <f>[1]contras!CT17</f>
        <v>0</v>
      </c>
      <c r="CB99" s="36">
        <f>[1]contras!CU17</f>
        <v>843750</v>
      </c>
      <c r="CC99" s="36">
        <f>[1]contras!CV17</f>
        <v>0</v>
      </c>
      <c r="CD99" s="36">
        <f>[1]contras!CW17</f>
        <v>0</v>
      </c>
      <c r="CE99" s="36">
        <f>[1]contras!CX17</f>
        <v>0</v>
      </c>
      <c r="CF99" s="36">
        <f>[1]contras!CY17</f>
        <v>0</v>
      </c>
      <c r="CG99" s="36">
        <f>[1]contras!CZ17</f>
        <v>0</v>
      </c>
      <c r="CH99" s="36">
        <f>[1]contras!DA17</f>
        <v>708750</v>
      </c>
      <c r="CI99" s="36">
        <f>[1]contras!DB17</f>
        <v>0</v>
      </c>
      <c r="CJ99" s="36">
        <f>[1]contras!DC17</f>
        <v>0</v>
      </c>
      <c r="CK99" s="36">
        <f>[1]contras!DD17</f>
        <v>0</v>
      </c>
      <c r="CL99" s="36">
        <f>[1]contras!DE17</f>
        <v>0</v>
      </c>
      <c r="CM99" s="36">
        <f>[1]contras!DF17</f>
        <v>0</v>
      </c>
      <c r="CN99" s="36">
        <f>[1]contras!DG17</f>
        <v>1476562.5</v>
      </c>
      <c r="CO99" s="36">
        <f>[1]contras!DH17</f>
        <v>0</v>
      </c>
      <c r="CP99" s="36">
        <f>[1]contras!DI17</f>
        <v>0</v>
      </c>
      <c r="CQ99" s="36">
        <f>[1]contras!DJ17</f>
        <v>0</v>
      </c>
      <c r="CR99" s="36">
        <f>[1]contras!DK17</f>
        <v>0</v>
      </c>
      <c r="CS99" s="36">
        <f>[1]contras!DL17</f>
        <v>0</v>
      </c>
      <c r="CT99" s="39"/>
      <c r="CU99" s="39"/>
      <c r="CV99" s="39"/>
      <c r="CW99" s="21"/>
    </row>
    <row r="100" spans="4:101" x14ac:dyDescent="0.25">
      <c r="D100" s="35" t="str">
        <f>[1]Key!C$18</f>
        <v>NEW PARTNER 2</v>
      </c>
      <c r="E100" s="35" t="str">
        <f>[1]Key!D$18</f>
        <v>Wholesale</v>
      </c>
      <c r="F100" s="21"/>
      <c r="G100" s="21"/>
      <c r="H100" s="21"/>
      <c r="I100" s="21"/>
      <c r="J100" s="21"/>
      <c r="K100" s="21"/>
      <c r="L100" s="21"/>
      <c r="M100" s="21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36">
        <f>[1]contras!AS18</f>
        <v>0</v>
      </c>
      <c r="AA100" s="36">
        <f>[1]contras!AT18</f>
        <v>0</v>
      </c>
      <c r="AB100" s="36">
        <f>[1]contras!AU18</f>
        <v>0</v>
      </c>
      <c r="AC100" s="36">
        <f>[1]contras!AV18</f>
        <v>0</v>
      </c>
      <c r="AD100" s="36">
        <f>[1]contras!AW18</f>
        <v>0</v>
      </c>
      <c r="AE100" s="36">
        <f>[1]contras!AX18</f>
        <v>0</v>
      </c>
      <c r="AF100" s="36">
        <f>[1]contras!AY18</f>
        <v>0</v>
      </c>
      <c r="AG100" s="36">
        <f>[1]contras!AZ18</f>
        <v>0</v>
      </c>
      <c r="AH100" s="36">
        <f>[1]contras!BA18</f>
        <v>0</v>
      </c>
      <c r="AI100" s="36">
        <f>[1]contras!BB18</f>
        <v>0</v>
      </c>
      <c r="AJ100" s="36">
        <f>[1]contras!BC18</f>
        <v>0</v>
      </c>
      <c r="AK100" s="36">
        <f>[1]contras!BD18</f>
        <v>0</v>
      </c>
      <c r="AL100" s="36">
        <f>[1]contras!BE18</f>
        <v>0</v>
      </c>
      <c r="AM100" s="36">
        <f>[1]contras!BF18</f>
        <v>0</v>
      </c>
      <c r="AN100" s="36">
        <f>[1]contras!BG18</f>
        <v>0</v>
      </c>
      <c r="AO100" s="36">
        <f>[1]contras!BH18</f>
        <v>0</v>
      </c>
      <c r="AP100" s="36">
        <f>[1]contras!BI18</f>
        <v>0</v>
      </c>
      <c r="AQ100" s="36">
        <f>[1]contras!BJ18</f>
        <v>0</v>
      </c>
      <c r="AR100" s="36">
        <f>[1]contras!BK18</f>
        <v>0</v>
      </c>
      <c r="AS100" s="36">
        <f>[1]contras!BL18</f>
        <v>0</v>
      </c>
      <c r="AT100" s="36">
        <f>[1]contras!BM18</f>
        <v>0</v>
      </c>
      <c r="AU100" s="36">
        <f>[1]contras!BN18</f>
        <v>0</v>
      </c>
      <c r="AV100" s="36">
        <f>[1]contras!BO18</f>
        <v>0</v>
      </c>
      <c r="AW100" s="36">
        <f>[1]contras!BP18</f>
        <v>0</v>
      </c>
      <c r="AX100" s="36">
        <f>[1]contras!BQ18</f>
        <v>162500</v>
      </c>
      <c r="AY100" s="36">
        <f>[1]contras!BR18</f>
        <v>0</v>
      </c>
      <c r="AZ100" s="36">
        <f>[1]contras!BS18</f>
        <v>0</v>
      </c>
      <c r="BA100" s="36">
        <f>[1]contras!BT18</f>
        <v>0</v>
      </c>
      <c r="BB100" s="36">
        <f>[1]contras!BU18</f>
        <v>0</v>
      </c>
      <c r="BC100" s="36">
        <f>[1]contras!BV18</f>
        <v>0</v>
      </c>
      <c r="BD100" s="36">
        <f>[1]contras!BW18</f>
        <v>390000</v>
      </c>
      <c r="BE100" s="36">
        <f>[1]contras!BX18</f>
        <v>0</v>
      </c>
      <c r="BF100" s="36">
        <f>[1]contras!BY18</f>
        <v>0</v>
      </c>
      <c r="BG100" s="36">
        <f>[1]contras!BZ18</f>
        <v>0</v>
      </c>
      <c r="BH100" s="36">
        <f>[1]contras!CA18</f>
        <v>78000</v>
      </c>
      <c r="BI100" s="36">
        <f>[1]contras!CB18</f>
        <v>0</v>
      </c>
      <c r="BJ100" s="36">
        <f>[1]contras!CC18</f>
        <v>487500</v>
      </c>
      <c r="BK100" s="36">
        <f>[1]contras!CD18</f>
        <v>0</v>
      </c>
      <c r="BL100" s="36">
        <f>[1]contras!CE18</f>
        <v>0</v>
      </c>
      <c r="BM100" s="36">
        <f>[1]contras!CF18</f>
        <v>0</v>
      </c>
      <c r="BN100" s="36">
        <f>[1]contras!CG18</f>
        <v>0</v>
      </c>
      <c r="BO100" s="36">
        <f>[1]contras!CH18</f>
        <v>0</v>
      </c>
      <c r="BP100" s="36">
        <f>[1]contras!CI18</f>
        <v>1170000</v>
      </c>
      <c r="BQ100" s="36">
        <f>[1]contras!CJ18</f>
        <v>0</v>
      </c>
      <c r="BR100" s="36">
        <f>[1]contras!CK18</f>
        <v>0</v>
      </c>
      <c r="BS100" s="36">
        <f>[1]contras!CL18</f>
        <v>0</v>
      </c>
      <c r="BT100" s="36">
        <f>[1]contras!CM18</f>
        <v>234000</v>
      </c>
      <c r="BU100" s="36">
        <f>[1]contras!CN18</f>
        <v>0</v>
      </c>
      <c r="BV100" s="36">
        <f>[1]contras!CO18</f>
        <v>1218750</v>
      </c>
      <c r="BW100" s="36">
        <f>[1]contras!CP18</f>
        <v>0</v>
      </c>
      <c r="BX100" s="36">
        <f>[1]contras!CQ18</f>
        <v>0</v>
      </c>
      <c r="BY100" s="36">
        <f>[1]contras!CR18</f>
        <v>0</v>
      </c>
      <c r="BZ100" s="36">
        <f>[1]contras!CS18</f>
        <v>0</v>
      </c>
      <c r="CA100" s="36">
        <f>[1]contras!CT18</f>
        <v>0</v>
      </c>
      <c r="CB100" s="36">
        <f>[1]contras!CU18</f>
        <v>2925000</v>
      </c>
      <c r="CC100" s="36">
        <f>[1]contras!CV18</f>
        <v>0</v>
      </c>
      <c r="CD100" s="36">
        <f>[1]contras!CW18</f>
        <v>0</v>
      </c>
      <c r="CE100" s="36">
        <f>[1]contras!CX18</f>
        <v>0</v>
      </c>
      <c r="CF100" s="36">
        <f>[1]contras!CY18</f>
        <v>585000</v>
      </c>
      <c r="CG100" s="36">
        <f>[1]contras!CZ18</f>
        <v>0</v>
      </c>
      <c r="CH100" s="36">
        <f>[1]contras!DA18</f>
        <v>2132812.5</v>
      </c>
      <c r="CI100" s="36">
        <f>[1]contras!DB18</f>
        <v>0</v>
      </c>
      <c r="CJ100" s="36">
        <f>[1]contras!DC18</f>
        <v>0</v>
      </c>
      <c r="CK100" s="36">
        <f>[1]contras!DD18</f>
        <v>0</v>
      </c>
      <c r="CL100" s="36">
        <f>[1]contras!DE18</f>
        <v>0</v>
      </c>
      <c r="CM100" s="36">
        <f>[1]contras!DF18</f>
        <v>0</v>
      </c>
      <c r="CN100" s="36">
        <f>[1]contras!DG18</f>
        <v>5118750</v>
      </c>
      <c r="CO100" s="36">
        <f>[1]contras!DH18</f>
        <v>0</v>
      </c>
      <c r="CP100" s="36">
        <f>[1]contras!DI18</f>
        <v>0</v>
      </c>
      <c r="CQ100" s="36">
        <f>[1]contras!DJ18</f>
        <v>0</v>
      </c>
      <c r="CR100" s="36">
        <f>[1]contras!DK18</f>
        <v>1023750</v>
      </c>
      <c r="CS100" s="36">
        <f>[1]contras!DL18</f>
        <v>0</v>
      </c>
      <c r="CT100" s="39"/>
      <c r="CU100" s="39"/>
      <c r="CV100" s="39"/>
      <c r="CW100" s="21"/>
    </row>
    <row r="101" spans="4:101" x14ac:dyDescent="0.25">
      <c r="D101" s="35" t="str">
        <f>[1]Key!C$19</f>
        <v>PIGALLE</v>
      </c>
      <c r="E101" s="35" t="str">
        <f>[1]Key!D$19</f>
        <v>Wholesale</v>
      </c>
      <c r="F101" s="21"/>
      <c r="G101" s="21"/>
      <c r="H101" s="21"/>
      <c r="I101" s="21"/>
      <c r="J101" s="21"/>
      <c r="K101" s="21"/>
      <c r="L101" s="21"/>
      <c r="M101" s="21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36">
        <f>[1]contras!AS19</f>
        <v>0</v>
      </c>
      <c r="AA101" s="36">
        <f>[1]contras!AT19</f>
        <v>0</v>
      </c>
      <c r="AB101" s="36">
        <f>[1]contras!AU19</f>
        <v>0</v>
      </c>
      <c r="AC101" s="36">
        <f>[1]contras!AV19</f>
        <v>0</v>
      </c>
      <c r="AD101" s="36">
        <f>[1]contras!AW19</f>
        <v>0</v>
      </c>
      <c r="AE101" s="36">
        <f>[1]contras!AX19</f>
        <v>0</v>
      </c>
      <c r="AF101" s="36">
        <f>[1]contras!AY19</f>
        <v>0</v>
      </c>
      <c r="AG101" s="36">
        <f>[1]contras!AZ19</f>
        <v>0</v>
      </c>
      <c r="AH101" s="36">
        <f>[1]contras!BA19</f>
        <v>0</v>
      </c>
      <c r="AI101" s="36">
        <f>[1]contras!BB19</f>
        <v>0</v>
      </c>
      <c r="AJ101" s="36">
        <f>[1]contras!BC19</f>
        <v>0</v>
      </c>
      <c r="AK101" s="36">
        <f>[1]contras!BD19</f>
        <v>0</v>
      </c>
      <c r="AL101" s="36">
        <f>[1]contras!BE19</f>
        <v>0</v>
      </c>
      <c r="AM101" s="36">
        <f>[1]contras!BF19</f>
        <v>0</v>
      </c>
      <c r="AN101" s="36">
        <f>[1]contras!BG19</f>
        <v>0</v>
      </c>
      <c r="AO101" s="36">
        <f>[1]contras!BH19</f>
        <v>0</v>
      </c>
      <c r="AP101" s="36">
        <f>[1]contras!BI19</f>
        <v>0</v>
      </c>
      <c r="AQ101" s="36">
        <f>[1]contras!BJ19</f>
        <v>0</v>
      </c>
      <c r="AR101" s="36">
        <f>[1]contras!BK19</f>
        <v>0</v>
      </c>
      <c r="AS101" s="36">
        <f>[1]contras!BL19</f>
        <v>0</v>
      </c>
      <c r="AT101" s="36">
        <f>[1]contras!BM19</f>
        <v>0</v>
      </c>
      <c r="AU101" s="36">
        <f>[1]contras!BN19</f>
        <v>0</v>
      </c>
      <c r="AV101" s="36">
        <f>[1]contras!BO19</f>
        <v>54000</v>
      </c>
      <c r="AW101" s="36">
        <f>[1]contras!BP19</f>
        <v>0</v>
      </c>
      <c r="AX101" s="36">
        <f>[1]contras!BQ19</f>
        <v>0</v>
      </c>
      <c r="AY101" s="36">
        <f>[1]contras!BR19</f>
        <v>0</v>
      </c>
      <c r="AZ101" s="36">
        <f>[1]contras!BS19</f>
        <v>0</v>
      </c>
      <c r="BA101" s="36">
        <f>[1]contras!BT19</f>
        <v>0</v>
      </c>
      <c r="BB101" s="36">
        <f>[1]contras!BU19</f>
        <v>0</v>
      </c>
      <c r="BC101" s="36">
        <f>[1]contras!BV19</f>
        <v>0</v>
      </c>
      <c r="BD101" s="36">
        <f>[1]contras!BW19</f>
        <v>0</v>
      </c>
      <c r="BE101" s="36">
        <f>[1]contras!BX19</f>
        <v>0</v>
      </c>
      <c r="BF101" s="36">
        <f>[1]contras!BY19</f>
        <v>0</v>
      </c>
      <c r="BG101" s="36">
        <f>[1]contras!BZ19</f>
        <v>0</v>
      </c>
      <c r="BH101" s="36">
        <f>[1]contras!CA19</f>
        <v>0</v>
      </c>
      <c r="BI101" s="36">
        <f>[1]contras!CB19</f>
        <v>0</v>
      </c>
      <c r="BJ101" s="36">
        <f>[1]contras!CC19</f>
        <v>0</v>
      </c>
      <c r="BK101" s="36">
        <f>[1]contras!CD19</f>
        <v>0</v>
      </c>
      <c r="BL101" s="36">
        <f>[1]contras!CE19</f>
        <v>0</v>
      </c>
      <c r="BM101" s="36">
        <f>[1]contras!CF19</f>
        <v>0</v>
      </c>
      <c r="BN101" s="36">
        <f>[1]contras!CG19</f>
        <v>0</v>
      </c>
      <c r="BO101" s="36">
        <f>[1]contras!CH19</f>
        <v>0</v>
      </c>
      <c r="BP101" s="36">
        <f>[1]contras!CI19</f>
        <v>0</v>
      </c>
      <c r="BQ101" s="36">
        <f>[1]contras!CJ19</f>
        <v>0</v>
      </c>
      <c r="BR101" s="36">
        <f>[1]contras!CK19</f>
        <v>0</v>
      </c>
      <c r="BS101" s="36">
        <f>[1]contras!CL19</f>
        <v>0</v>
      </c>
      <c r="BT101" s="36">
        <f>[1]contras!CM19</f>
        <v>0</v>
      </c>
      <c r="BU101" s="36">
        <f>[1]contras!CN19</f>
        <v>0</v>
      </c>
      <c r="BV101" s="36">
        <f>[1]contras!CO19</f>
        <v>0</v>
      </c>
      <c r="BW101" s="36">
        <f>[1]contras!CP19</f>
        <v>0</v>
      </c>
      <c r="BX101" s="36">
        <f>[1]contras!CQ19</f>
        <v>0</v>
      </c>
      <c r="BY101" s="36">
        <f>[1]contras!CR19</f>
        <v>0</v>
      </c>
      <c r="BZ101" s="36">
        <f>[1]contras!CS19</f>
        <v>0</v>
      </c>
      <c r="CA101" s="36">
        <f>[1]contras!CT19</f>
        <v>0</v>
      </c>
      <c r="CB101" s="36">
        <f>[1]contras!CU19</f>
        <v>0</v>
      </c>
      <c r="CC101" s="36">
        <f>[1]contras!CV19</f>
        <v>0</v>
      </c>
      <c r="CD101" s="36">
        <f>[1]contras!CW19</f>
        <v>0</v>
      </c>
      <c r="CE101" s="36">
        <f>[1]contras!CX19</f>
        <v>0</v>
      </c>
      <c r="CF101" s="36">
        <f>[1]contras!CY19</f>
        <v>0</v>
      </c>
      <c r="CG101" s="36">
        <f>[1]contras!CZ19</f>
        <v>0</v>
      </c>
      <c r="CH101" s="36">
        <f>[1]contras!DA19</f>
        <v>0</v>
      </c>
      <c r="CI101" s="36">
        <f>[1]contras!DB19</f>
        <v>0</v>
      </c>
      <c r="CJ101" s="36">
        <f>[1]contras!DC19</f>
        <v>0</v>
      </c>
      <c r="CK101" s="36">
        <f>[1]contras!DD19</f>
        <v>0</v>
      </c>
      <c r="CL101" s="36">
        <f>[1]contras!DE19</f>
        <v>0</v>
      </c>
      <c r="CM101" s="36">
        <f>[1]contras!DF19</f>
        <v>0</v>
      </c>
      <c r="CN101" s="36">
        <f>[1]contras!DG19</f>
        <v>0</v>
      </c>
      <c r="CO101" s="36">
        <f>[1]contras!DH19</f>
        <v>0</v>
      </c>
      <c r="CP101" s="36">
        <f>[1]contras!DI19</f>
        <v>0</v>
      </c>
      <c r="CQ101" s="36">
        <f>[1]contras!DJ19</f>
        <v>0</v>
      </c>
      <c r="CR101" s="36">
        <f>[1]contras!DK19</f>
        <v>0</v>
      </c>
      <c r="CS101" s="36">
        <f>[1]contras!DL19</f>
        <v>0</v>
      </c>
      <c r="CT101" s="39"/>
      <c r="CU101" s="39"/>
      <c r="CV101" s="39"/>
      <c r="CW101" s="21"/>
    </row>
    <row r="102" spans="4:101" x14ac:dyDescent="0.25">
      <c r="D102" s="35" t="str">
        <f>[1]Key!C$20</f>
        <v>SPORT PLACEHOLDER</v>
      </c>
      <c r="E102" s="35" t="str">
        <f>[1]Key!D$20</f>
        <v>Wholesale</v>
      </c>
      <c r="F102" s="21"/>
      <c r="G102" s="21"/>
      <c r="H102" s="21"/>
      <c r="I102" s="21"/>
      <c r="J102" s="21"/>
      <c r="K102" s="21"/>
      <c r="L102" s="21"/>
      <c r="M102" s="21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36">
        <f>[1]contras!AS20</f>
        <v>0</v>
      </c>
      <c r="AA102" s="36">
        <f>[1]contras!AT20</f>
        <v>0</v>
      </c>
      <c r="AB102" s="36">
        <f>[1]contras!AU20</f>
        <v>0</v>
      </c>
      <c r="AC102" s="36">
        <f>[1]contras!AV20</f>
        <v>0</v>
      </c>
      <c r="AD102" s="36">
        <f>[1]contras!AW20</f>
        <v>0</v>
      </c>
      <c r="AE102" s="36">
        <f>[1]contras!AX20</f>
        <v>0</v>
      </c>
      <c r="AF102" s="36">
        <f>[1]contras!AY20</f>
        <v>0</v>
      </c>
      <c r="AG102" s="36">
        <f>[1]contras!AZ20</f>
        <v>0</v>
      </c>
      <c r="AH102" s="36">
        <f>[1]contras!BA20</f>
        <v>0</v>
      </c>
      <c r="AI102" s="36">
        <f>[1]contras!BB20</f>
        <v>0</v>
      </c>
      <c r="AJ102" s="36">
        <f>[1]contras!BC20</f>
        <v>0</v>
      </c>
      <c r="AK102" s="36">
        <f>[1]contras!BD20</f>
        <v>0</v>
      </c>
      <c r="AL102" s="36">
        <f>[1]contras!BE20</f>
        <v>0</v>
      </c>
      <c r="AM102" s="36">
        <f>[1]contras!BF20</f>
        <v>0</v>
      </c>
      <c r="AN102" s="36">
        <f>[1]contras!BG20</f>
        <v>0</v>
      </c>
      <c r="AO102" s="36">
        <f>[1]contras!BH20</f>
        <v>0</v>
      </c>
      <c r="AP102" s="36">
        <f>[1]contras!BI20</f>
        <v>0</v>
      </c>
      <c r="AQ102" s="36">
        <f>[1]contras!BJ20</f>
        <v>0</v>
      </c>
      <c r="AR102" s="36">
        <f>[1]contras!BK20</f>
        <v>0</v>
      </c>
      <c r="AS102" s="36">
        <f>[1]contras!BL20</f>
        <v>0</v>
      </c>
      <c r="AT102" s="36">
        <f>[1]contras!BM20</f>
        <v>0</v>
      </c>
      <c r="AU102" s="36">
        <f>[1]contras!BN20</f>
        <v>0</v>
      </c>
      <c r="AV102" s="36">
        <f>[1]contras!BO20</f>
        <v>0</v>
      </c>
      <c r="AW102" s="36">
        <f>[1]contras!BP20</f>
        <v>0</v>
      </c>
      <c r="AX102" s="36">
        <f>[1]contras!BQ20</f>
        <v>390000</v>
      </c>
      <c r="AY102" s="36">
        <f>[1]contras!BR20</f>
        <v>0</v>
      </c>
      <c r="AZ102" s="36">
        <f>[1]contras!BS20</f>
        <v>0</v>
      </c>
      <c r="BA102" s="36">
        <f>[1]contras!BT20</f>
        <v>0</v>
      </c>
      <c r="BB102" s="36">
        <f>[1]contras!BU20</f>
        <v>0</v>
      </c>
      <c r="BC102" s="36">
        <f>[1]contras!BV20</f>
        <v>0</v>
      </c>
      <c r="BD102" s="36">
        <f>[1]contras!BW20</f>
        <v>780000</v>
      </c>
      <c r="BE102" s="36">
        <f>[1]contras!BX20</f>
        <v>0</v>
      </c>
      <c r="BF102" s="36">
        <f>[1]contras!BY20</f>
        <v>0</v>
      </c>
      <c r="BG102" s="36">
        <f>[1]contras!BZ20</f>
        <v>0</v>
      </c>
      <c r="BH102" s="36">
        <f>[1]contras!CA20</f>
        <v>0</v>
      </c>
      <c r="BI102" s="36">
        <f>[1]contras!CB20</f>
        <v>0</v>
      </c>
      <c r="BJ102" s="36">
        <f>[1]contras!CC20</f>
        <v>1170000</v>
      </c>
      <c r="BK102" s="36">
        <f>[1]contras!CD20</f>
        <v>0</v>
      </c>
      <c r="BL102" s="36">
        <f>[1]contras!CE20</f>
        <v>0</v>
      </c>
      <c r="BM102" s="36">
        <f>[1]contras!CF20</f>
        <v>0</v>
      </c>
      <c r="BN102" s="36">
        <f>[1]contras!CG20</f>
        <v>0</v>
      </c>
      <c r="BO102" s="36">
        <f>[1]contras!CH20</f>
        <v>0</v>
      </c>
      <c r="BP102" s="36">
        <f>[1]contras!CI20</f>
        <v>2340000</v>
      </c>
      <c r="BQ102" s="36">
        <f>[1]contras!CJ20</f>
        <v>0</v>
      </c>
      <c r="BR102" s="36">
        <f>[1]contras!CK20</f>
        <v>0</v>
      </c>
      <c r="BS102" s="36">
        <f>[1]contras!CL20</f>
        <v>0</v>
      </c>
      <c r="BT102" s="36">
        <f>[1]contras!CM20</f>
        <v>0</v>
      </c>
      <c r="BU102" s="36">
        <f>[1]contras!CN20</f>
        <v>0</v>
      </c>
      <c r="BV102" s="36">
        <f>[1]contras!CO20</f>
        <v>3510000</v>
      </c>
      <c r="BW102" s="36">
        <f>[1]contras!CP20</f>
        <v>0</v>
      </c>
      <c r="BX102" s="36">
        <f>[1]contras!CQ20</f>
        <v>0</v>
      </c>
      <c r="BY102" s="36">
        <f>[1]contras!CR20</f>
        <v>0</v>
      </c>
      <c r="BZ102" s="36">
        <f>[1]contras!CS20</f>
        <v>0</v>
      </c>
      <c r="CA102" s="36">
        <f>[1]contras!CT20</f>
        <v>0</v>
      </c>
      <c r="CB102" s="36">
        <f>[1]contras!CU20</f>
        <v>7020000</v>
      </c>
      <c r="CC102" s="36">
        <f>[1]contras!CV20</f>
        <v>0</v>
      </c>
      <c r="CD102" s="36">
        <f>[1]contras!CW20</f>
        <v>0</v>
      </c>
      <c r="CE102" s="36">
        <f>[1]contras!CX20</f>
        <v>0</v>
      </c>
      <c r="CF102" s="36">
        <f>[1]contras!CY20</f>
        <v>0</v>
      </c>
      <c r="CG102" s="36">
        <f>[1]contras!CZ20</f>
        <v>0</v>
      </c>
      <c r="CH102" s="36">
        <f>[1]contras!DA20</f>
        <v>8775000</v>
      </c>
      <c r="CI102" s="36">
        <f>[1]contras!DB20</f>
        <v>0</v>
      </c>
      <c r="CJ102" s="36">
        <f>[1]contras!DC20</f>
        <v>0</v>
      </c>
      <c r="CK102" s="36">
        <f>[1]contras!DD20</f>
        <v>0</v>
      </c>
      <c r="CL102" s="36">
        <f>[1]contras!DE20</f>
        <v>0</v>
      </c>
      <c r="CM102" s="36">
        <f>[1]contras!DF20</f>
        <v>0</v>
      </c>
      <c r="CN102" s="36">
        <f>[1]contras!DG20</f>
        <v>17550000</v>
      </c>
      <c r="CO102" s="36">
        <f>[1]contras!DH20</f>
        <v>0</v>
      </c>
      <c r="CP102" s="36">
        <f>[1]contras!DI20</f>
        <v>0</v>
      </c>
      <c r="CQ102" s="36">
        <f>[1]contras!DJ20</f>
        <v>0</v>
      </c>
      <c r="CR102" s="36">
        <f>[1]contras!DK20</f>
        <v>0</v>
      </c>
      <c r="CS102" s="36">
        <f>[1]contras!DL20</f>
        <v>0</v>
      </c>
      <c r="CT102" s="39"/>
      <c r="CU102" s="39"/>
      <c r="CV102" s="39"/>
      <c r="CW102" s="21"/>
    </row>
    <row r="103" spans="4:101" x14ac:dyDescent="0.25">
      <c r="D103" s="35" t="str">
        <f>[1]Key!C$21</f>
        <v>SPUNGE</v>
      </c>
      <c r="E103" s="35" t="str">
        <f>[1]Key!D$21</f>
        <v>Wholesale</v>
      </c>
      <c r="F103" s="21"/>
      <c r="G103" s="21"/>
      <c r="H103" s="21"/>
      <c r="I103" s="21"/>
      <c r="J103" s="21"/>
      <c r="K103" s="21"/>
      <c r="L103" s="21"/>
      <c r="M103" s="21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36">
        <f>[1]contras!AS21</f>
        <v>0</v>
      </c>
      <c r="AA103" s="36">
        <f>[1]contras!AT21</f>
        <v>0</v>
      </c>
      <c r="AB103" s="36">
        <f>[1]contras!AU21</f>
        <v>0</v>
      </c>
      <c r="AC103" s="36">
        <f>[1]contras!AV21</f>
        <v>0</v>
      </c>
      <c r="AD103" s="36">
        <f>[1]contras!AW21</f>
        <v>0</v>
      </c>
      <c r="AE103" s="36">
        <f>[1]contras!AX21</f>
        <v>0</v>
      </c>
      <c r="AF103" s="36">
        <f>[1]contras!AY21</f>
        <v>0</v>
      </c>
      <c r="AG103" s="36">
        <f>[1]contras!AZ21</f>
        <v>0</v>
      </c>
      <c r="AH103" s="36">
        <f>[1]contras!BA21</f>
        <v>0</v>
      </c>
      <c r="AI103" s="36">
        <f>[1]contras!BB21</f>
        <v>0</v>
      </c>
      <c r="AJ103" s="36">
        <f>[1]contras!BC21</f>
        <v>0</v>
      </c>
      <c r="AK103" s="36">
        <f>[1]contras!BD21</f>
        <v>0</v>
      </c>
      <c r="AL103" s="36">
        <f>[1]contras!BE21</f>
        <v>0</v>
      </c>
      <c r="AM103" s="36">
        <f>[1]contras!BF21</f>
        <v>0</v>
      </c>
      <c r="AN103" s="36">
        <f>[1]contras!BG21</f>
        <v>0</v>
      </c>
      <c r="AO103" s="36">
        <f>[1]contras!BH21</f>
        <v>0</v>
      </c>
      <c r="AP103" s="36">
        <f>[1]contras!BI21</f>
        <v>0</v>
      </c>
      <c r="AQ103" s="36">
        <f>[1]contras!BJ21</f>
        <v>0</v>
      </c>
      <c r="AR103" s="36">
        <f>[1]contras!BK21</f>
        <v>0</v>
      </c>
      <c r="AS103" s="36">
        <f>[1]contras!BL21</f>
        <v>0</v>
      </c>
      <c r="AT103" s="36">
        <f>[1]contras!BM21</f>
        <v>0</v>
      </c>
      <c r="AU103" s="36">
        <f>[1]contras!BN21</f>
        <v>0</v>
      </c>
      <c r="AV103" s="36">
        <f>[1]contras!BO21</f>
        <v>27000</v>
      </c>
      <c r="AW103" s="36">
        <f>[1]contras!BP21</f>
        <v>67500</v>
      </c>
      <c r="AX103" s="36">
        <f>[1]contras!BQ21</f>
        <v>0</v>
      </c>
      <c r="AY103" s="36">
        <f>[1]contras!BR21</f>
        <v>331200</v>
      </c>
      <c r="AZ103" s="36">
        <f>[1]contras!BS21</f>
        <v>0</v>
      </c>
      <c r="BA103" s="36">
        <f>[1]contras!BT21</f>
        <v>0</v>
      </c>
      <c r="BB103" s="36">
        <f>[1]contras!BU21</f>
        <v>374400</v>
      </c>
      <c r="BC103" s="36">
        <f>[1]contras!BV21</f>
        <v>0</v>
      </c>
      <c r="BD103" s="36">
        <f>[1]contras!BW21</f>
        <v>432000</v>
      </c>
      <c r="BE103" s="36">
        <f>[1]contras!BX21</f>
        <v>0</v>
      </c>
      <c r="BF103" s="36">
        <f>[1]contras!BY21</f>
        <v>43200</v>
      </c>
      <c r="BG103" s="36">
        <f>[1]contras!BZ21</f>
        <v>0</v>
      </c>
      <c r="BH103" s="36">
        <f>[1]contras!CA21</f>
        <v>576000</v>
      </c>
      <c r="BI103" s="36">
        <f>[1]contras!CB21</f>
        <v>108000</v>
      </c>
      <c r="BJ103" s="36">
        <f>[1]contras!CC21</f>
        <v>0</v>
      </c>
      <c r="BK103" s="36">
        <f>[1]contras!CD21</f>
        <v>993600</v>
      </c>
      <c r="BL103" s="36">
        <f>[1]contras!CE21</f>
        <v>0</v>
      </c>
      <c r="BM103" s="36">
        <f>[1]contras!CF21</f>
        <v>0</v>
      </c>
      <c r="BN103" s="36">
        <f>[1]contras!CG21</f>
        <v>1123200</v>
      </c>
      <c r="BO103" s="36">
        <f>[1]contras!CH21</f>
        <v>0</v>
      </c>
      <c r="BP103" s="36">
        <f>[1]contras!CI21</f>
        <v>1296000</v>
      </c>
      <c r="BQ103" s="36">
        <f>[1]contras!CJ21</f>
        <v>0</v>
      </c>
      <c r="BR103" s="36">
        <f>[1]contras!CK21</f>
        <v>129600</v>
      </c>
      <c r="BS103" s="36">
        <f>[1]contras!CL21</f>
        <v>0</v>
      </c>
      <c r="BT103" s="36">
        <f>[1]contras!CM21</f>
        <v>1728000</v>
      </c>
      <c r="BU103" s="36">
        <f>[1]contras!CN21</f>
        <v>324000</v>
      </c>
      <c r="BV103" s="36">
        <f>[1]contras!CO21</f>
        <v>0</v>
      </c>
      <c r="BW103" s="36">
        <f>[1]contras!CP21</f>
        <v>2484000</v>
      </c>
      <c r="BX103" s="36">
        <f>[1]contras!CQ21</f>
        <v>0</v>
      </c>
      <c r="BY103" s="36">
        <f>[1]contras!CR21</f>
        <v>0</v>
      </c>
      <c r="BZ103" s="36">
        <f>[1]contras!CS21</f>
        <v>2808000</v>
      </c>
      <c r="CA103" s="36">
        <f>[1]contras!CT21</f>
        <v>0</v>
      </c>
      <c r="CB103" s="36">
        <f>[1]contras!CU21</f>
        <v>3240000</v>
      </c>
      <c r="CC103" s="36">
        <f>[1]contras!CV21</f>
        <v>0</v>
      </c>
      <c r="CD103" s="36">
        <f>[1]contras!CW21</f>
        <v>324000</v>
      </c>
      <c r="CE103" s="36">
        <f>[1]contras!CX21</f>
        <v>0</v>
      </c>
      <c r="CF103" s="36">
        <f>[1]contras!CY21</f>
        <v>4320000</v>
      </c>
      <c r="CG103" s="36">
        <f>[1]contras!CZ21</f>
        <v>810000</v>
      </c>
      <c r="CH103" s="36">
        <f>[1]contras!DA21</f>
        <v>0</v>
      </c>
      <c r="CI103" s="36">
        <f>[1]contras!DB21</f>
        <v>4347000</v>
      </c>
      <c r="CJ103" s="36">
        <f>[1]contras!DC21</f>
        <v>0</v>
      </c>
      <c r="CK103" s="36">
        <f>[1]contras!DD21</f>
        <v>0</v>
      </c>
      <c r="CL103" s="36">
        <f>[1]contras!DE21</f>
        <v>4914000</v>
      </c>
      <c r="CM103" s="36">
        <f>[1]contras!DF21</f>
        <v>0</v>
      </c>
      <c r="CN103" s="36">
        <f>[1]contras!DG21</f>
        <v>5670000</v>
      </c>
      <c r="CO103" s="36">
        <f>[1]contras!DH21</f>
        <v>0</v>
      </c>
      <c r="CP103" s="36">
        <f>[1]contras!DI21</f>
        <v>567000</v>
      </c>
      <c r="CQ103" s="36">
        <f>[1]contras!DJ21</f>
        <v>0</v>
      </c>
      <c r="CR103" s="36">
        <f>[1]contras!DK21</f>
        <v>7560000</v>
      </c>
      <c r="CS103" s="36">
        <f>[1]contras!DL21</f>
        <v>1417500</v>
      </c>
      <c r="CT103" s="39"/>
      <c r="CU103" s="39"/>
      <c r="CV103" s="39"/>
      <c r="CW103" s="21"/>
    </row>
    <row r="104" spans="4:101" x14ac:dyDescent="0.25">
      <c r="D104" s="35" t="str">
        <f>[1]Key!C$22</f>
        <v>SUNFLOWER</v>
      </c>
      <c r="E104" s="35" t="str">
        <f>[1]Key!D$22</f>
        <v>Wholesale</v>
      </c>
      <c r="F104" s="21"/>
      <c r="G104" s="21"/>
      <c r="H104" s="21"/>
      <c r="I104" s="21"/>
      <c r="J104" s="21"/>
      <c r="K104" s="21"/>
      <c r="L104" s="21"/>
      <c r="M104" s="21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36">
        <f>[1]contras!AS22</f>
        <v>0</v>
      </c>
      <c r="AA104" s="36">
        <f>[1]contras!AT22</f>
        <v>0</v>
      </c>
      <c r="AB104" s="36">
        <f>[1]contras!AU22</f>
        <v>0</v>
      </c>
      <c r="AC104" s="36">
        <f>[1]contras!AV22</f>
        <v>0</v>
      </c>
      <c r="AD104" s="36">
        <f>[1]contras!AW22</f>
        <v>0</v>
      </c>
      <c r="AE104" s="36">
        <f>[1]contras!AX22</f>
        <v>0</v>
      </c>
      <c r="AF104" s="36">
        <f>[1]contras!AY22</f>
        <v>0</v>
      </c>
      <c r="AG104" s="36">
        <f>[1]contras!AZ22</f>
        <v>0</v>
      </c>
      <c r="AH104" s="36">
        <f>[1]contras!BA22</f>
        <v>0</v>
      </c>
      <c r="AI104" s="36">
        <f>[1]contras!BB22</f>
        <v>0</v>
      </c>
      <c r="AJ104" s="36">
        <f>[1]contras!BC22</f>
        <v>0</v>
      </c>
      <c r="AK104" s="36">
        <f>[1]contras!BD22</f>
        <v>0</v>
      </c>
      <c r="AL104" s="36">
        <f>[1]contras!BE22</f>
        <v>0</v>
      </c>
      <c r="AM104" s="36">
        <f>[1]contras!BF22</f>
        <v>487500</v>
      </c>
      <c r="AN104" s="36">
        <f>[1]contras!BG22</f>
        <v>0</v>
      </c>
      <c r="AO104" s="36">
        <f>[1]contras!BH22</f>
        <v>0</v>
      </c>
      <c r="AP104" s="36">
        <f>[1]contras!BI22</f>
        <v>0</v>
      </c>
      <c r="AQ104" s="36">
        <f>[1]contras!BJ22</f>
        <v>0</v>
      </c>
      <c r="AR104" s="36">
        <f>[1]contras!BK22</f>
        <v>0</v>
      </c>
      <c r="AS104" s="36">
        <f>[1]contras!BL22</f>
        <v>975000</v>
      </c>
      <c r="AT104" s="36">
        <f>[1]contras!BM22</f>
        <v>0</v>
      </c>
      <c r="AU104" s="36">
        <f>[1]contras!BN22</f>
        <v>0</v>
      </c>
      <c r="AV104" s="36">
        <f>[1]contras!BO22</f>
        <v>0</v>
      </c>
      <c r="AW104" s="36">
        <f>[1]contras!BP22</f>
        <v>0</v>
      </c>
      <c r="AX104" s="36">
        <f>[1]contras!BQ22</f>
        <v>0</v>
      </c>
      <c r="AY104" s="36">
        <f>[1]contras!BR22</f>
        <v>975000</v>
      </c>
      <c r="AZ104" s="36">
        <f>[1]contras!BS22</f>
        <v>0</v>
      </c>
      <c r="BA104" s="36">
        <f>[1]contras!BT22</f>
        <v>0</v>
      </c>
      <c r="BB104" s="36">
        <f>[1]contras!BU22</f>
        <v>0</v>
      </c>
      <c r="BC104" s="36">
        <f>[1]contras!BV22</f>
        <v>0</v>
      </c>
      <c r="BD104" s="36">
        <f>[1]contras!BW22</f>
        <v>0</v>
      </c>
      <c r="BE104" s="36">
        <f>[1]contras!BX22</f>
        <v>1300000</v>
      </c>
      <c r="BF104" s="36">
        <f>[1]contras!BY22</f>
        <v>0</v>
      </c>
      <c r="BG104" s="36">
        <f>[1]contras!BZ22</f>
        <v>0</v>
      </c>
      <c r="BH104" s="36">
        <f>[1]contras!CA22</f>
        <v>0</v>
      </c>
      <c r="BI104" s="36">
        <f>[1]contras!CB22</f>
        <v>0</v>
      </c>
      <c r="BJ104" s="36">
        <f>[1]contras!CC22</f>
        <v>0</v>
      </c>
      <c r="BK104" s="36">
        <f>[1]contras!CD22</f>
        <v>1950000</v>
      </c>
      <c r="BL104" s="36">
        <f>[1]contras!CE22</f>
        <v>0</v>
      </c>
      <c r="BM104" s="36">
        <f>[1]contras!CF22</f>
        <v>0</v>
      </c>
      <c r="BN104" s="36">
        <f>[1]contras!CG22</f>
        <v>0</v>
      </c>
      <c r="BO104" s="36">
        <f>[1]contras!CH22</f>
        <v>0</v>
      </c>
      <c r="BP104" s="36">
        <f>[1]contras!CI22</f>
        <v>0</v>
      </c>
      <c r="BQ104" s="36">
        <f>[1]contras!CJ22</f>
        <v>2600000</v>
      </c>
      <c r="BR104" s="36">
        <f>[1]contras!CK22</f>
        <v>0</v>
      </c>
      <c r="BS104" s="36">
        <f>[1]contras!CL22</f>
        <v>0</v>
      </c>
      <c r="BT104" s="36">
        <f>[1]contras!CM22</f>
        <v>0</v>
      </c>
      <c r="BU104" s="36">
        <f>[1]contras!CN22</f>
        <v>0</v>
      </c>
      <c r="BV104" s="36">
        <f>[1]contras!CO22</f>
        <v>0</v>
      </c>
      <c r="BW104" s="36">
        <f>[1]contras!CP22</f>
        <v>2925000</v>
      </c>
      <c r="BX104" s="36">
        <f>[1]contras!CQ22</f>
        <v>0</v>
      </c>
      <c r="BY104" s="36">
        <f>[1]contras!CR22</f>
        <v>0</v>
      </c>
      <c r="BZ104" s="36">
        <f>[1]contras!CS22</f>
        <v>0</v>
      </c>
      <c r="CA104" s="36">
        <f>[1]contras!CT22</f>
        <v>0</v>
      </c>
      <c r="CB104" s="36">
        <f>[1]contras!CU22</f>
        <v>0</v>
      </c>
      <c r="CC104" s="36">
        <f>[1]contras!CV22</f>
        <v>3900000</v>
      </c>
      <c r="CD104" s="36">
        <f>[1]contras!CW22</f>
        <v>0</v>
      </c>
      <c r="CE104" s="36">
        <f>[1]contras!CX22</f>
        <v>0</v>
      </c>
      <c r="CF104" s="36">
        <f>[1]contras!CY22</f>
        <v>0</v>
      </c>
      <c r="CG104" s="36">
        <f>[1]contras!CZ22</f>
        <v>0</v>
      </c>
      <c r="CH104" s="36">
        <f>[1]contras!DA22</f>
        <v>0</v>
      </c>
      <c r="CI104" s="36">
        <f>[1]contras!DB22</f>
        <v>3802500</v>
      </c>
      <c r="CJ104" s="36">
        <f>[1]contras!DC22</f>
        <v>0</v>
      </c>
      <c r="CK104" s="36">
        <f>[1]contras!DD22</f>
        <v>0</v>
      </c>
      <c r="CL104" s="36">
        <f>[1]contras!DE22</f>
        <v>0</v>
      </c>
      <c r="CM104" s="36">
        <f>[1]contras!DF22</f>
        <v>0</v>
      </c>
      <c r="CN104" s="36">
        <f>[1]contras!DG22</f>
        <v>0</v>
      </c>
      <c r="CO104" s="36">
        <f>[1]contras!DH22</f>
        <v>5070000</v>
      </c>
      <c r="CP104" s="36">
        <f>[1]contras!DI22</f>
        <v>0</v>
      </c>
      <c r="CQ104" s="36">
        <f>[1]contras!DJ22</f>
        <v>0</v>
      </c>
      <c r="CR104" s="36">
        <f>[1]contras!DK22</f>
        <v>0</v>
      </c>
      <c r="CS104" s="36">
        <f>[1]contras!DL22</f>
        <v>0</v>
      </c>
      <c r="CT104" s="39"/>
      <c r="CU104" s="39"/>
      <c r="CV104" s="39"/>
      <c r="CW104" s="21"/>
    </row>
    <row r="105" spans="4:101" x14ac:dyDescent="0.25">
      <c r="D105" s="35" t="str">
        <f>[1]Key!C$23</f>
        <v>BARI</v>
      </c>
      <c r="E105" s="35" t="str">
        <f>[1]Key!D$23</f>
        <v>DTC</v>
      </c>
      <c r="F105" s="21"/>
      <c r="G105" s="21"/>
      <c r="H105" s="21"/>
      <c r="I105" s="21"/>
      <c r="J105" s="21"/>
      <c r="K105" s="21"/>
      <c r="L105" s="21"/>
      <c r="M105" s="21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36">
        <f>[1]contras!AS23</f>
        <v>0</v>
      </c>
      <c r="AA105" s="36">
        <f>[1]contras!AT23</f>
        <v>0</v>
      </c>
      <c r="AB105" s="36">
        <f>[1]contras!AU23</f>
        <v>0</v>
      </c>
      <c r="AC105" s="36">
        <f>[1]contras!AV23</f>
        <v>0</v>
      </c>
      <c r="AD105" s="36">
        <f>[1]contras!AW23</f>
        <v>0</v>
      </c>
      <c r="AE105" s="36">
        <f>[1]contras!AX23</f>
        <v>0</v>
      </c>
      <c r="AF105" s="36">
        <f>[1]contras!AY23</f>
        <v>0</v>
      </c>
      <c r="AG105" s="36">
        <f>[1]contras!AZ23</f>
        <v>0</v>
      </c>
      <c r="AH105" s="36">
        <f>[1]contras!BA23</f>
        <v>0</v>
      </c>
      <c r="AI105" s="36">
        <f>[1]contras!BB23</f>
        <v>125000</v>
      </c>
      <c r="AJ105" s="36">
        <f>[1]contras!BC23</f>
        <v>125000</v>
      </c>
      <c r="AK105" s="36">
        <f>[1]contras!BD23</f>
        <v>300000</v>
      </c>
      <c r="AL105" s="36">
        <f>[1]contras!BE23</f>
        <v>225000</v>
      </c>
      <c r="AM105" s="36">
        <f>[1]contras!BF23</f>
        <v>0</v>
      </c>
      <c r="AN105" s="36">
        <f>[1]contras!BG23</f>
        <v>225000</v>
      </c>
      <c r="AO105" s="36">
        <f>[1]contras!BH23</f>
        <v>0</v>
      </c>
      <c r="AP105" s="36">
        <f>[1]contras!BI23</f>
        <v>0</v>
      </c>
      <c r="AQ105" s="36">
        <f>[1]contras!BJ23</f>
        <v>450000</v>
      </c>
      <c r="AR105" s="36">
        <f>[1]contras!BK23</f>
        <v>0</v>
      </c>
      <c r="AS105" s="36">
        <f>[1]contras!BL23</f>
        <v>225000</v>
      </c>
      <c r="AT105" s="36">
        <f>[1]contras!BM23</f>
        <v>450000</v>
      </c>
      <c r="AU105" s="36">
        <f>[1]contras!BN23</f>
        <v>450000</v>
      </c>
      <c r="AV105" s="36">
        <f>[1]contras!BO23</f>
        <v>93750</v>
      </c>
      <c r="AW105" s="36">
        <f>[1]contras!BP23</f>
        <v>450000</v>
      </c>
      <c r="AX105" s="36">
        <f>[1]contras!BQ23</f>
        <v>675000</v>
      </c>
      <c r="AY105" s="36">
        <f>[1]contras!BR23</f>
        <v>0</v>
      </c>
      <c r="AZ105" s="36">
        <f>[1]contras!BS23</f>
        <v>450000</v>
      </c>
      <c r="BA105" s="36">
        <f>[1]contras!BT23</f>
        <v>0</v>
      </c>
      <c r="BB105" s="36">
        <f>[1]contras!BU23</f>
        <v>0</v>
      </c>
      <c r="BC105" s="36">
        <f>[1]contras!BV23</f>
        <v>1125000</v>
      </c>
      <c r="BD105" s="36">
        <f>[1]contras!BW23</f>
        <v>0</v>
      </c>
      <c r="BE105" s="36">
        <f>[1]contras!BX23</f>
        <v>0</v>
      </c>
      <c r="BF105" s="36">
        <f>[1]contras!BY23</f>
        <v>450000</v>
      </c>
      <c r="BG105" s="36">
        <f>[1]contras!BZ23</f>
        <v>900000</v>
      </c>
      <c r="BH105" s="36">
        <f>[1]contras!CA23</f>
        <v>0</v>
      </c>
      <c r="BI105" s="36">
        <f>[1]contras!CB23</f>
        <v>543750</v>
      </c>
      <c r="BJ105" s="36">
        <f>[1]contras!CC23</f>
        <v>1350000</v>
      </c>
      <c r="BK105" s="36">
        <f>[1]contras!CD23</f>
        <v>0</v>
      </c>
      <c r="BL105" s="36">
        <f>[1]contras!CE23</f>
        <v>900000</v>
      </c>
      <c r="BM105" s="36">
        <f>[1]contras!CF23</f>
        <v>0</v>
      </c>
      <c r="BN105" s="36">
        <f>[1]contras!CG23</f>
        <v>0</v>
      </c>
      <c r="BO105" s="36">
        <f>[1]contras!CH23</f>
        <v>2250000</v>
      </c>
      <c r="BP105" s="36">
        <f>[1]contras!CI23</f>
        <v>0</v>
      </c>
      <c r="BQ105" s="36">
        <f>[1]contras!CJ23</f>
        <v>0</v>
      </c>
      <c r="BR105" s="36">
        <f>[1]contras!CK23</f>
        <v>900000</v>
      </c>
      <c r="BS105" s="36">
        <f>[1]contras!CL23</f>
        <v>1800000</v>
      </c>
      <c r="BT105" s="36">
        <f>[1]contras!CM23</f>
        <v>0</v>
      </c>
      <c r="BU105" s="36">
        <f>[1]contras!CN23</f>
        <v>1087500</v>
      </c>
      <c r="BV105" s="36">
        <f>[1]contras!CO23</f>
        <v>2025000</v>
      </c>
      <c r="BW105" s="36">
        <f>[1]contras!CP23</f>
        <v>0</v>
      </c>
      <c r="BX105" s="36">
        <f>[1]contras!CQ23</f>
        <v>1350000</v>
      </c>
      <c r="BY105" s="36">
        <f>[1]contras!CR23</f>
        <v>0</v>
      </c>
      <c r="BZ105" s="36">
        <f>[1]contras!CS23</f>
        <v>0</v>
      </c>
      <c r="CA105" s="36">
        <f>[1]contras!CT23</f>
        <v>3375000</v>
      </c>
      <c r="CB105" s="36">
        <f>[1]contras!CU23</f>
        <v>0</v>
      </c>
      <c r="CC105" s="36">
        <f>[1]contras!CV23</f>
        <v>0</v>
      </c>
      <c r="CD105" s="36">
        <f>[1]contras!CW23</f>
        <v>1350000</v>
      </c>
      <c r="CE105" s="36">
        <f>[1]contras!CX23</f>
        <v>2700000</v>
      </c>
      <c r="CF105" s="36">
        <f>[1]contras!CY23</f>
        <v>0</v>
      </c>
      <c r="CG105" s="36">
        <f>[1]contras!CZ23</f>
        <v>1631250</v>
      </c>
      <c r="CH105" s="36">
        <f>[1]contras!DA23</f>
        <v>2632500</v>
      </c>
      <c r="CI105" s="36">
        <f>[1]contras!DB23</f>
        <v>0</v>
      </c>
      <c r="CJ105" s="36">
        <f>[1]contras!DC23</f>
        <v>1755000</v>
      </c>
      <c r="CK105" s="36">
        <f>[1]contras!DD23</f>
        <v>0</v>
      </c>
      <c r="CL105" s="36">
        <f>[1]contras!DE23</f>
        <v>0</v>
      </c>
      <c r="CM105" s="36">
        <f>[1]contras!DF23</f>
        <v>4387500</v>
      </c>
      <c r="CN105" s="36">
        <f>[1]contras!DG23</f>
        <v>0</v>
      </c>
      <c r="CO105" s="36">
        <f>[1]contras!DH23</f>
        <v>0</v>
      </c>
      <c r="CP105" s="36">
        <f>[1]contras!DI23</f>
        <v>1755000</v>
      </c>
      <c r="CQ105" s="36">
        <f>[1]contras!DJ23</f>
        <v>3510000</v>
      </c>
      <c r="CR105" s="36">
        <f>[1]contras!DK23</f>
        <v>0</v>
      </c>
      <c r="CS105" s="36">
        <f>[1]contras!DL23</f>
        <v>2120625</v>
      </c>
      <c r="CT105" s="39"/>
      <c r="CU105" s="39"/>
      <c r="CV105" s="39"/>
      <c r="CW105" s="21"/>
    </row>
    <row r="106" spans="4:101" x14ac:dyDescent="0.25">
      <c r="D106" s="35" t="str">
        <f>[1]Key!C$24</f>
        <v>BRAIN DEAD OAKLEY</v>
      </c>
      <c r="E106" s="35" t="str">
        <f>[1]Key!D$24</f>
        <v>DTC</v>
      </c>
      <c r="F106" s="21"/>
      <c r="G106" s="21"/>
      <c r="H106" s="21"/>
      <c r="I106" s="21"/>
      <c r="J106" s="21"/>
      <c r="K106" s="21"/>
      <c r="L106" s="21"/>
      <c r="M106" s="21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36">
        <f>[1]contras!AS24</f>
        <v>0</v>
      </c>
      <c r="AA106" s="36">
        <f>[1]contras!AT24</f>
        <v>0</v>
      </c>
      <c r="AB106" s="36">
        <f>[1]contras!AU24</f>
        <v>0</v>
      </c>
      <c r="AC106" s="36">
        <f>[1]contras!AV24</f>
        <v>0</v>
      </c>
      <c r="AD106" s="36">
        <f>[1]contras!AW24</f>
        <v>0</v>
      </c>
      <c r="AE106" s="36">
        <f>[1]contras!AX24</f>
        <v>0</v>
      </c>
      <c r="AF106" s="36">
        <f>[1]contras!AY24</f>
        <v>0</v>
      </c>
      <c r="AG106" s="36">
        <f>[1]contras!AZ24</f>
        <v>0</v>
      </c>
      <c r="AH106" s="36">
        <f>[1]contras!BA24</f>
        <v>0</v>
      </c>
      <c r="AI106" s="36">
        <f>[1]contras!BB24</f>
        <v>0</v>
      </c>
      <c r="AJ106" s="36">
        <f>[1]contras!BC24</f>
        <v>0</v>
      </c>
      <c r="AK106" s="36">
        <f>[1]contras!BD24</f>
        <v>0</v>
      </c>
      <c r="AL106" s="36">
        <f>[1]contras!BE24</f>
        <v>0</v>
      </c>
      <c r="AM106" s="36">
        <f>[1]contras!BF24</f>
        <v>0</v>
      </c>
      <c r="AN106" s="36">
        <f>[1]contras!BG24</f>
        <v>0</v>
      </c>
      <c r="AO106" s="36">
        <f>[1]contras!BH24</f>
        <v>0</v>
      </c>
      <c r="AP106" s="36">
        <f>[1]contras!BI24</f>
        <v>0</v>
      </c>
      <c r="AQ106" s="36">
        <f>[1]contras!BJ24</f>
        <v>0</v>
      </c>
      <c r="AR106" s="36">
        <f>[1]contras!BK24</f>
        <v>0</v>
      </c>
      <c r="AS106" s="36">
        <f>[1]contras!BL24</f>
        <v>0</v>
      </c>
      <c r="AT106" s="36">
        <f>[1]contras!BM24</f>
        <v>0</v>
      </c>
      <c r="AU106" s="36">
        <f>[1]contras!BN24</f>
        <v>0</v>
      </c>
      <c r="AV106" s="36">
        <f>[1]contras!BO24</f>
        <v>0</v>
      </c>
      <c r="AW106" s="36">
        <f>[1]contras!BP24</f>
        <v>0</v>
      </c>
      <c r="AX106" s="36">
        <f>[1]contras!BQ24</f>
        <v>0</v>
      </c>
      <c r="AY106" s="36">
        <f>[1]contras!BR24</f>
        <v>0</v>
      </c>
      <c r="AZ106" s="36">
        <f>[1]contras!BS24</f>
        <v>0</v>
      </c>
      <c r="BA106" s="36">
        <f>[1]contras!BT24</f>
        <v>0</v>
      </c>
      <c r="BB106" s="36">
        <f>[1]contras!BU24</f>
        <v>0</v>
      </c>
      <c r="BC106" s="36">
        <f>[1]contras!BV24</f>
        <v>0</v>
      </c>
      <c r="BD106" s="36">
        <f>[1]contras!BW24</f>
        <v>0</v>
      </c>
      <c r="BE106" s="36">
        <f>[1]contras!BX24</f>
        <v>0</v>
      </c>
      <c r="BF106" s="36">
        <f>[1]contras!BY24</f>
        <v>0</v>
      </c>
      <c r="BG106" s="36">
        <f>[1]contras!BZ24</f>
        <v>0</v>
      </c>
      <c r="BH106" s="36">
        <f>[1]contras!CA24</f>
        <v>0</v>
      </c>
      <c r="BI106" s="36">
        <f>[1]contras!CB24</f>
        <v>0</v>
      </c>
      <c r="BJ106" s="36">
        <f>[1]contras!CC24</f>
        <v>0</v>
      </c>
      <c r="BK106" s="36">
        <f>[1]contras!CD24</f>
        <v>0</v>
      </c>
      <c r="BL106" s="36">
        <f>[1]contras!CE24</f>
        <v>0</v>
      </c>
      <c r="BM106" s="36">
        <f>[1]contras!CF24</f>
        <v>0</v>
      </c>
      <c r="BN106" s="36">
        <f>[1]contras!CG24</f>
        <v>0</v>
      </c>
      <c r="BO106" s="36">
        <f>[1]contras!CH24</f>
        <v>0</v>
      </c>
      <c r="BP106" s="36">
        <f>[1]contras!CI24</f>
        <v>0</v>
      </c>
      <c r="BQ106" s="36">
        <f>[1]contras!CJ24</f>
        <v>0</v>
      </c>
      <c r="BR106" s="36">
        <f>[1]contras!CK24</f>
        <v>0</v>
      </c>
      <c r="BS106" s="36">
        <f>[1]contras!CL24</f>
        <v>0</v>
      </c>
      <c r="BT106" s="36">
        <f>[1]contras!CM24</f>
        <v>0</v>
      </c>
      <c r="BU106" s="36">
        <f>[1]contras!CN24</f>
        <v>0</v>
      </c>
      <c r="BV106" s="36">
        <f>[1]contras!CO24</f>
        <v>0</v>
      </c>
      <c r="BW106" s="36">
        <f>[1]contras!CP24</f>
        <v>0</v>
      </c>
      <c r="BX106" s="36">
        <f>[1]contras!CQ24</f>
        <v>0</v>
      </c>
      <c r="BY106" s="36">
        <f>[1]contras!CR24</f>
        <v>0</v>
      </c>
      <c r="BZ106" s="36">
        <f>[1]contras!CS24</f>
        <v>0</v>
      </c>
      <c r="CA106" s="36">
        <f>[1]contras!CT24</f>
        <v>0</v>
      </c>
      <c r="CB106" s="36">
        <f>[1]contras!CU24</f>
        <v>0</v>
      </c>
      <c r="CC106" s="36">
        <f>[1]contras!CV24</f>
        <v>0</v>
      </c>
      <c r="CD106" s="36">
        <f>[1]contras!CW24</f>
        <v>0</v>
      </c>
      <c r="CE106" s="36">
        <f>[1]contras!CX24</f>
        <v>0</v>
      </c>
      <c r="CF106" s="36">
        <f>[1]contras!CY24</f>
        <v>0</v>
      </c>
      <c r="CG106" s="36">
        <f>[1]contras!CZ24</f>
        <v>0</v>
      </c>
      <c r="CH106" s="36">
        <f>[1]contras!DA24</f>
        <v>0</v>
      </c>
      <c r="CI106" s="36">
        <f>[1]contras!DB24</f>
        <v>0</v>
      </c>
      <c r="CJ106" s="36">
        <f>[1]contras!DC24</f>
        <v>0</v>
      </c>
      <c r="CK106" s="36">
        <f>[1]contras!DD24</f>
        <v>0</v>
      </c>
      <c r="CL106" s="36">
        <f>[1]contras!DE24</f>
        <v>0</v>
      </c>
      <c r="CM106" s="36">
        <f>[1]contras!DF24</f>
        <v>0</v>
      </c>
      <c r="CN106" s="36">
        <f>[1]contras!DG24</f>
        <v>0</v>
      </c>
      <c r="CO106" s="36">
        <f>[1]contras!DH24</f>
        <v>0</v>
      </c>
      <c r="CP106" s="36">
        <f>[1]contras!DI24</f>
        <v>0</v>
      </c>
      <c r="CQ106" s="36">
        <f>[1]contras!DJ24</f>
        <v>0</v>
      </c>
      <c r="CR106" s="36">
        <f>[1]contras!DK24</f>
        <v>0</v>
      </c>
      <c r="CS106" s="36">
        <f>[1]contras!DL24</f>
        <v>0</v>
      </c>
      <c r="CT106" s="39"/>
      <c r="CU106" s="39"/>
      <c r="CV106" s="39"/>
      <c r="CW106" s="21"/>
    </row>
    <row r="107" spans="4:101" x14ac:dyDescent="0.25">
      <c r="D107" s="35" t="str">
        <f>[1]Key!C$25</f>
        <v>GROWTH "HIT" PH</v>
      </c>
      <c r="E107" s="35" t="str">
        <f>[1]Key!D$25</f>
        <v>DTC</v>
      </c>
      <c r="F107" s="21"/>
      <c r="G107" s="21"/>
      <c r="H107" s="21"/>
      <c r="I107" s="21"/>
      <c r="J107" s="21"/>
      <c r="K107" s="21"/>
      <c r="L107" s="21"/>
      <c r="M107" s="21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36">
        <f>[1]contras!AS25</f>
        <v>0</v>
      </c>
      <c r="AA107" s="36">
        <f>[1]contras!AT25</f>
        <v>0</v>
      </c>
      <c r="AB107" s="36">
        <f>[1]contras!AU25</f>
        <v>0</v>
      </c>
      <c r="AC107" s="36">
        <f>[1]contras!AV25</f>
        <v>0</v>
      </c>
      <c r="AD107" s="36">
        <f>[1]contras!AW25</f>
        <v>0</v>
      </c>
      <c r="AE107" s="36">
        <f>[1]contras!AX25</f>
        <v>0</v>
      </c>
      <c r="AF107" s="36">
        <f>[1]contras!AY25</f>
        <v>0</v>
      </c>
      <c r="AG107" s="36">
        <f>[1]contras!AZ25</f>
        <v>0</v>
      </c>
      <c r="AH107" s="36">
        <f>[1]contras!BA25</f>
        <v>0</v>
      </c>
      <c r="AI107" s="36">
        <f>[1]contras!BB25</f>
        <v>0</v>
      </c>
      <c r="AJ107" s="36">
        <f>[1]contras!BC25</f>
        <v>0</v>
      </c>
      <c r="AK107" s="36">
        <f>[1]contras!BD25</f>
        <v>0</v>
      </c>
      <c r="AL107" s="36">
        <f>[1]contras!BE25</f>
        <v>0</v>
      </c>
      <c r="AM107" s="36">
        <f>[1]contras!BF25</f>
        <v>0</v>
      </c>
      <c r="AN107" s="36">
        <f>[1]contras!BG25</f>
        <v>0</v>
      </c>
      <c r="AO107" s="36">
        <f>[1]contras!BH25</f>
        <v>0</v>
      </c>
      <c r="AP107" s="36">
        <f>[1]contras!BI25</f>
        <v>0</v>
      </c>
      <c r="AQ107" s="36">
        <f>[1]contras!BJ25</f>
        <v>0</v>
      </c>
      <c r="AR107" s="36">
        <f>[1]contras!BK25</f>
        <v>0</v>
      </c>
      <c r="AS107" s="36">
        <f>[1]contras!BL25</f>
        <v>0</v>
      </c>
      <c r="AT107" s="36">
        <f>[1]contras!BM25</f>
        <v>0</v>
      </c>
      <c r="AU107" s="36">
        <f>[1]contras!BN25</f>
        <v>700000</v>
      </c>
      <c r="AV107" s="36">
        <f>[1]contras!BO25</f>
        <v>0</v>
      </c>
      <c r="AW107" s="36">
        <f>[1]contras!BP25</f>
        <v>0</v>
      </c>
      <c r="AX107" s="36">
        <f>[1]contras!BQ25</f>
        <v>1500000</v>
      </c>
      <c r="AY107" s="36">
        <f>[1]contras!BR25</f>
        <v>0</v>
      </c>
      <c r="AZ107" s="36">
        <f>[1]contras!BS25</f>
        <v>0</v>
      </c>
      <c r="BA107" s="36">
        <f>[1]contras!BT25</f>
        <v>1500000</v>
      </c>
      <c r="BB107" s="36">
        <f>[1]contras!BU25</f>
        <v>0</v>
      </c>
      <c r="BC107" s="36">
        <f>[1]contras!BV25</f>
        <v>0</v>
      </c>
      <c r="BD107" s="36">
        <f>[1]contras!BW25</f>
        <v>1875000</v>
      </c>
      <c r="BE107" s="36">
        <f>[1]contras!BX25</f>
        <v>0</v>
      </c>
      <c r="BF107" s="36">
        <f>[1]contras!BY25</f>
        <v>0</v>
      </c>
      <c r="BG107" s="36">
        <f>[1]contras!BZ25</f>
        <v>2625000</v>
      </c>
      <c r="BH107" s="36">
        <f>[1]contras!CA25</f>
        <v>0</v>
      </c>
      <c r="BI107" s="36">
        <f>[1]contras!CB25</f>
        <v>0</v>
      </c>
      <c r="BJ107" s="36">
        <f>[1]contras!CC25</f>
        <v>3000000</v>
      </c>
      <c r="BK107" s="36">
        <f>[1]contras!CD25</f>
        <v>0</v>
      </c>
      <c r="BL107" s="36">
        <f>[1]contras!CE25</f>
        <v>0</v>
      </c>
      <c r="BM107" s="36">
        <f>[1]contras!CF25</f>
        <v>3000000</v>
      </c>
      <c r="BN107" s="36">
        <f>[1]contras!CG25</f>
        <v>0</v>
      </c>
      <c r="BO107" s="36">
        <f>[1]contras!CH25</f>
        <v>0</v>
      </c>
      <c r="BP107" s="36">
        <f>[1]contras!CI25</f>
        <v>3750000</v>
      </c>
      <c r="BQ107" s="36">
        <f>[1]contras!CJ25</f>
        <v>0</v>
      </c>
      <c r="BR107" s="36">
        <f>[1]contras!CK25</f>
        <v>0</v>
      </c>
      <c r="BS107" s="36">
        <f>[1]contras!CL25</f>
        <v>5250000</v>
      </c>
      <c r="BT107" s="36">
        <f>[1]contras!CM25</f>
        <v>0</v>
      </c>
      <c r="BU107" s="36">
        <f>[1]contras!CN25</f>
        <v>0</v>
      </c>
      <c r="BV107" s="36">
        <f>[1]contras!CO25</f>
        <v>4500000</v>
      </c>
      <c r="BW107" s="36">
        <f>[1]contras!CP25</f>
        <v>0</v>
      </c>
      <c r="BX107" s="36">
        <f>[1]contras!CQ25</f>
        <v>0</v>
      </c>
      <c r="BY107" s="36">
        <f>[1]contras!CR25</f>
        <v>4500000</v>
      </c>
      <c r="BZ107" s="36">
        <f>[1]contras!CS25</f>
        <v>0</v>
      </c>
      <c r="CA107" s="36">
        <f>[1]contras!CT25</f>
        <v>0</v>
      </c>
      <c r="CB107" s="36">
        <f>[1]contras!CU25</f>
        <v>5625000</v>
      </c>
      <c r="CC107" s="36">
        <f>[1]contras!CV25</f>
        <v>0</v>
      </c>
      <c r="CD107" s="36">
        <f>[1]contras!CW25</f>
        <v>0</v>
      </c>
      <c r="CE107" s="36">
        <f>[1]contras!CX25</f>
        <v>7875000</v>
      </c>
      <c r="CF107" s="36">
        <f>[1]contras!CY25</f>
        <v>0</v>
      </c>
      <c r="CG107" s="36">
        <f>[1]contras!CZ25</f>
        <v>0</v>
      </c>
      <c r="CH107" s="36">
        <f>[1]contras!DA25</f>
        <v>5850000</v>
      </c>
      <c r="CI107" s="36">
        <f>[1]contras!DB25</f>
        <v>0</v>
      </c>
      <c r="CJ107" s="36">
        <f>[1]contras!DC25</f>
        <v>0</v>
      </c>
      <c r="CK107" s="36">
        <f>[1]contras!DD25</f>
        <v>5850000</v>
      </c>
      <c r="CL107" s="36">
        <f>[1]contras!DE25</f>
        <v>0</v>
      </c>
      <c r="CM107" s="36">
        <f>[1]contras!DF25</f>
        <v>0</v>
      </c>
      <c r="CN107" s="36">
        <f>[1]contras!DG25</f>
        <v>7312500</v>
      </c>
      <c r="CO107" s="36">
        <f>[1]contras!DH25</f>
        <v>0</v>
      </c>
      <c r="CP107" s="36">
        <f>[1]contras!DI25</f>
        <v>0</v>
      </c>
      <c r="CQ107" s="36">
        <f>[1]contras!DJ25</f>
        <v>10237500</v>
      </c>
      <c r="CR107" s="36">
        <f>[1]contras!DK25</f>
        <v>0</v>
      </c>
      <c r="CS107" s="36">
        <f>[1]contras!DL25</f>
        <v>0</v>
      </c>
      <c r="CT107" s="39"/>
      <c r="CU107" s="39"/>
      <c r="CV107" s="39"/>
      <c r="CW107" s="21"/>
    </row>
    <row r="108" spans="4:101" x14ac:dyDescent="0.25">
      <c r="D108" s="35" t="str">
        <f>[1]Key!C$26</f>
        <v>ICE STUDIOS</v>
      </c>
      <c r="E108" s="35" t="str">
        <f>[1]Key!D$26</f>
        <v>DTC</v>
      </c>
      <c r="F108" s="21"/>
      <c r="G108" s="21"/>
      <c r="H108" s="21"/>
      <c r="I108" s="21"/>
      <c r="J108" s="21"/>
      <c r="K108" s="21"/>
      <c r="L108" s="21"/>
      <c r="M108" s="21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36">
        <f>[1]contras!AS26</f>
        <v>0</v>
      </c>
      <c r="AA108" s="36">
        <f>[1]contras!AT26</f>
        <v>0</v>
      </c>
      <c r="AB108" s="36">
        <f>[1]contras!AU26</f>
        <v>0</v>
      </c>
      <c r="AC108" s="36">
        <f>[1]contras!AV26</f>
        <v>0</v>
      </c>
      <c r="AD108" s="36">
        <f>[1]contras!AW26</f>
        <v>0</v>
      </c>
      <c r="AE108" s="36">
        <f>[1]contras!AX26</f>
        <v>0</v>
      </c>
      <c r="AF108" s="36">
        <f>[1]contras!AY26</f>
        <v>0</v>
      </c>
      <c r="AG108" s="36">
        <f>[1]contras!AZ26</f>
        <v>0</v>
      </c>
      <c r="AH108" s="36">
        <f>[1]contras!BA26</f>
        <v>0</v>
      </c>
      <c r="AI108" s="36">
        <f>[1]contras!BB26</f>
        <v>0</v>
      </c>
      <c r="AJ108" s="36">
        <f>[1]contras!BC26</f>
        <v>0</v>
      </c>
      <c r="AK108" s="36">
        <f>[1]contras!BD26</f>
        <v>367500</v>
      </c>
      <c r="AL108" s="36">
        <f>[1]contras!BE26</f>
        <v>0</v>
      </c>
      <c r="AM108" s="36">
        <f>[1]contras!BF26</f>
        <v>567000</v>
      </c>
      <c r="AN108" s="36">
        <f>[1]contras!BG26</f>
        <v>0</v>
      </c>
      <c r="AO108" s="36">
        <f>[1]contras!BH26</f>
        <v>0</v>
      </c>
      <c r="AP108" s="36">
        <f>[1]contras!BI26</f>
        <v>0</v>
      </c>
      <c r="AQ108" s="36">
        <f>[1]contras!BJ26</f>
        <v>945000</v>
      </c>
      <c r="AR108" s="36">
        <f>[1]contras!BK26</f>
        <v>0</v>
      </c>
      <c r="AS108" s="36">
        <f>[1]contras!BL26</f>
        <v>0</v>
      </c>
      <c r="AT108" s="36">
        <f>[1]contras!BM26</f>
        <v>1530000</v>
      </c>
      <c r="AU108" s="36">
        <f>[1]contras!BN26</f>
        <v>0</v>
      </c>
      <c r="AV108" s="36">
        <f>[1]contras!BO26</f>
        <v>0</v>
      </c>
      <c r="AW108" s="36">
        <f>[1]contras!BP26</f>
        <v>1842000</v>
      </c>
      <c r="AX108" s="36">
        <f>[1]contras!BQ26</f>
        <v>576000</v>
      </c>
      <c r="AY108" s="36">
        <f>[1]contras!BR26</f>
        <v>936000</v>
      </c>
      <c r="AZ108" s="36">
        <f>[1]contras!BS26</f>
        <v>0</v>
      </c>
      <c r="BA108" s="36">
        <f>[1]contras!BT26</f>
        <v>0</v>
      </c>
      <c r="BB108" s="36">
        <f>[1]contras!BU26</f>
        <v>0</v>
      </c>
      <c r="BC108" s="36">
        <f>[1]contras!BV26</f>
        <v>1512000</v>
      </c>
      <c r="BD108" s="36">
        <f>[1]contras!BW26</f>
        <v>0</v>
      </c>
      <c r="BE108" s="36">
        <f>[1]contras!BX26</f>
        <v>0</v>
      </c>
      <c r="BF108" s="36">
        <f>[1]contras!BY26</f>
        <v>1560000</v>
      </c>
      <c r="BG108" s="36">
        <f>[1]contras!BZ26</f>
        <v>0</v>
      </c>
      <c r="BH108" s="36">
        <f>[1]contras!CA26</f>
        <v>115200</v>
      </c>
      <c r="BI108" s="36">
        <f>[1]contras!CB26</f>
        <v>1560000</v>
      </c>
      <c r="BJ108" s="36">
        <f>[1]contras!CC26</f>
        <v>1440000</v>
      </c>
      <c r="BK108" s="36">
        <f>[1]contras!CD26</f>
        <v>2340000</v>
      </c>
      <c r="BL108" s="36">
        <f>[1]contras!CE26</f>
        <v>0</v>
      </c>
      <c r="BM108" s="36">
        <f>[1]contras!CF26</f>
        <v>0</v>
      </c>
      <c r="BN108" s="36">
        <f>[1]contras!CG26</f>
        <v>0</v>
      </c>
      <c r="BO108" s="36">
        <f>[1]contras!CH26</f>
        <v>3780000</v>
      </c>
      <c r="BP108" s="36">
        <f>[1]contras!CI26</f>
        <v>0</v>
      </c>
      <c r="BQ108" s="36">
        <f>[1]contras!CJ26</f>
        <v>0</v>
      </c>
      <c r="BR108" s="36">
        <f>[1]contras!CK26</f>
        <v>3900000</v>
      </c>
      <c r="BS108" s="36">
        <f>[1]contras!CL26</f>
        <v>0</v>
      </c>
      <c r="BT108" s="36">
        <f>[1]contras!CM26</f>
        <v>288000</v>
      </c>
      <c r="BU108" s="36">
        <f>[1]contras!CN26</f>
        <v>3900000</v>
      </c>
      <c r="BV108" s="36">
        <f>[1]contras!CO26</f>
        <v>3240000</v>
      </c>
      <c r="BW108" s="36">
        <f>[1]contras!CP26</f>
        <v>5265000</v>
      </c>
      <c r="BX108" s="36">
        <f>[1]contras!CQ26</f>
        <v>0</v>
      </c>
      <c r="BY108" s="36">
        <f>[1]contras!CR26</f>
        <v>0</v>
      </c>
      <c r="BZ108" s="36">
        <f>[1]contras!CS26</f>
        <v>0</v>
      </c>
      <c r="CA108" s="36">
        <f>[1]contras!CT26</f>
        <v>8505000</v>
      </c>
      <c r="CB108" s="36">
        <f>[1]contras!CU26</f>
        <v>0</v>
      </c>
      <c r="CC108" s="36">
        <f>[1]contras!CV26</f>
        <v>0</v>
      </c>
      <c r="CD108" s="36">
        <f>[1]contras!CW26</f>
        <v>8775000</v>
      </c>
      <c r="CE108" s="36">
        <f>[1]contras!CX26</f>
        <v>0</v>
      </c>
      <c r="CF108" s="36">
        <f>[1]contras!CY26</f>
        <v>648000</v>
      </c>
      <c r="CG108" s="36">
        <f>[1]contras!CZ26</f>
        <v>8775000</v>
      </c>
      <c r="CH108" s="36">
        <f>[1]contras!DA26</f>
        <v>5670000</v>
      </c>
      <c r="CI108" s="36">
        <f>[1]contras!DB26</f>
        <v>9213750</v>
      </c>
      <c r="CJ108" s="36">
        <f>[1]contras!DC26</f>
        <v>0</v>
      </c>
      <c r="CK108" s="36">
        <f>[1]contras!DD26</f>
        <v>0</v>
      </c>
      <c r="CL108" s="36">
        <f>[1]contras!DE26</f>
        <v>0</v>
      </c>
      <c r="CM108" s="36">
        <f>[1]contras!DF26</f>
        <v>14883750</v>
      </c>
      <c r="CN108" s="36">
        <f>[1]contras!DG26</f>
        <v>0</v>
      </c>
      <c r="CO108" s="36">
        <f>[1]contras!DH26</f>
        <v>0</v>
      </c>
      <c r="CP108" s="36">
        <f>[1]contras!DI26</f>
        <v>15356250</v>
      </c>
      <c r="CQ108" s="36">
        <f>[1]contras!DJ26</f>
        <v>0</v>
      </c>
      <c r="CR108" s="36">
        <f>[1]contras!DK26</f>
        <v>1134000</v>
      </c>
      <c r="CS108" s="36">
        <f>[1]contras!DL26</f>
        <v>15356250</v>
      </c>
      <c r="CT108" s="39"/>
      <c r="CU108" s="39"/>
      <c r="CV108" s="39"/>
      <c r="CW108" s="21"/>
    </row>
    <row r="109" spans="4:101" x14ac:dyDescent="0.25">
      <c r="D109" s="35" t="str">
        <f>[1]Key!C$27</f>
        <v>MURAKAMI / TORITON</v>
      </c>
      <c r="E109" s="35" t="str">
        <f>[1]Key!D$27</f>
        <v>DTC</v>
      </c>
      <c r="F109" s="21"/>
      <c r="G109" s="21"/>
      <c r="H109" s="21"/>
      <c r="I109" s="21"/>
      <c r="J109" s="21"/>
      <c r="K109" s="21"/>
      <c r="L109" s="21"/>
      <c r="M109" s="21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36">
        <f>[1]contras!AS27</f>
        <v>0</v>
      </c>
      <c r="AA109" s="36">
        <f>[1]contras!AT27</f>
        <v>0</v>
      </c>
      <c r="AB109" s="36">
        <f>[1]contras!AU27</f>
        <v>0</v>
      </c>
      <c r="AC109" s="36">
        <f>[1]contras!AV27</f>
        <v>0</v>
      </c>
      <c r="AD109" s="36">
        <f>[1]contras!AW27</f>
        <v>0</v>
      </c>
      <c r="AE109" s="36">
        <f>[1]contras!AX27</f>
        <v>75000</v>
      </c>
      <c r="AF109" s="36">
        <f>[1]contras!AY27</f>
        <v>1800000</v>
      </c>
      <c r="AG109" s="36">
        <f>[1]contras!AZ27</f>
        <v>0</v>
      </c>
      <c r="AH109" s="36">
        <f>[1]contras!BA27</f>
        <v>150000</v>
      </c>
      <c r="AI109" s="36">
        <f>[1]contras!BB27</f>
        <v>0</v>
      </c>
      <c r="AJ109" s="36">
        <f>[1]contras!BC27</f>
        <v>225000</v>
      </c>
      <c r="AK109" s="36">
        <f>[1]contras!BD27</f>
        <v>337500</v>
      </c>
      <c r="AL109" s="36">
        <f>[1]contras!BE27</f>
        <v>0</v>
      </c>
      <c r="AM109" s="36">
        <f>[1]contras!BF27</f>
        <v>750000</v>
      </c>
      <c r="AN109" s="36">
        <f>[1]contras!BG27</f>
        <v>225000</v>
      </c>
      <c r="AO109" s="36">
        <f>[1]contras!BH27</f>
        <v>0</v>
      </c>
      <c r="AP109" s="36">
        <f>[1]contras!BI27</f>
        <v>937500</v>
      </c>
      <c r="AQ109" s="36">
        <f>[1]contras!BJ27</f>
        <v>506250</v>
      </c>
      <c r="AR109" s="36">
        <f>[1]contras!BK27</f>
        <v>292500</v>
      </c>
      <c r="AS109" s="36">
        <f>[1]contras!BL27</f>
        <v>1110000</v>
      </c>
      <c r="AT109" s="36">
        <f>[1]contras!BM27</f>
        <v>0</v>
      </c>
      <c r="AU109" s="36">
        <f>[1]contras!BN27</f>
        <v>150000</v>
      </c>
      <c r="AV109" s="36">
        <f>[1]contras!BO27</f>
        <v>1215000</v>
      </c>
      <c r="AW109" s="36">
        <f>[1]contras!BP27</f>
        <v>686250</v>
      </c>
      <c r="AX109" s="36">
        <f>[1]contras!BQ27</f>
        <v>225000</v>
      </c>
      <c r="AY109" s="36">
        <f>[1]contras!BR27</f>
        <v>1672500</v>
      </c>
      <c r="AZ109" s="36">
        <f>[1]contras!BS27</f>
        <v>630000</v>
      </c>
      <c r="BA109" s="36">
        <f>[1]contras!BT27</f>
        <v>56250</v>
      </c>
      <c r="BB109" s="36">
        <f>[1]contras!BU27</f>
        <v>1312500</v>
      </c>
      <c r="BC109" s="36">
        <f>[1]contras!BV27</f>
        <v>990000</v>
      </c>
      <c r="BD109" s="36">
        <f>[1]contras!BW27</f>
        <v>225000</v>
      </c>
      <c r="BE109" s="36">
        <f>[1]contras!BX27</f>
        <v>1785000</v>
      </c>
      <c r="BF109" s="36">
        <f>[1]contras!BY27</f>
        <v>630000</v>
      </c>
      <c r="BG109" s="36">
        <f>[1]contras!BZ27</f>
        <v>56250</v>
      </c>
      <c r="BH109" s="36">
        <f>[1]contras!CA27</f>
        <v>1185000</v>
      </c>
      <c r="BI109" s="36">
        <f>[1]contras!CB27</f>
        <v>630000</v>
      </c>
      <c r="BJ109" s="36">
        <f>[1]contras!CC27</f>
        <v>562500</v>
      </c>
      <c r="BK109" s="36">
        <f>[1]contras!CD27</f>
        <v>4181250</v>
      </c>
      <c r="BL109" s="36">
        <f>[1]contras!CE27</f>
        <v>1575000</v>
      </c>
      <c r="BM109" s="36">
        <f>[1]contras!CF27</f>
        <v>140625</v>
      </c>
      <c r="BN109" s="36">
        <f>[1]contras!CG27</f>
        <v>3281250</v>
      </c>
      <c r="BO109" s="36">
        <f>[1]contras!CH27</f>
        <v>2475000</v>
      </c>
      <c r="BP109" s="36">
        <f>[1]contras!CI27</f>
        <v>562500</v>
      </c>
      <c r="BQ109" s="36">
        <f>[1]contras!CJ27</f>
        <v>4462500</v>
      </c>
      <c r="BR109" s="36">
        <f>[1]contras!CK27</f>
        <v>1575000</v>
      </c>
      <c r="BS109" s="36">
        <f>[1]contras!CL27</f>
        <v>140625</v>
      </c>
      <c r="BT109" s="36">
        <f>[1]contras!CM27</f>
        <v>2962500</v>
      </c>
      <c r="BU109" s="36">
        <f>[1]contras!CN27</f>
        <v>1575000</v>
      </c>
      <c r="BV109" s="36">
        <f>[1]contras!CO27</f>
        <v>984375</v>
      </c>
      <c r="BW109" s="36">
        <f>[1]contras!CP27</f>
        <v>7317187.5</v>
      </c>
      <c r="BX109" s="36">
        <f>[1]contras!CQ27</f>
        <v>2756250</v>
      </c>
      <c r="BY109" s="36">
        <f>[1]contras!CR27</f>
        <v>246093.75</v>
      </c>
      <c r="BZ109" s="36">
        <f>[1]contras!CS27</f>
        <v>5742187.5</v>
      </c>
      <c r="CA109" s="36">
        <f>[1]contras!CT27</f>
        <v>4331250</v>
      </c>
      <c r="CB109" s="36">
        <f>[1]contras!CU27</f>
        <v>984375</v>
      </c>
      <c r="CC109" s="36">
        <f>[1]contras!CV27</f>
        <v>7809375</v>
      </c>
      <c r="CD109" s="36">
        <f>[1]contras!CW27</f>
        <v>2756250</v>
      </c>
      <c r="CE109" s="36">
        <f>[1]contras!CX27</f>
        <v>246093.75</v>
      </c>
      <c r="CF109" s="36">
        <f>[1]contras!CY27</f>
        <v>5184375</v>
      </c>
      <c r="CG109" s="36">
        <f>[1]contras!CZ27</f>
        <v>2756250</v>
      </c>
      <c r="CH109" s="36">
        <f>[1]contras!DA27</f>
        <v>1476562.5</v>
      </c>
      <c r="CI109" s="36">
        <f>[1]contras!DB27</f>
        <v>10975781.25</v>
      </c>
      <c r="CJ109" s="36">
        <f>[1]contras!DC27</f>
        <v>4134375</v>
      </c>
      <c r="CK109" s="36">
        <f>[1]contras!DD27</f>
        <v>369140.625</v>
      </c>
      <c r="CL109" s="36">
        <f>[1]contras!DE27</f>
        <v>8613281.25</v>
      </c>
      <c r="CM109" s="36">
        <f>[1]contras!DF27</f>
        <v>6496875</v>
      </c>
      <c r="CN109" s="36">
        <f>[1]contras!DG27</f>
        <v>1476562.5</v>
      </c>
      <c r="CO109" s="36">
        <f>[1]contras!DH27</f>
        <v>11714062.5</v>
      </c>
      <c r="CP109" s="36">
        <f>[1]contras!DI27</f>
        <v>4134375</v>
      </c>
      <c r="CQ109" s="36">
        <f>[1]contras!DJ27</f>
        <v>369140.625</v>
      </c>
      <c r="CR109" s="36">
        <f>[1]contras!DK27</f>
        <v>7776562.5</v>
      </c>
      <c r="CS109" s="36">
        <f>[1]contras!DL27</f>
        <v>4134375</v>
      </c>
      <c r="CT109" s="39"/>
      <c r="CU109" s="39"/>
      <c r="CV109" s="39"/>
      <c r="CW109" s="21"/>
    </row>
    <row r="110" spans="4:101" x14ac:dyDescent="0.25">
      <c r="D110" s="35" t="str">
        <f>[1]Key!C$28</f>
        <v>NEW PARTNER 1</v>
      </c>
      <c r="E110" s="35" t="str">
        <f>[1]Key!D$28</f>
        <v>DTC</v>
      </c>
      <c r="F110" s="21"/>
      <c r="G110" s="21"/>
      <c r="H110" s="21"/>
      <c r="I110" s="21"/>
      <c r="J110" s="21"/>
      <c r="K110" s="21"/>
      <c r="L110" s="21"/>
      <c r="M110" s="21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36">
        <f>[1]contras!AS28</f>
        <v>0</v>
      </c>
      <c r="AA110" s="36">
        <f>[1]contras!AT28</f>
        <v>0</v>
      </c>
      <c r="AB110" s="36">
        <f>[1]contras!AU28</f>
        <v>0</v>
      </c>
      <c r="AC110" s="36">
        <f>[1]contras!AV28</f>
        <v>0</v>
      </c>
      <c r="AD110" s="36">
        <f>[1]contras!AW28</f>
        <v>0</v>
      </c>
      <c r="AE110" s="36">
        <f>[1]contras!AX28</f>
        <v>0</v>
      </c>
      <c r="AF110" s="36">
        <f>[1]contras!AY28</f>
        <v>0</v>
      </c>
      <c r="AG110" s="36">
        <f>[1]contras!AZ28</f>
        <v>0</v>
      </c>
      <c r="AH110" s="36">
        <f>[1]contras!BA28</f>
        <v>0</v>
      </c>
      <c r="AI110" s="36">
        <f>[1]contras!BB28</f>
        <v>0</v>
      </c>
      <c r="AJ110" s="36">
        <f>[1]contras!BC28</f>
        <v>0</v>
      </c>
      <c r="AK110" s="36">
        <f>[1]contras!BD28</f>
        <v>0</v>
      </c>
      <c r="AL110" s="36">
        <f>[1]contras!BE28</f>
        <v>0</v>
      </c>
      <c r="AM110" s="36">
        <f>[1]contras!BF28</f>
        <v>0</v>
      </c>
      <c r="AN110" s="36">
        <f>[1]contras!BG28</f>
        <v>0</v>
      </c>
      <c r="AO110" s="36">
        <f>[1]contras!BH28</f>
        <v>0</v>
      </c>
      <c r="AP110" s="36">
        <f>[1]contras!BI28</f>
        <v>0</v>
      </c>
      <c r="AQ110" s="36">
        <f>[1]contras!BJ28</f>
        <v>0</v>
      </c>
      <c r="AR110" s="36">
        <f>[1]contras!BK28</f>
        <v>0</v>
      </c>
      <c r="AS110" s="36">
        <f>[1]contras!BL28</f>
        <v>0</v>
      </c>
      <c r="AT110" s="36">
        <f>[1]contras!BM28</f>
        <v>0</v>
      </c>
      <c r="AU110" s="36">
        <f>[1]contras!BN28</f>
        <v>0</v>
      </c>
      <c r="AV110" s="36">
        <f>[1]contras!BO28</f>
        <v>0</v>
      </c>
      <c r="AW110" s="36">
        <f>[1]contras!BP28</f>
        <v>0</v>
      </c>
      <c r="AX110" s="36">
        <f>[1]contras!BQ28</f>
        <v>324000</v>
      </c>
      <c r="AY110" s="36">
        <f>[1]contras!BR28</f>
        <v>0</v>
      </c>
      <c r="AZ110" s="36">
        <f>[1]contras!BS28</f>
        <v>0</v>
      </c>
      <c r="BA110" s="36">
        <f>[1]contras!BT28</f>
        <v>0</v>
      </c>
      <c r="BB110" s="36">
        <f>[1]contras!BU28</f>
        <v>0</v>
      </c>
      <c r="BC110" s="36">
        <f>[1]contras!BV28</f>
        <v>0</v>
      </c>
      <c r="BD110" s="36">
        <f>[1]contras!BW28</f>
        <v>675000</v>
      </c>
      <c r="BE110" s="36">
        <f>[1]contras!BX28</f>
        <v>0</v>
      </c>
      <c r="BF110" s="36">
        <f>[1]contras!BY28</f>
        <v>0</v>
      </c>
      <c r="BG110" s="36">
        <f>[1]contras!BZ28</f>
        <v>0</v>
      </c>
      <c r="BH110" s="36">
        <f>[1]contras!CA28</f>
        <v>0</v>
      </c>
      <c r="BI110" s="36">
        <f>[1]contras!CB28</f>
        <v>0</v>
      </c>
      <c r="BJ110" s="36">
        <f>[1]contras!CC28</f>
        <v>972000</v>
      </c>
      <c r="BK110" s="36">
        <f>[1]contras!CD28</f>
        <v>0</v>
      </c>
      <c r="BL110" s="36">
        <f>[1]contras!CE28</f>
        <v>0</v>
      </c>
      <c r="BM110" s="36">
        <f>[1]contras!CF28</f>
        <v>0</v>
      </c>
      <c r="BN110" s="36">
        <f>[1]contras!CG28</f>
        <v>0</v>
      </c>
      <c r="BO110" s="36">
        <f>[1]contras!CH28</f>
        <v>0</v>
      </c>
      <c r="BP110" s="36">
        <f>[1]contras!CI28</f>
        <v>2025000</v>
      </c>
      <c r="BQ110" s="36">
        <f>[1]contras!CJ28</f>
        <v>0</v>
      </c>
      <c r="BR110" s="36">
        <f>[1]contras!CK28</f>
        <v>0</v>
      </c>
      <c r="BS110" s="36">
        <f>[1]contras!CL28</f>
        <v>0</v>
      </c>
      <c r="BT110" s="36">
        <f>[1]contras!CM28</f>
        <v>0</v>
      </c>
      <c r="BU110" s="36">
        <f>[1]contras!CN28</f>
        <v>0</v>
      </c>
      <c r="BV110" s="36">
        <f>[1]contras!CO28</f>
        <v>2430000</v>
      </c>
      <c r="BW110" s="36">
        <f>[1]contras!CP28</f>
        <v>0</v>
      </c>
      <c r="BX110" s="36">
        <f>[1]contras!CQ28</f>
        <v>0</v>
      </c>
      <c r="BY110" s="36">
        <f>[1]contras!CR28</f>
        <v>0</v>
      </c>
      <c r="BZ110" s="36">
        <f>[1]contras!CS28</f>
        <v>0</v>
      </c>
      <c r="CA110" s="36">
        <f>[1]contras!CT28</f>
        <v>0</v>
      </c>
      <c r="CB110" s="36">
        <f>[1]contras!CU28</f>
        <v>5062500</v>
      </c>
      <c r="CC110" s="36">
        <f>[1]contras!CV28</f>
        <v>0</v>
      </c>
      <c r="CD110" s="36">
        <f>[1]contras!CW28</f>
        <v>0</v>
      </c>
      <c r="CE110" s="36">
        <f>[1]contras!CX28</f>
        <v>0</v>
      </c>
      <c r="CF110" s="36">
        <f>[1]contras!CY28</f>
        <v>0</v>
      </c>
      <c r="CG110" s="36">
        <f>[1]contras!CZ28</f>
        <v>0</v>
      </c>
      <c r="CH110" s="36">
        <f>[1]contras!DA28</f>
        <v>4252500</v>
      </c>
      <c r="CI110" s="36">
        <f>[1]contras!DB28</f>
        <v>0</v>
      </c>
      <c r="CJ110" s="36">
        <f>[1]contras!DC28</f>
        <v>0</v>
      </c>
      <c r="CK110" s="36">
        <f>[1]contras!DD28</f>
        <v>0</v>
      </c>
      <c r="CL110" s="36">
        <f>[1]contras!DE28</f>
        <v>0</v>
      </c>
      <c r="CM110" s="36">
        <f>[1]contras!DF28</f>
        <v>0</v>
      </c>
      <c r="CN110" s="36">
        <f>[1]contras!DG28</f>
        <v>8859375</v>
      </c>
      <c r="CO110" s="36">
        <f>[1]contras!DH28</f>
        <v>0</v>
      </c>
      <c r="CP110" s="36">
        <f>[1]contras!DI28</f>
        <v>0</v>
      </c>
      <c r="CQ110" s="36">
        <f>[1]contras!DJ28</f>
        <v>0</v>
      </c>
      <c r="CR110" s="36">
        <f>[1]contras!DK28</f>
        <v>0</v>
      </c>
      <c r="CS110" s="36">
        <f>[1]contras!DL28</f>
        <v>0</v>
      </c>
      <c r="CT110" s="39"/>
      <c r="CU110" s="39"/>
      <c r="CV110" s="39"/>
      <c r="CW110" s="21"/>
    </row>
    <row r="111" spans="4:101" x14ac:dyDescent="0.25">
      <c r="D111" s="35" t="str">
        <f>[1]Key!C$29</f>
        <v>NEW PARTNER 2</v>
      </c>
      <c r="E111" s="35" t="str">
        <f>[1]Key!D$29</f>
        <v>DTC</v>
      </c>
      <c r="F111" s="21"/>
      <c r="G111" s="21"/>
      <c r="H111" s="21"/>
      <c r="I111" s="21"/>
      <c r="J111" s="21"/>
      <c r="K111" s="21"/>
      <c r="L111" s="21"/>
      <c r="M111" s="21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36">
        <f>[1]contras!AS29</f>
        <v>0</v>
      </c>
      <c r="AA111" s="36">
        <f>[1]contras!AT29</f>
        <v>0</v>
      </c>
      <c r="AB111" s="36">
        <f>[1]contras!AU29</f>
        <v>0</v>
      </c>
      <c r="AC111" s="36">
        <f>[1]contras!AV29</f>
        <v>0</v>
      </c>
      <c r="AD111" s="36">
        <f>[1]contras!AW29</f>
        <v>0</v>
      </c>
      <c r="AE111" s="36">
        <f>[1]contras!AX29</f>
        <v>0</v>
      </c>
      <c r="AF111" s="36">
        <f>[1]contras!AY29</f>
        <v>0</v>
      </c>
      <c r="AG111" s="36">
        <f>[1]contras!AZ29</f>
        <v>0</v>
      </c>
      <c r="AH111" s="36">
        <f>[1]contras!BA29</f>
        <v>0</v>
      </c>
      <c r="AI111" s="36">
        <f>[1]contras!BB29</f>
        <v>0</v>
      </c>
      <c r="AJ111" s="36">
        <f>[1]contras!BC29</f>
        <v>0</v>
      </c>
      <c r="AK111" s="36">
        <f>[1]contras!BD29</f>
        <v>0</v>
      </c>
      <c r="AL111" s="36">
        <f>[1]contras!BE29</f>
        <v>0</v>
      </c>
      <c r="AM111" s="36">
        <f>[1]contras!BF29</f>
        <v>0</v>
      </c>
      <c r="AN111" s="36">
        <f>[1]contras!BG29</f>
        <v>0</v>
      </c>
      <c r="AO111" s="36">
        <f>[1]contras!BH29</f>
        <v>0</v>
      </c>
      <c r="AP111" s="36">
        <f>[1]contras!BI29</f>
        <v>0</v>
      </c>
      <c r="AQ111" s="36">
        <f>[1]contras!BJ29</f>
        <v>0</v>
      </c>
      <c r="AR111" s="36">
        <f>[1]contras!BK29</f>
        <v>0</v>
      </c>
      <c r="AS111" s="36">
        <f>[1]contras!BL29</f>
        <v>0</v>
      </c>
      <c r="AT111" s="36">
        <f>[1]contras!BM29</f>
        <v>0</v>
      </c>
      <c r="AU111" s="36">
        <f>[1]contras!BN29</f>
        <v>0</v>
      </c>
      <c r="AV111" s="36">
        <f>[1]contras!BO29</f>
        <v>0</v>
      </c>
      <c r="AW111" s="36">
        <f>[1]contras!BP29</f>
        <v>0</v>
      </c>
      <c r="AX111" s="36">
        <f>[1]contras!BQ29</f>
        <v>325000</v>
      </c>
      <c r="AY111" s="36">
        <f>[1]contras!BR29</f>
        <v>0</v>
      </c>
      <c r="AZ111" s="36">
        <f>[1]contras!BS29</f>
        <v>0</v>
      </c>
      <c r="BA111" s="36">
        <f>[1]contras!BT29</f>
        <v>0</v>
      </c>
      <c r="BB111" s="36">
        <f>[1]contras!BU29</f>
        <v>0</v>
      </c>
      <c r="BC111" s="36">
        <f>[1]contras!BV29</f>
        <v>0</v>
      </c>
      <c r="BD111" s="36">
        <f>[1]contras!BW29</f>
        <v>780000</v>
      </c>
      <c r="BE111" s="36">
        <f>[1]contras!BX29</f>
        <v>0</v>
      </c>
      <c r="BF111" s="36">
        <f>[1]contras!BY29</f>
        <v>0</v>
      </c>
      <c r="BG111" s="36">
        <f>[1]contras!BZ29</f>
        <v>0</v>
      </c>
      <c r="BH111" s="36">
        <f>[1]contras!CA29</f>
        <v>156000</v>
      </c>
      <c r="BI111" s="36">
        <f>[1]contras!CB29</f>
        <v>0</v>
      </c>
      <c r="BJ111" s="36">
        <f>[1]contras!CC29</f>
        <v>975000</v>
      </c>
      <c r="BK111" s="36">
        <f>[1]contras!CD29</f>
        <v>0</v>
      </c>
      <c r="BL111" s="36">
        <f>[1]contras!CE29</f>
        <v>0</v>
      </c>
      <c r="BM111" s="36">
        <f>[1]contras!CF29</f>
        <v>0</v>
      </c>
      <c r="BN111" s="36">
        <f>[1]contras!CG29</f>
        <v>0</v>
      </c>
      <c r="BO111" s="36">
        <f>[1]contras!CH29</f>
        <v>0</v>
      </c>
      <c r="BP111" s="36">
        <f>[1]contras!CI29</f>
        <v>2340000</v>
      </c>
      <c r="BQ111" s="36">
        <f>[1]contras!CJ29</f>
        <v>0</v>
      </c>
      <c r="BR111" s="36">
        <f>[1]contras!CK29</f>
        <v>0</v>
      </c>
      <c r="BS111" s="36">
        <f>[1]contras!CL29</f>
        <v>0</v>
      </c>
      <c r="BT111" s="36">
        <f>[1]contras!CM29</f>
        <v>468000</v>
      </c>
      <c r="BU111" s="36">
        <f>[1]contras!CN29</f>
        <v>0</v>
      </c>
      <c r="BV111" s="36">
        <f>[1]contras!CO29</f>
        <v>2437500</v>
      </c>
      <c r="BW111" s="36">
        <f>[1]contras!CP29</f>
        <v>0</v>
      </c>
      <c r="BX111" s="36">
        <f>[1]contras!CQ29</f>
        <v>0</v>
      </c>
      <c r="BY111" s="36">
        <f>[1]contras!CR29</f>
        <v>0</v>
      </c>
      <c r="BZ111" s="36">
        <f>[1]contras!CS29</f>
        <v>0</v>
      </c>
      <c r="CA111" s="36">
        <f>[1]contras!CT29</f>
        <v>0</v>
      </c>
      <c r="CB111" s="36">
        <f>[1]contras!CU29</f>
        <v>5850000</v>
      </c>
      <c r="CC111" s="36">
        <f>[1]contras!CV29</f>
        <v>0</v>
      </c>
      <c r="CD111" s="36">
        <f>[1]contras!CW29</f>
        <v>0</v>
      </c>
      <c r="CE111" s="36">
        <f>[1]contras!CX29</f>
        <v>0</v>
      </c>
      <c r="CF111" s="36">
        <f>[1]contras!CY29</f>
        <v>1170000</v>
      </c>
      <c r="CG111" s="36">
        <f>[1]contras!CZ29</f>
        <v>0</v>
      </c>
      <c r="CH111" s="36">
        <f>[1]contras!DA29</f>
        <v>4265625</v>
      </c>
      <c r="CI111" s="36">
        <f>[1]contras!DB29</f>
        <v>0</v>
      </c>
      <c r="CJ111" s="36">
        <f>[1]contras!DC29</f>
        <v>0</v>
      </c>
      <c r="CK111" s="36">
        <f>[1]contras!DD29</f>
        <v>0</v>
      </c>
      <c r="CL111" s="36">
        <f>[1]contras!DE29</f>
        <v>0</v>
      </c>
      <c r="CM111" s="36">
        <f>[1]contras!DF29</f>
        <v>0</v>
      </c>
      <c r="CN111" s="36">
        <f>[1]contras!DG29</f>
        <v>10237500</v>
      </c>
      <c r="CO111" s="36">
        <f>[1]contras!DH29</f>
        <v>0</v>
      </c>
      <c r="CP111" s="36">
        <f>[1]contras!DI29</f>
        <v>0</v>
      </c>
      <c r="CQ111" s="36">
        <f>[1]contras!DJ29</f>
        <v>0</v>
      </c>
      <c r="CR111" s="36">
        <f>[1]contras!DK29</f>
        <v>2047500</v>
      </c>
      <c r="CS111" s="36">
        <f>[1]contras!DL29</f>
        <v>0</v>
      </c>
      <c r="CT111" s="39"/>
      <c r="CU111" s="39"/>
      <c r="CV111" s="39"/>
      <c r="CW111" s="21"/>
    </row>
    <row r="112" spans="4:101" x14ac:dyDescent="0.25">
      <c r="D112" s="35" t="str">
        <f>[1]Key!C$30</f>
        <v>PIGALLE</v>
      </c>
      <c r="E112" s="35" t="str">
        <f>[1]Key!D$30</f>
        <v>DTC</v>
      </c>
      <c r="F112" s="21"/>
      <c r="G112" s="21"/>
      <c r="H112" s="21"/>
      <c r="I112" s="21"/>
      <c r="J112" s="21"/>
      <c r="K112" s="21"/>
      <c r="L112" s="21"/>
      <c r="M112" s="21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36">
        <f>[1]contras!AS30</f>
        <v>0</v>
      </c>
      <c r="AA112" s="36">
        <f>[1]contras!AT30</f>
        <v>0</v>
      </c>
      <c r="AB112" s="36">
        <f>[1]contras!AU30</f>
        <v>0</v>
      </c>
      <c r="AC112" s="36">
        <f>[1]contras!AV30</f>
        <v>0</v>
      </c>
      <c r="AD112" s="36">
        <f>[1]contras!AW30</f>
        <v>0</v>
      </c>
      <c r="AE112" s="36">
        <f>[1]contras!AX30</f>
        <v>0</v>
      </c>
      <c r="AF112" s="36">
        <f>[1]contras!AY30</f>
        <v>0</v>
      </c>
      <c r="AG112" s="36">
        <f>[1]contras!AZ30</f>
        <v>0</v>
      </c>
      <c r="AH112" s="36">
        <f>[1]contras!BA30</f>
        <v>0</v>
      </c>
      <c r="AI112" s="36">
        <f>[1]contras!BB30</f>
        <v>0</v>
      </c>
      <c r="AJ112" s="36">
        <f>[1]contras!BC30</f>
        <v>0</v>
      </c>
      <c r="AK112" s="36">
        <f>[1]contras!BD30</f>
        <v>0</v>
      </c>
      <c r="AL112" s="36">
        <f>[1]contras!BE30</f>
        <v>0</v>
      </c>
      <c r="AM112" s="36">
        <f>[1]contras!BF30</f>
        <v>0</v>
      </c>
      <c r="AN112" s="36">
        <f>[1]contras!BG30</f>
        <v>0</v>
      </c>
      <c r="AO112" s="36">
        <f>[1]contras!BH30</f>
        <v>0</v>
      </c>
      <c r="AP112" s="36">
        <f>[1]contras!BI30</f>
        <v>108000</v>
      </c>
      <c r="AQ112" s="36">
        <f>[1]contras!BJ30</f>
        <v>0</v>
      </c>
      <c r="AR112" s="36">
        <f>[1]contras!BK30</f>
        <v>216000</v>
      </c>
      <c r="AS112" s="36">
        <f>[1]contras!BL30</f>
        <v>0</v>
      </c>
      <c r="AT112" s="36">
        <f>[1]contras!BM30</f>
        <v>0</v>
      </c>
      <c r="AU112" s="36">
        <f>[1]contras!BN30</f>
        <v>0</v>
      </c>
      <c r="AV112" s="36">
        <f>[1]contras!BO30</f>
        <v>324000</v>
      </c>
      <c r="AW112" s="36">
        <f>[1]contras!BP30</f>
        <v>0</v>
      </c>
      <c r="AX112" s="36">
        <f>[1]contras!BQ30</f>
        <v>0</v>
      </c>
      <c r="AY112" s="36">
        <f>[1]contras!BR30</f>
        <v>432000</v>
      </c>
      <c r="AZ112" s="36">
        <f>[1]contras!BS30</f>
        <v>0</v>
      </c>
      <c r="BA112" s="36">
        <f>[1]contras!BT30</f>
        <v>0</v>
      </c>
      <c r="BB112" s="36">
        <f>[1]contras!BU30</f>
        <v>432000</v>
      </c>
      <c r="BC112" s="36">
        <f>[1]contras!BV30</f>
        <v>0</v>
      </c>
      <c r="BD112" s="36">
        <f>[1]contras!BW30</f>
        <v>0</v>
      </c>
      <c r="BE112" s="36">
        <f>[1]contras!BX30</f>
        <v>432000</v>
      </c>
      <c r="BF112" s="36">
        <f>[1]contras!BY30</f>
        <v>0</v>
      </c>
      <c r="BG112" s="36">
        <f>[1]contras!BZ30</f>
        <v>0</v>
      </c>
      <c r="BH112" s="36">
        <f>[1]contras!CA30</f>
        <v>432000</v>
      </c>
      <c r="BI112" s="36">
        <f>[1]contras!CB30</f>
        <v>0</v>
      </c>
      <c r="BJ112" s="36">
        <f>[1]contras!CC30</f>
        <v>0</v>
      </c>
      <c r="BK112" s="36">
        <f>[1]contras!CD30</f>
        <v>864000</v>
      </c>
      <c r="BL112" s="36">
        <f>[1]contras!CE30</f>
        <v>0</v>
      </c>
      <c r="BM112" s="36">
        <f>[1]contras!CF30</f>
        <v>0</v>
      </c>
      <c r="BN112" s="36">
        <f>[1]contras!CG30</f>
        <v>864000</v>
      </c>
      <c r="BO112" s="36">
        <f>[1]contras!CH30</f>
        <v>0</v>
      </c>
      <c r="BP112" s="36">
        <f>[1]contras!CI30</f>
        <v>0</v>
      </c>
      <c r="BQ112" s="36">
        <f>[1]contras!CJ30</f>
        <v>864000</v>
      </c>
      <c r="BR112" s="36">
        <f>[1]contras!CK30</f>
        <v>0</v>
      </c>
      <c r="BS112" s="36">
        <f>[1]contras!CL30</f>
        <v>0</v>
      </c>
      <c r="BT112" s="36">
        <f>[1]contras!CM30</f>
        <v>864000</v>
      </c>
      <c r="BU112" s="36">
        <f>[1]contras!CN30</f>
        <v>0</v>
      </c>
      <c r="BV112" s="36">
        <f>[1]contras!CO30</f>
        <v>0</v>
      </c>
      <c r="BW112" s="36">
        <f>[1]contras!CP30</f>
        <v>1296000</v>
      </c>
      <c r="BX112" s="36">
        <f>[1]contras!CQ30</f>
        <v>0</v>
      </c>
      <c r="BY112" s="36">
        <f>[1]contras!CR30</f>
        <v>0</v>
      </c>
      <c r="BZ112" s="36">
        <f>[1]contras!CS30</f>
        <v>1296000</v>
      </c>
      <c r="CA112" s="36">
        <f>[1]contras!CT30</f>
        <v>0</v>
      </c>
      <c r="CB112" s="36">
        <f>[1]contras!CU30</f>
        <v>0</v>
      </c>
      <c r="CC112" s="36">
        <f>[1]contras!CV30</f>
        <v>1296000</v>
      </c>
      <c r="CD112" s="36">
        <f>[1]contras!CW30</f>
        <v>0</v>
      </c>
      <c r="CE112" s="36">
        <f>[1]contras!CX30</f>
        <v>0</v>
      </c>
      <c r="CF112" s="36">
        <f>[1]contras!CY30</f>
        <v>1296000</v>
      </c>
      <c r="CG112" s="36">
        <f>[1]contras!CZ30</f>
        <v>0</v>
      </c>
      <c r="CH112" s="36">
        <f>[1]contras!DA30</f>
        <v>0</v>
      </c>
      <c r="CI112" s="36">
        <f>[1]contras!DB30</f>
        <v>1684800</v>
      </c>
      <c r="CJ112" s="36">
        <f>[1]contras!DC30</f>
        <v>0</v>
      </c>
      <c r="CK112" s="36">
        <f>[1]contras!DD30</f>
        <v>0</v>
      </c>
      <c r="CL112" s="36">
        <f>[1]contras!DE30</f>
        <v>1684800</v>
      </c>
      <c r="CM112" s="36">
        <f>[1]contras!DF30</f>
        <v>0</v>
      </c>
      <c r="CN112" s="36">
        <f>[1]contras!DG30</f>
        <v>0</v>
      </c>
      <c r="CO112" s="36">
        <f>[1]contras!DH30</f>
        <v>1684800</v>
      </c>
      <c r="CP112" s="36">
        <f>[1]contras!DI30</f>
        <v>0</v>
      </c>
      <c r="CQ112" s="36">
        <f>[1]contras!DJ30</f>
        <v>0</v>
      </c>
      <c r="CR112" s="36">
        <f>[1]contras!DK30</f>
        <v>1684800</v>
      </c>
      <c r="CS112" s="36">
        <f>[1]contras!DL30</f>
        <v>0</v>
      </c>
      <c r="CT112" s="39"/>
      <c r="CU112" s="39"/>
      <c r="CV112" s="39"/>
      <c r="CW112" s="21"/>
    </row>
    <row r="113" spans="3:101" x14ac:dyDescent="0.25">
      <c r="D113" s="35" t="str">
        <f>[1]Key!C$31</f>
        <v>SPORT PLACEHOLDER</v>
      </c>
      <c r="E113" s="35" t="str">
        <f>[1]Key!D$31</f>
        <v>DTC</v>
      </c>
      <c r="F113" s="21"/>
      <c r="G113" s="21"/>
      <c r="H113" s="21"/>
      <c r="I113" s="21"/>
      <c r="J113" s="21"/>
      <c r="K113" s="21"/>
      <c r="L113" s="21"/>
      <c r="M113" s="21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36">
        <f>[1]contras!AS31</f>
        <v>0</v>
      </c>
      <c r="AA113" s="36">
        <f>[1]contras!AT31</f>
        <v>0</v>
      </c>
      <c r="AB113" s="36">
        <f>[1]contras!AU31</f>
        <v>0</v>
      </c>
      <c r="AC113" s="36">
        <f>[1]contras!AV31</f>
        <v>0</v>
      </c>
      <c r="AD113" s="36">
        <f>[1]contras!AW31</f>
        <v>0</v>
      </c>
      <c r="AE113" s="36">
        <f>[1]contras!AX31</f>
        <v>0</v>
      </c>
      <c r="AF113" s="36">
        <f>[1]contras!AY31</f>
        <v>0</v>
      </c>
      <c r="AG113" s="36">
        <f>[1]contras!AZ31</f>
        <v>0</v>
      </c>
      <c r="AH113" s="36">
        <f>[1]contras!BA31</f>
        <v>0</v>
      </c>
      <c r="AI113" s="36">
        <f>[1]contras!BB31</f>
        <v>0</v>
      </c>
      <c r="AJ113" s="36">
        <f>[1]contras!BC31</f>
        <v>0</v>
      </c>
      <c r="AK113" s="36">
        <f>[1]contras!BD31</f>
        <v>0</v>
      </c>
      <c r="AL113" s="36">
        <f>[1]contras!BE31</f>
        <v>0</v>
      </c>
      <c r="AM113" s="36">
        <f>[1]contras!BF31</f>
        <v>0</v>
      </c>
      <c r="AN113" s="36">
        <f>[1]contras!BG31</f>
        <v>0</v>
      </c>
      <c r="AO113" s="36">
        <f>[1]contras!BH31</f>
        <v>0</v>
      </c>
      <c r="AP113" s="36">
        <f>[1]contras!BI31</f>
        <v>0</v>
      </c>
      <c r="AQ113" s="36">
        <f>[1]contras!BJ31</f>
        <v>0</v>
      </c>
      <c r="AR113" s="36">
        <f>[1]contras!BK31</f>
        <v>0</v>
      </c>
      <c r="AS113" s="36">
        <f>[1]contras!BL31</f>
        <v>0</v>
      </c>
      <c r="AT113" s="36">
        <f>[1]contras!BM31</f>
        <v>0</v>
      </c>
      <c r="AU113" s="36">
        <f>[1]contras!BN31</f>
        <v>0</v>
      </c>
      <c r="AV113" s="36">
        <f>[1]contras!BO31</f>
        <v>0</v>
      </c>
      <c r="AW113" s="36">
        <f>[1]contras!BP31</f>
        <v>0</v>
      </c>
      <c r="AX113" s="36">
        <f>[1]contras!BQ31</f>
        <v>780000</v>
      </c>
      <c r="AY113" s="36">
        <f>[1]contras!BR31</f>
        <v>0</v>
      </c>
      <c r="AZ113" s="36">
        <f>[1]contras!BS31</f>
        <v>0</v>
      </c>
      <c r="BA113" s="36">
        <f>[1]contras!BT31</f>
        <v>0</v>
      </c>
      <c r="BB113" s="36">
        <f>[1]contras!BU31</f>
        <v>0</v>
      </c>
      <c r="BC113" s="36">
        <f>[1]contras!BV31</f>
        <v>0</v>
      </c>
      <c r="BD113" s="36">
        <f>[1]contras!BW31</f>
        <v>1560000</v>
      </c>
      <c r="BE113" s="36">
        <f>[1]contras!BX31</f>
        <v>0</v>
      </c>
      <c r="BF113" s="36">
        <f>[1]contras!BY31</f>
        <v>0</v>
      </c>
      <c r="BG113" s="36">
        <f>[1]contras!BZ31</f>
        <v>0</v>
      </c>
      <c r="BH113" s="36">
        <f>[1]contras!CA31</f>
        <v>0</v>
      </c>
      <c r="BI113" s="36">
        <f>[1]contras!CB31</f>
        <v>0</v>
      </c>
      <c r="BJ113" s="36">
        <f>[1]contras!CC31</f>
        <v>2340000</v>
      </c>
      <c r="BK113" s="36">
        <f>[1]contras!CD31</f>
        <v>0</v>
      </c>
      <c r="BL113" s="36">
        <f>[1]contras!CE31</f>
        <v>0</v>
      </c>
      <c r="BM113" s="36">
        <f>[1]contras!CF31</f>
        <v>0</v>
      </c>
      <c r="BN113" s="36">
        <f>[1]contras!CG31</f>
        <v>0</v>
      </c>
      <c r="BO113" s="36">
        <f>[1]contras!CH31</f>
        <v>0</v>
      </c>
      <c r="BP113" s="36">
        <f>[1]contras!CI31</f>
        <v>4680000</v>
      </c>
      <c r="BQ113" s="36">
        <f>[1]contras!CJ31</f>
        <v>0</v>
      </c>
      <c r="BR113" s="36">
        <f>[1]contras!CK31</f>
        <v>0</v>
      </c>
      <c r="BS113" s="36">
        <f>[1]contras!CL31</f>
        <v>0</v>
      </c>
      <c r="BT113" s="36">
        <f>[1]contras!CM31</f>
        <v>0</v>
      </c>
      <c r="BU113" s="36">
        <f>[1]contras!CN31</f>
        <v>0</v>
      </c>
      <c r="BV113" s="36">
        <f>[1]contras!CO31</f>
        <v>7020000</v>
      </c>
      <c r="BW113" s="36">
        <f>[1]contras!CP31</f>
        <v>0</v>
      </c>
      <c r="BX113" s="36">
        <f>[1]contras!CQ31</f>
        <v>0</v>
      </c>
      <c r="BY113" s="36">
        <f>[1]contras!CR31</f>
        <v>0</v>
      </c>
      <c r="BZ113" s="36">
        <f>[1]contras!CS31</f>
        <v>0</v>
      </c>
      <c r="CA113" s="36">
        <f>[1]contras!CT31</f>
        <v>0</v>
      </c>
      <c r="CB113" s="36">
        <f>[1]contras!CU31</f>
        <v>14040000</v>
      </c>
      <c r="CC113" s="36">
        <f>[1]contras!CV31</f>
        <v>0</v>
      </c>
      <c r="CD113" s="36">
        <f>[1]contras!CW31</f>
        <v>0</v>
      </c>
      <c r="CE113" s="36">
        <f>[1]contras!CX31</f>
        <v>0</v>
      </c>
      <c r="CF113" s="36">
        <f>[1]contras!CY31</f>
        <v>0</v>
      </c>
      <c r="CG113" s="36">
        <f>[1]contras!CZ31</f>
        <v>0</v>
      </c>
      <c r="CH113" s="36">
        <f>[1]contras!DA31</f>
        <v>17550000</v>
      </c>
      <c r="CI113" s="36">
        <f>[1]contras!DB31</f>
        <v>0</v>
      </c>
      <c r="CJ113" s="36">
        <f>[1]contras!DC31</f>
        <v>0</v>
      </c>
      <c r="CK113" s="36">
        <f>[1]contras!DD31</f>
        <v>0</v>
      </c>
      <c r="CL113" s="36">
        <f>[1]contras!DE31</f>
        <v>0</v>
      </c>
      <c r="CM113" s="36">
        <f>[1]contras!DF31</f>
        <v>0</v>
      </c>
      <c r="CN113" s="36">
        <f>[1]contras!DG31</f>
        <v>35100000</v>
      </c>
      <c r="CO113" s="36">
        <f>[1]contras!DH31</f>
        <v>0</v>
      </c>
      <c r="CP113" s="36">
        <f>[1]contras!DI31</f>
        <v>0</v>
      </c>
      <c r="CQ113" s="36">
        <f>[1]contras!DJ31</f>
        <v>0</v>
      </c>
      <c r="CR113" s="36">
        <f>[1]contras!DK31</f>
        <v>0</v>
      </c>
      <c r="CS113" s="36">
        <f>[1]contras!DL31</f>
        <v>0</v>
      </c>
      <c r="CT113" s="39"/>
      <c r="CU113" s="39"/>
      <c r="CV113" s="39"/>
      <c r="CW113" s="21"/>
    </row>
    <row r="114" spans="3:101" x14ac:dyDescent="0.25">
      <c r="D114" s="35" t="str">
        <f>[1]Key!C$32</f>
        <v>SPUNGE</v>
      </c>
      <c r="E114" s="35" t="str">
        <f>[1]Key!D$32</f>
        <v>DTC</v>
      </c>
      <c r="F114" s="21"/>
      <c r="G114" s="21"/>
      <c r="H114" s="21"/>
      <c r="I114" s="21"/>
      <c r="J114" s="21"/>
      <c r="K114" s="21"/>
      <c r="L114" s="21"/>
      <c r="M114" s="21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36">
        <f>[1]contras!AS32</f>
        <v>0</v>
      </c>
      <c r="AA114" s="36">
        <f>[1]contras!AT32</f>
        <v>0</v>
      </c>
      <c r="AB114" s="36">
        <f>[1]contras!AU32</f>
        <v>0</v>
      </c>
      <c r="AC114" s="36">
        <f>[1]contras!AV32</f>
        <v>0</v>
      </c>
      <c r="AD114" s="36">
        <f>[1]contras!AW32</f>
        <v>0</v>
      </c>
      <c r="AE114" s="36">
        <f>[1]contras!AX32</f>
        <v>0</v>
      </c>
      <c r="AF114" s="36">
        <f>[1]contras!AY32</f>
        <v>0</v>
      </c>
      <c r="AG114" s="36">
        <f>[1]contras!AZ32</f>
        <v>0</v>
      </c>
      <c r="AH114" s="36">
        <f>[1]contras!BA32</f>
        <v>0</v>
      </c>
      <c r="AI114" s="36">
        <f>[1]contras!BB32</f>
        <v>0</v>
      </c>
      <c r="AJ114" s="36">
        <f>[1]contras!BC32</f>
        <v>0</v>
      </c>
      <c r="AK114" s="36">
        <f>[1]contras!BD32</f>
        <v>0</v>
      </c>
      <c r="AL114" s="36">
        <f>[1]contras!BE32</f>
        <v>0</v>
      </c>
      <c r="AM114" s="36">
        <f>[1]contras!BF32</f>
        <v>0</v>
      </c>
      <c r="AN114" s="36">
        <f>[1]contras!BG32</f>
        <v>0</v>
      </c>
      <c r="AO114" s="36">
        <f>[1]contras!BH32</f>
        <v>0</v>
      </c>
      <c r="AP114" s="36">
        <f>[1]contras!BI32</f>
        <v>0</v>
      </c>
      <c r="AQ114" s="36">
        <f>[1]contras!BJ32</f>
        <v>0</v>
      </c>
      <c r="AR114" s="36">
        <f>[1]contras!BK32</f>
        <v>0</v>
      </c>
      <c r="AS114" s="36">
        <f>[1]contras!BL32</f>
        <v>0</v>
      </c>
      <c r="AT114" s="36">
        <f>[1]contras!BM32</f>
        <v>216000</v>
      </c>
      <c r="AU114" s="36">
        <f>[1]contras!BN32</f>
        <v>0</v>
      </c>
      <c r="AV114" s="36">
        <f>[1]contras!BO32</f>
        <v>162000</v>
      </c>
      <c r="AW114" s="36">
        <f>[1]contras!BP32</f>
        <v>405000</v>
      </c>
      <c r="AX114" s="36">
        <f>[1]contras!BQ32</f>
        <v>0</v>
      </c>
      <c r="AY114" s="36">
        <f>[1]contras!BR32</f>
        <v>993600</v>
      </c>
      <c r="AZ114" s="36">
        <f>[1]contras!BS32</f>
        <v>0</v>
      </c>
      <c r="BA114" s="36">
        <f>[1]contras!BT32</f>
        <v>0</v>
      </c>
      <c r="BB114" s="36">
        <f>[1]contras!BU32</f>
        <v>1123200</v>
      </c>
      <c r="BC114" s="36">
        <f>[1]contras!BV32</f>
        <v>0</v>
      </c>
      <c r="BD114" s="36">
        <f>[1]contras!BW32</f>
        <v>1296000</v>
      </c>
      <c r="BE114" s="36">
        <f>[1]contras!BX32</f>
        <v>0</v>
      </c>
      <c r="BF114" s="36">
        <f>[1]contras!BY32</f>
        <v>129600</v>
      </c>
      <c r="BG114" s="36">
        <f>[1]contras!BZ32</f>
        <v>0</v>
      </c>
      <c r="BH114" s="36">
        <f>[1]contras!CA32</f>
        <v>1728000</v>
      </c>
      <c r="BI114" s="36">
        <f>[1]contras!CB32</f>
        <v>324000</v>
      </c>
      <c r="BJ114" s="36">
        <f>[1]contras!CC32</f>
        <v>0</v>
      </c>
      <c r="BK114" s="36">
        <f>[1]contras!CD32</f>
        <v>2980800</v>
      </c>
      <c r="BL114" s="36">
        <f>[1]contras!CE32</f>
        <v>0</v>
      </c>
      <c r="BM114" s="36">
        <f>[1]contras!CF32</f>
        <v>0</v>
      </c>
      <c r="BN114" s="36">
        <f>[1]contras!CG32</f>
        <v>3369600</v>
      </c>
      <c r="BO114" s="36">
        <f>[1]contras!CH32</f>
        <v>0</v>
      </c>
      <c r="BP114" s="36">
        <f>[1]contras!CI32</f>
        <v>3888000</v>
      </c>
      <c r="BQ114" s="36">
        <f>[1]contras!CJ32</f>
        <v>0</v>
      </c>
      <c r="BR114" s="36">
        <f>[1]contras!CK32</f>
        <v>388800</v>
      </c>
      <c r="BS114" s="36">
        <f>[1]contras!CL32</f>
        <v>0</v>
      </c>
      <c r="BT114" s="36">
        <f>[1]contras!CM32</f>
        <v>5184000</v>
      </c>
      <c r="BU114" s="36">
        <f>[1]contras!CN32</f>
        <v>972000</v>
      </c>
      <c r="BV114" s="36">
        <f>[1]contras!CO32</f>
        <v>0</v>
      </c>
      <c r="BW114" s="36">
        <f>[1]contras!CP32</f>
        <v>7452000</v>
      </c>
      <c r="BX114" s="36">
        <f>[1]contras!CQ32</f>
        <v>0</v>
      </c>
      <c r="BY114" s="36">
        <f>[1]contras!CR32</f>
        <v>0</v>
      </c>
      <c r="BZ114" s="36">
        <f>[1]contras!CS32</f>
        <v>8424000</v>
      </c>
      <c r="CA114" s="36">
        <f>[1]contras!CT32</f>
        <v>0</v>
      </c>
      <c r="CB114" s="36">
        <f>[1]contras!CU32</f>
        <v>9720000</v>
      </c>
      <c r="CC114" s="36">
        <f>[1]contras!CV32</f>
        <v>0</v>
      </c>
      <c r="CD114" s="36">
        <f>[1]contras!CW32</f>
        <v>972000</v>
      </c>
      <c r="CE114" s="36">
        <f>[1]contras!CX32</f>
        <v>0</v>
      </c>
      <c r="CF114" s="36">
        <f>[1]contras!CY32</f>
        <v>12960000</v>
      </c>
      <c r="CG114" s="36">
        <f>[1]contras!CZ32</f>
        <v>2430000</v>
      </c>
      <c r="CH114" s="36">
        <f>[1]contras!DA32</f>
        <v>0</v>
      </c>
      <c r="CI114" s="36">
        <f>[1]contras!DB32</f>
        <v>13041000</v>
      </c>
      <c r="CJ114" s="36">
        <f>[1]contras!DC32</f>
        <v>0</v>
      </c>
      <c r="CK114" s="36">
        <f>[1]contras!DD32</f>
        <v>0</v>
      </c>
      <c r="CL114" s="36">
        <f>[1]contras!DE32</f>
        <v>14742000</v>
      </c>
      <c r="CM114" s="36">
        <f>[1]contras!DF32</f>
        <v>0</v>
      </c>
      <c r="CN114" s="36">
        <f>[1]contras!DG32</f>
        <v>17010000</v>
      </c>
      <c r="CO114" s="36">
        <f>[1]contras!DH32</f>
        <v>0</v>
      </c>
      <c r="CP114" s="36">
        <f>[1]contras!DI32</f>
        <v>1701000</v>
      </c>
      <c r="CQ114" s="36">
        <f>[1]contras!DJ32</f>
        <v>0</v>
      </c>
      <c r="CR114" s="36">
        <f>[1]contras!DK32</f>
        <v>22680000</v>
      </c>
      <c r="CS114" s="36">
        <f>[1]contras!DL32</f>
        <v>4252500</v>
      </c>
      <c r="CT114" s="39"/>
      <c r="CU114" s="39"/>
      <c r="CV114" s="39"/>
      <c r="CW114" s="21"/>
    </row>
    <row r="115" spans="3:101" x14ac:dyDescent="0.25">
      <c r="D115" s="35" t="str">
        <f>[1]Key!C$33</f>
        <v>SUNFLOWER</v>
      </c>
      <c r="E115" s="35" t="str">
        <f>[1]Key!D$33</f>
        <v>DTC</v>
      </c>
      <c r="F115" s="21"/>
      <c r="G115" s="21"/>
      <c r="H115" s="21"/>
      <c r="I115" s="21"/>
      <c r="J115" s="21"/>
      <c r="K115" s="21"/>
      <c r="L115" s="21"/>
      <c r="M115" s="21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36">
        <f>[1]contras!AS33</f>
        <v>0</v>
      </c>
      <c r="AA115" s="36">
        <f>[1]contras!AT33</f>
        <v>0</v>
      </c>
      <c r="AB115" s="36">
        <f>[1]contras!AU33</f>
        <v>0</v>
      </c>
      <c r="AC115" s="36">
        <f>[1]contras!AV33</f>
        <v>0</v>
      </c>
      <c r="AD115" s="36">
        <f>[1]contras!AW33</f>
        <v>0</v>
      </c>
      <c r="AE115" s="36">
        <f>[1]contras!AX33</f>
        <v>0</v>
      </c>
      <c r="AF115" s="36">
        <f>[1]contras!AY33</f>
        <v>0</v>
      </c>
      <c r="AG115" s="36">
        <f>[1]contras!AZ33</f>
        <v>0</v>
      </c>
      <c r="AH115" s="36">
        <f>[1]contras!BA33</f>
        <v>0</v>
      </c>
      <c r="AI115" s="36">
        <f>[1]contras!BB33</f>
        <v>0</v>
      </c>
      <c r="AJ115" s="36">
        <f>[1]contras!BC33</f>
        <v>0</v>
      </c>
      <c r="AK115" s="36">
        <f>[1]contras!BD33</f>
        <v>0</v>
      </c>
      <c r="AL115" s="36">
        <f>[1]contras!BE33</f>
        <v>0</v>
      </c>
      <c r="AM115" s="36">
        <f>[1]contras!BF33</f>
        <v>0</v>
      </c>
      <c r="AN115" s="36">
        <f>[1]contras!BG33</f>
        <v>0</v>
      </c>
      <c r="AO115" s="36">
        <f>[1]contras!BH33</f>
        <v>0</v>
      </c>
      <c r="AP115" s="36">
        <f>[1]contras!BI33</f>
        <v>0</v>
      </c>
      <c r="AQ115" s="36">
        <f>[1]contras!BJ33</f>
        <v>0</v>
      </c>
      <c r="AR115" s="36">
        <f>[1]contras!BK33</f>
        <v>0</v>
      </c>
      <c r="AS115" s="36">
        <f>[1]contras!BL33</f>
        <v>0</v>
      </c>
      <c r="AT115" s="36">
        <f>[1]contras!BM33</f>
        <v>0</v>
      </c>
      <c r="AU115" s="36">
        <f>[1]contras!BN33</f>
        <v>0</v>
      </c>
      <c r="AV115" s="36">
        <f>[1]contras!BO33</f>
        <v>0</v>
      </c>
      <c r="AW115" s="36">
        <f>[1]contras!BP33</f>
        <v>0</v>
      </c>
      <c r="AX115" s="36">
        <f>[1]contras!BQ33</f>
        <v>0</v>
      </c>
      <c r="AY115" s="36">
        <f>[1]contras!BR33</f>
        <v>0</v>
      </c>
      <c r="AZ115" s="36">
        <f>[1]contras!BS33</f>
        <v>0</v>
      </c>
      <c r="BA115" s="36">
        <f>[1]contras!BT33</f>
        <v>0</v>
      </c>
      <c r="BB115" s="36">
        <f>[1]contras!BU33</f>
        <v>0</v>
      </c>
      <c r="BC115" s="36">
        <f>[1]contras!BV33</f>
        <v>0</v>
      </c>
      <c r="BD115" s="36">
        <f>[1]contras!BW33</f>
        <v>0</v>
      </c>
      <c r="BE115" s="36">
        <f>[1]contras!BX33</f>
        <v>0</v>
      </c>
      <c r="BF115" s="36">
        <f>[1]contras!BY33</f>
        <v>0</v>
      </c>
      <c r="BG115" s="36">
        <f>[1]contras!BZ33</f>
        <v>0</v>
      </c>
      <c r="BH115" s="36">
        <f>[1]contras!CA33</f>
        <v>0</v>
      </c>
      <c r="BI115" s="36">
        <f>[1]contras!CB33</f>
        <v>0</v>
      </c>
      <c r="BJ115" s="36">
        <f>[1]contras!CC33</f>
        <v>0</v>
      </c>
      <c r="BK115" s="36">
        <f>[1]contras!CD33</f>
        <v>0</v>
      </c>
      <c r="BL115" s="36">
        <f>[1]contras!CE33</f>
        <v>0</v>
      </c>
      <c r="BM115" s="36">
        <f>[1]contras!CF33</f>
        <v>0</v>
      </c>
      <c r="BN115" s="36">
        <f>[1]contras!CG33</f>
        <v>0</v>
      </c>
      <c r="BO115" s="36">
        <f>[1]contras!CH33</f>
        <v>0</v>
      </c>
      <c r="BP115" s="36">
        <f>[1]contras!CI33</f>
        <v>0</v>
      </c>
      <c r="BQ115" s="36">
        <f>[1]contras!CJ33</f>
        <v>0</v>
      </c>
      <c r="BR115" s="36">
        <f>[1]contras!CK33</f>
        <v>0</v>
      </c>
      <c r="BS115" s="36">
        <f>[1]contras!CL33</f>
        <v>0</v>
      </c>
      <c r="BT115" s="36">
        <f>[1]contras!CM33</f>
        <v>0</v>
      </c>
      <c r="BU115" s="36">
        <f>[1]contras!CN33</f>
        <v>0</v>
      </c>
      <c r="BV115" s="36">
        <f>[1]contras!CO33</f>
        <v>0</v>
      </c>
      <c r="BW115" s="36">
        <f>[1]contras!CP33</f>
        <v>0</v>
      </c>
      <c r="BX115" s="36">
        <f>[1]contras!CQ33</f>
        <v>0</v>
      </c>
      <c r="BY115" s="36">
        <f>[1]contras!CR33</f>
        <v>0</v>
      </c>
      <c r="BZ115" s="36">
        <f>[1]contras!CS33</f>
        <v>0</v>
      </c>
      <c r="CA115" s="36">
        <f>[1]contras!CT33</f>
        <v>0</v>
      </c>
      <c r="CB115" s="36">
        <f>[1]contras!CU33</f>
        <v>0</v>
      </c>
      <c r="CC115" s="36">
        <f>[1]contras!CV33</f>
        <v>0</v>
      </c>
      <c r="CD115" s="36">
        <f>[1]contras!CW33</f>
        <v>0</v>
      </c>
      <c r="CE115" s="36">
        <f>[1]contras!CX33</f>
        <v>0</v>
      </c>
      <c r="CF115" s="36">
        <f>[1]contras!CY33</f>
        <v>0</v>
      </c>
      <c r="CG115" s="36">
        <f>[1]contras!CZ33</f>
        <v>0</v>
      </c>
      <c r="CH115" s="36">
        <f>[1]contras!DA33</f>
        <v>0</v>
      </c>
      <c r="CI115" s="36">
        <f>[1]contras!DB33</f>
        <v>0</v>
      </c>
      <c r="CJ115" s="36">
        <f>[1]contras!DC33</f>
        <v>0</v>
      </c>
      <c r="CK115" s="36">
        <f>[1]contras!DD33</f>
        <v>0</v>
      </c>
      <c r="CL115" s="36">
        <f>[1]contras!DE33</f>
        <v>0</v>
      </c>
      <c r="CM115" s="36">
        <f>[1]contras!DF33</f>
        <v>0</v>
      </c>
      <c r="CN115" s="36">
        <f>[1]contras!DG33</f>
        <v>0</v>
      </c>
      <c r="CO115" s="36">
        <f>[1]contras!DH33</f>
        <v>0</v>
      </c>
      <c r="CP115" s="36">
        <f>[1]contras!DI33</f>
        <v>0</v>
      </c>
      <c r="CQ115" s="36">
        <f>[1]contras!DJ33</f>
        <v>0</v>
      </c>
      <c r="CR115" s="36">
        <f>[1]contras!DK33</f>
        <v>0</v>
      </c>
      <c r="CS115" s="36">
        <f>[1]contras!DL33</f>
        <v>0</v>
      </c>
      <c r="CT115" s="39"/>
      <c r="CU115" s="39"/>
      <c r="CV115" s="39"/>
      <c r="CW115" s="21"/>
    </row>
    <row r="116" spans="3:101" x14ac:dyDescent="0.25">
      <c r="D116" s="35" t="str">
        <f>[1]Key!C$34</f>
        <v>Corporate</v>
      </c>
      <c r="E116" s="35" t="str">
        <f>[1]Key!D$34</f>
        <v>N/A</v>
      </c>
      <c r="F116" s="21"/>
      <c r="G116" s="21"/>
      <c r="H116" s="21"/>
      <c r="I116" s="21"/>
      <c r="J116" s="21"/>
      <c r="K116" s="21"/>
      <c r="L116" s="21"/>
      <c r="M116" s="21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39"/>
      <c r="CU116" s="39"/>
      <c r="CV116" s="39"/>
      <c r="CW116" s="21"/>
    </row>
    <row r="117" spans="3:101" x14ac:dyDescent="0.25">
      <c r="D117" s="35" t="str">
        <f>[1]Key!C$35</f>
        <v>Other Revenue</v>
      </c>
      <c r="E117" s="35" t="str">
        <f>[1]Key!D$35</f>
        <v>N/A</v>
      </c>
      <c r="F117" s="21"/>
      <c r="G117" s="21"/>
      <c r="H117" s="21"/>
      <c r="I117" s="21"/>
      <c r="J117" s="21"/>
      <c r="K117" s="21"/>
      <c r="L117" s="21"/>
      <c r="M117" s="21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13">
        <f>[1]RevSumm!AS$5</f>
        <v>42000</v>
      </c>
      <c r="AA117" s="113">
        <f>[1]RevSumm!AT$5</f>
        <v>42000</v>
      </c>
      <c r="AB117" s="113">
        <f>[1]RevSumm!AU$5</f>
        <v>42000</v>
      </c>
      <c r="AC117" s="113">
        <f>[1]RevSumm!AV$5</f>
        <v>42000</v>
      </c>
      <c r="AD117" s="113">
        <f>[1]RevSumm!AW$5</f>
        <v>42000</v>
      </c>
      <c r="AE117" s="113">
        <f>[1]RevSumm!AX$5</f>
        <v>42000</v>
      </c>
      <c r="AF117" s="113">
        <f>[1]RevSumm!AY$5</f>
        <v>42000</v>
      </c>
      <c r="AG117" s="113">
        <f>[1]RevSumm!AZ$5</f>
        <v>42000</v>
      </c>
      <c r="AH117" s="113">
        <f>[1]RevSumm!BA$5</f>
        <v>42000</v>
      </c>
      <c r="AI117" s="113">
        <f>[1]RevSumm!BB$5</f>
        <v>42000</v>
      </c>
      <c r="AJ117" s="113">
        <f>[1]RevSumm!BC$5</f>
        <v>42000</v>
      </c>
      <c r="AK117" s="113">
        <f>[1]RevSumm!BD$5</f>
        <v>42000</v>
      </c>
      <c r="AL117" s="113">
        <f>[1]RevSumm!BE$5</f>
        <v>0</v>
      </c>
      <c r="AM117" s="113">
        <f>[1]RevSumm!BF$5</f>
        <v>0</v>
      </c>
      <c r="AN117" s="113">
        <f>[1]RevSumm!BG$5</f>
        <v>0</v>
      </c>
      <c r="AO117" s="113">
        <f>[1]RevSumm!BH$5</f>
        <v>0</v>
      </c>
      <c r="AP117" s="113">
        <f>[1]RevSumm!BI$5</f>
        <v>0</v>
      </c>
      <c r="AQ117" s="113">
        <f>[1]RevSumm!BJ$5</f>
        <v>0</v>
      </c>
      <c r="AR117" s="113">
        <f>[1]RevSumm!BK$5</f>
        <v>0</v>
      </c>
      <c r="AS117" s="113">
        <f>[1]RevSumm!BL$5</f>
        <v>0</v>
      </c>
      <c r="AT117" s="113">
        <f>[1]RevSumm!BM$5</f>
        <v>0</v>
      </c>
      <c r="AU117" s="113">
        <f>[1]RevSumm!BN$5</f>
        <v>0</v>
      </c>
      <c r="AV117" s="113">
        <f>[1]RevSumm!BO$5</f>
        <v>0</v>
      </c>
      <c r="AW117" s="113">
        <f>[1]RevSumm!BP$5</f>
        <v>0</v>
      </c>
      <c r="AX117" s="113">
        <f>[1]RevSumm!BQ$5</f>
        <v>0</v>
      </c>
      <c r="AY117" s="113">
        <f>[1]RevSumm!BR$5</f>
        <v>0</v>
      </c>
      <c r="AZ117" s="113">
        <f>[1]RevSumm!BS$5</f>
        <v>0</v>
      </c>
      <c r="BA117" s="113">
        <f>[1]RevSumm!BT$5</f>
        <v>0</v>
      </c>
      <c r="BB117" s="113">
        <f>[1]RevSumm!BU$5</f>
        <v>0</v>
      </c>
      <c r="BC117" s="113">
        <f>[1]RevSumm!BV$5</f>
        <v>0</v>
      </c>
      <c r="BD117" s="113">
        <f>[1]RevSumm!BW$5</f>
        <v>0</v>
      </c>
      <c r="BE117" s="113">
        <f>[1]RevSumm!BX$5</f>
        <v>0</v>
      </c>
      <c r="BF117" s="113">
        <f>[1]RevSumm!BY$5</f>
        <v>0</v>
      </c>
      <c r="BG117" s="113">
        <f>[1]RevSumm!BZ$5</f>
        <v>0</v>
      </c>
      <c r="BH117" s="113">
        <f>[1]RevSumm!CA$5</f>
        <v>0</v>
      </c>
      <c r="BI117" s="113">
        <f>[1]RevSumm!CB$5</f>
        <v>0</v>
      </c>
      <c r="BJ117" s="113">
        <f>[1]RevSumm!CC$5</f>
        <v>0</v>
      </c>
      <c r="BK117" s="113">
        <f>[1]RevSumm!CD$5</f>
        <v>0</v>
      </c>
      <c r="BL117" s="113">
        <f>[1]RevSumm!CE$5</f>
        <v>0</v>
      </c>
      <c r="BM117" s="113">
        <f>[1]RevSumm!CF$5</f>
        <v>0</v>
      </c>
      <c r="BN117" s="113">
        <f>[1]RevSumm!CG$5</f>
        <v>0</v>
      </c>
      <c r="BO117" s="113">
        <f>[1]RevSumm!CH$5</f>
        <v>0</v>
      </c>
      <c r="BP117" s="113">
        <f>[1]RevSumm!CI$5</f>
        <v>0</v>
      </c>
      <c r="BQ117" s="113">
        <f>[1]RevSumm!CJ$5</f>
        <v>0</v>
      </c>
      <c r="BR117" s="113">
        <f>[1]RevSumm!CK$5</f>
        <v>0</v>
      </c>
      <c r="BS117" s="113">
        <f>[1]RevSumm!CL$5</f>
        <v>0</v>
      </c>
      <c r="BT117" s="113">
        <f>[1]RevSumm!CM$5</f>
        <v>0</v>
      </c>
      <c r="BU117" s="113">
        <f>[1]RevSumm!CN$5</f>
        <v>0</v>
      </c>
      <c r="BV117" s="113">
        <f>[1]RevSumm!CO$5</f>
        <v>0</v>
      </c>
      <c r="BW117" s="113">
        <f>[1]RevSumm!CP$5</f>
        <v>0</v>
      </c>
      <c r="BX117" s="113">
        <f>[1]RevSumm!CQ$5</f>
        <v>0</v>
      </c>
      <c r="BY117" s="113">
        <f>[1]RevSumm!CR$5</f>
        <v>0</v>
      </c>
      <c r="BZ117" s="113">
        <f>[1]RevSumm!CS$5</f>
        <v>0</v>
      </c>
      <c r="CA117" s="113">
        <f>[1]RevSumm!CT$5</f>
        <v>0</v>
      </c>
      <c r="CB117" s="113">
        <f>[1]RevSumm!CU$5</f>
        <v>0</v>
      </c>
      <c r="CC117" s="113">
        <f>[1]RevSumm!CV$5</f>
        <v>0</v>
      </c>
      <c r="CD117" s="113">
        <f>[1]RevSumm!CW$5</f>
        <v>0</v>
      </c>
      <c r="CE117" s="113">
        <f>[1]RevSumm!CX$5</f>
        <v>0</v>
      </c>
      <c r="CF117" s="113">
        <f>[1]RevSumm!CY$5</f>
        <v>0</v>
      </c>
      <c r="CG117" s="113">
        <f>[1]RevSumm!CZ$5</f>
        <v>0</v>
      </c>
      <c r="CH117" s="113">
        <f>[1]RevSumm!DA$5</f>
        <v>0</v>
      </c>
      <c r="CI117" s="113">
        <f>[1]RevSumm!DB$5</f>
        <v>0</v>
      </c>
      <c r="CJ117" s="113">
        <f>[1]RevSumm!DC$5</f>
        <v>0</v>
      </c>
      <c r="CK117" s="113">
        <f>[1]RevSumm!DD$5</f>
        <v>0</v>
      </c>
      <c r="CL117" s="113">
        <f>[1]RevSumm!DE$5</f>
        <v>0</v>
      </c>
      <c r="CM117" s="113">
        <f>[1]RevSumm!DF$5</f>
        <v>0</v>
      </c>
      <c r="CN117" s="113">
        <f>[1]RevSumm!DG$5</f>
        <v>0</v>
      </c>
      <c r="CO117" s="113">
        <f>[1]RevSumm!DH$5</f>
        <v>0</v>
      </c>
      <c r="CP117" s="113">
        <f>[1]RevSumm!DI$5</f>
        <v>0</v>
      </c>
      <c r="CQ117" s="113">
        <f>[1]RevSumm!DJ$5</f>
        <v>0</v>
      </c>
      <c r="CR117" s="113">
        <f>[1]RevSumm!DK$5</f>
        <v>0</v>
      </c>
      <c r="CS117" s="113">
        <f>[1]RevSumm!DL$5</f>
        <v>0</v>
      </c>
      <c r="CT117" s="39"/>
      <c r="CU117" s="39"/>
      <c r="CV117" s="39"/>
      <c r="CW117" s="21"/>
    </row>
    <row r="118" spans="3:101" x14ac:dyDescent="0.25">
      <c r="F118" s="21"/>
      <c r="G118" s="21"/>
      <c r="H118" s="21"/>
      <c r="I118" s="21"/>
      <c r="J118" s="21"/>
      <c r="K118" s="21"/>
      <c r="L118" s="21"/>
      <c r="M118" s="21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9"/>
      <c r="CU118" s="39"/>
      <c r="CV118" s="39"/>
      <c r="CW118" s="21"/>
    </row>
    <row r="119" spans="3:101" x14ac:dyDescent="0.25">
      <c r="D119" s="38" t="s">
        <v>152</v>
      </c>
      <c r="F119" s="21"/>
      <c r="G119" s="21"/>
      <c r="H119" s="21"/>
      <c r="I119" s="21"/>
      <c r="J119" s="21"/>
      <c r="K119" s="21"/>
      <c r="L119" s="21"/>
      <c r="M119" s="21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37">
        <f t="shared" ref="Z119:CV119" si="283">SUM(Z94:Z118)</f>
        <v>42000</v>
      </c>
      <c r="AA119" s="37">
        <f t="shared" si="283"/>
        <v>42000</v>
      </c>
      <c r="AB119" s="37">
        <f t="shared" si="283"/>
        <v>402000</v>
      </c>
      <c r="AC119" s="37">
        <f t="shared" si="283"/>
        <v>79500</v>
      </c>
      <c r="AD119" s="37">
        <f t="shared" si="283"/>
        <v>42000</v>
      </c>
      <c r="AE119" s="37">
        <f t="shared" si="283"/>
        <v>117000</v>
      </c>
      <c r="AF119" s="37">
        <f t="shared" si="283"/>
        <v>1842000</v>
      </c>
      <c r="AG119" s="37">
        <f t="shared" si="283"/>
        <v>42000</v>
      </c>
      <c r="AH119" s="37">
        <f t="shared" si="283"/>
        <v>192000</v>
      </c>
      <c r="AI119" s="37">
        <f t="shared" si="283"/>
        <v>167000</v>
      </c>
      <c r="AJ119" s="37">
        <f t="shared" si="283"/>
        <v>479100</v>
      </c>
      <c r="AK119" s="37">
        <f t="shared" si="283"/>
        <v>1114500</v>
      </c>
      <c r="AL119" s="37">
        <f t="shared" si="283"/>
        <v>262500</v>
      </c>
      <c r="AM119" s="37">
        <f t="shared" si="283"/>
        <v>2172800</v>
      </c>
      <c r="AN119" s="37">
        <f t="shared" si="283"/>
        <v>562200</v>
      </c>
      <c r="AO119" s="37">
        <f t="shared" si="283"/>
        <v>0</v>
      </c>
      <c r="AP119" s="37">
        <f t="shared" si="283"/>
        <v>1201750</v>
      </c>
      <c r="AQ119" s="37">
        <f t="shared" si="283"/>
        <v>2218125</v>
      </c>
      <c r="AR119" s="37">
        <f t="shared" si="283"/>
        <v>631650</v>
      </c>
      <c r="AS119" s="37">
        <f t="shared" si="283"/>
        <v>2532500</v>
      </c>
      <c r="AT119" s="37">
        <f t="shared" si="283"/>
        <v>2823600</v>
      </c>
      <c r="AU119" s="37">
        <f t="shared" si="283"/>
        <v>1750000</v>
      </c>
      <c r="AV119" s="37">
        <f t="shared" si="283"/>
        <v>2093875</v>
      </c>
      <c r="AW119" s="37">
        <f t="shared" si="283"/>
        <v>3947125</v>
      </c>
      <c r="AX119" s="37">
        <f t="shared" si="283"/>
        <v>6103500</v>
      </c>
      <c r="AY119" s="37">
        <f t="shared" si="283"/>
        <v>6210050</v>
      </c>
      <c r="AZ119" s="37">
        <f t="shared" si="283"/>
        <v>1260000</v>
      </c>
      <c r="BA119" s="37">
        <f t="shared" si="283"/>
        <v>2315625</v>
      </c>
      <c r="BB119" s="37">
        <f t="shared" si="283"/>
        <v>3460850</v>
      </c>
      <c r="BC119" s="37">
        <f t="shared" si="283"/>
        <v>4483500</v>
      </c>
      <c r="BD119" s="37">
        <f t="shared" si="283"/>
        <v>9100500</v>
      </c>
      <c r="BE119" s="37">
        <f t="shared" si="283"/>
        <v>3814500</v>
      </c>
      <c r="BF119" s="37">
        <f t="shared" si="283"/>
        <v>4126600</v>
      </c>
      <c r="BG119" s="37">
        <f t="shared" si="283"/>
        <v>5053125</v>
      </c>
      <c r="BH119" s="37">
        <f t="shared" si="283"/>
        <v>4506100</v>
      </c>
      <c r="BI119" s="37">
        <f t="shared" si="283"/>
        <v>3881375</v>
      </c>
      <c r="BJ119" s="37">
        <f t="shared" ref="BJ119:CS119" si="284">SUM(BJ94:BJ118)</f>
        <v>14757750</v>
      </c>
      <c r="BK119" s="37">
        <f t="shared" si="284"/>
        <v>15344525</v>
      </c>
      <c r="BL119" s="37">
        <f t="shared" si="284"/>
        <v>2887500</v>
      </c>
      <c r="BM119" s="37">
        <f t="shared" si="284"/>
        <v>4664062.5</v>
      </c>
      <c r="BN119" s="37">
        <f t="shared" si="284"/>
        <v>9184925</v>
      </c>
      <c r="BO119" s="37">
        <f t="shared" si="284"/>
        <v>10552500</v>
      </c>
      <c r="BP119" s="37">
        <f t="shared" si="284"/>
        <v>24357750</v>
      </c>
      <c r="BQ119" s="37">
        <f t="shared" si="284"/>
        <v>8670250</v>
      </c>
      <c r="BR119" s="37">
        <f t="shared" si="284"/>
        <v>9833500</v>
      </c>
      <c r="BS119" s="37">
        <f t="shared" si="284"/>
        <v>10139062.5</v>
      </c>
      <c r="BT119" s="37">
        <f t="shared" si="284"/>
        <v>12318250</v>
      </c>
      <c r="BU119" s="37">
        <f t="shared" si="284"/>
        <v>9602250</v>
      </c>
      <c r="BV119" s="37">
        <f t="shared" si="284"/>
        <v>31602187.5</v>
      </c>
      <c r="BW119" s="37">
        <f t="shared" si="284"/>
        <v>30550718.75</v>
      </c>
      <c r="BX119" s="37">
        <f t="shared" si="284"/>
        <v>4790625</v>
      </c>
      <c r="BY119" s="37">
        <f t="shared" si="284"/>
        <v>7037109.375</v>
      </c>
      <c r="BZ119" s="37">
        <f t="shared" si="284"/>
        <v>19227218.75</v>
      </c>
      <c r="CA119" s="37">
        <f t="shared" si="284"/>
        <v>20330625</v>
      </c>
      <c r="CB119" s="37">
        <f t="shared" si="284"/>
        <v>58287187.5</v>
      </c>
      <c r="CC119" s="37">
        <f t="shared" si="284"/>
        <v>14306937.5</v>
      </c>
      <c r="CD119" s="37">
        <f t="shared" si="284"/>
        <v>19628025</v>
      </c>
      <c r="CE119" s="37">
        <f t="shared" si="284"/>
        <v>15249609.375</v>
      </c>
      <c r="CF119" s="37">
        <f t="shared" si="284"/>
        <v>27243437.5</v>
      </c>
      <c r="CG119" s="37">
        <f t="shared" si="284"/>
        <v>20058750</v>
      </c>
      <c r="CH119" s="37">
        <f t="shared" si="284"/>
        <v>58813593.75</v>
      </c>
      <c r="CI119" s="37">
        <f t="shared" si="284"/>
        <v>49053478.125</v>
      </c>
      <c r="CJ119" s="37">
        <f t="shared" si="284"/>
        <v>6870937.5</v>
      </c>
      <c r="CK119" s="37">
        <f t="shared" si="284"/>
        <v>9205664.0625</v>
      </c>
      <c r="CL119" s="37">
        <f t="shared" si="284"/>
        <v>31389628.125</v>
      </c>
      <c r="CM119" s="37">
        <f t="shared" si="284"/>
        <v>32543437.5</v>
      </c>
      <c r="CN119" s="37">
        <f t="shared" si="284"/>
        <v>113713593.75</v>
      </c>
      <c r="CO119" s="37">
        <f t="shared" si="284"/>
        <v>20421206.25</v>
      </c>
      <c r="CP119" s="37">
        <f t="shared" si="284"/>
        <v>32007757.5</v>
      </c>
      <c r="CQ119" s="37">
        <f t="shared" si="284"/>
        <v>19881914.0625</v>
      </c>
      <c r="CR119" s="37">
        <f t="shared" si="284"/>
        <v>45580706.25</v>
      </c>
      <c r="CS119" s="37">
        <f t="shared" si="284"/>
        <v>33442500</v>
      </c>
      <c r="CT119" s="37">
        <f t="shared" si="283"/>
        <v>0</v>
      </c>
      <c r="CU119" s="37">
        <f t="shared" si="283"/>
        <v>0</v>
      </c>
      <c r="CV119" s="37">
        <f t="shared" si="283"/>
        <v>0</v>
      </c>
      <c r="CW119" s="21"/>
    </row>
    <row r="123" spans="3:101" x14ac:dyDescent="0.25">
      <c r="C123" s="50" t="s">
        <v>164</v>
      </c>
      <c r="D123" s="52" t="s">
        <v>160</v>
      </c>
      <c r="F123" s="21"/>
      <c r="G123" s="21"/>
      <c r="H123" s="21"/>
      <c r="I123" s="21"/>
      <c r="J123" s="21"/>
      <c r="K123" s="21"/>
      <c r="L123" s="21"/>
      <c r="M123" s="21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21"/>
      <c r="CU123" s="21"/>
      <c r="CV123" s="21"/>
      <c r="CW123" s="21"/>
    </row>
    <row r="124" spans="3:101" x14ac:dyDescent="0.25">
      <c r="C124" s="49" t="str">
        <f>CONCATENATE(D124,E124)</f>
        <v>BARIWholesale</v>
      </c>
      <c r="D124" s="35" t="str">
        <f>[1]Key!C$12</f>
        <v>BARI</v>
      </c>
      <c r="E124" s="35" t="str">
        <f>[1]Key!D$12</f>
        <v>Wholesale</v>
      </c>
      <c r="F124" s="21"/>
      <c r="H124" s="21"/>
      <c r="I124" s="21"/>
      <c r="J124" s="21"/>
      <c r="K124" s="21"/>
      <c r="L124" s="21"/>
      <c r="M124" s="21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36">
        <f>[1]contras!AS40</f>
        <v>0</v>
      </c>
      <c r="AA124" s="36">
        <f>[1]contras!AT40</f>
        <v>0</v>
      </c>
      <c r="AB124" s="36">
        <f>[1]contras!AU40</f>
        <v>0</v>
      </c>
      <c r="AC124" s="36">
        <f>[1]contras!AV40</f>
        <v>0</v>
      </c>
      <c r="AD124" s="36">
        <f>[1]contras!AW40</f>
        <v>0</v>
      </c>
      <c r="AE124" s="36">
        <f>[1]contras!AX40</f>
        <v>0</v>
      </c>
      <c r="AF124" s="36">
        <f>[1]contras!AY40</f>
        <v>0</v>
      </c>
      <c r="AG124" s="36">
        <f>[1]contras!AZ40</f>
        <v>0</v>
      </c>
      <c r="AH124" s="36">
        <f>[1]contras!BA40</f>
        <v>0</v>
      </c>
      <c r="AI124" s="36">
        <f>[1]contras!BB40</f>
        <v>0</v>
      </c>
      <c r="AJ124" s="36">
        <f>[1]contras!BC40</f>
        <v>0</v>
      </c>
      <c r="AK124" s="36">
        <f>[1]contras!BD40</f>
        <v>0</v>
      </c>
      <c r="AL124" s="36">
        <f>[1]contras!BE40</f>
        <v>33000</v>
      </c>
      <c r="AM124" s="36">
        <f>[1]contras!BF40</f>
        <v>0</v>
      </c>
      <c r="AN124" s="36">
        <f>[1]contras!BG40</f>
        <v>33000</v>
      </c>
      <c r="AO124" s="36">
        <f>[1]contras!BH40</f>
        <v>0</v>
      </c>
      <c r="AP124" s="36">
        <f>[1]contras!BI40</f>
        <v>0</v>
      </c>
      <c r="AQ124" s="36">
        <f>[1]contras!BJ40</f>
        <v>66000</v>
      </c>
      <c r="AR124" s="36">
        <f>[1]contras!BK40</f>
        <v>0</v>
      </c>
      <c r="AS124" s="36">
        <f>[1]contras!BL40</f>
        <v>33000</v>
      </c>
      <c r="AT124" s="36">
        <f>[1]contras!BM40</f>
        <v>66000</v>
      </c>
      <c r="AU124" s="36">
        <f>[1]contras!BN40</f>
        <v>66000</v>
      </c>
      <c r="AV124" s="36">
        <f>[1]contras!BO40</f>
        <v>13750</v>
      </c>
      <c r="AW124" s="36">
        <f>[1]contras!BP40</f>
        <v>66000</v>
      </c>
      <c r="AX124" s="36">
        <f>[1]contras!BQ40</f>
        <v>99000</v>
      </c>
      <c r="AY124" s="36">
        <f>[1]contras!BR40</f>
        <v>0</v>
      </c>
      <c r="AZ124" s="36">
        <f>[1]contras!BS40</f>
        <v>66000</v>
      </c>
      <c r="BA124" s="36">
        <f>[1]contras!BT40</f>
        <v>0</v>
      </c>
      <c r="BB124" s="36">
        <f>[1]contras!BU40</f>
        <v>0</v>
      </c>
      <c r="BC124" s="36">
        <f>[1]contras!BV40</f>
        <v>165000</v>
      </c>
      <c r="BD124" s="36">
        <f>[1]contras!BW40</f>
        <v>0</v>
      </c>
      <c r="BE124" s="36">
        <f>[1]contras!BX40</f>
        <v>0</v>
      </c>
      <c r="BF124" s="36">
        <f>[1]contras!BY40</f>
        <v>66000</v>
      </c>
      <c r="BG124" s="36">
        <f>[1]contras!BZ40</f>
        <v>132000</v>
      </c>
      <c r="BH124" s="36">
        <f>[1]contras!CA40</f>
        <v>0</v>
      </c>
      <c r="BI124" s="36">
        <f>[1]contras!CB40</f>
        <v>79750</v>
      </c>
      <c r="BJ124" s="36">
        <f>[1]contras!CC40</f>
        <v>198000</v>
      </c>
      <c r="BK124" s="36">
        <f>[1]contras!CD40</f>
        <v>0</v>
      </c>
      <c r="BL124" s="36">
        <f>[1]contras!CE40</f>
        <v>132000</v>
      </c>
      <c r="BM124" s="36">
        <f>[1]contras!CF40</f>
        <v>0</v>
      </c>
      <c r="BN124" s="36">
        <f>[1]contras!CG40</f>
        <v>0</v>
      </c>
      <c r="BO124" s="36">
        <f>[1]contras!CH40</f>
        <v>330000</v>
      </c>
      <c r="BP124" s="36">
        <f>[1]contras!CI40</f>
        <v>0</v>
      </c>
      <c r="BQ124" s="36">
        <f>[1]contras!CJ40</f>
        <v>0</v>
      </c>
      <c r="BR124" s="36">
        <f>[1]contras!CK40</f>
        <v>132000</v>
      </c>
      <c r="BS124" s="36">
        <f>[1]contras!CL40</f>
        <v>264000</v>
      </c>
      <c r="BT124" s="36">
        <f>[1]contras!CM40</f>
        <v>0</v>
      </c>
      <c r="BU124" s="36">
        <f>[1]contras!CN40</f>
        <v>159500</v>
      </c>
      <c r="BV124" s="36">
        <f>[1]contras!CO40</f>
        <v>297000</v>
      </c>
      <c r="BW124" s="36">
        <f>[1]contras!CP40</f>
        <v>0</v>
      </c>
      <c r="BX124" s="36">
        <f>[1]contras!CQ40</f>
        <v>198000</v>
      </c>
      <c r="BY124" s="36">
        <f>[1]contras!CR40</f>
        <v>0</v>
      </c>
      <c r="BZ124" s="36">
        <f>[1]contras!CS40</f>
        <v>0</v>
      </c>
      <c r="CA124" s="36">
        <f>[1]contras!CT40</f>
        <v>495000</v>
      </c>
      <c r="CB124" s="36">
        <f>[1]contras!CU40</f>
        <v>0</v>
      </c>
      <c r="CC124" s="36">
        <f>[1]contras!CV40</f>
        <v>0</v>
      </c>
      <c r="CD124" s="36">
        <f>[1]contras!CW40</f>
        <v>198000</v>
      </c>
      <c r="CE124" s="36">
        <f>[1]contras!CX40</f>
        <v>396000</v>
      </c>
      <c r="CF124" s="36">
        <f>[1]contras!CY40</f>
        <v>0</v>
      </c>
      <c r="CG124" s="36">
        <f>[1]contras!CZ40</f>
        <v>239250</v>
      </c>
      <c r="CH124" s="36">
        <f>[1]contras!DA40</f>
        <v>386100</v>
      </c>
      <c r="CI124" s="36">
        <f>[1]contras!DB40</f>
        <v>0</v>
      </c>
      <c r="CJ124" s="36">
        <f>[1]contras!DC40</f>
        <v>257400</v>
      </c>
      <c r="CK124" s="36">
        <f>[1]contras!DD40</f>
        <v>0</v>
      </c>
      <c r="CL124" s="36">
        <f>[1]contras!DE40</f>
        <v>0</v>
      </c>
      <c r="CM124" s="36">
        <f>[1]contras!DF40</f>
        <v>643500</v>
      </c>
      <c r="CN124" s="36">
        <f>[1]contras!DG40</f>
        <v>0</v>
      </c>
      <c r="CO124" s="36">
        <f>[1]contras!DH40</f>
        <v>0</v>
      </c>
      <c r="CP124" s="36">
        <f>[1]contras!DI40</f>
        <v>257400</v>
      </c>
      <c r="CQ124" s="36">
        <f>[1]contras!DJ40</f>
        <v>514800</v>
      </c>
      <c r="CR124" s="36">
        <f>[1]contras!DK40</f>
        <v>0</v>
      </c>
      <c r="CS124" s="36">
        <f>[1]contras!DL40</f>
        <v>311025</v>
      </c>
      <c r="CT124" s="36"/>
      <c r="CU124" s="36"/>
      <c r="CV124" s="36"/>
      <c r="CW124" s="21"/>
    </row>
    <row r="125" spans="3:101" x14ac:dyDescent="0.25">
      <c r="C125" s="49" t="str">
        <f t="shared" ref="C125:C146" si="285">CONCATENATE(D125,E125)</f>
        <v>BRAIN DEAD OAKLEYWholesale</v>
      </c>
      <c r="D125" s="35" t="str">
        <f>[1]Key!C$13</f>
        <v>BRAIN DEAD OAKLEY</v>
      </c>
      <c r="E125" s="35" t="str">
        <f>[1]Key!D$13</f>
        <v>Wholesale</v>
      </c>
      <c r="F125" s="21"/>
      <c r="G125" s="21"/>
      <c r="H125" s="21"/>
      <c r="I125" s="21"/>
      <c r="J125" s="21"/>
      <c r="K125" s="21"/>
      <c r="L125" s="21"/>
      <c r="M125" s="21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36">
        <f>[1]contras!AS41</f>
        <v>0</v>
      </c>
      <c r="AA125" s="36">
        <f>[1]contras!AT41</f>
        <v>0</v>
      </c>
      <c r="AB125" s="36">
        <f>[1]contras!AU41</f>
        <v>0</v>
      </c>
      <c r="AC125" s="36">
        <f>[1]contras!AV41</f>
        <v>0</v>
      </c>
      <c r="AD125" s="36">
        <f>[1]contras!AW41</f>
        <v>0</v>
      </c>
      <c r="AE125" s="36">
        <f>[1]contras!AX41</f>
        <v>0</v>
      </c>
      <c r="AF125" s="36">
        <f>[1]contras!AY41</f>
        <v>0</v>
      </c>
      <c r="AG125" s="36">
        <f>[1]contras!AZ41</f>
        <v>0</v>
      </c>
      <c r="AH125" s="36">
        <f>[1]contras!BA41</f>
        <v>0</v>
      </c>
      <c r="AI125" s="36">
        <f>[1]contras!BB41</f>
        <v>0</v>
      </c>
      <c r="AJ125" s="36">
        <f>[1]contras!BC41</f>
        <v>49600</v>
      </c>
      <c r="AK125" s="36">
        <f>[1]contras!BD41</f>
        <v>0</v>
      </c>
      <c r="AL125" s="36">
        <f>[1]contras!BE41</f>
        <v>0</v>
      </c>
      <c r="AM125" s="36">
        <f>[1]contras!BF41</f>
        <v>148800</v>
      </c>
      <c r="AN125" s="36">
        <f>[1]contras!BG41</f>
        <v>37200</v>
      </c>
      <c r="AO125" s="36">
        <f>[1]contras!BH41</f>
        <v>0</v>
      </c>
      <c r="AP125" s="36">
        <f>[1]contras!BI41</f>
        <v>0</v>
      </c>
      <c r="AQ125" s="36">
        <f>[1]contras!BJ41</f>
        <v>0</v>
      </c>
      <c r="AR125" s="36">
        <f>[1]contras!BK41</f>
        <v>74400</v>
      </c>
      <c r="AS125" s="36">
        <f>[1]contras!BL41</f>
        <v>0</v>
      </c>
      <c r="AT125" s="36">
        <f>[1]contras!BM41</f>
        <v>297600</v>
      </c>
      <c r="AU125" s="36">
        <f>[1]contras!BN41</f>
        <v>0</v>
      </c>
      <c r="AV125" s="36">
        <f>[1]contras!BO41</f>
        <v>0</v>
      </c>
      <c r="AW125" s="36">
        <f>[1]contras!BP41</f>
        <v>0</v>
      </c>
      <c r="AX125" s="36">
        <f>[1]contras!BQ41</f>
        <v>0</v>
      </c>
      <c r="AY125" s="36">
        <f>[1]contras!BR41</f>
        <v>279000</v>
      </c>
      <c r="AZ125" s="36">
        <f>[1]contras!BS41</f>
        <v>0</v>
      </c>
      <c r="BA125" s="36">
        <f>[1]contras!BT41</f>
        <v>0</v>
      </c>
      <c r="BB125" s="36">
        <f>[1]contras!BU41</f>
        <v>0</v>
      </c>
      <c r="BC125" s="36">
        <f>[1]contras!BV41</f>
        <v>0</v>
      </c>
      <c r="BD125" s="36">
        <f>[1]contras!BW41</f>
        <v>0</v>
      </c>
      <c r="BE125" s="36">
        <f>[1]contras!BX41</f>
        <v>0</v>
      </c>
      <c r="BF125" s="36">
        <f>[1]contras!BY41</f>
        <v>613800</v>
      </c>
      <c r="BG125" s="36">
        <f>[1]contras!BZ41</f>
        <v>0</v>
      </c>
      <c r="BH125" s="36">
        <f>[1]contras!CA41</f>
        <v>0</v>
      </c>
      <c r="BI125" s="36">
        <f>[1]contras!CB41</f>
        <v>0</v>
      </c>
      <c r="BJ125" s="36">
        <f>[1]contras!CC41</f>
        <v>0</v>
      </c>
      <c r="BK125" s="36">
        <f>[1]contras!CD41</f>
        <v>558000</v>
      </c>
      <c r="BL125" s="36">
        <f>[1]contras!CE41</f>
        <v>0</v>
      </c>
      <c r="BM125" s="36">
        <f>[1]contras!CF41</f>
        <v>0</v>
      </c>
      <c r="BN125" s="36">
        <f>[1]contras!CG41</f>
        <v>0</v>
      </c>
      <c r="BO125" s="36">
        <f>[1]contras!CH41</f>
        <v>0</v>
      </c>
      <c r="BP125" s="36">
        <f>[1]contras!CI41</f>
        <v>0</v>
      </c>
      <c r="BQ125" s="36">
        <f>[1]contras!CJ41</f>
        <v>0</v>
      </c>
      <c r="BR125" s="36">
        <f>[1]contras!CK41</f>
        <v>1227600</v>
      </c>
      <c r="BS125" s="36">
        <f>[1]contras!CL41</f>
        <v>0</v>
      </c>
      <c r="BT125" s="36">
        <f>[1]contras!CM41</f>
        <v>0</v>
      </c>
      <c r="BU125" s="36">
        <f>[1]contras!CN41</f>
        <v>0</v>
      </c>
      <c r="BV125" s="36">
        <f>[1]contras!CO41</f>
        <v>0</v>
      </c>
      <c r="BW125" s="36">
        <f>[1]contras!CP41</f>
        <v>837000</v>
      </c>
      <c r="BX125" s="36">
        <f>[1]contras!CQ41</f>
        <v>0</v>
      </c>
      <c r="BY125" s="36">
        <f>[1]contras!CR41</f>
        <v>0</v>
      </c>
      <c r="BZ125" s="36">
        <f>[1]contras!CS41</f>
        <v>0</v>
      </c>
      <c r="CA125" s="36">
        <f>[1]contras!CT41</f>
        <v>0</v>
      </c>
      <c r="CB125" s="36">
        <f>[1]contras!CU41</f>
        <v>0</v>
      </c>
      <c r="CC125" s="36">
        <f>[1]contras!CV41</f>
        <v>0</v>
      </c>
      <c r="CD125" s="36">
        <f>[1]contras!CW41</f>
        <v>1841400</v>
      </c>
      <c r="CE125" s="36">
        <f>[1]contras!CX41</f>
        <v>0</v>
      </c>
      <c r="CF125" s="36">
        <f>[1]contras!CY41</f>
        <v>0</v>
      </c>
      <c r="CG125" s="36">
        <f>[1]contras!CZ41</f>
        <v>0</v>
      </c>
      <c r="CH125" s="36">
        <f>[1]contras!DA41</f>
        <v>0</v>
      </c>
      <c r="CI125" s="36">
        <f>[1]contras!DB41</f>
        <v>1088100</v>
      </c>
      <c r="CJ125" s="36">
        <f>[1]contras!DC41</f>
        <v>0</v>
      </c>
      <c r="CK125" s="36">
        <f>[1]contras!DD41</f>
        <v>0</v>
      </c>
      <c r="CL125" s="36">
        <f>[1]contras!DE41</f>
        <v>0</v>
      </c>
      <c r="CM125" s="36">
        <f>[1]contras!DF41</f>
        <v>0</v>
      </c>
      <c r="CN125" s="36">
        <f>[1]contras!DG41</f>
        <v>0</v>
      </c>
      <c r="CO125" s="36">
        <f>[1]contras!DH41</f>
        <v>0</v>
      </c>
      <c r="CP125" s="36">
        <f>[1]contras!DI41</f>
        <v>2393820</v>
      </c>
      <c r="CQ125" s="36">
        <f>[1]contras!DJ41</f>
        <v>0</v>
      </c>
      <c r="CR125" s="36">
        <f>[1]contras!DK41</f>
        <v>0</v>
      </c>
      <c r="CS125" s="36">
        <f>[1]contras!DL41</f>
        <v>0</v>
      </c>
      <c r="CT125" s="39"/>
      <c r="CU125" s="39"/>
      <c r="CV125" s="39"/>
      <c r="CW125" s="21"/>
    </row>
    <row r="126" spans="3:101" x14ac:dyDescent="0.25">
      <c r="C126" s="49" t="str">
        <f t="shared" si="285"/>
        <v>GROWTH "HIT" PHWholesale</v>
      </c>
      <c r="D126" s="35" t="str">
        <f>[1]Key!C$14</f>
        <v>GROWTH "HIT" PH</v>
      </c>
      <c r="E126" s="35" t="str">
        <f>[1]Key!D$14</f>
        <v>Wholesale</v>
      </c>
      <c r="F126" s="21"/>
      <c r="G126" s="21"/>
      <c r="H126" s="21"/>
      <c r="I126" s="21"/>
      <c r="J126" s="21"/>
      <c r="K126" s="21"/>
      <c r="L126" s="21"/>
      <c r="M126" s="21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36">
        <f>[1]contras!AS42</f>
        <v>0</v>
      </c>
      <c r="AA126" s="36">
        <f>[1]contras!AT42</f>
        <v>0</v>
      </c>
      <c r="AB126" s="36">
        <f>[1]contras!AU42</f>
        <v>0</v>
      </c>
      <c r="AC126" s="36">
        <f>[1]contras!AV42</f>
        <v>0</v>
      </c>
      <c r="AD126" s="36">
        <f>[1]contras!AW42</f>
        <v>0</v>
      </c>
      <c r="AE126" s="36">
        <f>[1]contras!AX42</f>
        <v>0</v>
      </c>
      <c r="AF126" s="36">
        <f>[1]contras!AY42</f>
        <v>0</v>
      </c>
      <c r="AG126" s="36">
        <f>[1]contras!AZ42</f>
        <v>0</v>
      </c>
      <c r="AH126" s="36">
        <f>[1]contras!BA42</f>
        <v>0</v>
      </c>
      <c r="AI126" s="36">
        <f>[1]contras!BB42</f>
        <v>0</v>
      </c>
      <c r="AJ126" s="36">
        <f>[1]contras!BC42</f>
        <v>0</v>
      </c>
      <c r="AK126" s="36">
        <f>[1]contras!BD42</f>
        <v>0</v>
      </c>
      <c r="AL126" s="36">
        <f>[1]contras!BE42</f>
        <v>0</v>
      </c>
      <c r="AM126" s="36">
        <f>[1]contras!BF42</f>
        <v>0</v>
      </c>
      <c r="AN126" s="36">
        <f>[1]contras!BG42</f>
        <v>0</v>
      </c>
      <c r="AO126" s="36">
        <f>[1]contras!BH42</f>
        <v>0</v>
      </c>
      <c r="AP126" s="36">
        <f>[1]contras!BI42</f>
        <v>0</v>
      </c>
      <c r="AQ126" s="36">
        <f>[1]contras!BJ42</f>
        <v>0</v>
      </c>
      <c r="AR126" s="36">
        <f>[1]contras!BK42</f>
        <v>0</v>
      </c>
      <c r="AS126" s="36">
        <f>[1]contras!BL42</f>
        <v>0</v>
      </c>
      <c r="AT126" s="36">
        <f>[1]contras!BM42</f>
        <v>0</v>
      </c>
      <c r="AU126" s="36">
        <f>[1]contras!BN42</f>
        <v>308000</v>
      </c>
      <c r="AV126" s="36">
        <f>[1]contras!BO42</f>
        <v>0</v>
      </c>
      <c r="AW126" s="36">
        <f>[1]contras!BP42</f>
        <v>0</v>
      </c>
      <c r="AX126" s="36">
        <f>[1]contras!BQ42</f>
        <v>660000</v>
      </c>
      <c r="AY126" s="36">
        <f>[1]contras!BR42</f>
        <v>0</v>
      </c>
      <c r="AZ126" s="36">
        <f>[1]contras!BS42</f>
        <v>0</v>
      </c>
      <c r="BA126" s="36">
        <f>[1]contras!BT42</f>
        <v>660000</v>
      </c>
      <c r="BB126" s="36">
        <f>[1]contras!BU42</f>
        <v>0</v>
      </c>
      <c r="BC126" s="36">
        <f>[1]contras!BV42</f>
        <v>0</v>
      </c>
      <c r="BD126" s="36">
        <f>[1]contras!BW42</f>
        <v>825000</v>
      </c>
      <c r="BE126" s="36">
        <f>[1]contras!BX42</f>
        <v>0</v>
      </c>
      <c r="BF126" s="36">
        <f>[1]contras!BY42</f>
        <v>0</v>
      </c>
      <c r="BG126" s="36">
        <f>[1]contras!BZ42</f>
        <v>1155000</v>
      </c>
      <c r="BH126" s="36">
        <f>[1]contras!CA42</f>
        <v>0</v>
      </c>
      <c r="BI126" s="36">
        <f>[1]contras!CB42</f>
        <v>0</v>
      </c>
      <c r="BJ126" s="36">
        <f>[1]contras!CC42</f>
        <v>1320000</v>
      </c>
      <c r="BK126" s="36">
        <f>[1]contras!CD42</f>
        <v>0</v>
      </c>
      <c r="BL126" s="36">
        <f>[1]contras!CE42</f>
        <v>0</v>
      </c>
      <c r="BM126" s="36">
        <f>[1]contras!CF42</f>
        <v>1320000</v>
      </c>
      <c r="BN126" s="36">
        <f>[1]contras!CG42</f>
        <v>0</v>
      </c>
      <c r="BO126" s="36">
        <f>[1]contras!CH42</f>
        <v>0</v>
      </c>
      <c r="BP126" s="36">
        <f>[1]contras!CI42</f>
        <v>1650000</v>
      </c>
      <c r="BQ126" s="36">
        <f>[1]contras!CJ42</f>
        <v>0</v>
      </c>
      <c r="BR126" s="36">
        <f>[1]contras!CK42</f>
        <v>0</v>
      </c>
      <c r="BS126" s="36">
        <f>[1]contras!CL42</f>
        <v>2310000</v>
      </c>
      <c r="BT126" s="36">
        <f>[1]contras!CM42</f>
        <v>0</v>
      </c>
      <c r="BU126" s="36">
        <f>[1]contras!CN42</f>
        <v>0</v>
      </c>
      <c r="BV126" s="36">
        <f>[1]contras!CO42</f>
        <v>1980000</v>
      </c>
      <c r="BW126" s="36">
        <f>[1]contras!CP42</f>
        <v>0</v>
      </c>
      <c r="BX126" s="36">
        <f>[1]contras!CQ42</f>
        <v>0</v>
      </c>
      <c r="BY126" s="36">
        <f>[1]contras!CR42</f>
        <v>1980000</v>
      </c>
      <c r="BZ126" s="36">
        <f>[1]contras!CS42</f>
        <v>0</v>
      </c>
      <c r="CA126" s="36">
        <f>[1]contras!CT42</f>
        <v>0</v>
      </c>
      <c r="CB126" s="36">
        <f>[1]contras!CU42</f>
        <v>2475000</v>
      </c>
      <c r="CC126" s="36">
        <f>[1]contras!CV42</f>
        <v>0</v>
      </c>
      <c r="CD126" s="36">
        <f>[1]contras!CW42</f>
        <v>0</v>
      </c>
      <c r="CE126" s="36">
        <f>[1]contras!CX42</f>
        <v>3465000</v>
      </c>
      <c r="CF126" s="36">
        <f>[1]contras!CY42</f>
        <v>0</v>
      </c>
      <c r="CG126" s="36">
        <f>[1]contras!CZ42</f>
        <v>0</v>
      </c>
      <c r="CH126" s="36">
        <f>[1]contras!DA42</f>
        <v>2574000</v>
      </c>
      <c r="CI126" s="36">
        <f>[1]contras!DB42</f>
        <v>0</v>
      </c>
      <c r="CJ126" s="36">
        <f>[1]contras!DC42</f>
        <v>0</v>
      </c>
      <c r="CK126" s="36">
        <f>[1]contras!DD42</f>
        <v>2574000</v>
      </c>
      <c r="CL126" s="36">
        <f>[1]contras!DE42</f>
        <v>0</v>
      </c>
      <c r="CM126" s="36">
        <f>[1]contras!DF42</f>
        <v>0</v>
      </c>
      <c r="CN126" s="36">
        <f>[1]contras!DG42</f>
        <v>3217500</v>
      </c>
      <c r="CO126" s="36">
        <f>[1]contras!DH42</f>
        <v>0</v>
      </c>
      <c r="CP126" s="36">
        <f>[1]contras!DI42</f>
        <v>0</v>
      </c>
      <c r="CQ126" s="36">
        <f>[1]contras!DJ42</f>
        <v>4504500</v>
      </c>
      <c r="CR126" s="36">
        <f>[1]contras!DK42</f>
        <v>0</v>
      </c>
      <c r="CS126" s="36">
        <f>[1]contras!DL42</f>
        <v>0</v>
      </c>
      <c r="CT126" s="39"/>
      <c r="CU126" s="39"/>
      <c r="CV126" s="39"/>
      <c r="CW126" s="21"/>
    </row>
    <row r="127" spans="3:101" x14ac:dyDescent="0.25">
      <c r="C127" s="49" t="str">
        <f t="shared" si="285"/>
        <v>ICE STUDIOSWholesale</v>
      </c>
      <c r="D127" s="35" t="str">
        <f>[1]Key!C$15</f>
        <v>ICE STUDIOS</v>
      </c>
      <c r="E127" s="35" t="str">
        <f>[1]Key!D$15</f>
        <v>Wholesale</v>
      </c>
      <c r="F127" s="21"/>
      <c r="G127" s="21"/>
      <c r="H127" s="21"/>
      <c r="I127" s="21"/>
      <c r="J127" s="21"/>
      <c r="K127" s="21"/>
      <c r="L127" s="21"/>
      <c r="M127" s="21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36">
        <f>[1]contras!AS43</f>
        <v>0</v>
      </c>
      <c r="AA127" s="36">
        <f>[1]contras!AT43</f>
        <v>0</v>
      </c>
      <c r="AB127" s="36">
        <f>[1]contras!AU43</f>
        <v>0</v>
      </c>
      <c r="AC127" s="36">
        <f>[1]contras!AV43</f>
        <v>0</v>
      </c>
      <c r="AD127" s="36">
        <f>[1]contras!AW43</f>
        <v>0</v>
      </c>
      <c r="AE127" s="36">
        <f>[1]contras!AX43</f>
        <v>0</v>
      </c>
      <c r="AF127" s="36">
        <f>[1]contras!AY43</f>
        <v>0</v>
      </c>
      <c r="AG127" s="36">
        <f>[1]contras!AZ43</f>
        <v>0</v>
      </c>
      <c r="AH127" s="36">
        <f>[1]contras!BA43</f>
        <v>0</v>
      </c>
      <c r="AI127" s="36">
        <f>[1]contras!BB43</f>
        <v>0</v>
      </c>
      <c r="AJ127" s="36">
        <f>[1]contras!BC43</f>
        <v>0</v>
      </c>
      <c r="AK127" s="36">
        <f>[1]contras!BD43</f>
        <v>9900</v>
      </c>
      <c r="AL127" s="36">
        <f>[1]contras!BE43</f>
        <v>0</v>
      </c>
      <c r="AM127" s="36">
        <f>[1]contras!BF43</f>
        <v>83160</v>
      </c>
      <c r="AN127" s="36">
        <f>[1]contras!BG43</f>
        <v>0</v>
      </c>
      <c r="AO127" s="36">
        <f>[1]contras!BH43</f>
        <v>0</v>
      </c>
      <c r="AP127" s="36">
        <f>[1]contras!BI43</f>
        <v>0</v>
      </c>
      <c r="AQ127" s="36">
        <f>[1]contras!BJ43</f>
        <v>138600</v>
      </c>
      <c r="AR127" s="36">
        <f>[1]contras!BK43</f>
        <v>0</v>
      </c>
      <c r="AS127" s="36">
        <f>[1]contras!BL43</f>
        <v>0</v>
      </c>
      <c r="AT127" s="36">
        <f>[1]contras!BM43</f>
        <v>224400</v>
      </c>
      <c r="AU127" s="36">
        <f>[1]contras!BN43</f>
        <v>0</v>
      </c>
      <c r="AV127" s="36">
        <f>[1]contras!BO43</f>
        <v>0</v>
      </c>
      <c r="AW127" s="36">
        <f>[1]contras!BP43</f>
        <v>270160</v>
      </c>
      <c r="AX127" s="36">
        <f>[1]contras!BQ43</f>
        <v>168960</v>
      </c>
      <c r="AY127" s="36">
        <f>[1]contras!BR43</f>
        <v>274560</v>
      </c>
      <c r="AZ127" s="36">
        <f>[1]contras!BS43</f>
        <v>0</v>
      </c>
      <c r="BA127" s="36">
        <f>[1]contras!BT43</f>
        <v>0</v>
      </c>
      <c r="BB127" s="36">
        <f>[1]contras!BU43</f>
        <v>0</v>
      </c>
      <c r="BC127" s="36">
        <f>[1]contras!BV43</f>
        <v>443520</v>
      </c>
      <c r="BD127" s="36">
        <f>[1]contras!BW43</f>
        <v>0</v>
      </c>
      <c r="BE127" s="36">
        <f>[1]contras!BX43</f>
        <v>0</v>
      </c>
      <c r="BF127" s="36">
        <f>[1]contras!BY43</f>
        <v>457600</v>
      </c>
      <c r="BG127" s="36">
        <f>[1]contras!BZ43</f>
        <v>0</v>
      </c>
      <c r="BH127" s="36">
        <f>[1]contras!CA43</f>
        <v>33792</v>
      </c>
      <c r="BI127" s="36">
        <f>[1]contras!CB43</f>
        <v>457600</v>
      </c>
      <c r="BJ127" s="36">
        <f>[1]contras!CC43</f>
        <v>422400</v>
      </c>
      <c r="BK127" s="36">
        <f>[1]contras!CD43</f>
        <v>686400</v>
      </c>
      <c r="BL127" s="36">
        <f>[1]contras!CE43</f>
        <v>0</v>
      </c>
      <c r="BM127" s="36">
        <f>[1]contras!CF43</f>
        <v>0</v>
      </c>
      <c r="BN127" s="36">
        <f>[1]contras!CG43</f>
        <v>0</v>
      </c>
      <c r="BO127" s="36">
        <f>[1]contras!CH43</f>
        <v>1108800</v>
      </c>
      <c r="BP127" s="36">
        <f>[1]contras!CI43</f>
        <v>0</v>
      </c>
      <c r="BQ127" s="36">
        <f>[1]contras!CJ43</f>
        <v>0</v>
      </c>
      <c r="BR127" s="36">
        <f>[1]contras!CK43</f>
        <v>1144000</v>
      </c>
      <c r="BS127" s="36">
        <f>[1]contras!CL43</f>
        <v>0</v>
      </c>
      <c r="BT127" s="36">
        <f>[1]contras!CM43</f>
        <v>84480</v>
      </c>
      <c r="BU127" s="36">
        <f>[1]contras!CN43</f>
        <v>1144000</v>
      </c>
      <c r="BV127" s="36">
        <f>[1]contras!CO43</f>
        <v>950400</v>
      </c>
      <c r="BW127" s="36">
        <f>[1]contras!CP43</f>
        <v>1544400</v>
      </c>
      <c r="BX127" s="36">
        <f>[1]contras!CQ43</f>
        <v>0</v>
      </c>
      <c r="BY127" s="36">
        <f>[1]contras!CR43</f>
        <v>0</v>
      </c>
      <c r="BZ127" s="36">
        <f>[1]contras!CS43</f>
        <v>0</v>
      </c>
      <c r="CA127" s="36">
        <f>[1]contras!CT43</f>
        <v>2494800</v>
      </c>
      <c r="CB127" s="36">
        <f>[1]contras!CU43</f>
        <v>0</v>
      </c>
      <c r="CC127" s="36">
        <f>[1]contras!CV43</f>
        <v>0</v>
      </c>
      <c r="CD127" s="36">
        <f>[1]contras!CW43</f>
        <v>2574000</v>
      </c>
      <c r="CE127" s="36">
        <f>[1]contras!CX43</f>
        <v>0</v>
      </c>
      <c r="CF127" s="36">
        <f>[1]contras!CY43</f>
        <v>190080</v>
      </c>
      <c r="CG127" s="36">
        <f>[1]contras!CZ43</f>
        <v>2574000</v>
      </c>
      <c r="CH127" s="36">
        <f>[1]contras!DA43</f>
        <v>1663200</v>
      </c>
      <c r="CI127" s="36">
        <f>[1]contras!DB43</f>
        <v>2702700</v>
      </c>
      <c r="CJ127" s="36">
        <f>[1]contras!DC43</f>
        <v>0</v>
      </c>
      <c r="CK127" s="36">
        <f>[1]contras!DD43</f>
        <v>0</v>
      </c>
      <c r="CL127" s="36">
        <f>[1]contras!DE43</f>
        <v>0</v>
      </c>
      <c r="CM127" s="36">
        <f>[1]contras!DF43</f>
        <v>4365900</v>
      </c>
      <c r="CN127" s="36">
        <f>[1]contras!DG43</f>
        <v>0</v>
      </c>
      <c r="CO127" s="36">
        <f>[1]contras!DH43</f>
        <v>0</v>
      </c>
      <c r="CP127" s="36">
        <f>[1]contras!DI43</f>
        <v>4504500</v>
      </c>
      <c r="CQ127" s="36">
        <f>[1]contras!DJ43</f>
        <v>0</v>
      </c>
      <c r="CR127" s="36">
        <f>[1]contras!DK43</f>
        <v>332640</v>
      </c>
      <c r="CS127" s="36">
        <f>[1]contras!DL43</f>
        <v>4504500</v>
      </c>
      <c r="CT127" s="39"/>
      <c r="CU127" s="39"/>
      <c r="CV127" s="39"/>
      <c r="CW127" s="21"/>
    </row>
    <row r="128" spans="3:101" x14ac:dyDescent="0.25">
      <c r="C128" s="49" t="str">
        <f t="shared" si="285"/>
        <v>MURAKAMI / TORITONWholesale</v>
      </c>
      <c r="D128" s="35" t="str">
        <f>[1]Key!C$16</f>
        <v>MURAKAMI / TORITON</v>
      </c>
      <c r="E128" s="35" t="str">
        <f>[1]Key!D$16</f>
        <v>Wholesale</v>
      </c>
      <c r="F128" s="21"/>
      <c r="G128" s="21"/>
      <c r="H128" s="21"/>
      <c r="I128" s="21"/>
      <c r="J128" s="21"/>
      <c r="K128" s="21"/>
      <c r="L128" s="21"/>
      <c r="M128" s="21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36">
        <f>[1]contras!AS44</f>
        <v>0</v>
      </c>
      <c r="AA128" s="36">
        <f>[1]contras!AT44</f>
        <v>0</v>
      </c>
      <c r="AB128" s="36">
        <f>[1]contras!AU44</f>
        <v>316800</v>
      </c>
      <c r="AC128" s="36">
        <f>[1]contras!AV44</f>
        <v>33000</v>
      </c>
      <c r="AD128" s="36">
        <f>[1]contras!AW44</f>
        <v>0</v>
      </c>
      <c r="AE128" s="36">
        <f>[1]contras!AX44</f>
        <v>0</v>
      </c>
      <c r="AF128" s="36">
        <f>[1]contras!AY44</f>
        <v>0</v>
      </c>
      <c r="AG128" s="36">
        <f>[1]contras!AZ44</f>
        <v>0</v>
      </c>
      <c r="AH128" s="36">
        <f>[1]contras!BA44</f>
        <v>0</v>
      </c>
      <c r="AI128" s="36">
        <f>[1]contras!BB44</f>
        <v>0</v>
      </c>
      <c r="AJ128" s="36">
        <f>[1]contras!BC44</f>
        <v>33000</v>
      </c>
      <c r="AK128" s="36">
        <f>[1]contras!BD44</f>
        <v>49500</v>
      </c>
      <c r="AL128" s="36">
        <f>[1]contras!BE44</f>
        <v>0</v>
      </c>
      <c r="AM128" s="36">
        <f>[1]contras!BF44</f>
        <v>110000</v>
      </c>
      <c r="AN128" s="36">
        <f>[1]contras!BG44</f>
        <v>33000</v>
      </c>
      <c r="AO128" s="36">
        <f>[1]contras!BH44</f>
        <v>0</v>
      </c>
      <c r="AP128" s="36">
        <f>[1]contras!BI44</f>
        <v>137500</v>
      </c>
      <c r="AQ128" s="36">
        <f>[1]contras!BJ44</f>
        <v>74250</v>
      </c>
      <c r="AR128" s="36">
        <f>[1]contras!BK44</f>
        <v>42900</v>
      </c>
      <c r="AS128" s="36">
        <f>[1]contras!BL44</f>
        <v>162800</v>
      </c>
      <c r="AT128" s="36">
        <f>[1]contras!BM44</f>
        <v>0</v>
      </c>
      <c r="AU128" s="36">
        <f>[1]contras!BN44</f>
        <v>22000</v>
      </c>
      <c r="AV128" s="36">
        <f>[1]contras!BO44</f>
        <v>178200</v>
      </c>
      <c r="AW128" s="36">
        <f>[1]contras!BP44</f>
        <v>100650</v>
      </c>
      <c r="AX128" s="36">
        <f>[1]contras!BQ44</f>
        <v>33000</v>
      </c>
      <c r="AY128" s="36">
        <f>[1]contras!BR44</f>
        <v>245300</v>
      </c>
      <c r="AZ128" s="36">
        <f>[1]contras!BS44</f>
        <v>92400</v>
      </c>
      <c r="BA128" s="36">
        <f>[1]contras!BT44</f>
        <v>8250</v>
      </c>
      <c r="BB128" s="36">
        <f>[1]contras!BU44</f>
        <v>192500</v>
      </c>
      <c r="BC128" s="36">
        <f>[1]contras!BV44</f>
        <v>145200</v>
      </c>
      <c r="BD128" s="36">
        <f>[1]contras!BW44</f>
        <v>33000</v>
      </c>
      <c r="BE128" s="36">
        <f>[1]contras!BX44</f>
        <v>261800</v>
      </c>
      <c r="BF128" s="36">
        <f>[1]contras!BY44</f>
        <v>92400</v>
      </c>
      <c r="BG128" s="36">
        <f>[1]contras!BZ44</f>
        <v>8250</v>
      </c>
      <c r="BH128" s="36">
        <f>[1]contras!CA44</f>
        <v>173800</v>
      </c>
      <c r="BI128" s="36">
        <f>[1]contras!CB44</f>
        <v>92400</v>
      </c>
      <c r="BJ128" s="36">
        <f>[1]contras!CC44</f>
        <v>82500</v>
      </c>
      <c r="BK128" s="36">
        <f>[1]contras!CD44</f>
        <v>613250</v>
      </c>
      <c r="BL128" s="36">
        <f>[1]contras!CE44</f>
        <v>231000</v>
      </c>
      <c r="BM128" s="36">
        <f>[1]contras!CF44</f>
        <v>20625</v>
      </c>
      <c r="BN128" s="36">
        <f>[1]contras!CG44</f>
        <v>481250</v>
      </c>
      <c r="BO128" s="36">
        <f>[1]contras!CH44</f>
        <v>363000</v>
      </c>
      <c r="BP128" s="36">
        <f>[1]contras!CI44</f>
        <v>82500</v>
      </c>
      <c r="BQ128" s="36">
        <f>[1]contras!CJ44</f>
        <v>654500</v>
      </c>
      <c r="BR128" s="36">
        <f>[1]contras!CK44</f>
        <v>231000</v>
      </c>
      <c r="BS128" s="36">
        <f>[1]contras!CL44</f>
        <v>20625</v>
      </c>
      <c r="BT128" s="36">
        <f>[1]contras!CM44</f>
        <v>434500</v>
      </c>
      <c r="BU128" s="36">
        <f>[1]contras!CN44</f>
        <v>231000</v>
      </c>
      <c r="BV128" s="36">
        <f>[1]contras!CO44</f>
        <v>144375</v>
      </c>
      <c r="BW128" s="36">
        <f>[1]contras!CP44</f>
        <v>1073187.5</v>
      </c>
      <c r="BX128" s="36">
        <f>[1]contras!CQ44</f>
        <v>404250</v>
      </c>
      <c r="BY128" s="36">
        <f>[1]contras!CR44</f>
        <v>36093.75</v>
      </c>
      <c r="BZ128" s="36">
        <f>[1]contras!CS44</f>
        <v>842187.5</v>
      </c>
      <c r="CA128" s="36">
        <f>[1]contras!CT44</f>
        <v>635250</v>
      </c>
      <c r="CB128" s="36">
        <f>[1]contras!CU44</f>
        <v>144375</v>
      </c>
      <c r="CC128" s="36">
        <f>[1]contras!CV44</f>
        <v>1145375</v>
      </c>
      <c r="CD128" s="36">
        <f>[1]contras!CW44</f>
        <v>404250</v>
      </c>
      <c r="CE128" s="36">
        <f>[1]contras!CX44</f>
        <v>36093.75</v>
      </c>
      <c r="CF128" s="36">
        <f>[1]contras!CY44</f>
        <v>760375</v>
      </c>
      <c r="CG128" s="36">
        <f>[1]contras!CZ44</f>
        <v>404250</v>
      </c>
      <c r="CH128" s="36">
        <f>[1]contras!DA44</f>
        <v>216562.5</v>
      </c>
      <c r="CI128" s="36">
        <f>[1]contras!DB44</f>
        <v>1609781.25</v>
      </c>
      <c r="CJ128" s="36">
        <f>[1]contras!DC44</f>
        <v>606375</v>
      </c>
      <c r="CK128" s="36">
        <f>[1]contras!DD44</f>
        <v>54140.625</v>
      </c>
      <c r="CL128" s="36">
        <f>[1]contras!DE44</f>
        <v>1263281.25</v>
      </c>
      <c r="CM128" s="36">
        <f>[1]contras!DF44</f>
        <v>952875</v>
      </c>
      <c r="CN128" s="36">
        <f>[1]contras!DG44</f>
        <v>216562.5</v>
      </c>
      <c r="CO128" s="36">
        <f>[1]contras!DH44</f>
        <v>1718062.5</v>
      </c>
      <c r="CP128" s="36">
        <f>[1]contras!DI44</f>
        <v>606375</v>
      </c>
      <c r="CQ128" s="36">
        <f>[1]contras!DJ44</f>
        <v>54140.625</v>
      </c>
      <c r="CR128" s="36">
        <f>[1]contras!DK44</f>
        <v>1140562.5</v>
      </c>
      <c r="CS128" s="36">
        <f>[1]contras!DL44</f>
        <v>606375</v>
      </c>
      <c r="CT128" s="39"/>
      <c r="CU128" s="39"/>
      <c r="CV128" s="39"/>
      <c r="CW128" s="21"/>
    </row>
    <row r="129" spans="3:101" x14ac:dyDescent="0.25">
      <c r="C129" s="49" t="str">
        <f t="shared" si="285"/>
        <v>NEW PARTNER 1Wholesale</v>
      </c>
      <c r="D129" s="35" t="str">
        <f>[1]Key!C$17</f>
        <v>NEW PARTNER 1</v>
      </c>
      <c r="E129" s="35" t="str">
        <f>[1]Key!D$17</f>
        <v>Wholesale</v>
      </c>
      <c r="F129" s="21"/>
      <c r="G129" s="21"/>
      <c r="H129" s="21"/>
      <c r="I129" s="21"/>
      <c r="J129" s="21"/>
      <c r="K129" s="21"/>
      <c r="L129" s="21"/>
      <c r="M129" s="21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36">
        <f>[1]contras!AS45</f>
        <v>0</v>
      </c>
      <c r="AA129" s="36">
        <f>[1]contras!AT45</f>
        <v>0</v>
      </c>
      <c r="AB129" s="36">
        <f>[1]contras!AU45</f>
        <v>0</v>
      </c>
      <c r="AC129" s="36">
        <f>[1]contras!AV45</f>
        <v>0</v>
      </c>
      <c r="AD129" s="36">
        <f>[1]contras!AW45</f>
        <v>0</v>
      </c>
      <c r="AE129" s="36">
        <f>[1]contras!AX45</f>
        <v>0</v>
      </c>
      <c r="AF129" s="36">
        <f>[1]contras!AY45</f>
        <v>0</v>
      </c>
      <c r="AG129" s="36">
        <f>[1]contras!AZ45</f>
        <v>0</v>
      </c>
      <c r="AH129" s="36">
        <f>[1]contras!BA45</f>
        <v>0</v>
      </c>
      <c r="AI129" s="36">
        <f>[1]contras!BB45</f>
        <v>0</v>
      </c>
      <c r="AJ129" s="36">
        <f>[1]contras!BC45</f>
        <v>0</v>
      </c>
      <c r="AK129" s="36">
        <f>[1]contras!BD45</f>
        <v>0</v>
      </c>
      <c r="AL129" s="36">
        <f>[1]contras!BE45</f>
        <v>0</v>
      </c>
      <c r="AM129" s="36">
        <f>[1]contras!BF45</f>
        <v>0</v>
      </c>
      <c r="AN129" s="36">
        <f>[1]contras!BG45</f>
        <v>0</v>
      </c>
      <c r="AO129" s="36">
        <f>[1]contras!BH45</f>
        <v>0</v>
      </c>
      <c r="AP129" s="36">
        <f>[1]contras!BI45</f>
        <v>0</v>
      </c>
      <c r="AQ129" s="36">
        <f>[1]contras!BJ45</f>
        <v>0</v>
      </c>
      <c r="AR129" s="36">
        <f>[1]contras!BK45</f>
        <v>0</v>
      </c>
      <c r="AS129" s="36">
        <f>[1]contras!BL45</f>
        <v>0</v>
      </c>
      <c r="AT129" s="36">
        <f>[1]contras!BM45</f>
        <v>0</v>
      </c>
      <c r="AU129" s="36">
        <f>[1]contras!BN45</f>
        <v>0</v>
      </c>
      <c r="AV129" s="36">
        <f>[1]contras!BO45</f>
        <v>0</v>
      </c>
      <c r="AW129" s="36">
        <f>[1]contras!BP45</f>
        <v>0</v>
      </c>
      <c r="AX129" s="36">
        <f>[1]contras!BQ45</f>
        <v>47520</v>
      </c>
      <c r="AY129" s="36">
        <f>[1]contras!BR45</f>
        <v>0</v>
      </c>
      <c r="AZ129" s="36">
        <f>[1]contras!BS45</f>
        <v>0</v>
      </c>
      <c r="BA129" s="36">
        <f>[1]contras!BT45</f>
        <v>0</v>
      </c>
      <c r="BB129" s="36">
        <f>[1]contras!BU45</f>
        <v>0</v>
      </c>
      <c r="BC129" s="36">
        <f>[1]contras!BV45</f>
        <v>0</v>
      </c>
      <c r="BD129" s="36">
        <f>[1]contras!BW45</f>
        <v>99000</v>
      </c>
      <c r="BE129" s="36">
        <f>[1]contras!BX45</f>
        <v>0</v>
      </c>
      <c r="BF129" s="36">
        <f>[1]contras!BY45</f>
        <v>0</v>
      </c>
      <c r="BG129" s="36">
        <f>[1]contras!BZ45</f>
        <v>0</v>
      </c>
      <c r="BH129" s="36">
        <f>[1]contras!CA45</f>
        <v>0</v>
      </c>
      <c r="BI129" s="36">
        <f>[1]contras!CB45</f>
        <v>0</v>
      </c>
      <c r="BJ129" s="36">
        <f>[1]contras!CC45</f>
        <v>142560</v>
      </c>
      <c r="BK129" s="36">
        <f>[1]contras!CD45</f>
        <v>0</v>
      </c>
      <c r="BL129" s="36">
        <f>[1]contras!CE45</f>
        <v>0</v>
      </c>
      <c r="BM129" s="36">
        <f>[1]contras!CF45</f>
        <v>0</v>
      </c>
      <c r="BN129" s="36">
        <f>[1]contras!CG45</f>
        <v>0</v>
      </c>
      <c r="BO129" s="36">
        <f>[1]contras!CH45</f>
        <v>0</v>
      </c>
      <c r="BP129" s="36">
        <f>[1]contras!CI45</f>
        <v>297000</v>
      </c>
      <c r="BQ129" s="36">
        <f>[1]contras!CJ45</f>
        <v>0</v>
      </c>
      <c r="BR129" s="36">
        <f>[1]contras!CK45</f>
        <v>0</v>
      </c>
      <c r="BS129" s="36">
        <f>[1]contras!CL45</f>
        <v>0</v>
      </c>
      <c r="BT129" s="36">
        <f>[1]contras!CM45</f>
        <v>0</v>
      </c>
      <c r="BU129" s="36">
        <f>[1]contras!CN45</f>
        <v>0</v>
      </c>
      <c r="BV129" s="36">
        <f>[1]contras!CO45</f>
        <v>356400</v>
      </c>
      <c r="BW129" s="36">
        <f>[1]contras!CP45</f>
        <v>0</v>
      </c>
      <c r="BX129" s="36">
        <f>[1]contras!CQ45</f>
        <v>0</v>
      </c>
      <c r="BY129" s="36">
        <f>[1]contras!CR45</f>
        <v>0</v>
      </c>
      <c r="BZ129" s="36">
        <f>[1]contras!CS45</f>
        <v>0</v>
      </c>
      <c r="CA129" s="36">
        <f>[1]contras!CT45</f>
        <v>0</v>
      </c>
      <c r="CB129" s="36">
        <f>[1]contras!CU45</f>
        <v>742500</v>
      </c>
      <c r="CC129" s="36">
        <f>[1]contras!CV45</f>
        <v>0</v>
      </c>
      <c r="CD129" s="36">
        <f>[1]contras!CW45</f>
        <v>0</v>
      </c>
      <c r="CE129" s="36">
        <f>[1]contras!CX45</f>
        <v>0</v>
      </c>
      <c r="CF129" s="36">
        <f>[1]contras!CY45</f>
        <v>0</v>
      </c>
      <c r="CG129" s="36">
        <f>[1]contras!CZ45</f>
        <v>0</v>
      </c>
      <c r="CH129" s="36">
        <f>[1]contras!DA45</f>
        <v>623700</v>
      </c>
      <c r="CI129" s="36">
        <f>[1]contras!DB45</f>
        <v>0</v>
      </c>
      <c r="CJ129" s="36">
        <f>[1]contras!DC45</f>
        <v>0</v>
      </c>
      <c r="CK129" s="36">
        <f>[1]contras!DD45</f>
        <v>0</v>
      </c>
      <c r="CL129" s="36">
        <f>[1]contras!DE45</f>
        <v>0</v>
      </c>
      <c r="CM129" s="36">
        <f>[1]contras!DF45</f>
        <v>0</v>
      </c>
      <c r="CN129" s="36">
        <f>[1]contras!DG45</f>
        <v>1299375</v>
      </c>
      <c r="CO129" s="36">
        <f>[1]contras!DH45</f>
        <v>0</v>
      </c>
      <c r="CP129" s="36">
        <f>[1]contras!DI45</f>
        <v>0</v>
      </c>
      <c r="CQ129" s="36">
        <f>[1]contras!DJ45</f>
        <v>0</v>
      </c>
      <c r="CR129" s="36">
        <f>[1]contras!DK45</f>
        <v>0</v>
      </c>
      <c r="CS129" s="36">
        <f>[1]contras!DL45</f>
        <v>0</v>
      </c>
      <c r="CT129" s="39"/>
      <c r="CU129" s="39"/>
      <c r="CV129" s="39"/>
      <c r="CW129" s="21"/>
    </row>
    <row r="130" spans="3:101" x14ac:dyDescent="0.25">
      <c r="C130" s="49" t="str">
        <f t="shared" si="285"/>
        <v>NEW PARTNER 2Wholesale</v>
      </c>
      <c r="D130" s="35" t="str">
        <f>[1]Key!C$18</f>
        <v>NEW PARTNER 2</v>
      </c>
      <c r="E130" s="35" t="str">
        <f>[1]Key!D$18</f>
        <v>Wholesale</v>
      </c>
      <c r="F130" s="21"/>
      <c r="G130" s="21"/>
      <c r="H130" s="21"/>
      <c r="I130" s="21"/>
      <c r="J130" s="21"/>
      <c r="K130" s="21"/>
      <c r="L130" s="21"/>
      <c r="M130" s="21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36">
        <f>[1]contras!AS46</f>
        <v>0</v>
      </c>
      <c r="AA130" s="36">
        <f>[1]contras!AT46</f>
        <v>0</v>
      </c>
      <c r="AB130" s="36">
        <f>[1]contras!AU46</f>
        <v>0</v>
      </c>
      <c r="AC130" s="36">
        <f>[1]contras!AV46</f>
        <v>0</v>
      </c>
      <c r="AD130" s="36">
        <f>[1]contras!AW46</f>
        <v>0</v>
      </c>
      <c r="AE130" s="36">
        <f>[1]contras!AX46</f>
        <v>0</v>
      </c>
      <c r="AF130" s="36">
        <f>[1]contras!AY46</f>
        <v>0</v>
      </c>
      <c r="AG130" s="36">
        <f>[1]contras!AZ46</f>
        <v>0</v>
      </c>
      <c r="AH130" s="36">
        <f>[1]contras!BA46</f>
        <v>0</v>
      </c>
      <c r="AI130" s="36">
        <f>[1]contras!BB46</f>
        <v>0</v>
      </c>
      <c r="AJ130" s="36">
        <f>[1]contras!BC46</f>
        <v>0</v>
      </c>
      <c r="AK130" s="36">
        <f>[1]contras!BD46</f>
        <v>0</v>
      </c>
      <c r="AL130" s="36">
        <f>[1]contras!BE46</f>
        <v>0</v>
      </c>
      <c r="AM130" s="36">
        <f>[1]contras!BF46</f>
        <v>0</v>
      </c>
      <c r="AN130" s="36">
        <f>[1]contras!BG46</f>
        <v>0</v>
      </c>
      <c r="AO130" s="36">
        <f>[1]contras!BH46</f>
        <v>0</v>
      </c>
      <c r="AP130" s="36">
        <f>[1]contras!BI46</f>
        <v>0</v>
      </c>
      <c r="AQ130" s="36">
        <f>[1]contras!BJ46</f>
        <v>0</v>
      </c>
      <c r="AR130" s="36">
        <f>[1]contras!BK46</f>
        <v>0</v>
      </c>
      <c r="AS130" s="36">
        <f>[1]contras!BL46</f>
        <v>0</v>
      </c>
      <c r="AT130" s="36">
        <f>[1]contras!BM46</f>
        <v>0</v>
      </c>
      <c r="AU130" s="36">
        <f>[1]contras!BN46</f>
        <v>0</v>
      </c>
      <c r="AV130" s="36">
        <f>[1]contras!BO46</f>
        <v>0</v>
      </c>
      <c r="AW130" s="36">
        <f>[1]contras!BP46</f>
        <v>0</v>
      </c>
      <c r="AX130" s="36">
        <f>[1]contras!BQ46</f>
        <v>143000</v>
      </c>
      <c r="AY130" s="36">
        <f>[1]contras!BR46</f>
        <v>0</v>
      </c>
      <c r="AZ130" s="36">
        <f>[1]contras!BS46</f>
        <v>0</v>
      </c>
      <c r="BA130" s="36">
        <f>[1]contras!BT46</f>
        <v>0</v>
      </c>
      <c r="BB130" s="36">
        <f>[1]contras!BU46</f>
        <v>0</v>
      </c>
      <c r="BC130" s="36">
        <f>[1]contras!BV46</f>
        <v>0</v>
      </c>
      <c r="BD130" s="36">
        <f>[1]contras!BW46</f>
        <v>343200</v>
      </c>
      <c r="BE130" s="36">
        <f>[1]contras!BX46</f>
        <v>0</v>
      </c>
      <c r="BF130" s="36">
        <f>[1]contras!BY46</f>
        <v>0</v>
      </c>
      <c r="BG130" s="36">
        <f>[1]contras!BZ46</f>
        <v>0</v>
      </c>
      <c r="BH130" s="36">
        <f>[1]contras!CA46</f>
        <v>68640</v>
      </c>
      <c r="BI130" s="36">
        <f>[1]contras!CB46</f>
        <v>0</v>
      </c>
      <c r="BJ130" s="36">
        <f>[1]contras!CC46</f>
        <v>429000</v>
      </c>
      <c r="BK130" s="36">
        <f>[1]contras!CD46</f>
        <v>0</v>
      </c>
      <c r="BL130" s="36">
        <f>[1]contras!CE46</f>
        <v>0</v>
      </c>
      <c r="BM130" s="36">
        <f>[1]contras!CF46</f>
        <v>0</v>
      </c>
      <c r="BN130" s="36">
        <f>[1]contras!CG46</f>
        <v>0</v>
      </c>
      <c r="BO130" s="36">
        <f>[1]contras!CH46</f>
        <v>0</v>
      </c>
      <c r="BP130" s="36">
        <f>[1]contras!CI46</f>
        <v>1029600</v>
      </c>
      <c r="BQ130" s="36">
        <f>[1]contras!CJ46</f>
        <v>0</v>
      </c>
      <c r="BR130" s="36">
        <f>[1]contras!CK46</f>
        <v>0</v>
      </c>
      <c r="BS130" s="36">
        <f>[1]contras!CL46</f>
        <v>0</v>
      </c>
      <c r="BT130" s="36">
        <f>[1]contras!CM46</f>
        <v>205920</v>
      </c>
      <c r="BU130" s="36">
        <f>[1]contras!CN46</f>
        <v>0</v>
      </c>
      <c r="BV130" s="36">
        <f>[1]contras!CO46</f>
        <v>1072500</v>
      </c>
      <c r="BW130" s="36">
        <f>[1]contras!CP46</f>
        <v>0</v>
      </c>
      <c r="BX130" s="36">
        <f>[1]contras!CQ46</f>
        <v>0</v>
      </c>
      <c r="BY130" s="36">
        <f>[1]contras!CR46</f>
        <v>0</v>
      </c>
      <c r="BZ130" s="36">
        <f>[1]contras!CS46</f>
        <v>0</v>
      </c>
      <c r="CA130" s="36">
        <f>[1]contras!CT46</f>
        <v>0</v>
      </c>
      <c r="CB130" s="36">
        <f>[1]contras!CU46</f>
        <v>2574000</v>
      </c>
      <c r="CC130" s="36">
        <f>[1]contras!CV46</f>
        <v>0</v>
      </c>
      <c r="CD130" s="36">
        <f>[1]contras!CW46</f>
        <v>0</v>
      </c>
      <c r="CE130" s="36">
        <f>[1]contras!CX46</f>
        <v>0</v>
      </c>
      <c r="CF130" s="36">
        <f>[1]contras!CY46</f>
        <v>514800</v>
      </c>
      <c r="CG130" s="36">
        <f>[1]contras!CZ46</f>
        <v>0</v>
      </c>
      <c r="CH130" s="36">
        <f>[1]contras!DA46</f>
        <v>1876875</v>
      </c>
      <c r="CI130" s="36">
        <f>[1]contras!DB46</f>
        <v>0</v>
      </c>
      <c r="CJ130" s="36">
        <f>[1]contras!DC46</f>
        <v>0</v>
      </c>
      <c r="CK130" s="36">
        <f>[1]contras!DD46</f>
        <v>0</v>
      </c>
      <c r="CL130" s="36">
        <f>[1]contras!DE46</f>
        <v>0</v>
      </c>
      <c r="CM130" s="36">
        <f>[1]contras!DF46</f>
        <v>0</v>
      </c>
      <c r="CN130" s="36">
        <f>[1]contras!DG46</f>
        <v>4504500</v>
      </c>
      <c r="CO130" s="36">
        <f>[1]contras!DH46</f>
        <v>0</v>
      </c>
      <c r="CP130" s="36">
        <f>[1]contras!DI46</f>
        <v>0</v>
      </c>
      <c r="CQ130" s="36">
        <f>[1]contras!DJ46</f>
        <v>0</v>
      </c>
      <c r="CR130" s="36">
        <f>[1]contras!DK46</f>
        <v>900900</v>
      </c>
      <c r="CS130" s="36">
        <f>[1]contras!DL46</f>
        <v>0</v>
      </c>
      <c r="CT130" s="39"/>
      <c r="CU130" s="39"/>
      <c r="CV130" s="39"/>
      <c r="CW130" s="21"/>
    </row>
    <row r="131" spans="3:101" x14ac:dyDescent="0.25">
      <c r="C131" s="49" t="str">
        <f t="shared" si="285"/>
        <v>PIGALLEWholesale</v>
      </c>
      <c r="D131" s="35" t="str">
        <f>[1]Key!C$19</f>
        <v>PIGALLE</v>
      </c>
      <c r="E131" s="35" t="str">
        <f>[1]Key!D$19</f>
        <v>Wholesale</v>
      </c>
      <c r="F131" s="21"/>
      <c r="G131" s="21"/>
      <c r="H131" s="21"/>
      <c r="I131" s="21"/>
      <c r="J131" s="21"/>
      <c r="K131" s="21"/>
      <c r="L131" s="21"/>
      <c r="M131" s="21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36">
        <f>[1]contras!AS47</f>
        <v>0</v>
      </c>
      <c r="AA131" s="36">
        <f>[1]contras!AT47</f>
        <v>0</v>
      </c>
      <c r="AB131" s="36">
        <f>[1]contras!AU47</f>
        <v>0</v>
      </c>
      <c r="AC131" s="36">
        <f>[1]contras!AV47</f>
        <v>0</v>
      </c>
      <c r="AD131" s="36">
        <f>[1]contras!AW47</f>
        <v>0</v>
      </c>
      <c r="AE131" s="36">
        <f>[1]contras!AX47</f>
        <v>0</v>
      </c>
      <c r="AF131" s="36">
        <f>[1]contras!AY47</f>
        <v>0</v>
      </c>
      <c r="AG131" s="36">
        <f>[1]contras!AZ47</f>
        <v>0</v>
      </c>
      <c r="AH131" s="36">
        <f>[1]contras!BA47</f>
        <v>0</v>
      </c>
      <c r="AI131" s="36">
        <f>[1]contras!BB47</f>
        <v>0</v>
      </c>
      <c r="AJ131" s="36">
        <f>[1]contras!BC47</f>
        <v>0</v>
      </c>
      <c r="AK131" s="36">
        <f>[1]contras!BD47</f>
        <v>0</v>
      </c>
      <c r="AL131" s="36">
        <f>[1]contras!BE47</f>
        <v>0</v>
      </c>
      <c r="AM131" s="36">
        <f>[1]contras!BF47</f>
        <v>0</v>
      </c>
      <c r="AN131" s="36">
        <f>[1]contras!BG47</f>
        <v>0</v>
      </c>
      <c r="AO131" s="36">
        <f>[1]contras!BH47</f>
        <v>0</v>
      </c>
      <c r="AP131" s="36">
        <f>[1]contras!BI47</f>
        <v>0</v>
      </c>
      <c r="AQ131" s="36">
        <f>[1]contras!BJ47</f>
        <v>0</v>
      </c>
      <c r="AR131" s="36">
        <f>[1]contras!BK47</f>
        <v>0</v>
      </c>
      <c r="AS131" s="36">
        <f>[1]contras!BL47</f>
        <v>0</v>
      </c>
      <c r="AT131" s="36">
        <f>[1]contras!BM47</f>
        <v>0</v>
      </c>
      <c r="AU131" s="36">
        <f>[1]contras!BN47</f>
        <v>0</v>
      </c>
      <c r="AV131" s="36">
        <f>[1]contras!BO47</f>
        <v>47520</v>
      </c>
      <c r="AW131" s="36">
        <f>[1]contras!BP47</f>
        <v>0</v>
      </c>
      <c r="AX131" s="36">
        <f>[1]contras!BQ47</f>
        <v>0</v>
      </c>
      <c r="AY131" s="36">
        <f>[1]contras!BR47</f>
        <v>0</v>
      </c>
      <c r="AZ131" s="36">
        <f>[1]contras!BS47</f>
        <v>0</v>
      </c>
      <c r="BA131" s="36">
        <f>[1]contras!BT47</f>
        <v>0</v>
      </c>
      <c r="BB131" s="36">
        <f>[1]contras!BU47</f>
        <v>0</v>
      </c>
      <c r="BC131" s="36">
        <f>[1]contras!BV47</f>
        <v>0</v>
      </c>
      <c r="BD131" s="36">
        <f>[1]contras!BW47</f>
        <v>0</v>
      </c>
      <c r="BE131" s="36">
        <f>[1]contras!BX47</f>
        <v>0</v>
      </c>
      <c r="BF131" s="36">
        <f>[1]contras!BY47</f>
        <v>0</v>
      </c>
      <c r="BG131" s="36">
        <f>[1]contras!BZ47</f>
        <v>0</v>
      </c>
      <c r="BH131" s="36">
        <f>[1]contras!CA47</f>
        <v>0</v>
      </c>
      <c r="BI131" s="36">
        <f>[1]contras!CB47</f>
        <v>0</v>
      </c>
      <c r="BJ131" s="36">
        <f>[1]contras!CC47</f>
        <v>0</v>
      </c>
      <c r="BK131" s="36">
        <f>[1]contras!CD47</f>
        <v>0</v>
      </c>
      <c r="BL131" s="36">
        <f>[1]contras!CE47</f>
        <v>0</v>
      </c>
      <c r="BM131" s="36">
        <f>[1]contras!CF47</f>
        <v>0</v>
      </c>
      <c r="BN131" s="36">
        <f>[1]contras!CG47</f>
        <v>0</v>
      </c>
      <c r="BO131" s="36">
        <f>[1]contras!CH47</f>
        <v>0</v>
      </c>
      <c r="BP131" s="36">
        <f>[1]contras!CI47</f>
        <v>0</v>
      </c>
      <c r="BQ131" s="36">
        <f>[1]contras!CJ47</f>
        <v>0</v>
      </c>
      <c r="BR131" s="36">
        <f>[1]contras!CK47</f>
        <v>0</v>
      </c>
      <c r="BS131" s="36">
        <f>[1]contras!CL47</f>
        <v>0</v>
      </c>
      <c r="BT131" s="36">
        <f>[1]contras!CM47</f>
        <v>0</v>
      </c>
      <c r="BU131" s="36">
        <f>[1]contras!CN47</f>
        <v>0</v>
      </c>
      <c r="BV131" s="36">
        <f>[1]contras!CO47</f>
        <v>0</v>
      </c>
      <c r="BW131" s="36">
        <f>[1]contras!CP47</f>
        <v>0</v>
      </c>
      <c r="BX131" s="36">
        <f>[1]contras!CQ47</f>
        <v>0</v>
      </c>
      <c r="BY131" s="36">
        <f>[1]contras!CR47</f>
        <v>0</v>
      </c>
      <c r="BZ131" s="36">
        <f>[1]contras!CS47</f>
        <v>0</v>
      </c>
      <c r="CA131" s="36">
        <f>[1]contras!CT47</f>
        <v>0</v>
      </c>
      <c r="CB131" s="36">
        <f>[1]contras!CU47</f>
        <v>0</v>
      </c>
      <c r="CC131" s="36">
        <f>[1]contras!CV47</f>
        <v>0</v>
      </c>
      <c r="CD131" s="36">
        <f>[1]contras!CW47</f>
        <v>0</v>
      </c>
      <c r="CE131" s="36">
        <f>[1]contras!CX47</f>
        <v>0</v>
      </c>
      <c r="CF131" s="36">
        <f>[1]contras!CY47</f>
        <v>0</v>
      </c>
      <c r="CG131" s="36">
        <f>[1]contras!CZ47</f>
        <v>0</v>
      </c>
      <c r="CH131" s="36">
        <f>[1]contras!DA47</f>
        <v>0</v>
      </c>
      <c r="CI131" s="36">
        <f>[1]contras!DB47</f>
        <v>0</v>
      </c>
      <c r="CJ131" s="36">
        <f>[1]contras!DC47</f>
        <v>0</v>
      </c>
      <c r="CK131" s="36">
        <f>[1]contras!DD47</f>
        <v>0</v>
      </c>
      <c r="CL131" s="36">
        <f>[1]contras!DE47</f>
        <v>0</v>
      </c>
      <c r="CM131" s="36">
        <f>[1]contras!DF47</f>
        <v>0</v>
      </c>
      <c r="CN131" s="36">
        <f>[1]contras!DG47</f>
        <v>0</v>
      </c>
      <c r="CO131" s="36">
        <f>[1]contras!DH47</f>
        <v>0</v>
      </c>
      <c r="CP131" s="36">
        <f>[1]contras!DI47</f>
        <v>0</v>
      </c>
      <c r="CQ131" s="36">
        <f>[1]contras!DJ47</f>
        <v>0</v>
      </c>
      <c r="CR131" s="36">
        <f>[1]contras!DK47</f>
        <v>0</v>
      </c>
      <c r="CS131" s="36">
        <f>[1]contras!DL47</f>
        <v>0</v>
      </c>
      <c r="CT131" s="39"/>
      <c r="CU131" s="39"/>
      <c r="CV131" s="39"/>
      <c r="CW131" s="21"/>
    </row>
    <row r="132" spans="3:101" x14ac:dyDescent="0.25">
      <c r="C132" s="49" t="str">
        <f t="shared" si="285"/>
        <v>SPORT PLACEHOLDERWholesale</v>
      </c>
      <c r="D132" s="35" t="str">
        <f>[1]Key!C$20</f>
        <v>SPORT PLACEHOLDER</v>
      </c>
      <c r="E132" s="35" t="str">
        <f>[1]Key!D$20</f>
        <v>Wholesale</v>
      </c>
      <c r="F132" s="21"/>
      <c r="G132" s="21"/>
      <c r="H132" s="21"/>
      <c r="I132" s="21"/>
      <c r="J132" s="21"/>
      <c r="K132" s="21"/>
      <c r="L132" s="21"/>
      <c r="M132" s="21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36">
        <f>[1]contras!AS48</f>
        <v>0</v>
      </c>
      <c r="AA132" s="36">
        <f>[1]contras!AT48</f>
        <v>0</v>
      </c>
      <c r="AB132" s="36">
        <f>[1]contras!AU48</f>
        <v>0</v>
      </c>
      <c r="AC132" s="36">
        <f>[1]contras!AV48</f>
        <v>0</v>
      </c>
      <c r="AD132" s="36">
        <f>[1]contras!AW48</f>
        <v>0</v>
      </c>
      <c r="AE132" s="36">
        <f>[1]contras!AX48</f>
        <v>0</v>
      </c>
      <c r="AF132" s="36">
        <f>[1]contras!AY48</f>
        <v>0</v>
      </c>
      <c r="AG132" s="36">
        <f>[1]contras!AZ48</f>
        <v>0</v>
      </c>
      <c r="AH132" s="36">
        <f>[1]contras!BA48</f>
        <v>0</v>
      </c>
      <c r="AI132" s="36">
        <f>[1]contras!BB48</f>
        <v>0</v>
      </c>
      <c r="AJ132" s="36">
        <f>[1]contras!BC48</f>
        <v>0</v>
      </c>
      <c r="AK132" s="36">
        <f>[1]contras!BD48</f>
        <v>0</v>
      </c>
      <c r="AL132" s="36">
        <f>[1]contras!BE48</f>
        <v>0</v>
      </c>
      <c r="AM132" s="36">
        <f>[1]contras!BF48</f>
        <v>0</v>
      </c>
      <c r="AN132" s="36">
        <f>[1]contras!BG48</f>
        <v>0</v>
      </c>
      <c r="AO132" s="36">
        <f>[1]contras!BH48</f>
        <v>0</v>
      </c>
      <c r="AP132" s="36">
        <f>[1]contras!BI48</f>
        <v>0</v>
      </c>
      <c r="AQ132" s="36">
        <f>[1]contras!BJ48</f>
        <v>0</v>
      </c>
      <c r="AR132" s="36">
        <f>[1]contras!BK48</f>
        <v>0</v>
      </c>
      <c r="AS132" s="36">
        <f>[1]contras!BL48</f>
        <v>0</v>
      </c>
      <c r="AT132" s="36">
        <f>[1]contras!BM48</f>
        <v>0</v>
      </c>
      <c r="AU132" s="36">
        <f>[1]contras!BN48</f>
        <v>0</v>
      </c>
      <c r="AV132" s="36">
        <f>[1]contras!BO48</f>
        <v>0</v>
      </c>
      <c r="AW132" s="36">
        <f>[1]contras!BP48</f>
        <v>0</v>
      </c>
      <c r="AX132" s="36">
        <f>[1]contras!BQ48</f>
        <v>343200</v>
      </c>
      <c r="AY132" s="36">
        <f>[1]contras!BR48</f>
        <v>0</v>
      </c>
      <c r="AZ132" s="36">
        <f>[1]contras!BS48</f>
        <v>0</v>
      </c>
      <c r="BA132" s="36">
        <f>[1]contras!BT48</f>
        <v>0</v>
      </c>
      <c r="BB132" s="36">
        <f>[1]contras!BU48</f>
        <v>0</v>
      </c>
      <c r="BC132" s="36">
        <f>[1]contras!BV48</f>
        <v>0</v>
      </c>
      <c r="BD132" s="36">
        <f>[1]contras!BW48</f>
        <v>686400</v>
      </c>
      <c r="BE132" s="36">
        <f>[1]contras!BX48</f>
        <v>0</v>
      </c>
      <c r="BF132" s="36">
        <f>[1]contras!BY48</f>
        <v>0</v>
      </c>
      <c r="BG132" s="36">
        <f>[1]contras!BZ48</f>
        <v>0</v>
      </c>
      <c r="BH132" s="36">
        <f>[1]contras!CA48</f>
        <v>0</v>
      </c>
      <c r="BI132" s="36">
        <f>[1]contras!CB48</f>
        <v>0</v>
      </c>
      <c r="BJ132" s="36">
        <f>[1]contras!CC48</f>
        <v>1029600</v>
      </c>
      <c r="BK132" s="36">
        <f>[1]contras!CD48</f>
        <v>0</v>
      </c>
      <c r="BL132" s="36">
        <f>[1]contras!CE48</f>
        <v>0</v>
      </c>
      <c r="BM132" s="36">
        <f>[1]contras!CF48</f>
        <v>0</v>
      </c>
      <c r="BN132" s="36">
        <f>[1]contras!CG48</f>
        <v>0</v>
      </c>
      <c r="BO132" s="36">
        <f>[1]contras!CH48</f>
        <v>0</v>
      </c>
      <c r="BP132" s="36">
        <f>[1]contras!CI48</f>
        <v>2059200</v>
      </c>
      <c r="BQ132" s="36">
        <f>[1]contras!CJ48</f>
        <v>0</v>
      </c>
      <c r="BR132" s="36">
        <f>[1]contras!CK48</f>
        <v>0</v>
      </c>
      <c r="BS132" s="36">
        <f>[1]contras!CL48</f>
        <v>0</v>
      </c>
      <c r="BT132" s="36">
        <f>[1]contras!CM48</f>
        <v>0</v>
      </c>
      <c r="BU132" s="36">
        <f>[1]contras!CN48</f>
        <v>0</v>
      </c>
      <c r="BV132" s="36">
        <f>[1]contras!CO48</f>
        <v>3088800</v>
      </c>
      <c r="BW132" s="36">
        <f>[1]contras!CP48</f>
        <v>0</v>
      </c>
      <c r="BX132" s="36">
        <f>[1]contras!CQ48</f>
        <v>0</v>
      </c>
      <c r="BY132" s="36">
        <f>[1]contras!CR48</f>
        <v>0</v>
      </c>
      <c r="BZ132" s="36">
        <f>[1]contras!CS48</f>
        <v>0</v>
      </c>
      <c r="CA132" s="36">
        <f>[1]contras!CT48</f>
        <v>0</v>
      </c>
      <c r="CB132" s="36">
        <f>[1]contras!CU48</f>
        <v>6177600</v>
      </c>
      <c r="CC132" s="36">
        <f>[1]contras!CV48</f>
        <v>0</v>
      </c>
      <c r="CD132" s="36">
        <f>[1]contras!CW48</f>
        <v>0</v>
      </c>
      <c r="CE132" s="36">
        <f>[1]contras!CX48</f>
        <v>0</v>
      </c>
      <c r="CF132" s="36">
        <f>[1]contras!CY48</f>
        <v>0</v>
      </c>
      <c r="CG132" s="36">
        <f>[1]contras!CZ48</f>
        <v>0</v>
      </c>
      <c r="CH132" s="36">
        <f>[1]contras!DA48</f>
        <v>7722000</v>
      </c>
      <c r="CI132" s="36">
        <f>[1]contras!DB48</f>
        <v>0</v>
      </c>
      <c r="CJ132" s="36">
        <f>[1]contras!DC48</f>
        <v>0</v>
      </c>
      <c r="CK132" s="36">
        <f>[1]contras!DD48</f>
        <v>0</v>
      </c>
      <c r="CL132" s="36">
        <f>[1]contras!DE48</f>
        <v>0</v>
      </c>
      <c r="CM132" s="36">
        <f>[1]contras!DF48</f>
        <v>0</v>
      </c>
      <c r="CN132" s="36">
        <f>[1]contras!DG48</f>
        <v>15444000</v>
      </c>
      <c r="CO132" s="36">
        <f>[1]contras!DH48</f>
        <v>0</v>
      </c>
      <c r="CP132" s="36">
        <f>[1]contras!DI48</f>
        <v>0</v>
      </c>
      <c r="CQ132" s="36">
        <f>[1]contras!DJ48</f>
        <v>0</v>
      </c>
      <c r="CR132" s="36">
        <f>[1]contras!DK48</f>
        <v>0</v>
      </c>
      <c r="CS132" s="36">
        <f>[1]contras!DL48</f>
        <v>0</v>
      </c>
      <c r="CT132" s="39"/>
      <c r="CU132" s="39"/>
      <c r="CV132" s="39"/>
      <c r="CW132" s="21"/>
    </row>
    <row r="133" spans="3:101" x14ac:dyDescent="0.25">
      <c r="C133" s="49" t="str">
        <f t="shared" si="285"/>
        <v>SPUNGEWholesale</v>
      </c>
      <c r="D133" s="35" t="str">
        <f>[1]Key!C$21</f>
        <v>SPUNGE</v>
      </c>
      <c r="E133" s="35" t="str">
        <f>[1]Key!D$21</f>
        <v>Wholesale</v>
      </c>
      <c r="F133" s="21"/>
      <c r="G133" s="21"/>
      <c r="H133" s="21"/>
      <c r="I133" s="21"/>
      <c r="J133" s="21"/>
      <c r="K133" s="21"/>
      <c r="L133" s="21"/>
      <c r="M133" s="21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36">
        <f>[1]contras!AS49</f>
        <v>0</v>
      </c>
      <c r="AA133" s="36">
        <f>[1]contras!AT49</f>
        <v>0</v>
      </c>
      <c r="AB133" s="36">
        <f>[1]contras!AU49</f>
        <v>0</v>
      </c>
      <c r="AC133" s="36">
        <f>[1]contras!AV49</f>
        <v>0</v>
      </c>
      <c r="AD133" s="36">
        <f>[1]contras!AW49</f>
        <v>0</v>
      </c>
      <c r="AE133" s="36">
        <f>[1]contras!AX49</f>
        <v>0</v>
      </c>
      <c r="AF133" s="36">
        <f>[1]contras!AY49</f>
        <v>0</v>
      </c>
      <c r="AG133" s="36">
        <f>[1]contras!AZ49</f>
        <v>0</v>
      </c>
      <c r="AH133" s="36">
        <f>[1]contras!BA49</f>
        <v>0</v>
      </c>
      <c r="AI133" s="36">
        <f>[1]contras!BB49</f>
        <v>0</v>
      </c>
      <c r="AJ133" s="36">
        <f>[1]contras!BC49</f>
        <v>0</v>
      </c>
      <c r="AK133" s="36">
        <f>[1]contras!BD49</f>
        <v>0</v>
      </c>
      <c r="AL133" s="36">
        <f>[1]contras!BE49</f>
        <v>0</v>
      </c>
      <c r="AM133" s="36">
        <f>[1]contras!BF49</f>
        <v>0</v>
      </c>
      <c r="AN133" s="36">
        <f>[1]contras!BG49</f>
        <v>0</v>
      </c>
      <c r="AO133" s="36">
        <f>[1]contras!BH49</f>
        <v>0</v>
      </c>
      <c r="AP133" s="36">
        <f>[1]contras!BI49</f>
        <v>0</v>
      </c>
      <c r="AQ133" s="36">
        <f>[1]contras!BJ49</f>
        <v>0</v>
      </c>
      <c r="AR133" s="36">
        <f>[1]contras!BK49</f>
        <v>0</v>
      </c>
      <c r="AS133" s="36">
        <f>[1]contras!BL49</f>
        <v>0</v>
      </c>
      <c r="AT133" s="36">
        <f>[1]contras!BM49</f>
        <v>0</v>
      </c>
      <c r="AU133" s="36">
        <f>[1]contras!BN49</f>
        <v>0</v>
      </c>
      <c r="AV133" s="36">
        <f>[1]contras!BO49</f>
        <v>23760</v>
      </c>
      <c r="AW133" s="36">
        <f>[1]contras!BP49</f>
        <v>59400</v>
      </c>
      <c r="AX133" s="36">
        <f>[1]contras!BQ49</f>
        <v>0</v>
      </c>
      <c r="AY133" s="36">
        <f>[1]contras!BR49</f>
        <v>291456</v>
      </c>
      <c r="AZ133" s="36">
        <f>[1]contras!BS49</f>
        <v>0</v>
      </c>
      <c r="BA133" s="36">
        <f>[1]contras!BT49</f>
        <v>0</v>
      </c>
      <c r="BB133" s="36">
        <f>[1]contras!BU49</f>
        <v>329472</v>
      </c>
      <c r="BC133" s="36">
        <f>[1]contras!BV49</f>
        <v>0</v>
      </c>
      <c r="BD133" s="36">
        <f>[1]contras!BW49</f>
        <v>380160</v>
      </c>
      <c r="BE133" s="36">
        <f>[1]contras!BX49</f>
        <v>0</v>
      </c>
      <c r="BF133" s="36">
        <f>[1]contras!BY49</f>
        <v>38016</v>
      </c>
      <c r="BG133" s="36">
        <f>[1]contras!BZ49</f>
        <v>0</v>
      </c>
      <c r="BH133" s="36">
        <f>[1]contras!CA49</f>
        <v>506880</v>
      </c>
      <c r="BI133" s="36">
        <f>[1]contras!CB49</f>
        <v>95040</v>
      </c>
      <c r="BJ133" s="36">
        <f>[1]contras!CC49</f>
        <v>0</v>
      </c>
      <c r="BK133" s="36">
        <f>[1]contras!CD49</f>
        <v>874368</v>
      </c>
      <c r="BL133" s="36">
        <f>[1]contras!CE49</f>
        <v>0</v>
      </c>
      <c r="BM133" s="36">
        <f>[1]contras!CF49</f>
        <v>0</v>
      </c>
      <c r="BN133" s="36">
        <f>[1]contras!CG49</f>
        <v>988416</v>
      </c>
      <c r="BO133" s="36">
        <f>[1]contras!CH49</f>
        <v>0</v>
      </c>
      <c r="BP133" s="36">
        <f>[1]contras!CI49</f>
        <v>1140480</v>
      </c>
      <c r="BQ133" s="36">
        <f>[1]contras!CJ49</f>
        <v>0</v>
      </c>
      <c r="BR133" s="36">
        <f>[1]contras!CK49</f>
        <v>114048</v>
      </c>
      <c r="BS133" s="36">
        <f>[1]contras!CL49</f>
        <v>0</v>
      </c>
      <c r="BT133" s="36">
        <f>[1]contras!CM49</f>
        <v>1520640</v>
      </c>
      <c r="BU133" s="36">
        <f>[1]contras!CN49</f>
        <v>285120</v>
      </c>
      <c r="BV133" s="36">
        <f>[1]contras!CO49</f>
        <v>0</v>
      </c>
      <c r="BW133" s="36">
        <f>[1]contras!CP49</f>
        <v>2185920</v>
      </c>
      <c r="BX133" s="36">
        <f>[1]contras!CQ49</f>
        <v>0</v>
      </c>
      <c r="BY133" s="36">
        <f>[1]contras!CR49</f>
        <v>0</v>
      </c>
      <c r="BZ133" s="36">
        <f>[1]contras!CS49</f>
        <v>2471040</v>
      </c>
      <c r="CA133" s="36">
        <f>[1]contras!CT49</f>
        <v>0</v>
      </c>
      <c r="CB133" s="36">
        <f>[1]contras!CU49</f>
        <v>2851200</v>
      </c>
      <c r="CC133" s="36">
        <f>[1]contras!CV49</f>
        <v>0</v>
      </c>
      <c r="CD133" s="36">
        <f>[1]contras!CW49</f>
        <v>285120</v>
      </c>
      <c r="CE133" s="36">
        <f>[1]contras!CX49</f>
        <v>0</v>
      </c>
      <c r="CF133" s="36">
        <f>[1]contras!CY49</f>
        <v>3801600</v>
      </c>
      <c r="CG133" s="36">
        <f>[1]contras!CZ49</f>
        <v>712800</v>
      </c>
      <c r="CH133" s="36">
        <f>[1]contras!DA49</f>
        <v>0</v>
      </c>
      <c r="CI133" s="36">
        <f>[1]contras!DB49</f>
        <v>3825360</v>
      </c>
      <c r="CJ133" s="36">
        <f>[1]contras!DC49</f>
        <v>0</v>
      </c>
      <c r="CK133" s="36">
        <f>[1]contras!DD49</f>
        <v>0</v>
      </c>
      <c r="CL133" s="36">
        <f>[1]contras!DE49</f>
        <v>4324320</v>
      </c>
      <c r="CM133" s="36">
        <f>[1]contras!DF49</f>
        <v>0</v>
      </c>
      <c r="CN133" s="36">
        <f>[1]contras!DG49</f>
        <v>4989600</v>
      </c>
      <c r="CO133" s="36">
        <f>[1]contras!DH49</f>
        <v>0</v>
      </c>
      <c r="CP133" s="36">
        <f>[1]contras!DI49</f>
        <v>498960</v>
      </c>
      <c r="CQ133" s="36">
        <f>[1]contras!DJ49</f>
        <v>0</v>
      </c>
      <c r="CR133" s="36">
        <f>[1]contras!DK49</f>
        <v>6652800</v>
      </c>
      <c r="CS133" s="36">
        <f>[1]contras!DL49</f>
        <v>1247400</v>
      </c>
      <c r="CT133" s="39"/>
      <c r="CU133" s="39"/>
      <c r="CV133" s="39"/>
      <c r="CW133" s="21"/>
    </row>
    <row r="134" spans="3:101" x14ac:dyDescent="0.25">
      <c r="C134" s="49" t="str">
        <f t="shared" si="285"/>
        <v>SUNFLOWERWholesale</v>
      </c>
      <c r="D134" s="35" t="str">
        <f>[1]Key!C$22</f>
        <v>SUNFLOWER</v>
      </c>
      <c r="E134" s="35" t="str">
        <f>[1]Key!D$22</f>
        <v>Wholesale</v>
      </c>
      <c r="F134" s="21"/>
      <c r="G134" s="21"/>
      <c r="H134" s="21"/>
      <c r="I134" s="21"/>
      <c r="J134" s="21"/>
      <c r="K134" s="21"/>
      <c r="L134" s="21"/>
      <c r="M134" s="21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36">
        <f>[1]contras!AS50</f>
        <v>0</v>
      </c>
      <c r="AA134" s="36">
        <f>[1]contras!AT50</f>
        <v>0</v>
      </c>
      <c r="AB134" s="36">
        <f>[1]contras!AU50</f>
        <v>0</v>
      </c>
      <c r="AC134" s="36">
        <f>[1]contras!AV50</f>
        <v>0</v>
      </c>
      <c r="AD134" s="36">
        <f>[1]contras!AW50</f>
        <v>0</v>
      </c>
      <c r="AE134" s="36">
        <f>[1]contras!AX50</f>
        <v>0</v>
      </c>
      <c r="AF134" s="36">
        <f>[1]contras!AY50</f>
        <v>0</v>
      </c>
      <c r="AG134" s="36">
        <f>[1]contras!AZ50</f>
        <v>0</v>
      </c>
      <c r="AH134" s="36">
        <f>[1]contras!BA50</f>
        <v>0</v>
      </c>
      <c r="AI134" s="36">
        <f>[1]contras!BB50</f>
        <v>0</v>
      </c>
      <c r="AJ134" s="36">
        <f>[1]contras!BC50</f>
        <v>0</v>
      </c>
      <c r="AK134" s="36">
        <f>[1]contras!BD50</f>
        <v>0</v>
      </c>
      <c r="AL134" s="36">
        <f>[1]contras!BE50</f>
        <v>0</v>
      </c>
      <c r="AM134" s="36">
        <f>[1]contras!BF50</f>
        <v>487500</v>
      </c>
      <c r="AN134" s="36">
        <f>[1]contras!BG50</f>
        <v>0</v>
      </c>
      <c r="AO134" s="36">
        <f>[1]contras!BH50</f>
        <v>0</v>
      </c>
      <c r="AP134" s="36">
        <f>[1]contras!BI50</f>
        <v>0</v>
      </c>
      <c r="AQ134" s="36">
        <f>[1]contras!BJ50</f>
        <v>0</v>
      </c>
      <c r="AR134" s="36">
        <f>[1]contras!BK50</f>
        <v>0</v>
      </c>
      <c r="AS134" s="36">
        <f>[1]contras!BL50</f>
        <v>975000</v>
      </c>
      <c r="AT134" s="36">
        <f>[1]contras!BM50</f>
        <v>0</v>
      </c>
      <c r="AU134" s="36">
        <f>[1]contras!BN50</f>
        <v>0</v>
      </c>
      <c r="AV134" s="36">
        <f>[1]contras!BO50</f>
        <v>0</v>
      </c>
      <c r="AW134" s="36">
        <f>[1]contras!BP50</f>
        <v>0</v>
      </c>
      <c r="AX134" s="36">
        <f>[1]contras!BQ50</f>
        <v>0</v>
      </c>
      <c r="AY134" s="36">
        <f>[1]contras!BR50</f>
        <v>975000</v>
      </c>
      <c r="AZ134" s="36">
        <f>[1]contras!BS50</f>
        <v>0</v>
      </c>
      <c r="BA134" s="36">
        <f>[1]contras!BT50</f>
        <v>0</v>
      </c>
      <c r="BB134" s="36">
        <f>[1]contras!BU50</f>
        <v>0</v>
      </c>
      <c r="BC134" s="36">
        <f>[1]contras!BV50</f>
        <v>0</v>
      </c>
      <c r="BD134" s="36">
        <f>[1]contras!BW50</f>
        <v>0</v>
      </c>
      <c r="BE134" s="36">
        <f>[1]contras!BX50</f>
        <v>1300000</v>
      </c>
      <c r="BF134" s="36">
        <f>[1]contras!BY50</f>
        <v>0</v>
      </c>
      <c r="BG134" s="36">
        <f>[1]contras!BZ50</f>
        <v>0</v>
      </c>
      <c r="BH134" s="36">
        <f>[1]contras!CA50</f>
        <v>0</v>
      </c>
      <c r="BI134" s="36">
        <f>[1]contras!CB50</f>
        <v>0</v>
      </c>
      <c r="BJ134" s="36">
        <f>[1]contras!CC50</f>
        <v>0</v>
      </c>
      <c r="BK134" s="36">
        <f>[1]contras!CD50</f>
        <v>1950000</v>
      </c>
      <c r="BL134" s="36">
        <f>[1]contras!CE50</f>
        <v>0</v>
      </c>
      <c r="BM134" s="36">
        <f>[1]contras!CF50</f>
        <v>0</v>
      </c>
      <c r="BN134" s="36">
        <f>[1]contras!CG50</f>
        <v>0</v>
      </c>
      <c r="BO134" s="36">
        <f>[1]contras!CH50</f>
        <v>0</v>
      </c>
      <c r="BP134" s="36">
        <f>[1]contras!CI50</f>
        <v>0</v>
      </c>
      <c r="BQ134" s="36">
        <f>[1]contras!CJ50</f>
        <v>2600000</v>
      </c>
      <c r="BR134" s="36">
        <f>[1]contras!CK50</f>
        <v>0</v>
      </c>
      <c r="BS134" s="36">
        <f>[1]contras!CL50</f>
        <v>0</v>
      </c>
      <c r="BT134" s="36">
        <f>[1]contras!CM50</f>
        <v>0</v>
      </c>
      <c r="BU134" s="36">
        <f>[1]contras!CN50</f>
        <v>0</v>
      </c>
      <c r="BV134" s="36">
        <f>[1]contras!CO50</f>
        <v>0</v>
      </c>
      <c r="BW134" s="36">
        <f>[1]contras!CP50</f>
        <v>2925000</v>
      </c>
      <c r="BX134" s="36">
        <f>[1]contras!CQ50</f>
        <v>0</v>
      </c>
      <c r="BY134" s="36">
        <f>[1]contras!CR50</f>
        <v>0</v>
      </c>
      <c r="BZ134" s="36">
        <f>[1]contras!CS50</f>
        <v>0</v>
      </c>
      <c r="CA134" s="36">
        <f>[1]contras!CT50</f>
        <v>0</v>
      </c>
      <c r="CB134" s="36">
        <f>[1]contras!CU50</f>
        <v>0</v>
      </c>
      <c r="CC134" s="36">
        <f>[1]contras!CV50</f>
        <v>3900000</v>
      </c>
      <c r="CD134" s="36">
        <f>[1]contras!CW50</f>
        <v>0</v>
      </c>
      <c r="CE134" s="36">
        <f>[1]contras!CX50</f>
        <v>0</v>
      </c>
      <c r="CF134" s="36">
        <f>[1]contras!CY50</f>
        <v>0</v>
      </c>
      <c r="CG134" s="36">
        <f>[1]contras!CZ50</f>
        <v>0</v>
      </c>
      <c r="CH134" s="36">
        <f>[1]contras!DA50</f>
        <v>0</v>
      </c>
      <c r="CI134" s="36">
        <f>[1]contras!DB50</f>
        <v>3802500</v>
      </c>
      <c r="CJ134" s="36">
        <f>[1]contras!DC50</f>
        <v>0</v>
      </c>
      <c r="CK134" s="36">
        <f>[1]contras!DD50</f>
        <v>0</v>
      </c>
      <c r="CL134" s="36">
        <f>[1]contras!DE50</f>
        <v>0</v>
      </c>
      <c r="CM134" s="36">
        <f>[1]contras!DF50</f>
        <v>0</v>
      </c>
      <c r="CN134" s="36">
        <f>[1]contras!DG50</f>
        <v>0</v>
      </c>
      <c r="CO134" s="36">
        <f>[1]contras!DH50</f>
        <v>5070000</v>
      </c>
      <c r="CP134" s="36">
        <f>[1]contras!DI50</f>
        <v>0</v>
      </c>
      <c r="CQ134" s="36">
        <f>[1]contras!DJ50</f>
        <v>0</v>
      </c>
      <c r="CR134" s="36">
        <f>[1]contras!DK50</f>
        <v>0</v>
      </c>
      <c r="CS134" s="36">
        <f>[1]contras!DL50</f>
        <v>0</v>
      </c>
      <c r="CT134" s="39"/>
      <c r="CU134" s="39"/>
      <c r="CV134" s="39"/>
      <c r="CW134" s="21"/>
    </row>
    <row r="135" spans="3:101" x14ac:dyDescent="0.25">
      <c r="C135" s="49" t="str">
        <f t="shared" si="285"/>
        <v>BARIDTC</v>
      </c>
      <c r="D135" s="35" t="str">
        <f>[1]Key!C$23</f>
        <v>BARI</v>
      </c>
      <c r="E135" s="35" t="str">
        <f>[1]Key!D$23</f>
        <v>DTC</v>
      </c>
      <c r="F135" s="21"/>
      <c r="G135" s="21"/>
      <c r="H135" s="21"/>
      <c r="I135" s="21"/>
      <c r="J135" s="21"/>
      <c r="K135" s="21"/>
      <c r="L135" s="21"/>
      <c r="M135" s="21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36">
        <f>[1]contras!AS51</f>
        <v>0</v>
      </c>
      <c r="AA135" s="36">
        <f>[1]contras!AT51</f>
        <v>0</v>
      </c>
      <c r="AB135" s="36">
        <f>[1]contras!AU51</f>
        <v>0</v>
      </c>
      <c r="AC135" s="36">
        <f>[1]contras!AV51</f>
        <v>0</v>
      </c>
      <c r="AD135" s="36">
        <f>[1]contras!AW51</f>
        <v>0</v>
      </c>
      <c r="AE135" s="36">
        <f>[1]contras!AX51</f>
        <v>0</v>
      </c>
      <c r="AF135" s="36">
        <f>[1]contras!AY51</f>
        <v>0</v>
      </c>
      <c r="AG135" s="36">
        <f>[1]contras!AZ51</f>
        <v>0</v>
      </c>
      <c r="AH135" s="36">
        <f>[1]contras!BA51</f>
        <v>0</v>
      </c>
      <c r="AI135" s="36">
        <f>[1]contras!BB51</f>
        <v>105000</v>
      </c>
      <c r="AJ135" s="36">
        <f>[1]contras!BC51</f>
        <v>105000</v>
      </c>
      <c r="AK135" s="36">
        <f>[1]contras!BD51</f>
        <v>252000</v>
      </c>
      <c r="AL135" s="36">
        <f>[1]contras!BE51</f>
        <v>189000</v>
      </c>
      <c r="AM135" s="36">
        <f>[1]contras!BF51</f>
        <v>0</v>
      </c>
      <c r="AN135" s="36">
        <f>[1]contras!BG51</f>
        <v>189000</v>
      </c>
      <c r="AO135" s="36">
        <f>[1]contras!BH51</f>
        <v>0</v>
      </c>
      <c r="AP135" s="36">
        <f>[1]contras!BI51</f>
        <v>0</v>
      </c>
      <c r="AQ135" s="36">
        <f>[1]contras!BJ51</f>
        <v>378000</v>
      </c>
      <c r="AR135" s="36">
        <f>[1]contras!BK51</f>
        <v>0</v>
      </c>
      <c r="AS135" s="36">
        <f>[1]contras!BL51</f>
        <v>189000</v>
      </c>
      <c r="AT135" s="36">
        <f>[1]contras!BM51</f>
        <v>378000</v>
      </c>
      <c r="AU135" s="36">
        <f>[1]contras!BN51</f>
        <v>378000</v>
      </c>
      <c r="AV135" s="36">
        <f>[1]contras!BO51</f>
        <v>78750</v>
      </c>
      <c r="AW135" s="36">
        <f>[1]contras!BP51</f>
        <v>378000</v>
      </c>
      <c r="AX135" s="36">
        <f>[1]contras!BQ51</f>
        <v>567000</v>
      </c>
      <c r="AY135" s="36">
        <f>[1]contras!BR51</f>
        <v>0</v>
      </c>
      <c r="AZ135" s="36">
        <f>[1]contras!BS51</f>
        <v>378000</v>
      </c>
      <c r="BA135" s="36">
        <f>[1]contras!BT51</f>
        <v>0</v>
      </c>
      <c r="BB135" s="36">
        <f>[1]contras!BU51</f>
        <v>0</v>
      </c>
      <c r="BC135" s="36">
        <f>[1]contras!BV51</f>
        <v>945000</v>
      </c>
      <c r="BD135" s="36">
        <f>[1]contras!BW51</f>
        <v>0</v>
      </c>
      <c r="BE135" s="36">
        <f>[1]contras!BX51</f>
        <v>0</v>
      </c>
      <c r="BF135" s="36">
        <f>[1]contras!BY51</f>
        <v>378000</v>
      </c>
      <c r="BG135" s="36">
        <f>[1]contras!BZ51</f>
        <v>756000</v>
      </c>
      <c r="BH135" s="36">
        <f>[1]contras!CA51</f>
        <v>0</v>
      </c>
      <c r="BI135" s="36">
        <f>[1]contras!CB51</f>
        <v>456750</v>
      </c>
      <c r="BJ135" s="36">
        <f>[1]contras!CC51</f>
        <v>1069200</v>
      </c>
      <c r="BK135" s="36">
        <f>[1]contras!CD51</f>
        <v>0</v>
      </c>
      <c r="BL135" s="36">
        <f>[1]contras!CE51</f>
        <v>712800</v>
      </c>
      <c r="BM135" s="36">
        <f>[1]contras!CF51</f>
        <v>0</v>
      </c>
      <c r="BN135" s="36">
        <f>[1]contras!CG51</f>
        <v>0</v>
      </c>
      <c r="BO135" s="36">
        <f>[1]contras!CH51</f>
        <v>1782000</v>
      </c>
      <c r="BP135" s="36">
        <f>[1]contras!CI51</f>
        <v>0</v>
      </c>
      <c r="BQ135" s="36">
        <f>[1]contras!CJ51</f>
        <v>0</v>
      </c>
      <c r="BR135" s="36">
        <f>[1]contras!CK51</f>
        <v>712800</v>
      </c>
      <c r="BS135" s="36">
        <f>[1]contras!CL51</f>
        <v>1425600</v>
      </c>
      <c r="BT135" s="36">
        <f>[1]contras!CM51</f>
        <v>0</v>
      </c>
      <c r="BU135" s="36">
        <f>[1]contras!CN51</f>
        <v>861300</v>
      </c>
      <c r="BV135" s="36">
        <f>[1]contras!CO51</f>
        <v>1603800</v>
      </c>
      <c r="BW135" s="36">
        <f>[1]contras!CP51</f>
        <v>0</v>
      </c>
      <c r="BX135" s="36">
        <f>[1]contras!CQ51</f>
        <v>1069200</v>
      </c>
      <c r="BY135" s="36">
        <f>[1]contras!CR51</f>
        <v>0</v>
      </c>
      <c r="BZ135" s="36">
        <f>[1]contras!CS51</f>
        <v>0</v>
      </c>
      <c r="CA135" s="36">
        <f>[1]contras!CT51</f>
        <v>2673000</v>
      </c>
      <c r="CB135" s="36">
        <f>[1]contras!CU51</f>
        <v>0</v>
      </c>
      <c r="CC135" s="36">
        <f>[1]contras!CV51</f>
        <v>0</v>
      </c>
      <c r="CD135" s="36">
        <f>[1]contras!CW51</f>
        <v>1069200</v>
      </c>
      <c r="CE135" s="36">
        <f>[1]contras!CX51</f>
        <v>2138400</v>
      </c>
      <c r="CF135" s="36">
        <f>[1]contras!CY51</f>
        <v>0</v>
      </c>
      <c r="CG135" s="36">
        <f>[1]contras!CZ51</f>
        <v>1291950</v>
      </c>
      <c r="CH135" s="36">
        <f>[1]contras!DA51</f>
        <v>2084940</v>
      </c>
      <c r="CI135" s="36">
        <f>[1]contras!DB51</f>
        <v>0</v>
      </c>
      <c r="CJ135" s="36">
        <f>[1]contras!DC51</f>
        <v>1389960</v>
      </c>
      <c r="CK135" s="36">
        <f>[1]contras!DD51</f>
        <v>0</v>
      </c>
      <c r="CL135" s="36">
        <f>[1]contras!DE51</f>
        <v>0</v>
      </c>
      <c r="CM135" s="36">
        <f>[1]contras!DF51</f>
        <v>3474900</v>
      </c>
      <c r="CN135" s="36">
        <f>[1]contras!DG51</f>
        <v>0</v>
      </c>
      <c r="CO135" s="36">
        <f>[1]contras!DH51</f>
        <v>0</v>
      </c>
      <c r="CP135" s="36">
        <f>[1]contras!DI51</f>
        <v>1389960</v>
      </c>
      <c r="CQ135" s="36">
        <f>[1]contras!DJ51</f>
        <v>2779920</v>
      </c>
      <c r="CR135" s="36">
        <f>[1]contras!DK51</f>
        <v>0</v>
      </c>
      <c r="CS135" s="36">
        <f>[1]contras!DL51</f>
        <v>1679535</v>
      </c>
      <c r="CT135" s="39"/>
      <c r="CU135" s="39"/>
      <c r="CV135" s="39"/>
      <c r="CW135" s="21"/>
    </row>
    <row r="136" spans="3:101" x14ac:dyDescent="0.25">
      <c r="C136" s="49" t="str">
        <f t="shared" si="285"/>
        <v>BRAIN DEAD OAKLEYDTC</v>
      </c>
      <c r="D136" s="35" t="str">
        <f>[1]Key!C$24</f>
        <v>BRAIN DEAD OAKLEY</v>
      </c>
      <c r="E136" s="35" t="str">
        <f>[1]Key!D$24</f>
        <v>DTC</v>
      </c>
      <c r="F136" s="21"/>
      <c r="G136" s="21"/>
      <c r="H136" s="21"/>
      <c r="I136" s="21"/>
      <c r="J136" s="21"/>
      <c r="K136" s="21"/>
      <c r="L136" s="21"/>
      <c r="M136" s="21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36">
        <f>[1]contras!AS52</f>
        <v>0</v>
      </c>
      <c r="AA136" s="36">
        <f>[1]contras!AT52</f>
        <v>0</v>
      </c>
      <c r="AB136" s="36">
        <f>[1]contras!AU52</f>
        <v>0</v>
      </c>
      <c r="AC136" s="36">
        <f>[1]contras!AV52</f>
        <v>0</v>
      </c>
      <c r="AD136" s="36">
        <f>[1]contras!AW52</f>
        <v>0</v>
      </c>
      <c r="AE136" s="36">
        <f>[1]contras!AX52</f>
        <v>0</v>
      </c>
      <c r="AF136" s="36">
        <f>[1]contras!AY52</f>
        <v>0</v>
      </c>
      <c r="AG136" s="36">
        <f>[1]contras!AZ52</f>
        <v>0</v>
      </c>
      <c r="AH136" s="36">
        <f>[1]contras!BA52</f>
        <v>0</v>
      </c>
      <c r="AI136" s="36">
        <f>[1]contras!BB52</f>
        <v>0</v>
      </c>
      <c r="AJ136" s="36">
        <f>[1]contras!BC52</f>
        <v>0</v>
      </c>
      <c r="AK136" s="36">
        <f>[1]contras!BD52</f>
        <v>0</v>
      </c>
      <c r="AL136" s="36">
        <f>[1]contras!BE52</f>
        <v>0</v>
      </c>
      <c r="AM136" s="36">
        <f>[1]contras!BF52</f>
        <v>0</v>
      </c>
      <c r="AN136" s="36">
        <f>[1]contras!BG52</f>
        <v>0</v>
      </c>
      <c r="AO136" s="36">
        <f>[1]contras!BH52</f>
        <v>0</v>
      </c>
      <c r="AP136" s="36">
        <f>[1]contras!BI52</f>
        <v>0</v>
      </c>
      <c r="AQ136" s="36">
        <f>[1]contras!BJ52</f>
        <v>0</v>
      </c>
      <c r="AR136" s="36">
        <f>[1]contras!BK52</f>
        <v>0</v>
      </c>
      <c r="AS136" s="36">
        <f>[1]contras!BL52</f>
        <v>0</v>
      </c>
      <c r="AT136" s="36">
        <f>[1]contras!BM52</f>
        <v>0</v>
      </c>
      <c r="AU136" s="36">
        <f>[1]contras!BN52</f>
        <v>0</v>
      </c>
      <c r="AV136" s="36">
        <f>[1]contras!BO52</f>
        <v>0</v>
      </c>
      <c r="AW136" s="36">
        <f>[1]contras!BP52</f>
        <v>0</v>
      </c>
      <c r="AX136" s="36">
        <f>[1]contras!BQ52</f>
        <v>0</v>
      </c>
      <c r="AY136" s="36">
        <f>[1]contras!BR52</f>
        <v>0</v>
      </c>
      <c r="AZ136" s="36">
        <f>[1]contras!BS52</f>
        <v>0</v>
      </c>
      <c r="BA136" s="36">
        <f>[1]contras!BT52</f>
        <v>0</v>
      </c>
      <c r="BB136" s="36">
        <f>[1]contras!BU52</f>
        <v>0</v>
      </c>
      <c r="BC136" s="36">
        <f>[1]contras!BV52</f>
        <v>0</v>
      </c>
      <c r="BD136" s="36">
        <f>[1]contras!BW52</f>
        <v>0</v>
      </c>
      <c r="BE136" s="36">
        <f>[1]contras!BX52</f>
        <v>0</v>
      </c>
      <c r="BF136" s="36">
        <f>[1]contras!BY52</f>
        <v>0</v>
      </c>
      <c r="BG136" s="36">
        <f>[1]contras!BZ52</f>
        <v>0</v>
      </c>
      <c r="BH136" s="36">
        <f>[1]contras!CA52</f>
        <v>0</v>
      </c>
      <c r="BI136" s="36">
        <f>[1]contras!CB52</f>
        <v>0</v>
      </c>
      <c r="BJ136" s="36">
        <f>[1]contras!CC52</f>
        <v>0</v>
      </c>
      <c r="BK136" s="36">
        <f>[1]contras!CD52</f>
        <v>0</v>
      </c>
      <c r="BL136" s="36">
        <f>[1]contras!CE52</f>
        <v>0</v>
      </c>
      <c r="BM136" s="36">
        <f>[1]contras!CF52</f>
        <v>0</v>
      </c>
      <c r="BN136" s="36">
        <f>[1]contras!CG52</f>
        <v>0</v>
      </c>
      <c r="BO136" s="36">
        <f>[1]contras!CH52</f>
        <v>0</v>
      </c>
      <c r="BP136" s="36">
        <f>[1]contras!CI52</f>
        <v>0</v>
      </c>
      <c r="BQ136" s="36">
        <f>[1]contras!CJ52</f>
        <v>0</v>
      </c>
      <c r="BR136" s="36">
        <f>[1]contras!CK52</f>
        <v>0</v>
      </c>
      <c r="BS136" s="36">
        <f>[1]contras!CL52</f>
        <v>0</v>
      </c>
      <c r="BT136" s="36">
        <f>[1]contras!CM52</f>
        <v>0</v>
      </c>
      <c r="BU136" s="36">
        <f>[1]contras!CN52</f>
        <v>0</v>
      </c>
      <c r="BV136" s="36">
        <f>[1]contras!CO52</f>
        <v>0</v>
      </c>
      <c r="BW136" s="36">
        <f>[1]contras!CP52</f>
        <v>0</v>
      </c>
      <c r="BX136" s="36">
        <f>[1]contras!CQ52</f>
        <v>0</v>
      </c>
      <c r="BY136" s="36">
        <f>[1]contras!CR52</f>
        <v>0</v>
      </c>
      <c r="BZ136" s="36">
        <f>[1]contras!CS52</f>
        <v>0</v>
      </c>
      <c r="CA136" s="36">
        <f>[1]contras!CT52</f>
        <v>0</v>
      </c>
      <c r="CB136" s="36">
        <f>[1]contras!CU52</f>
        <v>0</v>
      </c>
      <c r="CC136" s="36">
        <f>[1]contras!CV52</f>
        <v>0</v>
      </c>
      <c r="CD136" s="36">
        <f>[1]contras!CW52</f>
        <v>0</v>
      </c>
      <c r="CE136" s="36">
        <f>[1]contras!CX52</f>
        <v>0</v>
      </c>
      <c r="CF136" s="36">
        <f>[1]contras!CY52</f>
        <v>0</v>
      </c>
      <c r="CG136" s="36">
        <f>[1]contras!CZ52</f>
        <v>0</v>
      </c>
      <c r="CH136" s="36">
        <f>[1]contras!DA52</f>
        <v>0</v>
      </c>
      <c r="CI136" s="36">
        <f>[1]contras!DB52</f>
        <v>0</v>
      </c>
      <c r="CJ136" s="36">
        <f>[1]contras!DC52</f>
        <v>0</v>
      </c>
      <c r="CK136" s="36">
        <f>[1]contras!DD52</f>
        <v>0</v>
      </c>
      <c r="CL136" s="36">
        <f>[1]contras!DE52</f>
        <v>0</v>
      </c>
      <c r="CM136" s="36">
        <f>[1]contras!DF52</f>
        <v>0</v>
      </c>
      <c r="CN136" s="36">
        <f>[1]contras!DG52</f>
        <v>0</v>
      </c>
      <c r="CO136" s="36">
        <f>[1]contras!DH52</f>
        <v>0</v>
      </c>
      <c r="CP136" s="36">
        <f>[1]contras!DI52</f>
        <v>0</v>
      </c>
      <c r="CQ136" s="36">
        <f>[1]contras!DJ52</f>
        <v>0</v>
      </c>
      <c r="CR136" s="36">
        <f>[1]contras!DK52</f>
        <v>0</v>
      </c>
      <c r="CS136" s="36">
        <f>[1]contras!DL52</f>
        <v>0</v>
      </c>
      <c r="CT136" s="39"/>
      <c r="CU136" s="39"/>
      <c r="CV136" s="39"/>
      <c r="CW136" s="21"/>
    </row>
    <row r="137" spans="3:101" x14ac:dyDescent="0.25">
      <c r="C137" s="49" t="str">
        <f t="shared" si="285"/>
        <v>GROWTH "HIT" PHDTC</v>
      </c>
      <c r="D137" s="35" t="str">
        <f>[1]Key!C$25</f>
        <v>GROWTH "HIT" PH</v>
      </c>
      <c r="E137" s="35" t="str">
        <f>[1]Key!D$25</f>
        <v>DTC</v>
      </c>
      <c r="F137" s="21"/>
      <c r="G137" s="21"/>
      <c r="H137" s="21"/>
      <c r="I137" s="21"/>
      <c r="J137" s="21"/>
      <c r="K137" s="21"/>
      <c r="L137" s="21"/>
      <c r="M137" s="21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36">
        <f>[1]contras!AS53</f>
        <v>0</v>
      </c>
      <c r="AA137" s="36">
        <f>[1]contras!AT53</f>
        <v>0</v>
      </c>
      <c r="AB137" s="36">
        <f>[1]contras!AU53</f>
        <v>0</v>
      </c>
      <c r="AC137" s="36">
        <f>[1]contras!AV53</f>
        <v>0</v>
      </c>
      <c r="AD137" s="36">
        <f>[1]contras!AW53</f>
        <v>0</v>
      </c>
      <c r="AE137" s="36">
        <f>[1]contras!AX53</f>
        <v>0</v>
      </c>
      <c r="AF137" s="36">
        <f>[1]contras!AY53</f>
        <v>0</v>
      </c>
      <c r="AG137" s="36">
        <f>[1]contras!AZ53</f>
        <v>0</v>
      </c>
      <c r="AH137" s="36">
        <f>[1]contras!BA53</f>
        <v>0</v>
      </c>
      <c r="AI137" s="36">
        <f>[1]contras!BB53</f>
        <v>0</v>
      </c>
      <c r="AJ137" s="36">
        <f>[1]contras!BC53</f>
        <v>0</v>
      </c>
      <c r="AK137" s="36">
        <f>[1]contras!BD53</f>
        <v>0</v>
      </c>
      <c r="AL137" s="36">
        <f>[1]contras!BE53</f>
        <v>0</v>
      </c>
      <c r="AM137" s="36">
        <f>[1]contras!BF53</f>
        <v>0</v>
      </c>
      <c r="AN137" s="36">
        <f>[1]contras!BG53</f>
        <v>0</v>
      </c>
      <c r="AO137" s="36">
        <f>[1]contras!BH53</f>
        <v>0</v>
      </c>
      <c r="AP137" s="36">
        <f>[1]contras!BI53</f>
        <v>0</v>
      </c>
      <c r="AQ137" s="36">
        <f>[1]contras!BJ53</f>
        <v>0</v>
      </c>
      <c r="AR137" s="36">
        <f>[1]contras!BK53</f>
        <v>0</v>
      </c>
      <c r="AS137" s="36">
        <f>[1]contras!BL53</f>
        <v>0</v>
      </c>
      <c r="AT137" s="36">
        <f>[1]contras!BM53</f>
        <v>0</v>
      </c>
      <c r="AU137" s="36">
        <f>[1]contras!BN53</f>
        <v>588000</v>
      </c>
      <c r="AV137" s="36">
        <f>[1]contras!BO53</f>
        <v>0</v>
      </c>
      <c r="AW137" s="36">
        <f>[1]contras!BP53</f>
        <v>0</v>
      </c>
      <c r="AX137" s="36">
        <f>[1]contras!BQ53</f>
        <v>1260000</v>
      </c>
      <c r="AY137" s="36">
        <f>[1]contras!BR53</f>
        <v>0</v>
      </c>
      <c r="AZ137" s="36">
        <f>[1]contras!BS53</f>
        <v>0</v>
      </c>
      <c r="BA137" s="36">
        <f>[1]contras!BT53</f>
        <v>1260000</v>
      </c>
      <c r="BB137" s="36">
        <f>[1]contras!BU53</f>
        <v>0</v>
      </c>
      <c r="BC137" s="36">
        <f>[1]contras!BV53</f>
        <v>0</v>
      </c>
      <c r="BD137" s="36">
        <f>[1]contras!BW53</f>
        <v>1575000</v>
      </c>
      <c r="BE137" s="36">
        <f>[1]contras!BX53</f>
        <v>0</v>
      </c>
      <c r="BF137" s="36">
        <f>[1]contras!BY53</f>
        <v>0</v>
      </c>
      <c r="BG137" s="36">
        <f>[1]contras!BZ53</f>
        <v>2205000</v>
      </c>
      <c r="BH137" s="36">
        <f>[1]contras!CA53</f>
        <v>0</v>
      </c>
      <c r="BI137" s="36">
        <f>[1]contras!CB53</f>
        <v>0</v>
      </c>
      <c r="BJ137" s="36">
        <f>[1]contras!CC53</f>
        <v>2376000</v>
      </c>
      <c r="BK137" s="36">
        <f>[1]contras!CD53</f>
        <v>0</v>
      </c>
      <c r="BL137" s="36">
        <f>[1]contras!CE53</f>
        <v>0</v>
      </c>
      <c r="BM137" s="36">
        <f>[1]contras!CF53</f>
        <v>2376000</v>
      </c>
      <c r="BN137" s="36">
        <f>[1]contras!CG53</f>
        <v>0</v>
      </c>
      <c r="BO137" s="36">
        <f>[1]contras!CH53</f>
        <v>0</v>
      </c>
      <c r="BP137" s="36">
        <f>[1]contras!CI53</f>
        <v>2970000</v>
      </c>
      <c r="BQ137" s="36">
        <f>[1]contras!CJ53</f>
        <v>0</v>
      </c>
      <c r="BR137" s="36">
        <f>[1]contras!CK53</f>
        <v>0</v>
      </c>
      <c r="BS137" s="36">
        <f>[1]contras!CL53</f>
        <v>4158000</v>
      </c>
      <c r="BT137" s="36">
        <f>[1]contras!CM53</f>
        <v>0</v>
      </c>
      <c r="BU137" s="36">
        <f>[1]contras!CN53</f>
        <v>0</v>
      </c>
      <c r="BV137" s="36">
        <f>[1]contras!CO53</f>
        <v>3564000</v>
      </c>
      <c r="BW137" s="36">
        <f>[1]contras!CP53</f>
        <v>0</v>
      </c>
      <c r="BX137" s="36">
        <f>[1]contras!CQ53</f>
        <v>0</v>
      </c>
      <c r="BY137" s="36">
        <f>[1]contras!CR53</f>
        <v>3564000</v>
      </c>
      <c r="BZ137" s="36">
        <f>[1]contras!CS53</f>
        <v>0</v>
      </c>
      <c r="CA137" s="36">
        <f>[1]contras!CT53</f>
        <v>0</v>
      </c>
      <c r="CB137" s="36">
        <f>[1]contras!CU53</f>
        <v>4455000</v>
      </c>
      <c r="CC137" s="36">
        <f>[1]contras!CV53</f>
        <v>0</v>
      </c>
      <c r="CD137" s="36">
        <f>[1]contras!CW53</f>
        <v>0</v>
      </c>
      <c r="CE137" s="36">
        <f>[1]contras!CX53</f>
        <v>6237000</v>
      </c>
      <c r="CF137" s="36">
        <f>[1]contras!CY53</f>
        <v>0</v>
      </c>
      <c r="CG137" s="36">
        <f>[1]contras!CZ53</f>
        <v>0</v>
      </c>
      <c r="CH137" s="36">
        <f>[1]contras!DA53</f>
        <v>4633200</v>
      </c>
      <c r="CI137" s="36">
        <f>[1]contras!DB53</f>
        <v>0</v>
      </c>
      <c r="CJ137" s="36">
        <f>[1]contras!DC53</f>
        <v>0</v>
      </c>
      <c r="CK137" s="36">
        <f>[1]contras!DD53</f>
        <v>4633200</v>
      </c>
      <c r="CL137" s="36">
        <f>[1]contras!DE53</f>
        <v>0</v>
      </c>
      <c r="CM137" s="36">
        <f>[1]contras!DF53</f>
        <v>0</v>
      </c>
      <c r="CN137" s="36">
        <f>[1]contras!DG53</f>
        <v>5791500</v>
      </c>
      <c r="CO137" s="36">
        <f>[1]contras!DH53</f>
        <v>0</v>
      </c>
      <c r="CP137" s="36">
        <f>[1]contras!DI53</f>
        <v>0</v>
      </c>
      <c r="CQ137" s="36">
        <f>[1]contras!DJ53</f>
        <v>8108100</v>
      </c>
      <c r="CR137" s="36">
        <f>[1]contras!DK53</f>
        <v>0</v>
      </c>
      <c r="CS137" s="36">
        <f>[1]contras!DL53</f>
        <v>0</v>
      </c>
      <c r="CT137" s="39"/>
      <c r="CU137" s="39"/>
      <c r="CV137" s="39"/>
      <c r="CW137" s="21"/>
    </row>
    <row r="138" spans="3:101" x14ac:dyDescent="0.25">
      <c r="C138" s="49" t="str">
        <f t="shared" si="285"/>
        <v>ICE STUDIOSDTC</v>
      </c>
      <c r="D138" s="35" t="str">
        <f>[1]Key!C$26</f>
        <v>ICE STUDIOS</v>
      </c>
      <c r="E138" s="35" t="str">
        <f>[1]Key!D$26</f>
        <v>DTC</v>
      </c>
      <c r="F138" s="21"/>
      <c r="G138" s="21"/>
      <c r="H138" s="21"/>
      <c r="I138" s="21"/>
      <c r="J138" s="21"/>
      <c r="K138" s="21"/>
      <c r="L138" s="21"/>
      <c r="M138" s="21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36">
        <f>[1]contras!AS54</f>
        <v>0</v>
      </c>
      <c r="AA138" s="36">
        <f>[1]contras!AT54</f>
        <v>0</v>
      </c>
      <c r="AB138" s="36">
        <f>[1]contras!AU54</f>
        <v>0</v>
      </c>
      <c r="AC138" s="36">
        <f>[1]contras!AV54</f>
        <v>0</v>
      </c>
      <c r="AD138" s="36">
        <f>[1]contras!AW54</f>
        <v>0</v>
      </c>
      <c r="AE138" s="36">
        <f>[1]contras!AX54</f>
        <v>0</v>
      </c>
      <c r="AF138" s="36">
        <f>[1]contras!AY54</f>
        <v>0</v>
      </c>
      <c r="AG138" s="36">
        <f>[1]contras!AZ54</f>
        <v>0</v>
      </c>
      <c r="AH138" s="36">
        <f>[1]contras!BA54</f>
        <v>0</v>
      </c>
      <c r="AI138" s="36">
        <f>[1]contras!BB54</f>
        <v>0</v>
      </c>
      <c r="AJ138" s="36">
        <f>[1]contras!BC54</f>
        <v>0</v>
      </c>
      <c r="AK138" s="36">
        <f>[1]contras!BD54</f>
        <v>308700</v>
      </c>
      <c r="AL138" s="36">
        <f>[1]contras!BE54</f>
        <v>0</v>
      </c>
      <c r="AM138" s="36">
        <f>[1]contras!BF54</f>
        <v>476280</v>
      </c>
      <c r="AN138" s="36">
        <f>[1]contras!BG54</f>
        <v>0</v>
      </c>
      <c r="AO138" s="36">
        <f>[1]contras!BH54</f>
        <v>0</v>
      </c>
      <c r="AP138" s="36">
        <f>[1]contras!BI54</f>
        <v>0</v>
      </c>
      <c r="AQ138" s="36">
        <f>[1]contras!BJ54</f>
        <v>793800</v>
      </c>
      <c r="AR138" s="36">
        <f>[1]contras!BK54</f>
        <v>0</v>
      </c>
      <c r="AS138" s="36">
        <f>[1]contras!BL54</f>
        <v>0</v>
      </c>
      <c r="AT138" s="36">
        <f>[1]contras!BM54</f>
        <v>1285200</v>
      </c>
      <c r="AU138" s="36">
        <f>[1]contras!BN54</f>
        <v>0</v>
      </c>
      <c r="AV138" s="36">
        <f>[1]contras!BO54</f>
        <v>0</v>
      </c>
      <c r="AW138" s="36">
        <f>[1]contras!BP54</f>
        <v>1547280</v>
      </c>
      <c r="AX138" s="36">
        <f>[1]contras!BQ54</f>
        <v>483840</v>
      </c>
      <c r="AY138" s="36">
        <f>[1]contras!BR54</f>
        <v>786240</v>
      </c>
      <c r="AZ138" s="36">
        <f>[1]contras!BS54</f>
        <v>0</v>
      </c>
      <c r="BA138" s="36">
        <f>[1]contras!BT54</f>
        <v>0</v>
      </c>
      <c r="BB138" s="36">
        <f>[1]contras!BU54</f>
        <v>0</v>
      </c>
      <c r="BC138" s="36">
        <f>[1]contras!BV54</f>
        <v>1270080</v>
      </c>
      <c r="BD138" s="36">
        <f>[1]contras!BW54</f>
        <v>0</v>
      </c>
      <c r="BE138" s="36">
        <f>[1]contras!BX54</f>
        <v>0</v>
      </c>
      <c r="BF138" s="36">
        <f>[1]contras!BY54</f>
        <v>1310400</v>
      </c>
      <c r="BG138" s="36">
        <f>[1]contras!BZ54</f>
        <v>0</v>
      </c>
      <c r="BH138" s="36">
        <f>[1]contras!CA54</f>
        <v>96768</v>
      </c>
      <c r="BI138" s="36">
        <f>[1]contras!CB54</f>
        <v>1310400</v>
      </c>
      <c r="BJ138" s="36">
        <f>[1]contras!CC54</f>
        <v>1140480</v>
      </c>
      <c r="BK138" s="36">
        <f>[1]contras!CD54</f>
        <v>1853280</v>
      </c>
      <c r="BL138" s="36">
        <f>[1]contras!CE54</f>
        <v>0</v>
      </c>
      <c r="BM138" s="36">
        <f>[1]contras!CF54</f>
        <v>0</v>
      </c>
      <c r="BN138" s="36">
        <f>[1]contras!CG54</f>
        <v>0</v>
      </c>
      <c r="BO138" s="36">
        <f>[1]contras!CH54</f>
        <v>2993760</v>
      </c>
      <c r="BP138" s="36">
        <f>[1]contras!CI54</f>
        <v>0</v>
      </c>
      <c r="BQ138" s="36">
        <f>[1]contras!CJ54</f>
        <v>0</v>
      </c>
      <c r="BR138" s="36">
        <f>[1]contras!CK54</f>
        <v>3088800</v>
      </c>
      <c r="BS138" s="36">
        <f>[1]contras!CL54</f>
        <v>0</v>
      </c>
      <c r="BT138" s="36">
        <f>[1]contras!CM54</f>
        <v>228096</v>
      </c>
      <c r="BU138" s="36">
        <f>[1]contras!CN54</f>
        <v>3088800</v>
      </c>
      <c r="BV138" s="36">
        <f>[1]contras!CO54</f>
        <v>2566080</v>
      </c>
      <c r="BW138" s="36">
        <f>[1]contras!CP54</f>
        <v>4169880</v>
      </c>
      <c r="BX138" s="36">
        <f>[1]contras!CQ54</f>
        <v>0</v>
      </c>
      <c r="BY138" s="36">
        <f>[1]contras!CR54</f>
        <v>0</v>
      </c>
      <c r="BZ138" s="36">
        <f>[1]contras!CS54</f>
        <v>0</v>
      </c>
      <c r="CA138" s="36">
        <f>[1]contras!CT54</f>
        <v>6735960</v>
      </c>
      <c r="CB138" s="36">
        <f>[1]contras!CU54</f>
        <v>0</v>
      </c>
      <c r="CC138" s="36">
        <f>[1]contras!CV54</f>
        <v>0</v>
      </c>
      <c r="CD138" s="36">
        <f>[1]contras!CW54</f>
        <v>6949800</v>
      </c>
      <c r="CE138" s="36">
        <f>[1]contras!CX54</f>
        <v>0</v>
      </c>
      <c r="CF138" s="36">
        <f>[1]contras!CY54</f>
        <v>513216</v>
      </c>
      <c r="CG138" s="36">
        <f>[1]contras!CZ54</f>
        <v>6949800</v>
      </c>
      <c r="CH138" s="36">
        <f>[1]contras!DA54</f>
        <v>4490640</v>
      </c>
      <c r="CI138" s="36">
        <f>[1]contras!DB54</f>
        <v>7297290</v>
      </c>
      <c r="CJ138" s="36">
        <f>[1]contras!DC54</f>
        <v>0</v>
      </c>
      <c r="CK138" s="36">
        <f>[1]contras!DD54</f>
        <v>0</v>
      </c>
      <c r="CL138" s="36">
        <f>[1]contras!DE54</f>
        <v>0</v>
      </c>
      <c r="CM138" s="36">
        <f>[1]contras!DF54</f>
        <v>11787930</v>
      </c>
      <c r="CN138" s="36">
        <f>[1]contras!DG54</f>
        <v>0</v>
      </c>
      <c r="CO138" s="36">
        <f>[1]contras!DH54</f>
        <v>0</v>
      </c>
      <c r="CP138" s="36">
        <f>[1]contras!DI54</f>
        <v>12162150</v>
      </c>
      <c r="CQ138" s="36">
        <f>[1]contras!DJ54</f>
        <v>0</v>
      </c>
      <c r="CR138" s="36">
        <f>[1]contras!DK54</f>
        <v>898128</v>
      </c>
      <c r="CS138" s="36">
        <f>[1]contras!DL54</f>
        <v>12162150</v>
      </c>
      <c r="CT138" s="39"/>
      <c r="CU138" s="39"/>
      <c r="CV138" s="39"/>
      <c r="CW138" s="21"/>
    </row>
    <row r="139" spans="3:101" x14ac:dyDescent="0.25">
      <c r="C139" s="49" t="str">
        <f t="shared" si="285"/>
        <v>MURAKAMI / TORITONDTC</v>
      </c>
      <c r="D139" s="35" t="str">
        <f>[1]Key!C$27</f>
        <v>MURAKAMI / TORITON</v>
      </c>
      <c r="E139" s="35" t="str">
        <f>[1]Key!D$27</f>
        <v>DTC</v>
      </c>
      <c r="F139" s="21"/>
      <c r="G139" s="21"/>
      <c r="H139" s="21"/>
      <c r="I139" s="21"/>
      <c r="J139" s="21"/>
      <c r="K139" s="21"/>
      <c r="L139" s="21"/>
      <c r="M139" s="21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36">
        <f>[1]contras!AS55</f>
        <v>0</v>
      </c>
      <c r="AA139" s="36">
        <f>[1]contras!AT55</f>
        <v>0</v>
      </c>
      <c r="AB139" s="36">
        <f>[1]contras!AU55</f>
        <v>0</v>
      </c>
      <c r="AC139" s="36">
        <f>[1]contras!AV55</f>
        <v>0</v>
      </c>
      <c r="AD139" s="36">
        <f>[1]contras!AW55</f>
        <v>0</v>
      </c>
      <c r="AE139" s="36">
        <f>[1]contras!AX55</f>
        <v>63000</v>
      </c>
      <c r="AF139" s="36">
        <f>[1]contras!AY55</f>
        <v>1512000</v>
      </c>
      <c r="AG139" s="36">
        <f>[1]contras!AZ55</f>
        <v>0</v>
      </c>
      <c r="AH139" s="36">
        <f>[1]contras!BA55</f>
        <v>126000</v>
      </c>
      <c r="AI139" s="36">
        <f>[1]contras!BB55</f>
        <v>0</v>
      </c>
      <c r="AJ139" s="36">
        <f>[1]contras!BC55</f>
        <v>189000</v>
      </c>
      <c r="AK139" s="36">
        <f>[1]contras!BD55</f>
        <v>283500</v>
      </c>
      <c r="AL139" s="36">
        <f>[1]contras!BE55</f>
        <v>0</v>
      </c>
      <c r="AM139" s="36">
        <f>[1]contras!BF55</f>
        <v>630000</v>
      </c>
      <c r="AN139" s="36">
        <f>[1]contras!BG55</f>
        <v>189000</v>
      </c>
      <c r="AO139" s="36">
        <f>[1]contras!BH55</f>
        <v>0</v>
      </c>
      <c r="AP139" s="36">
        <f>[1]contras!BI55</f>
        <v>787500</v>
      </c>
      <c r="AQ139" s="36">
        <f>[1]contras!BJ55</f>
        <v>425250</v>
      </c>
      <c r="AR139" s="36">
        <f>[1]contras!BK55</f>
        <v>245700</v>
      </c>
      <c r="AS139" s="36">
        <f>[1]contras!BL55</f>
        <v>932400</v>
      </c>
      <c r="AT139" s="36">
        <f>[1]contras!BM55</f>
        <v>0</v>
      </c>
      <c r="AU139" s="36">
        <f>[1]contras!BN55</f>
        <v>126000</v>
      </c>
      <c r="AV139" s="36">
        <f>[1]contras!BO55</f>
        <v>1020600</v>
      </c>
      <c r="AW139" s="36">
        <f>[1]contras!BP55</f>
        <v>576450</v>
      </c>
      <c r="AX139" s="36">
        <f>[1]contras!BQ55</f>
        <v>189000</v>
      </c>
      <c r="AY139" s="36">
        <f>[1]contras!BR55</f>
        <v>1404900</v>
      </c>
      <c r="AZ139" s="36">
        <f>[1]contras!BS55</f>
        <v>529200</v>
      </c>
      <c r="BA139" s="36">
        <f>[1]contras!BT55</f>
        <v>47250</v>
      </c>
      <c r="BB139" s="36">
        <f>[1]contras!BU55</f>
        <v>1102500</v>
      </c>
      <c r="BC139" s="36">
        <f>[1]contras!BV55</f>
        <v>831600</v>
      </c>
      <c r="BD139" s="36">
        <f>[1]contras!BW55</f>
        <v>189000</v>
      </c>
      <c r="BE139" s="36">
        <f>[1]contras!BX55</f>
        <v>1499400</v>
      </c>
      <c r="BF139" s="36">
        <f>[1]contras!BY55</f>
        <v>529200</v>
      </c>
      <c r="BG139" s="36">
        <f>[1]contras!BZ55</f>
        <v>47250</v>
      </c>
      <c r="BH139" s="36">
        <f>[1]contras!CA55</f>
        <v>995400</v>
      </c>
      <c r="BI139" s="36">
        <f>[1]contras!CB55</f>
        <v>529200</v>
      </c>
      <c r="BJ139" s="36">
        <f>[1]contras!CC55</f>
        <v>445500</v>
      </c>
      <c r="BK139" s="36">
        <f>[1]contras!CD55</f>
        <v>3311550</v>
      </c>
      <c r="BL139" s="36">
        <f>[1]contras!CE55</f>
        <v>1247400</v>
      </c>
      <c r="BM139" s="36">
        <f>[1]contras!CF55</f>
        <v>111375</v>
      </c>
      <c r="BN139" s="36">
        <f>[1]contras!CG55</f>
        <v>2598750</v>
      </c>
      <c r="BO139" s="36">
        <f>[1]contras!CH55</f>
        <v>1960200</v>
      </c>
      <c r="BP139" s="36">
        <f>[1]contras!CI55</f>
        <v>445500</v>
      </c>
      <c r="BQ139" s="36">
        <f>[1]contras!CJ55</f>
        <v>3534300</v>
      </c>
      <c r="BR139" s="36">
        <f>[1]contras!CK55</f>
        <v>1247400</v>
      </c>
      <c r="BS139" s="36">
        <f>[1]contras!CL55</f>
        <v>111375</v>
      </c>
      <c r="BT139" s="36">
        <f>[1]contras!CM55</f>
        <v>2346300</v>
      </c>
      <c r="BU139" s="36">
        <f>[1]contras!CN55</f>
        <v>1247400</v>
      </c>
      <c r="BV139" s="36">
        <f>[1]contras!CO55</f>
        <v>779625</v>
      </c>
      <c r="BW139" s="36">
        <f>[1]contras!CP55</f>
        <v>5795212.5</v>
      </c>
      <c r="BX139" s="36">
        <f>[1]contras!CQ55</f>
        <v>2182950</v>
      </c>
      <c r="BY139" s="36">
        <f>[1]contras!CR55</f>
        <v>194906.25</v>
      </c>
      <c r="BZ139" s="36">
        <f>[1]contras!CS55</f>
        <v>4547812.5</v>
      </c>
      <c r="CA139" s="36">
        <f>[1]contras!CT55</f>
        <v>3430350</v>
      </c>
      <c r="CB139" s="36">
        <f>[1]contras!CU55</f>
        <v>779625</v>
      </c>
      <c r="CC139" s="36">
        <f>[1]contras!CV55</f>
        <v>6185025</v>
      </c>
      <c r="CD139" s="36">
        <f>[1]contras!CW55</f>
        <v>2182950</v>
      </c>
      <c r="CE139" s="36">
        <f>[1]contras!CX55</f>
        <v>194906.25</v>
      </c>
      <c r="CF139" s="36">
        <f>[1]contras!CY55</f>
        <v>4106025</v>
      </c>
      <c r="CG139" s="36">
        <f>[1]contras!CZ55</f>
        <v>2182950</v>
      </c>
      <c r="CH139" s="36">
        <f>[1]contras!DA55</f>
        <v>1169437.5</v>
      </c>
      <c r="CI139" s="36">
        <f>[1]contras!DB55</f>
        <v>8692818.75</v>
      </c>
      <c r="CJ139" s="36">
        <f>[1]contras!DC55</f>
        <v>3274425</v>
      </c>
      <c r="CK139" s="36">
        <f>[1]contras!DD55</f>
        <v>292359.375</v>
      </c>
      <c r="CL139" s="36">
        <f>[1]contras!DE55</f>
        <v>6821718.75</v>
      </c>
      <c r="CM139" s="36">
        <f>[1]contras!DF55</f>
        <v>5145525</v>
      </c>
      <c r="CN139" s="36">
        <f>[1]contras!DG55</f>
        <v>1169437.5</v>
      </c>
      <c r="CO139" s="36">
        <f>[1]contras!DH55</f>
        <v>9277537.5</v>
      </c>
      <c r="CP139" s="36">
        <f>[1]contras!DI55</f>
        <v>3274425</v>
      </c>
      <c r="CQ139" s="36">
        <f>[1]contras!DJ55</f>
        <v>292359.375</v>
      </c>
      <c r="CR139" s="36">
        <f>[1]contras!DK55</f>
        <v>6159037.5</v>
      </c>
      <c r="CS139" s="36">
        <f>[1]contras!DL55</f>
        <v>3274425</v>
      </c>
      <c r="CT139" s="39"/>
      <c r="CU139" s="39"/>
      <c r="CV139" s="39"/>
      <c r="CW139" s="21"/>
    </row>
    <row r="140" spans="3:101" x14ac:dyDescent="0.25">
      <c r="C140" s="49" t="str">
        <f t="shared" si="285"/>
        <v>NEW PARTNER 1DTC</v>
      </c>
      <c r="D140" s="35" t="str">
        <f>[1]Key!C$28</f>
        <v>NEW PARTNER 1</v>
      </c>
      <c r="E140" s="35" t="str">
        <f>[1]Key!D$28</f>
        <v>DTC</v>
      </c>
      <c r="F140" s="21"/>
      <c r="G140" s="21"/>
      <c r="H140" s="21"/>
      <c r="I140" s="21"/>
      <c r="J140" s="21"/>
      <c r="K140" s="21"/>
      <c r="L140" s="21"/>
      <c r="M140" s="21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36">
        <f>[1]contras!AS56</f>
        <v>0</v>
      </c>
      <c r="AA140" s="36">
        <f>[1]contras!AT56</f>
        <v>0</v>
      </c>
      <c r="AB140" s="36">
        <f>[1]contras!AU56</f>
        <v>0</v>
      </c>
      <c r="AC140" s="36">
        <f>[1]contras!AV56</f>
        <v>0</v>
      </c>
      <c r="AD140" s="36">
        <f>[1]contras!AW56</f>
        <v>0</v>
      </c>
      <c r="AE140" s="36">
        <f>[1]contras!AX56</f>
        <v>0</v>
      </c>
      <c r="AF140" s="36">
        <f>[1]contras!AY56</f>
        <v>0</v>
      </c>
      <c r="AG140" s="36">
        <f>[1]contras!AZ56</f>
        <v>0</v>
      </c>
      <c r="AH140" s="36">
        <f>[1]contras!BA56</f>
        <v>0</v>
      </c>
      <c r="AI140" s="36">
        <f>[1]contras!BB56</f>
        <v>0</v>
      </c>
      <c r="AJ140" s="36">
        <f>[1]contras!BC56</f>
        <v>0</v>
      </c>
      <c r="AK140" s="36">
        <f>[1]contras!BD56</f>
        <v>0</v>
      </c>
      <c r="AL140" s="36">
        <f>[1]contras!BE56</f>
        <v>0</v>
      </c>
      <c r="AM140" s="36">
        <f>[1]contras!BF56</f>
        <v>0</v>
      </c>
      <c r="AN140" s="36">
        <f>[1]contras!BG56</f>
        <v>0</v>
      </c>
      <c r="AO140" s="36">
        <f>[1]contras!BH56</f>
        <v>0</v>
      </c>
      <c r="AP140" s="36">
        <f>[1]contras!BI56</f>
        <v>0</v>
      </c>
      <c r="AQ140" s="36">
        <f>[1]contras!BJ56</f>
        <v>0</v>
      </c>
      <c r="AR140" s="36">
        <f>[1]contras!BK56</f>
        <v>0</v>
      </c>
      <c r="AS140" s="36">
        <f>[1]contras!BL56</f>
        <v>0</v>
      </c>
      <c r="AT140" s="36">
        <f>[1]contras!BM56</f>
        <v>0</v>
      </c>
      <c r="AU140" s="36">
        <f>[1]contras!BN56</f>
        <v>0</v>
      </c>
      <c r="AV140" s="36">
        <f>[1]contras!BO56</f>
        <v>0</v>
      </c>
      <c r="AW140" s="36">
        <f>[1]contras!BP56</f>
        <v>0</v>
      </c>
      <c r="AX140" s="36">
        <f>[1]contras!BQ56</f>
        <v>272160</v>
      </c>
      <c r="AY140" s="36">
        <f>[1]contras!BR56</f>
        <v>0</v>
      </c>
      <c r="AZ140" s="36">
        <f>[1]contras!BS56</f>
        <v>0</v>
      </c>
      <c r="BA140" s="36">
        <f>[1]contras!BT56</f>
        <v>0</v>
      </c>
      <c r="BB140" s="36">
        <f>[1]contras!BU56</f>
        <v>0</v>
      </c>
      <c r="BC140" s="36">
        <f>[1]contras!BV56</f>
        <v>0</v>
      </c>
      <c r="BD140" s="36">
        <f>[1]contras!BW56</f>
        <v>567000</v>
      </c>
      <c r="BE140" s="36">
        <f>[1]contras!BX56</f>
        <v>0</v>
      </c>
      <c r="BF140" s="36">
        <f>[1]contras!BY56</f>
        <v>0</v>
      </c>
      <c r="BG140" s="36">
        <f>[1]contras!BZ56</f>
        <v>0</v>
      </c>
      <c r="BH140" s="36">
        <f>[1]contras!CA56</f>
        <v>0</v>
      </c>
      <c r="BI140" s="36">
        <f>[1]contras!CB56</f>
        <v>0</v>
      </c>
      <c r="BJ140" s="36">
        <f>[1]contras!CC56</f>
        <v>769824</v>
      </c>
      <c r="BK140" s="36">
        <f>[1]contras!CD56</f>
        <v>0</v>
      </c>
      <c r="BL140" s="36">
        <f>[1]contras!CE56</f>
        <v>0</v>
      </c>
      <c r="BM140" s="36">
        <f>[1]contras!CF56</f>
        <v>0</v>
      </c>
      <c r="BN140" s="36">
        <f>[1]contras!CG56</f>
        <v>0</v>
      </c>
      <c r="BO140" s="36">
        <f>[1]contras!CH56</f>
        <v>0</v>
      </c>
      <c r="BP140" s="36">
        <f>[1]contras!CI56</f>
        <v>1603800</v>
      </c>
      <c r="BQ140" s="36">
        <f>[1]contras!CJ56</f>
        <v>0</v>
      </c>
      <c r="BR140" s="36">
        <f>[1]contras!CK56</f>
        <v>0</v>
      </c>
      <c r="BS140" s="36">
        <f>[1]contras!CL56</f>
        <v>0</v>
      </c>
      <c r="BT140" s="36">
        <f>[1]contras!CM56</f>
        <v>0</v>
      </c>
      <c r="BU140" s="36">
        <f>[1]contras!CN56</f>
        <v>0</v>
      </c>
      <c r="BV140" s="36">
        <f>[1]contras!CO56</f>
        <v>1924560</v>
      </c>
      <c r="BW140" s="36">
        <f>[1]contras!CP56</f>
        <v>0</v>
      </c>
      <c r="BX140" s="36">
        <f>[1]contras!CQ56</f>
        <v>0</v>
      </c>
      <c r="BY140" s="36">
        <f>[1]contras!CR56</f>
        <v>0</v>
      </c>
      <c r="BZ140" s="36">
        <f>[1]contras!CS56</f>
        <v>0</v>
      </c>
      <c r="CA140" s="36">
        <f>[1]contras!CT56</f>
        <v>0</v>
      </c>
      <c r="CB140" s="36">
        <f>[1]contras!CU56</f>
        <v>4009500</v>
      </c>
      <c r="CC140" s="36">
        <f>[1]contras!CV56</f>
        <v>0</v>
      </c>
      <c r="CD140" s="36">
        <f>[1]contras!CW56</f>
        <v>0</v>
      </c>
      <c r="CE140" s="36">
        <f>[1]contras!CX56</f>
        <v>0</v>
      </c>
      <c r="CF140" s="36">
        <f>[1]contras!CY56</f>
        <v>0</v>
      </c>
      <c r="CG140" s="36">
        <f>[1]contras!CZ56</f>
        <v>0</v>
      </c>
      <c r="CH140" s="36">
        <f>[1]contras!DA56</f>
        <v>3367980</v>
      </c>
      <c r="CI140" s="36">
        <f>[1]contras!DB56</f>
        <v>0</v>
      </c>
      <c r="CJ140" s="36">
        <f>[1]contras!DC56</f>
        <v>0</v>
      </c>
      <c r="CK140" s="36">
        <f>[1]contras!DD56</f>
        <v>0</v>
      </c>
      <c r="CL140" s="36">
        <f>[1]contras!DE56</f>
        <v>0</v>
      </c>
      <c r="CM140" s="36">
        <f>[1]contras!DF56</f>
        <v>0</v>
      </c>
      <c r="CN140" s="36">
        <f>[1]contras!DG56</f>
        <v>7016625</v>
      </c>
      <c r="CO140" s="36">
        <f>[1]contras!DH56</f>
        <v>0</v>
      </c>
      <c r="CP140" s="36">
        <f>[1]contras!DI56</f>
        <v>0</v>
      </c>
      <c r="CQ140" s="36">
        <f>[1]contras!DJ56</f>
        <v>0</v>
      </c>
      <c r="CR140" s="36">
        <f>[1]contras!DK56</f>
        <v>0</v>
      </c>
      <c r="CS140" s="36">
        <f>[1]contras!DL56</f>
        <v>0</v>
      </c>
      <c r="CT140" s="39"/>
      <c r="CU140" s="39"/>
      <c r="CV140" s="39"/>
      <c r="CW140" s="21"/>
    </row>
    <row r="141" spans="3:101" x14ac:dyDescent="0.25">
      <c r="C141" s="49" t="str">
        <f t="shared" si="285"/>
        <v>NEW PARTNER 2DTC</v>
      </c>
      <c r="D141" s="35" t="str">
        <f>[1]Key!C$29</f>
        <v>NEW PARTNER 2</v>
      </c>
      <c r="E141" s="35" t="str">
        <f>[1]Key!D$29</f>
        <v>DTC</v>
      </c>
      <c r="F141" s="21"/>
      <c r="G141" s="21"/>
      <c r="H141" s="21"/>
      <c r="I141" s="21"/>
      <c r="J141" s="21"/>
      <c r="K141" s="21"/>
      <c r="L141" s="21"/>
      <c r="M141" s="21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36">
        <f>[1]contras!AS57</f>
        <v>0</v>
      </c>
      <c r="AA141" s="36">
        <f>[1]contras!AT57</f>
        <v>0</v>
      </c>
      <c r="AB141" s="36">
        <f>[1]contras!AU57</f>
        <v>0</v>
      </c>
      <c r="AC141" s="36">
        <f>[1]contras!AV57</f>
        <v>0</v>
      </c>
      <c r="AD141" s="36">
        <f>[1]contras!AW57</f>
        <v>0</v>
      </c>
      <c r="AE141" s="36">
        <f>[1]contras!AX57</f>
        <v>0</v>
      </c>
      <c r="AF141" s="36">
        <f>[1]contras!AY57</f>
        <v>0</v>
      </c>
      <c r="AG141" s="36">
        <f>[1]contras!AZ57</f>
        <v>0</v>
      </c>
      <c r="AH141" s="36">
        <f>[1]contras!BA57</f>
        <v>0</v>
      </c>
      <c r="AI141" s="36">
        <f>[1]contras!BB57</f>
        <v>0</v>
      </c>
      <c r="AJ141" s="36">
        <f>[1]contras!BC57</f>
        <v>0</v>
      </c>
      <c r="AK141" s="36">
        <f>[1]contras!BD57</f>
        <v>0</v>
      </c>
      <c r="AL141" s="36">
        <f>[1]contras!BE57</f>
        <v>0</v>
      </c>
      <c r="AM141" s="36">
        <f>[1]contras!BF57</f>
        <v>0</v>
      </c>
      <c r="AN141" s="36">
        <f>[1]contras!BG57</f>
        <v>0</v>
      </c>
      <c r="AO141" s="36">
        <f>[1]contras!BH57</f>
        <v>0</v>
      </c>
      <c r="AP141" s="36">
        <f>[1]contras!BI57</f>
        <v>0</v>
      </c>
      <c r="AQ141" s="36">
        <f>[1]contras!BJ57</f>
        <v>0</v>
      </c>
      <c r="AR141" s="36">
        <f>[1]contras!BK57</f>
        <v>0</v>
      </c>
      <c r="AS141" s="36">
        <f>[1]contras!BL57</f>
        <v>0</v>
      </c>
      <c r="AT141" s="36">
        <f>[1]contras!BM57</f>
        <v>0</v>
      </c>
      <c r="AU141" s="36">
        <f>[1]contras!BN57</f>
        <v>0</v>
      </c>
      <c r="AV141" s="36">
        <f>[1]contras!BO57</f>
        <v>0</v>
      </c>
      <c r="AW141" s="36">
        <f>[1]contras!BP57</f>
        <v>0</v>
      </c>
      <c r="AX141" s="36">
        <f>[1]contras!BQ57</f>
        <v>273000</v>
      </c>
      <c r="AY141" s="36">
        <f>[1]contras!BR57</f>
        <v>0</v>
      </c>
      <c r="AZ141" s="36">
        <f>[1]contras!BS57</f>
        <v>0</v>
      </c>
      <c r="BA141" s="36">
        <f>[1]contras!BT57</f>
        <v>0</v>
      </c>
      <c r="BB141" s="36">
        <f>[1]contras!BU57</f>
        <v>0</v>
      </c>
      <c r="BC141" s="36">
        <f>[1]contras!BV57</f>
        <v>0</v>
      </c>
      <c r="BD141" s="36">
        <f>[1]contras!BW57</f>
        <v>655200</v>
      </c>
      <c r="BE141" s="36">
        <f>[1]contras!BX57</f>
        <v>0</v>
      </c>
      <c r="BF141" s="36">
        <f>[1]contras!BY57</f>
        <v>0</v>
      </c>
      <c r="BG141" s="36">
        <f>[1]contras!BZ57</f>
        <v>0</v>
      </c>
      <c r="BH141" s="36">
        <f>[1]contras!CA57</f>
        <v>131040</v>
      </c>
      <c r="BI141" s="36">
        <f>[1]contras!CB57</f>
        <v>0</v>
      </c>
      <c r="BJ141" s="36">
        <f>[1]contras!CC57</f>
        <v>772200</v>
      </c>
      <c r="BK141" s="36">
        <f>[1]contras!CD57</f>
        <v>0</v>
      </c>
      <c r="BL141" s="36">
        <f>[1]contras!CE57</f>
        <v>0</v>
      </c>
      <c r="BM141" s="36">
        <f>[1]contras!CF57</f>
        <v>0</v>
      </c>
      <c r="BN141" s="36">
        <f>[1]contras!CG57</f>
        <v>0</v>
      </c>
      <c r="BO141" s="36">
        <f>[1]contras!CH57</f>
        <v>0</v>
      </c>
      <c r="BP141" s="36">
        <f>[1]contras!CI57</f>
        <v>1853280</v>
      </c>
      <c r="BQ141" s="36">
        <f>[1]contras!CJ57</f>
        <v>0</v>
      </c>
      <c r="BR141" s="36">
        <f>[1]contras!CK57</f>
        <v>0</v>
      </c>
      <c r="BS141" s="36">
        <f>[1]contras!CL57</f>
        <v>0</v>
      </c>
      <c r="BT141" s="36">
        <f>[1]contras!CM57</f>
        <v>370656</v>
      </c>
      <c r="BU141" s="36">
        <f>[1]contras!CN57</f>
        <v>0</v>
      </c>
      <c r="BV141" s="36">
        <f>[1]contras!CO57</f>
        <v>1930500</v>
      </c>
      <c r="BW141" s="36">
        <f>[1]contras!CP57</f>
        <v>0</v>
      </c>
      <c r="BX141" s="36">
        <f>[1]contras!CQ57</f>
        <v>0</v>
      </c>
      <c r="BY141" s="36">
        <f>[1]contras!CR57</f>
        <v>0</v>
      </c>
      <c r="BZ141" s="36">
        <f>[1]contras!CS57</f>
        <v>0</v>
      </c>
      <c r="CA141" s="36">
        <f>[1]contras!CT57</f>
        <v>0</v>
      </c>
      <c r="CB141" s="36">
        <f>[1]contras!CU57</f>
        <v>4633200</v>
      </c>
      <c r="CC141" s="36">
        <f>[1]contras!CV57</f>
        <v>0</v>
      </c>
      <c r="CD141" s="36">
        <f>[1]contras!CW57</f>
        <v>0</v>
      </c>
      <c r="CE141" s="36">
        <f>[1]contras!CX57</f>
        <v>0</v>
      </c>
      <c r="CF141" s="36">
        <f>[1]contras!CY57</f>
        <v>926640</v>
      </c>
      <c r="CG141" s="36">
        <f>[1]contras!CZ57</f>
        <v>0</v>
      </c>
      <c r="CH141" s="36">
        <f>[1]contras!DA57</f>
        <v>3378375</v>
      </c>
      <c r="CI141" s="36">
        <f>[1]contras!DB57</f>
        <v>0</v>
      </c>
      <c r="CJ141" s="36">
        <f>[1]contras!DC57</f>
        <v>0</v>
      </c>
      <c r="CK141" s="36">
        <f>[1]contras!DD57</f>
        <v>0</v>
      </c>
      <c r="CL141" s="36">
        <f>[1]contras!DE57</f>
        <v>0</v>
      </c>
      <c r="CM141" s="36">
        <f>[1]contras!DF57</f>
        <v>0</v>
      </c>
      <c r="CN141" s="36">
        <f>[1]contras!DG57</f>
        <v>8108100</v>
      </c>
      <c r="CO141" s="36">
        <f>[1]contras!DH57</f>
        <v>0</v>
      </c>
      <c r="CP141" s="36">
        <f>[1]contras!DI57</f>
        <v>0</v>
      </c>
      <c r="CQ141" s="36">
        <f>[1]contras!DJ57</f>
        <v>0</v>
      </c>
      <c r="CR141" s="36">
        <f>[1]contras!DK57</f>
        <v>1621620</v>
      </c>
      <c r="CS141" s="36">
        <f>[1]contras!DL57</f>
        <v>0</v>
      </c>
      <c r="CT141" s="39"/>
      <c r="CU141" s="39"/>
      <c r="CV141" s="39"/>
      <c r="CW141" s="21"/>
    </row>
    <row r="142" spans="3:101" x14ac:dyDescent="0.25">
      <c r="C142" s="49" t="str">
        <f t="shared" si="285"/>
        <v>PIGALLEDTC</v>
      </c>
      <c r="D142" s="35" t="str">
        <f>[1]Key!C$30</f>
        <v>PIGALLE</v>
      </c>
      <c r="E142" s="35" t="str">
        <f>[1]Key!D$30</f>
        <v>DTC</v>
      </c>
      <c r="F142" s="21"/>
      <c r="G142" s="21"/>
      <c r="H142" s="21"/>
      <c r="I142" s="21"/>
      <c r="J142" s="21"/>
      <c r="K142" s="21"/>
      <c r="L142" s="21"/>
      <c r="M142" s="21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36">
        <f>[1]contras!AS58</f>
        <v>0</v>
      </c>
      <c r="AA142" s="36">
        <f>[1]contras!AT58</f>
        <v>0</v>
      </c>
      <c r="AB142" s="36">
        <f>[1]contras!AU58</f>
        <v>0</v>
      </c>
      <c r="AC142" s="36">
        <f>[1]contras!AV58</f>
        <v>0</v>
      </c>
      <c r="AD142" s="36">
        <f>[1]contras!AW58</f>
        <v>0</v>
      </c>
      <c r="AE142" s="36">
        <f>[1]contras!AX58</f>
        <v>0</v>
      </c>
      <c r="AF142" s="36">
        <f>[1]contras!AY58</f>
        <v>0</v>
      </c>
      <c r="AG142" s="36">
        <f>[1]contras!AZ58</f>
        <v>0</v>
      </c>
      <c r="AH142" s="36">
        <f>[1]contras!BA58</f>
        <v>0</v>
      </c>
      <c r="AI142" s="36">
        <f>[1]contras!BB58</f>
        <v>0</v>
      </c>
      <c r="AJ142" s="36">
        <f>[1]contras!BC58</f>
        <v>0</v>
      </c>
      <c r="AK142" s="36">
        <f>[1]contras!BD58</f>
        <v>0</v>
      </c>
      <c r="AL142" s="36">
        <f>[1]contras!BE58</f>
        <v>0</v>
      </c>
      <c r="AM142" s="36">
        <f>[1]contras!BF58</f>
        <v>0</v>
      </c>
      <c r="AN142" s="36">
        <f>[1]contras!BG58</f>
        <v>0</v>
      </c>
      <c r="AO142" s="36">
        <f>[1]contras!BH58</f>
        <v>0</v>
      </c>
      <c r="AP142" s="36">
        <f>[1]contras!BI58</f>
        <v>90720</v>
      </c>
      <c r="AQ142" s="36">
        <f>[1]contras!BJ58</f>
        <v>0</v>
      </c>
      <c r="AR142" s="36">
        <f>[1]contras!BK58</f>
        <v>181440</v>
      </c>
      <c r="AS142" s="36">
        <f>[1]contras!BL58</f>
        <v>0</v>
      </c>
      <c r="AT142" s="36">
        <f>[1]contras!BM58</f>
        <v>0</v>
      </c>
      <c r="AU142" s="36">
        <f>[1]contras!BN58</f>
        <v>0</v>
      </c>
      <c r="AV142" s="36">
        <f>[1]contras!BO58</f>
        <v>272160</v>
      </c>
      <c r="AW142" s="36">
        <f>[1]contras!BP58</f>
        <v>0</v>
      </c>
      <c r="AX142" s="36">
        <f>[1]contras!BQ58</f>
        <v>0</v>
      </c>
      <c r="AY142" s="36">
        <f>[1]contras!BR58</f>
        <v>362880</v>
      </c>
      <c r="AZ142" s="36">
        <f>[1]contras!BS58</f>
        <v>0</v>
      </c>
      <c r="BA142" s="36">
        <f>[1]contras!BT58</f>
        <v>0</v>
      </c>
      <c r="BB142" s="36">
        <f>[1]contras!BU58</f>
        <v>362880</v>
      </c>
      <c r="BC142" s="36">
        <f>[1]contras!BV58</f>
        <v>0</v>
      </c>
      <c r="BD142" s="36">
        <f>[1]contras!BW58</f>
        <v>0</v>
      </c>
      <c r="BE142" s="36">
        <f>[1]contras!BX58</f>
        <v>362880</v>
      </c>
      <c r="BF142" s="36">
        <f>[1]contras!BY58</f>
        <v>0</v>
      </c>
      <c r="BG142" s="36">
        <f>[1]contras!BZ58</f>
        <v>0</v>
      </c>
      <c r="BH142" s="36">
        <f>[1]contras!CA58</f>
        <v>362880</v>
      </c>
      <c r="BI142" s="36">
        <f>[1]contras!CB58</f>
        <v>0</v>
      </c>
      <c r="BJ142" s="36">
        <f>[1]contras!CC58</f>
        <v>0</v>
      </c>
      <c r="BK142" s="36">
        <f>[1]contras!CD58</f>
        <v>684288</v>
      </c>
      <c r="BL142" s="36">
        <f>[1]contras!CE58</f>
        <v>0</v>
      </c>
      <c r="BM142" s="36">
        <f>[1]contras!CF58</f>
        <v>0</v>
      </c>
      <c r="BN142" s="36">
        <f>[1]contras!CG58</f>
        <v>684288</v>
      </c>
      <c r="BO142" s="36">
        <f>[1]contras!CH58</f>
        <v>0</v>
      </c>
      <c r="BP142" s="36">
        <f>[1]contras!CI58</f>
        <v>0</v>
      </c>
      <c r="BQ142" s="36">
        <f>[1]contras!CJ58</f>
        <v>684288</v>
      </c>
      <c r="BR142" s="36">
        <f>[1]contras!CK58</f>
        <v>0</v>
      </c>
      <c r="BS142" s="36">
        <f>[1]contras!CL58</f>
        <v>0</v>
      </c>
      <c r="BT142" s="36">
        <f>[1]contras!CM58</f>
        <v>684288</v>
      </c>
      <c r="BU142" s="36">
        <f>[1]contras!CN58</f>
        <v>0</v>
      </c>
      <c r="BV142" s="36">
        <f>[1]contras!CO58</f>
        <v>0</v>
      </c>
      <c r="BW142" s="36">
        <f>[1]contras!CP58</f>
        <v>1026432</v>
      </c>
      <c r="BX142" s="36">
        <f>[1]contras!CQ58</f>
        <v>0</v>
      </c>
      <c r="BY142" s="36">
        <f>[1]contras!CR58</f>
        <v>0</v>
      </c>
      <c r="BZ142" s="36">
        <f>[1]contras!CS58</f>
        <v>1026432</v>
      </c>
      <c r="CA142" s="36">
        <f>[1]contras!CT58</f>
        <v>0</v>
      </c>
      <c r="CB142" s="36">
        <f>[1]contras!CU58</f>
        <v>0</v>
      </c>
      <c r="CC142" s="36">
        <f>[1]contras!CV58</f>
        <v>1026432</v>
      </c>
      <c r="CD142" s="36">
        <f>[1]contras!CW58</f>
        <v>0</v>
      </c>
      <c r="CE142" s="36">
        <f>[1]contras!CX58</f>
        <v>0</v>
      </c>
      <c r="CF142" s="36">
        <f>[1]contras!CY58</f>
        <v>1026432</v>
      </c>
      <c r="CG142" s="36">
        <f>[1]contras!CZ58</f>
        <v>0</v>
      </c>
      <c r="CH142" s="36">
        <f>[1]contras!DA58</f>
        <v>0</v>
      </c>
      <c r="CI142" s="36">
        <f>[1]contras!DB58</f>
        <v>1334361.6000000001</v>
      </c>
      <c r="CJ142" s="36">
        <f>[1]contras!DC58</f>
        <v>0</v>
      </c>
      <c r="CK142" s="36">
        <f>[1]contras!DD58</f>
        <v>0</v>
      </c>
      <c r="CL142" s="36">
        <f>[1]contras!DE58</f>
        <v>1334361.6000000001</v>
      </c>
      <c r="CM142" s="36">
        <f>[1]contras!DF58</f>
        <v>0</v>
      </c>
      <c r="CN142" s="36">
        <f>[1]contras!DG58</f>
        <v>0</v>
      </c>
      <c r="CO142" s="36">
        <f>[1]contras!DH58</f>
        <v>1334361.6000000001</v>
      </c>
      <c r="CP142" s="36">
        <f>[1]contras!DI58</f>
        <v>0</v>
      </c>
      <c r="CQ142" s="36">
        <f>[1]contras!DJ58</f>
        <v>0</v>
      </c>
      <c r="CR142" s="36">
        <f>[1]contras!DK58</f>
        <v>1334361.6000000001</v>
      </c>
      <c r="CS142" s="36">
        <f>[1]contras!DL58</f>
        <v>0</v>
      </c>
      <c r="CT142" s="39"/>
      <c r="CU142" s="39"/>
      <c r="CV142" s="39"/>
      <c r="CW142" s="21"/>
    </row>
    <row r="143" spans="3:101" x14ac:dyDescent="0.25">
      <c r="C143" s="49" t="str">
        <f t="shared" si="285"/>
        <v>SPORT PLACEHOLDERDTC</v>
      </c>
      <c r="D143" s="35" t="str">
        <f>[1]Key!C$31</f>
        <v>SPORT PLACEHOLDER</v>
      </c>
      <c r="E143" s="35" t="str">
        <f>[1]Key!D$31</f>
        <v>DTC</v>
      </c>
      <c r="F143" s="21"/>
      <c r="G143" s="21"/>
      <c r="H143" s="21"/>
      <c r="I143" s="21"/>
      <c r="J143" s="21"/>
      <c r="K143" s="21"/>
      <c r="L143" s="21"/>
      <c r="M143" s="21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36">
        <f>[1]contras!AS59</f>
        <v>0</v>
      </c>
      <c r="AA143" s="36">
        <f>[1]contras!AT59</f>
        <v>0</v>
      </c>
      <c r="AB143" s="36">
        <f>[1]contras!AU59</f>
        <v>0</v>
      </c>
      <c r="AC143" s="36">
        <f>[1]contras!AV59</f>
        <v>0</v>
      </c>
      <c r="AD143" s="36">
        <f>[1]contras!AW59</f>
        <v>0</v>
      </c>
      <c r="AE143" s="36">
        <f>[1]contras!AX59</f>
        <v>0</v>
      </c>
      <c r="AF143" s="36">
        <f>[1]contras!AY59</f>
        <v>0</v>
      </c>
      <c r="AG143" s="36">
        <f>[1]contras!AZ59</f>
        <v>0</v>
      </c>
      <c r="AH143" s="36">
        <f>[1]contras!BA59</f>
        <v>0</v>
      </c>
      <c r="AI143" s="36">
        <f>[1]contras!BB59</f>
        <v>0</v>
      </c>
      <c r="AJ143" s="36">
        <f>[1]contras!BC59</f>
        <v>0</v>
      </c>
      <c r="AK143" s="36">
        <f>[1]contras!BD59</f>
        <v>0</v>
      </c>
      <c r="AL143" s="36">
        <f>[1]contras!BE59</f>
        <v>0</v>
      </c>
      <c r="AM143" s="36">
        <f>[1]contras!BF59</f>
        <v>0</v>
      </c>
      <c r="AN143" s="36">
        <f>[1]contras!BG59</f>
        <v>0</v>
      </c>
      <c r="AO143" s="36">
        <f>[1]contras!BH59</f>
        <v>0</v>
      </c>
      <c r="AP143" s="36">
        <f>[1]contras!BI59</f>
        <v>0</v>
      </c>
      <c r="AQ143" s="36">
        <f>[1]contras!BJ59</f>
        <v>0</v>
      </c>
      <c r="AR143" s="36">
        <f>[1]contras!BK59</f>
        <v>0</v>
      </c>
      <c r="AS143" s="36">
        <f>[1]contras!BL59</f>
        <v>0</v>
      </c>
      <c r="AT143" s="36">
        <f>[1]contras!BM59</f>
        <v>0</v>
      </c>
      <c r="AU143" s="36">
        <f>[1]contras!BN59</f>
        <v>0</v>
      </c>
      <c r="AV143" s="36">
        <f>[1]contras!BO59</f>
        <v>0</v>
      </c>
      <c r="AW143" s="36">
        <f>[1]contras!BP59</f>
        <v>0</v>
      </c>
      <c r="AX143" s="36">
        <f>[1]contras!BQ59</f>
        <v>655200</v>
      </c>
      <c r="AY143" s="36">
        <f>[1]contras!BR59</f>
        <v>0</v>
      </c>
      <c r="AZ143" s="36">
        <f>[1]contras!BS59</f>
        <v>0</v>
      </c>
      <c r="BA143" s="36">
        <f>[1]contras!BT59</f>
        <v>0</v>
      </c>
      <c r="BB143" s="36">
        <f>[1]contras!BU59</f>
        <v>0</v>
      </c>
      <c r="BC143" s="36">
        <f>[1]contras!BV59</f>
        <v>0</v>
      </c>
      <c r="BD143" s="36">
        <f>[1]contras!BW59</f>
        <v>1310400</v>
      </c>
      <c r="BE143" s="36">
        <f>[1]contras!BX59</f>
        <v>0</v>
      </c>
      <c r="BF143" s="36">
        <f>[1]contras!BY59</f>
        <v>0</v>
      </c>
      <c r="BG143" s="36">
        <f>[1]contras!BZ59</f>
        <v>0</v>
      </c>
      <c r="BH143" s="36">
        <f>[1]contras!CA59</f>
        <v>0</v>
      </c>
      <c r="BI143" s="36">
        <f>[1]contras!CB59</f>
        <v>0</v>
      </c>
      <c r="BJ143" s="36">
        <f>[1]contras!CC59</f>
        <v>1853280</v>
      </c>
      <c r="BK143" s="36">
        <f>[1]contras!CD59</f>
        <v>0</v>
      </c>
      <c r="BL143" s="36">
        <f>[1]contras!CE59</f>
        <v>0</v>
      </c>
      <c r="BM143" s="36">
        <f>[1]contras!CF59</f>
        <v>0</v>
      </c>
      <c r="BN143" s="36">
        <f>[1]contras!CG59</f>
        <v>0</v>
      </c>
      <c r="BO143" s="36">
        <f>[1]contras!CH59</f>
        <v>0</v>
      </c>
      <c r="BP143" s="36">
        <f>[1]contras!CI59</f>
        <v>3706560</v>
      </c>
      <c r="BQ143" s="36">
        <f>[1]contras!CJ59</f>
        <v>0</v>
      </c>
      <c r="BR143" s="36">
        <f>[1]contras!CK59</f>
        <v>0</v>
      </c>
      <c r="BS143" s="36">
        <f>[1]contras!CL59</f>
        <v>0</v>
      </c>
      <c r="BT143" s="36">
        <f>[1]contras!CM59</f>
        <v>0</v>
      </c>
      <c r="BU143" s="36">
        <f>[1]contras!CN59</f>
        <v>0</v>
      </c>
      <c r="BV143" s="36">
        <f>[1]contras!CO59</f>
        <v>5559840</v>
      </c>
      <c r="BW143" s="36">
        <f>[1]contras!CP59</f>
        <v>0</v>
      </c>
      <c r="BX143" s="36">
        <f>[1]contras!CQ59</f>
        <v>0</v>
      </c>
      <c r="BY143" s="36">
        <f>[1]contras!CR59</f>
        <v>0</v>
      </c>
      <c r="BZ143" s="36">
        <f>[1]contras!CS59</f>
        <v>0</v>
      </c>
      <c r="CA143" s="36">
        <f>[1]contras!CT59</f>
        <v>0</v>
      </c>
      <c r="CB143" s="36">
        <f>[1]contras!CU59</f>
        <v>11119680</v>
      </c>
      <c r="CC143" s="36">
        <f>[1]contras!CV59</f>
        <v>0</v>
      </c>
      <c r="CD143" s="36">
        <f>[1]contras!CW59</f>
        <v>0</v>
      </c>
      <c r="CE143" s="36">
        <f>[1]contras!CX59</f>
        <v>0</v>
      </c>
      <c r="CF143" s="36">
        <f>[1]contras!CY59</f>
        <v>0</v>
      </c>
      <c r="CG143" s="36">
        <f>[1]contras!CZ59</f>
        <v>0</v>
      </c>
      <c r="CH143" s="36">
        <f>[1]contras!DA59</f>
        <v>13899600</v>
      </c>
      <c r="CI143" s="36">
        <f>[1]contras!DB59</f>
        <v>0</v>
      </c>
      <c r="CJ143" s="36">
        <f>[1]contras!DC59</f>
        <v>0</v>
      </c>
      <c r="CK143" s="36">
        <f>[1]contras!DD59</f>
        <v>0</v>
      </c>
      <c r="CL143" s="36">
        <f>[1]contras!DE59</f>
        <v>0</v>
      </c>
      <c r="CM143" s="36">
        <f>[1]contras!DF59</f>
        <v>0</v>
      </c>
      <c r="CN143" s="36">
        <f>[1]contras!DG59</f>
        <v>27799200</v>
      </c>
      <c r="CO143" s="36">
        <f>[1]contras!DH59</f>
        <v>0</v>
      </c>
      <c r="CP143" s="36">
        <f>[1]contras!DI59</f>
        <v>0</v>
      </c>
      <c r="CQ143" s="36">
        <f>[1]contras!DJ59</f>
        <v>0</v>
      </c>
      <c r="CR143" s="36">
        <f>[1]contras!DK59</f>
        <v>0</v>
      </c>
      <c r="CS143" s="36">
        <f>[1]contras!DL59</f>
        <v>0</v>
      </c>
      <c r="CT143" s="39"/>
      <c r="CU143" s="39"/>
      <c r="CV143" s="39"/>
      <c r="CW143" s="21"/>
    </row>
    <row r="144" spans="3:101" x14ac:dyDescent="0.25">
      <c r="C144" s="49" t="str">
        <f t="shared" si="285"/>
        <v>SPUNGEDTC</v>
      </c>
      <c r="D144" s="35" t="str">
        <f>[1]Key!C$32</f>
        <v>SPUNGE</v>
      </c>
      <c r="E144" s="35" t="str">
        <f>[1]Key!D$32</f>
        <v>DTC</v>
      </c>
      <c r="F144" s="21"/>
      <c r="G144" s="21"/>
      <c r="H144" s="21"/>
      <c r="I144" s="21"/>
      <c r="J144" s="21"/>
      <c r="K144" s="21"/>
      <c r="L144" s="21"/>
      <c r="M144" s="21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36">
        <f>[1]contras!AS60</f>
        <v>0</v>
      </c>
      <c r="AA144" s="36">
        <f>[1]contras!AT60</f>
        <v>0</v>
      </c>
      <c r="AB144" s="36">
        <f>[1]contras!AU60</f>
        <v>0</v>
      </c>
      <c r="AC144" s="36">
        <f>[1]contras!AV60</f>
        <v>0</v>
      </c>
      <c r="AD144" s="36">
        <f>[1]contras!AW60</f>
        <v>0</v>
      </c>
      <c r="AE144" s="36">
        <f>[1]contras!AX60</f>
        <v>0</v>
      </c>
      <c r="AF144" s="36">
        <f>[1]contras!AY60</f>
        <v>0</v>
      </c>
      <c r="AG144" s="36">
        <f>[1]contras!AZ60</f>
        <v>0</v>
      </c>
      <c r="AH144" s="36">
        <f>[1]contras!BA60</f>
        <v>0</v>
      </c>
      <c r="AI144" s="36">
        <f>[1]contras!BB60</f>
        <v>0</v>
      </c>
      <c r="AJ144" s="36">
        <f>[1]contras!BC60</f>
        <v>0</v>
      </c>
      <c r="AK144" s="36">
        <f>[1]contras!BD60</f>
        <v>0</v>
      </c>
      <c r="AL144" s="36">
        <f>[1]contras!BE60</f>
        <v>0</v>
      </c>
      <c r="AM144" s="36">
        <f>[1]contras!BF60</f>
        <v>0</v>
      </c>
      <c r="AN144" s="36">
        <f>[1]contras!BG60</f>
        <v>0</v>
      </c>
      <c r="AO144" s="36">
        <f>[1]contras!BH60</f>
        <v>0</v>
      </c>
      <c r="AP144" s="36">
        <f>[1]contras!BI60</f>
        <v>0</v>
      </c>
      <c r="AQ144" s="36">
        <f>[1]contras!BJ60</f>
        <v>0</v>
      </c>
      <c r="AR144" s="36">
        <f>[1]contras!BK60</f>
        <v>0</v>
      </c>
      <c r="AS144" s="36">
        <f>[1]contras!BL60</f>
        <v>0</v>
      </c>
      <c r="AT144" s="36">
        <f>[1]contras!BM60</f>
        <v>181440</v>
      </c>
      <c r="AU144" s="36">
        <f>[1]contras!BN60</f>
        <v>0</v>
      </c>
      <c r="AV144" s="36">
        <f>[1]contras!BO60</f>
        <v>136080</v>
      </c>
      <c r="AW144" s="36">
        <f>[1]contras!BP60</f>
        <v>340200</v>
      </c>
      <c r="AX144" s="36">
        <f>[1]contras!BQ60</f>
        <v>0</v>
      </c>
      <c r="AY144" s="36">
        <f>[1]contras!BR60</f>
        <v>834624</v>
      </c>
      <c r="AZ144" s="36">
        <f>[1]contras!BS60</f>
        <v>0</v>
      </c>
      <c r="BA144" s="36">
        <f>[1]contras!BT60</f>
        <v>0</v>
      </c>
      <c r="BB144" s="36">
        <f>[1]contras!BU60</f>
        <v>943488</v>
      </c>
      <c r="BC144" s="36">
        <f>[1]contras!BV60</f>
        <v>0</v>
      </c>
      <c r="BD144" s="36">
        <f>[1]contras!BW60</f>
        <v>1088640</v>
      </c>
      <c r="BE144" s="36">
        <f>[1]contras!BX60</f>
        <v>0</v>
      </c>
      <c r="BF144" s="36">
        <f>[1]contras!BY60</f>
        <v>108864</v>
      </c>
      <c r="BG144" s="36">
        <f>[1]contras!BZ60</f>
        <v>0</v>
      </c>
      <c r="BH144" s="36">
        <f>[1]contras!CA60</f>
        <v>1451520</v>
      </c>
      <c r="BI144" s="36">
        <f>[1]contras!CB60</f>
        <v>272160</v>
      </c>
      <c r="BJ144" s="36">
        <f>[1]contras!CC60</f>
        <v>0</v>
      </c>
      <c r="BK144" s="36">
        <f>[1]contras!CD60</f>
        <v>2360793.6</v>
      </c>
      <c r="BL144" s="36">
        <f>[1]contras!CE60</f>
        <v>0</v>
      </c>
      <c r="BM144" s="36">
        <f>[1]contras!CF60</f>
        <v>0</v>
      </c>
      <c r="BN144" s="36">
        <f>[1]contras!CG60</f>
        <v>2668723.2000000002</v>
      </c>
      <c r="BO144" s="36">
        <f>[1]contras!CH60</f>
        <v>0</v>
      </c>
      <c r="BP144" s="36">
        <f>[1]contras!CI60</f>
        <v>3079296</v>
      </c>
      <c r="BQ144" s="36">
        <f>[1]contras!CJ60</f>
        <v>0</v>
      </c>
      <c r="BR144" s="36">
        <f>[1]contras!CK60</f>
        <v>307929.59999999998</v>
      </c>
      <c r="BS144" s="36">
        <f>[1]contras!CL60</f>
        <v>0</v>
      </c>
      <c r="BT144" s="36">
        <f>[1]contras!CM60</f>
        <v>4105728</v>
      </c>
      <c r="BU144" s="36">
        <f>[1]contras!CN60</f>
        <v>769824</v>
      </c>
      <c r="BV144" s="36">
        <f>[1]contras!CO60</f>
        <v>0</v>
      </c>
      <c r="BW144" s="36">
        <f>[1]contras!CP60</f>
        <v>5901984</v>
      </c>
      <c r="BX144" s="36">
        <f>[1]contras!CQ60</f>
        <v>0</v>
      </c>
      <c r="BY144" s="36">
        <f>[1]contras!CR60</f>
        <v>0</v>
      </c>
      <c r="BZ144" s="36">
        <f>[1]contras!CS60</f>
        <v>6671808</v>
      </c>
      <c r="CA144" s="36">
        <f>[1]contras!CT60</f>
        <v>0</v>
      </c>
      <c r="CB144" s="36">
        <f>[1]contras!CU60</f>
        <v>7698240</v>
      </c>
      <c r="CC144" s="36">
        <f>[1]contras!CV60</f>
        <v>0</v>
      </c>
      <c r="CD144" s="36">
        <f>[1]contras!CW60</f>
        <v>769824</v>
      </c>
      <c r="CE144" s="36">
        <f>[1]contras!CX60</f>
        <v>0</v>
      </c>
      <c r="CF144" s="36">
        <f>[1]contras!CY60</f>
        <v>10264320</v>
      </c>
      <c r="CG144" s="36">
        <f>[1]contras!CZ60</f>
        <v>1924560</v>
      </c>
      <c r="CH144" s="36">
        <f>[1]contras!DA60</f>
        <v>0</v>
      </c>
      <c r="CI144" s="36">
        <f>[1]contras!DB60</f>
        <v>10328472</v>
      </c>
      <c r="CJ144" s="36">
        <f>[1]contras!DC60</f>
        <v>0</v>
      </c>
      <c r="CK144" s="36">
        <f>[1]contras!DD60</f>
        <v>0</v>
      </c>
      <c r="CL144" s="36">
        <f>[1]contras!DE60</f>
        <v>11675664</v>
      </c>
      <c r="CM144" s="36">
        <f>[1]contras!DF60</f>
        <v>0</v>
      </c>
      <c r="CN144" s="36">
        <f>[1]contras!DG60</f>
        <v>13471920</v>
      </c>
      <c r="CO144" s="36">
        <f>[1]contras!DH60</f>
        <v>0</v>
      </c>
      <c r="CP144" s="36">
        <f>[1]contras!DI60</f>
        <v>1347192</v>
      </c>
      <c r="CQ144" s="36">
        <f>[1]contras!DJ60</f>
        <v>0</v>
      </c>
      <c r="CR144" s="36">
        <f>[1]contras!DK60</f>
        <v>17962560</v>
      </c>
      <c r="CS144" s="36">
        <f>[1]contras!DL60</f>
        <v>3367980</v>
      </c>
      <c r="CT144" s="39"/>
      <c r="CU144" s="39"/>
      <c r="CV144" s="39"/>
      <c r="CW144" s="21"/>
    </row>
    <row r="145" spans="3:101" x14ac:dyDescent="0.25">
      <c r="C145" s="49" t="str">
        <f t="shared" si="285"/>
        <v>SUNFLOWERDTC</v>
      </c>
      <c r="D145" s="35" t="str">
        <f>[1]Key!C$33</f>
        <v>SUNFLOWER</v>
      </c>
      <c r="E145" s="35" t="str">
        <f>[1]Key!D$33</f>
        <v>DTC</v>
      </c>
      <c r="F145" s="21"/>
      <c r="G145" s="21"/>
      <c r="H145" s="21"/>
      <c r="I145" s="21"/>
      <c r="J145" s="21"/>
      <c r="K145" s="21"/>
      <c r="L145" s="21"/>
      <c r="M145" s="21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36">
        <f>[1]contras!AS61</f>
        <v>0</v>
      </c>
      <c r="AA145" s="36">
        <f>[1]contras!AT61</f>
        <v>0</v>
      </c>
      <c r="AB145" s="36">
        <f>[1]contras!AU61</f>
        <v>0</v>
      </c>
      <c r="AC145" s="36">
        <f>[1]contras!AV61</f>
        <v>0</v>
      </c>
      <c r="AD145" s="36">
        <f>[1]contras!AW61</f>
        <v>0</v>
      </c>
      <c r="AE145" s="36">
        <f>[1]contras!AX61</f>
        <v>0</v>
      </c>
      <c r="AF145" s="36">
        <f>[1]contras!AY61</f>
        <v>0</v>
      </c>
      <c r="AG145" s="36">
        <f>[1]contras!AZ61</f>
        <v>0</v>
      </c>
      <c r="AH145" s="36">
        <f>[1]contras!BA61</f>
        <v>0</v>
      </c>
      <c r="AI145" s="36">
        <f>[1]contras!BB61</f>
        <v>0</v>
      </c>
      <c r="AJ145" s="36">
        <f>[1]contras!BC61</f>
        <v>0</v>
      </c>
      <c r="AK145" s="36">
        <f>[1]contras!BD61</f>
        <v>0</v>
      </c>
      <c r="AL145" s="36">
        <f>[1]contras!BE61</f>
        <v>0</v>
      </c>
      <c r="AM145" s="36">
        <f>[1]contras!BF61</f>
        <v>0</v>
      </c>
      <c r="AN145" s="36">
        <f>[1]contras!BG61</f>
        <v>0</v>
      </c>
      <c r="AO145" s="36">
        <f>[1]contras!BH61</f>
        <v>0</v>
      </c>
      <c r="AP145" s="36">
        <f>[1]contras!BI61</f>
        <v>0</v>
      </c>
      <c r="AQ145" s="36">
        <f>[1]contras!BJ61</f>
        <v>0</v>
      </c>
      <c r="AR145" s="36">
        <f>[1]contras!BK61</f>
        <v>0</v>
      </c>
      <c r="AS145" s="36">
        <f>[1]contras!BL61</f>
        <v>0</v>
      </c>
      <c r="AT145" s="36">
        <f>[1]contras!BM61</f>
        <v>0</v>
      </c>
      <c r="AU145" s="36">
        <f>[1]contras!BN61</f>
        <v>0</v>
      </c>
      <c r="AV145" s="36">
        <f>[1]contras!BO61</f>
        <v>0</v>
      </c>
      <c r="AW145" s="36">
        <f>[1]contras!BP61</f>
        <v>0</v>
      </c>
      <c r="AX145" s="36">
        <f>[1]contras!BQ61</f>
        <v>0</v>
      </c>
      <c r="AY145" s="36">
        <f>[1]contras!BR61</f>
        <v>0</v>
      </c>
      <c r="AZ145" s="36">
        <f>[1]contras!BS61</f>
        <v>0</v>
      </c>
      <c r="BA145" s="36">
        <f>[1]contras!BT61</f>
        <v>0</v>
      </c>
      <c r="BB145" s="36">
        <f>[1]contras!BU61</f>
        <v>0</v>
      </c>
      <c r="BC145" s="36">
        <f>[1]contras!BV61</f>
        <v>0</v>
      </c>
      <c r="BD145" s="36">
        <f>[1]contras!BW61</f>
        <v>0</v>
      </c>
      <c r="BE145" s="36">
        <f>[1]contras!BX61</f>
        <v>0</v>
      </c>
      <c r="BF145" s="36">
        <f>[1]contras!BY61</f>
        <v>0</v>
      </c>
      <c r="BG145" s="36">
        <f>[1]contras!BZ61</f>
        <v>0</v>
      </c>
      <c r="BH145" s="36">
        <f>[1]contras!CA61</f>
        <v>0</v>
      </c>
      <c r="BI145" s="36">
        <f>[1]contras!CB61</f>
        <v>0</v>
      </c>
      <c r="BJ145" s="36">
        <f>[1]contras!CC61</f>
        <v>0</v>
      </c>
      <c r="BK145" s="36">
        <f>[1]contras!CD61</f>
        <v>0</v>
      </c>
      <c r="BL145" s="36">
        <f>[1]contras!CE61</f>
        <v>0</v>
      </c>
      <c r="BM145" s="36">
        <f>[1]contras!CF61</f>
        <v>0</v>
      </c>
      <c r="BN145" s="36">
        <f>[1]contras!CG61</f>
        <v>0</v>
      </c>
      <c r="BO145" s="36">
        <f>[1]contras!CH61</f>
        <v>0</v>
      </c>
      <c r="BP145" s="36">
        <f>[1]contras!CI61</f>
        <v>0</v>
      </c>
      <c r="BQ145" s="36">
        <f>[1]contras!CJ61</f>
        <v>0</v>
      </c>
      <c r="BR145" s="36">
        <f>[1]contras!CK61</f>
        <v>0</v>
      </c>
      <c r="BS145" s="36">
        <f>[1]contras!CL61</f>
        <v>0</v>
      </c>
      <c r="BT145" s="36">
        <f>[1]contras!CM61</f>
        <v>0</v>
      </c>
      <c r="BU145" s="36">
        <f>[1]contras!CN61</f>
        <v>0</v>
      </c>
      <c r="BV145" s="36">
        <f>[1]contras!CO61</f>
        <v>0</v>
      </c>
      <c r="BW145" s="36">
        <f>[1]contras!CP61</f>
        <v>0</v>
      </c>
      <c r="BX145" s="36">
        <f>[1]contras!CQ61</f>
        <v>0</v>
      </c>
      <c r="BY145" s="36">
        <f>[1]contras!CR61</f>
        <v>0</v>
      </c>
      <c r="BZ145" s="36">
        <f>[1]contras!CS61</f>
        <v>0</v>
      </c>
      <c r="CA145" s="36">
        <f>[1]contras!CT61</f>
        <v>0</v>
      </c>
      <c r="CB145" s="36">
        <f>[1]contras!CU61</f>
        <v>0</v>
      </c>
      <c r="CC145" s="36">
        <f>[1]contras!CV61</f>
        <v>0</v>
      </c>
      <c r="CD145" s="36">
        <f>[1]contras!CW61</f>
        <v>0</v>
      </c>
      <c r="CE145" s="36">
        <f>[1]contras!CX61</f>
        <v>0</v>
      </c>
      <c r="CF145" s="36">
        <f>[1]contras!CY61</f>
        <v>0</v>
      </c>
      <c r="CG145" s="36">
        <f>[1]contras!CZ61</f>
        <v>0</v>
      </c>
      <c r="CH145" s="36">
        <f>[1]contras!DA61</f>
        <v>0</v>
      </c>
      <c r="CI145" s="36">
        <f>[1]contras!DB61</f>
        <v>0</v>
      </c>
      <c r="CJ145" s="36">
        <f>[1]contras!DC61</f>
        <v>0</v>
      </c>
      <c r="CK145" s="36">
        <f>[1]contras!DD61</f>
        <v>0</v>
      </c>
      <c r="CL145" s="36">
        <f>[1]contras!DE61</f>
        <v>0</v>
      </c>
      <c r="CM145" s="36">
        <f>[1]contras!DF61</f>
        <v>0</v>
      </c>
      <c r="CN145" s="36">
        <f>[1]contras!DG61</f>
        <v>0</v>
      </c>
      <c r="CO145" s="36">
        <f>[1]contras!DH61</f>
        <v>0</v>
      </c>
      <c r="CP145" s="36">
        <f>[1]contras!DI61</f>
        <v>0</v>
      </c>
      <c r="CQ145" s="36">
        <f>[1]contras!DJ61</f>
        <v>0</v>
      </c>
      <c r="CR145" s="36">
        <f>[1]contras!DK61</f>
        <v>0</v>
      </c>
      <c r="CS145" s="36">
        <f>[1]contras!DL61</f>
        <v>0</v>
      </c>
      <c r="CT145" s="39"/>
      <c r="CU145" s="39"/>
      <c r="CV145" s="39"/>
      <c r="CW145" s="21"/>
    </row>
    <row r="146" spans="3:101" x14ac:dyDescent="0.25">
      <c r="C146" s="49" t="str">
        <f t="shared" si="285"/>
        <v>CorporateN/A</v>
      </c>
      <c r="D146" s="35" t="str">
        <f>[1]Key!C$34</f>
        <v>Corporate</v>
      </c>
      <c r="E146" s="35" t="str">
        <f>[1]Key!D$34</f>
        <v>N/A</v>
      </c>
      <c r="F146" s="21"/>
      <c r="G146" s="21"/>
      <c r="H146" s="21"/>
      <c r="I146" s="21"/>
      <c r="J146" s="21"/>
      <c r="K146" s="21"/>
      <c r="L146" s="21"/>
      <c r="M146" s="21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60">
        <f>$Y$5</f>
        <v>146754.85999999999</v>
      </c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7"/>
      <c r="BZ146" s="57"/>
      <c r="CA146" s="57"/>
      <c r="CB146" s="57"/>
      <c r="CC146" s="57"/>
      <c r="CD146" s="57"/>
      <c r="CE146" s="57"/>
      <c r="CF146" s="57"/>
      <c r="CG146" s="57"/>
      <c r="CH146" s="57"/>
      <c r="CI146" s="57"/>
      <c r="CJ146" s="57"/>
      <c r="CK146" s="57"/>
      <c r="CL146" s="57"/>
      <c r="CM146" s="57"/>
      <c r="CN146" s="57"/>
      <c r="CO146" s="57"/>
      <c r="CP146" s="57"/>
      <c r="CQ146" s="57"/>
      <c r="CR146" s="57"/>
      <c r="CS146" s="57"/>
      <c r="CT146" s="39"/>
      <c r="CU146" s="39"/>
      <c r="CV146" s="39"/>
      <c r="CW146" s="21"/>
    </row>
    <row r="147" spans="3:101" x14ac:dyDescent="0.25">
      <c r="C147" s="49" t="str">
        <f t="shared" ref="C147" si="286">CONCATENATE(D147,E147)</f>
        <v>Other RevenueN/A</v>
      </c>
      <c r="D147" s="35" t="str">
        <f>[1]Key!C$35</f>
        <v>Other Revenue</v>
      </c>
      <c r="E147" s="35" t="str">
        <f>[1]Key!D$35</f>
        <v>N/A</v>
      </c>
      <c r="F147" s="21"/>
      <c r="G147" s="21"/>
      <c r="H147" s="21"/>
      <c r="I147" s="21"/>
      <c r="J147" s="21"/>
      <c r="K147" s="21"/>
      <c r="L147" s="21"/>
      <c r="M147" s="21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13">
        <f>[1]RevSumm!AS$5</f>
        <v>42000</v>
      </c>
      <c r="AA147" s="113">
        <f>[1]RevSumm!AT$5</f>
        <v>42000</v>
      </c>
      <c r="AB147" s="113">
        <f>[1]RevSumm!AU$5</f>
        <v>42000</v>
      </c>
      <c r="AC147" s="113">
        <f>[1]RevSumm!AV$5</f>
        <v>42000</v>
      </c>
      <c r="AD147" s="113">
        <f>[1]RevSumm!AW$5</f>
        <v>42000</v>
      </c>
      <c r="AE147" s="113">
        <f>[1]RevSumm!AX$5</f>
        <v>42000</v>
      </c>
      <c r="AF147" s="113">
        <f>[1]RevSumm!AY$5</f>
        <v>42000</v>
      </c>
      <c r="AG147" s="113">
        <f>[1]RevSumm!AZ$5</f>
        <v>42000</v>
      </c>
      <c r="AH147" s="113">
        <f>[1]RevSumm!BA$5</f>
        <v>42000</v>
      </c>
      <c r="AI147" s="113">
        <f>[1]RevSumm!BB$5</f>
        <v>42000</v>
      </c>
      <c r="AJ147" s="113">
        <f>[1]RevSumm!BC$5</f>
        <v>42000</v>
      </c>
      <c r="AK147" s="113">
        <f>[1]RevSumm!BD$5</f>
        <v>42000</v>
      </c>
      <c r="AL147" s="113">
        <f>[1]RevSumm!BE$5</f>
        <v>0</v>
      </c>
      <c r="AM147" s="113">
        <f>[1]RevSumm!BF$5</f>
        <v>0</v>
      </c>
      <c r="AN147" s="113">
        <f>[1]RevSumm!BG$5</f>
        <v>0</v>
      </c>
      <c r="AO147" s="113">
        <f>[1]RevSumm!BH$5</f>
        <v>0</v>
      </c>
      <c r="AP147" s="113">
        <f>[1]RevSumm!BI$5</f>
        <v>0</v>
      </c>
      <c r="AQ147" s="113">
        <f>[1]RevSumm!BJ$5</f>
        <v>0</v>
      </c>
      <c r="AR147" s="113">
        <f>[1]RevSumm!BK$5</f>
        <v>0</v>
      </c>
      <c r="AS147" s="113">
        <f>[1]RevSumm!BL$5</f>
        <v>0</v>
      </c>
      <c r="AT147" s="113">
        <f>[1]RevSumm!BM$5</f>
        <v>0</v>
      </c>
      <c r="AU147" s="113">
        <f>[1]RevSumm!BN$5</f>
        <v>0</v>
      </c>
      <c r="AV147" s="113">
        <f>[1]RevSumm!BO$5</f>
        <v>0</v>
      </c>
      <c r="AW147" s="113">
        <f>[1]RevSumm!BP$5</f>
        <v>0</v>
      </c>
      <c r="AX147" s="113">
        <f>[1]RevSumm!BQ$5</f>
        <v>0</v>
      </c>
      <c r="AY147" s="113">
        <f>[1]RevSumm!BR$5</f>
        <v>0</v>
      </c>
      <c r="AZ147" s="113">
        <f>[1]RevSumm!BS$5</f>
        <v>0</v>
      </c>
      <c r="BA147" s="113">
        <f>[1]RevSumm!BT$5</f>
        <v>0</v>
      </c>
      <c r="BB147" s="113">
        <f>[1]RevSumm!BU$5</f>
        <v>0</v>
      </c>
      <c r="BC147" s="113">
        <f>[1]RevSumm!BV$5</f>
        <v>0</v>
      </c>
      <c r="BD147" s="113">
        <f>[1]RevSumm!BW$5</f>
        <v>0</v>
      </c>
      <c r="BE147" s="113">
        <f>[1]RevSumm!BX$5</f>
        <v>0</v>
      </c>
      <c r="BF147" s="113">
        <f>[1]RevSumm!BY$5</f>
        <v>0</v>
      </c>
      <c r="BG147" s="113">
        <f>[1]RevSumm!BZ$5</f>
        <v>0</v>
      </c>
      <c r="BH147" s="113">
        <f>[1]RevSumm!CA$5</f>
        <v>0</v>
      </c>
      <c r="BI147" s="113">
        <f>[1]RevSumm!CB$5</f>
        <v>0</v>
      </c>
      <c r="BJ147" s="113">
        <f>[1]RevSumm!CC$5</f>
        <v>0</v>
      </c>
      <c r="BK147" s="113">
        <f>[1]RevSumm!CD$5</f>
        <v>0</v>
      </c>
      <c r="BL147" s="113">
        <f>[1]RevSumm!CE$5</f>
        <v>0</v>
      </c>
      <c r="BM147" s="113">
        <f>[1]RevSumm!CF$5</f>
        <v>0</v>
      </c>
      <c r="BN147" s="113">
        <f>[1]RevSumm!CG$5</f>
        <v>0</v>
      </c>
      <c r="BO147" s="113">
        <f>[1]RevSumm!CH$5</f>
        <v>0</v>
      </c>
      <c r="BP147" s="113">
        <f>[1]RevSumm!CI$5</f>
        <v>0</v>
      </c>
      <c r="BQ147" s="113">
        <f>[1]RevSumm!CJ$5</f>
        <v>0</v>
      </c>
      <c r="BR147" s="113">
        <f>[1]RevSumm!CK$5</f>
        <v>0</v>
      </c>
      <c r="BS147" s="113">
        <f>[1]RevSumm!CL$5</f>
        <v>0</v>
      </c>
      <c r="BT147" s="113">
        <f>[1]RevSumm!CM$5</f>
        <v>0</v>
      </c>
      <c r="BU147" s="113">
        <f>[1]RevSumm!CN$5</f>
        <v>0</v>
      </c>
      <c r="BV147" s="113">
        <f>[1]RevSumm!CO$5</f>
        <v>0</v>
      </c>
      <c r="BW147" s="113">
        <f>[1]RevSumm!CP$5</f>
        <v>0</v>
      </c>
      <c r="BX147" s="113">
        <f>[1]RevSumm!CQ$5</f>
        <v>0</v>
      </c>
      <c r="BY147" s="113">
        <f>[1]RevSumm!CR$5</f>
        <v>0</v>
      </c>
      <c r="BZ147" s="113">
        <f>[1]RevSumm!CS$5</f>
        <v>0</v>
      </c>
      <c r="CA147" s="113">
        <f>[1]RevSumm!CT$5</f>
        <v>0</v>
      </c>
      <c r="CB147" s="113">
        <f>[1]RevSumm!CU$5</f>
        <v>0</v>
      </c>
      <c r="CC147" s="113">
        <f>[1]RevSumm!CV$5</f>
        <v>0</v>
      </c>
      <c r="CD147" s="113">
        <f>[1]RevSumm!CW$5</f>
        <v>0</v>
      </c>
      <c r="CE147" s="113">
        <f>[1]RevSumm!CX$5</f>
        <v>0</v>
      </c>
      <c r="CF147" s="113">
        <f>[1]RevSumm!CY$5</f>
        <v>0</v>
      </c>
      <c r="CG147" s="113">
        <f>[1]RevSumm!CZ$5</f>
        <v>0</v>
      </c>
      <c r="CH147" s="113">
        <f>[1]RevSumm!DA$5</f>
        <v>0</v>
      </c>
      <c r="CI147" s="113">
        <f>[1]RevSumm!DB$5</f>
        <v>0</v>
      </c>
      <c r="CJ147" s="113">
        <f>[1]RevSumm!DC$5</f>
        <v>0</v>
      </c>
      <c r="CK147" s="113">
        <f>[1]RevSumm!DD$5</f>
        <v>0</v>
      </c>
      <c r="CL147" s="113">
        <f>[1]RevSumm!DE$5</f>
        <v>0</v>
      </c>
      <c r="CM147" s="113">
        <f>[1]RevSumm!DF$5</f>
        <v>0</v>
      </c>
      <c r="CN147" s="113">
        <f>[1]RevSumm!DG$5</f>
        <v>0</v>
      </c>
      <c r="CO147" s="113">
        <f>[1]RevSumm!DH$5</f>
        <v>0</v>
      </c>
      <c r="CP147" s="113">
        <f>[1]RevSumm!DI$5</f>
        <v>0</v>
      </c>
      <c r="CQ147" s="113">
        <f>[1]RevSumm!DJ$5</f>
        <v>0</v>
      </c>
      <c r="CR147" s="113">
        <f>[1]RevSumm!DK$5</f>
        <v>0</v>
      </c>
      <c r="CS147" s="113">
        <f>[1]RevSumm!DL$5</f>
        <v>0</v>
      </c>
      <c r="CT147" s="39"/>
      <c r="CU147" s="39"/>
      <c r="CV147" s="39"/>
      <c r="CW147" s="21"/>
    </row>
    <row r="148" spans="3:101" x14ac:dyDescent="0.25">
      <c r="F148" s="21"/>
      <c r="G148" s="21"/>
      <c r="H148" s="21"/>
      <c r="I148" s="21"/>
      <c r="J148" s="21"/>
      <c r="K148" s="21"/>
      <c r="L148" s="21"/>
      <c r="M148" s="21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9"/>
      <c r="CU148" s="39"/>
      <c r="CV148" s="39"/>
      <c r="CW148" s="21"/>
    </row>
    <row r="149" spans="3:101" x14ac:dyDescent="0.25">
      <c r="D149" s="38" t="s">
        <v>152</v>
      </c>
      <c r="F149" s="21"/>
      <c r="G149" s="21"/>
      <c r="H149" s="21"/>
      <c r="I149" s="21"/>
      <c r="J149" s="21"/>
      <c r="K149" s="21"/>
      <c r="L149" s="21"/>
      <c r="M149" s="21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37">
        <f t="shared" ref="Z149:CV149" si="287">SUM(Z124:Z148)</f>
        <v>42000</v>
      </c>
      <c r="AA149" s="37">
        <f t="shared" si="287"/>
        <v>42000</v>
      </c>
      <c r="AB149" s="37">
        <f t="shared" si="287"/>
        <v>358800</v>
      </c>
      <c r="AC149" s="37">
        <f t="shared" si="287"/>
        <v>75000</v>
      </c>
      <c r="AD149" s="37">
        <f t="shared" si="287"/>
        <v>42000</v>
      </c>
      <c r="AE149" s="37">
        <f t="shared" si="287"/>
        <v>105000</v>
      </c>
      <c r="AF149" s="37">
        <f t="shared" si="287"/>
        <v>1554000</v>
      </c>
      <c r="AG149" s="37">
        <f t="shared" si="287"/>
        <v>42000</v>
      </c>
      <c r="AH149" s="37">
        <f t="shared" si="287"/>
        <v>168000</v>
      </c>
      <c r="AI149" s="37">
        <f t="shared" si="287"/>
        <v>147000</v>
      </c>
      <c r="AJ149" s="37">
        <f t="shared" si="287"/>
        <v>418600</v>
      </c>
      <c r="AK149" s="37">
        <f t="shared" si="287"/>
        <v>945600</v>
      </c>
      <c r="AL149" s="37">
        <f t="shared" si="287"/>
        <v>222000</v>
      </c>
      <c r="AM149" s="37">
        <f t="shared" si="287"/>
        <v>1935740</v>
      </c>
      <c r="AN149" s="37">
        <f t="shared" si="287"/>
        <v>481200</v>
      </c>
      <c r="AO149" s="37">
        <f t="shared" si="287"/>
        <v>0</v>
      </c>
      <c r="AP149" s="37">
        <f t="shared" si="287"/>
        <v>1015720</v>
      </c>
      <c r="AQ149" s="37">
        <f t="shared" si="287"/>
        <v>1875900</v>
      </c>
      <c r="AR149" s="37">
        <f t="shared" si="287"/>
        <v>544440</v>
      </c>
      <c r="AS149" s="37">
        <f t="shared" si="287"/>
        <v>2292200</v>
      </c>
      <c r="AT149" s="37">
        <f t="shared" si="287"/>
        <v>2432640</v>
      </c>
      <c r="AU149" s="37">
        <f t="shared" si="287"/>
        <v>1488000</v>
      </c>
      <c r="AV149" s="37">
        <f t="shared" si="287"/>
        <v>1770820</v>
      </c>
      <c r="AW149" s="37">
        <f t="shared" si="287"/>
        <v>3338140</v>
      </c>
      <c r="AX149" s="37">
        <f t="shared" si="287"/>
        <v>5194880</v>
      </c>
      <c r="AY149" s="37">
        <f t="shared" si="287"/>
        <v>5453960</v>
      </c>
      <c r="AZ149" s="37">
        <f t="shared" si="287"/>
        <v>1065600</v>
      </c>
      <c r="BA149" s="37">
        <f t="shared" si="287"/>
        <v>1975500</v>
      </c>
      <c r="BB149" s="37">
        <f t="shared" si="287"/>
        <v>2930840</v>
      </c>
      <c r="BC149" s="37">
        <f t="shared" si="287"/>
        <v>3800400</v>
      </c>
      <c r="BD149" s="37">
        <f t="shared" si="287"/>
        <v>7752000</v>
      </c>
      <c r="BE149" s="37">
        <f t="shared" si="287"/>
        <v>3424080</v>
      </c>
      <c r="BF149" s="37">
        <f t="shared" si="287"/>
        <v>3594280</v>
      </c>
      <c r="BG149" s="37">
        <f t="shared" si="287"/>
        <v>4303500</v>
      </c>
      <c r="BH149" s="37">
        <f t="shared" si="287"/>
        <v>3820720</v>
      </c>
      <c r="BI149" s="37">
        <f t="shared" si="287"/>
        <v>3293300</v>
      </c>
      <c r="BJ149" s="37">
        <f t="shared" ref="BJ149:CS149" si="288">SUM(BJ124:BJ148)</f>
        <v>12050544</v>
      </c>
      <c r="BK149" s="37">
        <f t="shared" si="288"/>
        <v>12891929.6</v>
      </c>
      <c r="BL149" s="37">
        <f t="shared" si="288"/>
        <v>2323200</v>
      </c>
      <c r="BM149" s="37">
        <f t="shared" si="288"/>
        <v>3828000</v>
      </c>
      <c r="BN149" s="37">
        <f t="shared" si="288"/>
        <v>7421427.2000000002</v>
      </c>
      <c r="BO149" s="37">
        <f t="shared" si="288"/>
        <v>8537760</v>
      </c>
      <c r="BP149" s="37">
        <f t="shared" si="288"/>
        <v>19917216</v>
      </c>
      <c r="BQ149" s="37">
        <f t="shared" si="288"/>
        <v>7473088</v>
      </c>
      <c r="BR149" s="37">
        <f t="shared" si="288"/>
        <v>8205577.5999999996</v>
      </c>
      <c r="BS149" s="37">
        <f t="shared" si="288"/>
        <v>8289600</v>
      </c>
      <c r="BT149" s="37">
        <f t="shared" si="288"/>
        <v>9980608</v>
      </c>
      <c r="BU149" s="37">
        <f t="shared" si="288"/>
        <v>7786944</v>
      </c>
      <c r="BV149" s="37">
        <f t="shared" si="288"/>
        <v>25817880</v>
      </c>
      <c r="BW149" s="37">
        <f t="shared" si="288"/>
        <v>25459016</v>
      </c>
      <c r="BX149" s="37">
        <f t="shared" si="288"/>
        <v>3854400</v>
      </c>
      <c r="BY149" s="37">
        <f t="shared" si="288"/>
        <v>5775000</v>
      </c>
      <c r="BZ149" s="37">
        <f t="shared" si="288"/>
        <v>15559280</v>
      </c>
      <c r="CA149" s="37">
        <f t="shared" si="288"/>
        <v>16464360</v>
      </c>
      <c r="CB149" s="37">
        <f t="shared" si="288"/>
        <v>47659920</v>
      </c>
      <c r="CC149" s="37">
        <f t="shared" si="288"/>
        <v>12256832</v>
      </c>
      <c r="CD149" s="37">
        <f t="shared" si="288"/>
        <v>16274544</v>
      </c>
      <c r="CE149" s="37">
        <f t="shared" si="288"/>
        <v>12467400</v>
      </c>
      <c r="CF149" s="37">
        <f t="shared" si="288"/>
        <v>22103488</v>
      </c>
      <c r="CG149" s="37">
        <f t="shared" si="288"/>
        <v>16279560</v>
      </c>
      <c r="CH149" s="37">
        <f t="shared" si="288"/>
        <v>48086610</v>
      </c>
      <c r="CI149" s="37">
        <f t="shared" si="288"/>
        <v>40681383.600000001</v>
      </c>
      <c r="CJ149" s="37">
        <f t="shared" si="288"/>
        <v>5528160</v>
      </c>
      <c r="CK149" s="37">
        <f t="shared" si="288"/>
        <v>7553700</v>
      </c>
      <c r="CL149" s="37">
        <f t="shared" si="288"/>
        <v>25419345.600000001</v>
      </c>
      <c r="CM149" s="37">
        <f t="shared" si="288"/>
        <v>26370630</v>
      </c>
      <c r="CN149" s="37">
        <f t="shared" si="288"/>
        <v>93028320</v>
      </c>
      <c r="CO149" s="37">
        <f t="shared" si="288"/>
        <v>17399961.600000001</v>
      </c>
      <c r="CP149" s="37">
        <f t="shared" si="288"/>
        <v>26434782</v>
      </c>
      <c r="CQ149" s="37">
        <f t="shared" si="288"/>
        <v>16253820</v>
      </c>
      <c r="CR149" s="37">
        <f t="shared" si="288"/>
        <v>37002609.600000001</v>
      </c>
      <c r="CS149" s="37">
        <f t="shared" si="288"/>
        <v>27153390</v>
      </c>
      <c r="CT149" s="37">
        <f t="shared" si="287"/>
        <v>0</v>
      </c>
      <c r="CU149" s="37">
        <f t="shared" si="287"/>
        <v>0</v>
      </c>
      <c r="CV149" s="37">
        <f t="shared" si="287"/>
        <v>0</v>
      </c>
      <c r="CW149" s="21"/>
    </row>
    <row r="153" spans="3:101" x14ac:dyDescent="0.25">
      <c r="C153" s="50" t="s">
        <v>164</v>
      </c>
      <c r="D153" s="52" t="s">
        <v>161</v>
      </c>
      <c r="F153" s="21"/>
      <c r="G153" s="21"/>
      <c r="H153" s="21"/>
      <c r="I153" s="21"/>
      <c r="J153" s="21"/>
      <c r="K153" s="21"/>
      <c r="L153" s="21"/>
      <c r="M153" s="21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21"/>
      <c r="CU153" s="21"/>
      <c r="CV153" s="21"/>
      <c r="CW153" s="21"/>
    </row>
    <row r="154" spans="3:101" x14ac:dyDescent="0.25">
      <c r="C154" s="49" t="str">
        <f>CONCATENATE(D154,E154)</f>
        <v>BARIWholesale</v>
      </c>
      <c r="D154" s="35" t="str">
        <f>[1]Key!C$12</f>
        <v>BARI</v>
      </c>
      <c r="E154" s="35" t="str">
        <f>[1]contras!H68</f>
        <v>Wholesale</v>
      </c>
      <c r="F154" s="21"/>
      <c r="H154" s="21"/>
      <c r="I154" s="21"/>
      <c r="J154" s="21"/>
      <c r="K154" s="21"/>
      <c r="L154" s="21"/>
      <c r="M154" s="21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36">
        <f>[1]contras!AS68</f>
        <v>0</v>
      </c>
      <c r="AA154" s="36">
        <f>[1]contras!AT68</f>
        <v>0</v>
      </c>
      <c r="AB154" s="36">
        <f>[1]contras!AU68</f>
        <v>0</v>
      </c>
      <c r="AC154" s="36">
        <f>[1]contras!AV68</f>
        <v>0</v>
      </c>
      <c r="AD154" s="36">
        <f>[1]contras!AW68</f>
        <v>0</v>
      </c>
      <c r="AE154" s="36">
        <f>[1]contras!AX68</f>
        <v>0</v>
      </c>
      <c r="AF154" s="36">
        <f>[1]contras!AY68</f>
        <v>0</v>
      </c>
      <c r="AG154" s="36">
        <f>[1]contras!AZ68</f>
        <v>0</v>
      </c>
      <c r="AH154" s="36">
        <f>[1]contras!BA68</f>
        <v>0</v>
      </c>
      <c r="AI154" s="36">
        <f>[1]contras!BB68</f>
        <v>0</v>
      </c>
      <c r="AJ154" s="36">
        <f>[1]contras!BC68</f>
        <v>0</v>
      </c>
      <c r="AK154" s="36">
        <f>[1]contras!BD68</f>
        <v>0</v>
      </c>
      <c r="AL154" s="36">
        <f>[1]contras!BE68</f>
        <v>4500</v>
      </c>
      <c r="AM154" s="36">
        <f>[1]contras!BF68</f>
        <v>0</v>
      </c>
      <c r="AN154" s="36">
        <f>[1]contras!BG68</f>
        <v>4500</v>
      </c>
      <c r="AO154" s="36">
        <f>[1]contras!BH68</f>
        <v>0</v>
      </c>
      <c r="AP154" s="36">
        <f>[1]contras!BI68</f>
        <v>0</v>
      </c>
      <c r="AQ154" s="36">
        <f>[1]contras!BJ68</f>
        <v>9000</v>
      </c>
      <c r="AR154" s="36">
        <f>[1]contras!BK68</f>
        <v>0</v>
      </c>
      <c r="AS154" s="36">
        <f>[1]contras!BL68</f>
        <v>4500</v>
      </c>
      <c r="AT154" s="36">
        <f>[1]contras!BM68</f>
        <v>9000</v>
      </c>
      <c r="AU154" s="36">
        <f>[1]contras!BN68</f>
        <v>9000</v>
      </c>
      <c r="AV154" s="36">
        <f>[1]contras!BO68</f>
        <v>1875</v>
      </c>
      <c r="AW154" s="36">
        <f>[1]contras!BP68</f>
        <v>9000</v>
      </c>
      <c r="AX154" s="36">
        <f>[1]contras!BQ68</f>
        <v>13500</v>
      </c>
      <c r="AY154" s="36">
        <f>[1]contras!BR68</f>
        <v>0</v>
      </c>
      <c r="AZ154" s="36">
        <f>[1]contras!BS68</f>
        <v>9000</v>
      </c>
      <c r="BA154" s="36">
        <f>[1]contras!BT68</f>
        <v>0</v>
      </c>
      <c r="BB154" s="36">
        <f>[1]contras!BU68</f>
        <v>0</v>
      </c>
      <c r="BC154" s="36">
        <f>[1]contras!BV68</f>
        <v>22500</v>
      </c>
      <c r="BD154" s="36">
        <f>[1]contras!BW68</f>
        <v>0</v>
      </c>
      <c r="BE154" s="36">
        <f>[1]contras!BX68</f>
        <v>0</v>
      </c>
      <c r="BF154" s="36">
        <f>[1]contras!BY68</f>
        <v>9000</v>
      </c>
      <c r="BG154" s="36">
        <f>[1]contras!BZ68</f>
        <v>18000</v>
      </c>
      <c r="BH154" s="36">
        <f>[1]contras!CA68</f>
        <v>0</v>
      </c>
      <c r="BI154" s="36">
        <f>[1]contras!CB68</f>
        <v>10875</v>
      </c>
      <c r="BJ154" s="36">
        <f>[1]contras!CC68</f>
        <v>27000</v>
      </c>
      <c r="BK154" s="36">
        <f>[1]contras!CD68</f>
        <v>0</v>
      </c>
      <c r="BL154" s="36">
        <f>[1]contras!CE68</f>
        <v>18000</v>
      </c>
      <c r="BM154" s="36">
        <f>[1]contras!CF68</f>
        <v>0</v>
      </c>
      <c r="BN154" s="36">
        <f>[1]contras!CG68</f>
        <v>0</v>
      </c>
      <c r="BO154" s="36">
        <f>[1]contras!CH68</f>
        <v>45000</v>
      </c>
      <c r="BP154" s="36">
        <f>[1]contras!CI68</f>
        <v>0</v>
      </c>
      <c r="BQ154" s="36">
        <f>[1]contras!CJ68</f>
        <v>0</v>
      </c>
      <c r="BR154" s="36">
        <f>[1]contras!CK68</f>
        <v>18000</v>
      </c>
      <c r="BS154" s="36">
        <f>[1]contras!CL68</f>
        <v>36000</v>
      </c>
      <c r="BT154" s="36">
        <f>[1]contras!CM68</f>
        <v>0</v>
      </c>
      <c r="BU154" s="36">
        <f>[1]contras!CN68</f>
        <v>21750</v>
      </c>
      <c r="BV154" s="36">
        <f>[1]contras!CO68</f>
        <v>40500</v>
      </c>
      <c r="BW154" s="36">
        <f>[1]contras!CP68</f>
        <v>0</v>
      </c>
      <c r="BX154" s="36">
        <f>[1]contras!CQ68</f>
        <v>27000</v>
      </c>
      <c r="BY154" s="36">
        <f>[1]contras!CR68</f>
        <v>0</v>
      </c>
      <c r="BZ154" s="36">
        <f>[1]contras!CS68</f>
        <v>0</v>
      </c>
      <c r="CA154" s="36">
        <f>[1]contras!CT68</f>
        <v>67500</v>
      </c>
      <c r="CB154" s="36">
        <f>[1]contras!CU68</f>
        <v>0</v>
      </c>
      <c r="CC154" s="36">
        <f>[1]contras!CV68</f>
        <v>0</v>
      </c>
      <c r="CD154" s="36">
        <f>[1]contras!CW68</f>
        <v>27000</v>
      </c>
      <c r="CE154" s="36">
        <f>[1]contras!CX68</f>
        <v>54000</v>
      </c>
      <c r="CF154" s="36">
        <f>[1]contras!CY68</f>
        <v>0</v>
      </c>
      <c r="CG154" s="36">
        <f>[1]contras!CZ68</f>
        <v>32625</v>
      </c>
      <c r="CH154" s="36">
        <f>[1]contras!DA68</f>
        <v>52650</v>
      </c>
      <c r="CI154" s="36">
        <f>[1]contras!DB68</f>
        <v>0</v>
      </c>
      <c r="CJ154" s="36">
        <f>[1]contras!DC68</f>
        <v>35100</v>
      </c>
      <c r="CK154" s="36">
        <f>[1]contras!DD68</f>
        <v>0</v>
      </c>
      <c r="CL154" s="36">
        <f>[1]contras!DE68</f>
        <v>0</v>
      </c>
      <c r="CM154" s="36">
        <f>[1]contras!DF68</f>
        <v>87750</v>
      </c>
      <c r="CN154" s="36">
        <f>[1]contras!DG68</f>
        <v>0</v>
      </c>
      <c r="CO154" s="36">
        <f>[1]contras!DH68</f>
        <v>0</v>
      </c>
      <c r="CP154" s="36">
        <f>[1]contras!DI68</f>
        <v>35100</v>
      </c>
      <c r="CQ154" s="36">
        <f>[1]contras!DJ68</f>
        <v>70200</v>
      </c>
      <c r="CR154" s="36">
        <f>[1]contras!DK68</f>
        <v>0</v>
      </c>
      <c r="CS154" s="36">
        <f>[1]contras!DL68</f>
        <v>42412.5</v>
      </c>
      <c r="CT154" s="36"/>
      <c r="CU154" s="36"/>
      <c r="CV154" s="36"/>
      <c r="CW154" s="21"/>
    </row>
    <row r="155" spans="3:101" x14ac:dyDescent="0.25">
      <c r="C155" s="49" t="str">
        <f t="shared" ref="C155:C176" si="289">CONCATENATE(D155,E155)</f>
        <v>BRAIN DEAD OAKLEYWholesale</v>
      </c>
      <c r="D155" s="35" t="str">
        <f>[1]Key!C$13</f>
        <v>BRAIN DEAD OAKLEY</v>
      </c>
      <c r="E155" s="35" t="str">
        <f>[1]contras!H69</f>
        <v>Wholesale</v>
      </c>
      <c r="F155" s="21"/>
      <c r="G155" s="21"/>
      <c r="H155" s="21"/>
      <c r="I155" s="21"/>
      <c r="J155" s="21"/>
      <c r="K155" s="21"/>
      <c r="L155" s="21"/>
      <c r="M155" s="21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36">
        <f>[1]contras!AS69</f>
        <v>0</v>
      </c>
      <c r="AA155" s="36">
        <f>[1]contras!AT69</f>
        <v>0</v>
      </c>
      <c r="AB155" s="36">
        <f>[1]contras!AU69</f>
        <v>0</v>
      </c>
      <c r="AC155" s="36">
        <f>[1]contras!AV69</f>
        <v>0</v>
      </c>
      <c r="AD155" s="36">
        <f>[1]contras!AW69</f>
        <v>0</v>
      </c>
      <c r="AE155" s="36">
        <f>[1]contras!AX69</f>
        <v>0</v>
      </c>
      <c r="AF155" s="36">
        <f>[1]contras!AY69</f>
        <v>0</v>
      </c>
      <c r="AG155" s="36">
        <f>[1]contras!AZ69</f>
        <v>0</v>
      </c>
      <c r="AH155" s="36">
        <f>[1]contras!BA69</f>
        <v>0</v>
      </c>
      <c r="AI155" s="36">
        <f>[1]contras!BB69</f>
        <v>0</v>
      </c>
      <c r="AJ155" s="36">
        <f>[1]contras!BC69</f>
        <v>0</v>
      </c>
      <c r="AK155" s="36">
        <f>[1]contras!BD69</f>
        <v>0</v>
      </c>
      <c r="AL155" s="36">
        <f>[1]contras!BE69</f>
        <v>0</v>
      </c>
      <c r="AM155" s="36">
        <f>[1]contras!BF69</f>
        <v>0</v>
      </c>
      <c r="AN155" s="36">
        <f>[1]contras!BG69</f>
        <v>0</v>
      </c>
      <c r="AO155" s="36">
        <f>[1]contras!BH69</f>
        <v>0</v>
      </c>
      <c r="AP155" s="36">
        <f>[1]contras!BI69</f>
        <v>0</v>
      </c>
      <c r="AQ155" s="36">
        <f>[1]contras!BJ69</f>
        <v>0</v>
      </c>
      <c r="AR155" s="36">
        <f>[1]contras!BK69</f>
        <v>0</v>
      </c>
      <c r="AS155" s="36">
        <f>[1]contras!BL69</f>
        <v>0</v>
      </c>
      <c r="AT155" s="36">
        <f>[1]contras!BM69</f>
        <v>0</v>
      </c>
      <c r="AU155" s="36">
        <f>[1]contras!BN69</f>
        <v>0</v>
      </c>
      <c r="AV155" s="36">
        <f>[1]contras!BO69</f>
        <v>0</v>
      </c>
      <c r="AW155" s="36">
        <f>[1]contras!BP69</f>
        <v>0</v>
      </c>
      <c r="AX155" s="36">
        <f>[1]contras!BQ69</f>
        <v>0</v>
      </c>
      <c r="AY155" s="36">
        <f>[1]contras!BR69</f>
        <v>0</v>
      </c>
      <c r="AZ155" s="36">
        <f>[1]contras!BS69</f>
        <v>0</v>
      </c>
      <c r="BA155" s="36">
        <f>[1]contras!BT69</f>
        <v>0</v>
      </c>
      <c r="BB155" s="36">
        <f>[1]contras!BU69</f>
        <v>0</v>
      </c>
      <c r="BC155" s="36">
        <f>[1]contras!BV69</f>
        <v>0</v>
      </c>
      <c r="BD155" s="36">
        <f>[1]contras!BW69</f>
        <v>0</v>
      </c>
      <c r="BE155" s="36">
        <f>[1]contras!BX69</f>
        <v>0</v>
      </c>
      <c r="BF155" s="36">
        <f>[1]contras!BY69</f>
        <v>0</v>
      </c>
      <c r="BG155" s="36">
        <f>[1]contras!BZ69</f>
        <v>0</v>
      </c>
      <c r="BH155" s="36">
        <f>[1]contras!CA69</f>
        <v>0</v>
      </c>
      <c r="BI155" s="36">
        <f>[1]contras!CB69</f>
        <v>0</v>
      </c>
      <c r="BJ155" s="36">
        <f>[1]contras!CC69</f>
        <v>0</v>
      </c>
      <c r="BK155" s="36">
        <f>[1]contras!CD69</f>
        <v>0</v>
      </c>
      <c r="BL155" s="36">
        <f>[1]contras!CE69</f>
        <v>0</v>
      </c>
      <c r="BM155" s="36">
        <f>[1]contras!CF69</f>
        <v>0</v>
      </c>
      <c r="BN155" s="36">
        <f>[1]contras!CG69</f>
        <v>0</v>
      </c>
      <c r="BO155" s="36">
        <f>[1]contras!CH69</f>
        <v>0</v>
      </c>
      <c r="BP155" s="36">
        <f>[1]contras!CI69</f>
        <v>0</v>
      </c>
      <c r="BQ155" s="36">
        <f>[1]contras!CJ69</f>
        <v>0</v>
      </c>
      <c r="BR155" s="36">
        <f>[1]contras!CK69</f>
        <v>0</v>
      </c>
      <c r="BS155" s="36">
        <f>[1]contras!CL69</f>
        <v>0</v>
      </c>
      <c r="BT155" s="36">
        <f>[1]contras!CM69</f>
        <v>0</v>
      </c>
      <c r="BU155" s="36">
        <f>[1]contras!CN69</f>
        <v>0</v>
      </c>
      <c r="BV155" s="36">
        <f>[1]contras!CO69</f>
        <v>0</v>
      </c>
      <c r="BW155" s="36">
        <f>[1]contras!CP69</f>
        <v>0</v>
      </c>
      <c r="BX155" s="36">
        <f>[1]contras!CQ69</f>
        <v>0</v>
      </c>
      <c r="BY155" s="36">
        <f>[1]contras!CR69</f>
        <v>0</v>
      </c>
      <c r="BZ155" s="36">
        <f>[1]contras!CS69</f>
        <v>0</v>
      </c>
      <c r="CA155" s="36">
        <f>[1]contras!CT69</f>
        <v>0</v>
      </c>
      <c r="CB155" s="36">
        <f>[1]contras!CU69</f>
        <v>0</v>
      </c>
      <c r="CC155" s="36">
        <f>[1]contras!CV69</f>
        <v>0</v>
      </c>
      <c r="CD155" s="36">
        <f>[1]contras!CW69</f>
        <v>0</v>
      </c>
      <c r="CE155" s="36">
        <f>[1]contras!CX69</f>
        <v>0</v>
      </c>
      <c r="CF155" s="36">
        <f>[1]contras!CY69</f>
        <v>0</v>
      </c>
      <c r="CG155" s="36">
        <f>[1]contras!CZ69</f>
        <v>0</v>
      </c>
      <c r="CH155" s="36">
        <f>[1]contras!DA69</f>
        <v>0</v>
      </c>
      <c r="CI155" s="36">
        <f>[1]contras!DB69</f>
        <v>0</v>
      </c>
      <c r="CJ155" s="36">
        <f>[1]contras!DC69</f>
        <v>0</v>
      </c>
      <c r="CK155" s="36">
        <f>[1]contras!DD69</f>
        <v>0</v>
      </c>
      <c r="CL155" s="36">
        <f>[1]contras!DE69</f>
        <v>0</v>
      </c>
      <c r="CM155" s="36">
        <f>[1]contras!DF69</f>
        <v>0</v>
      </c>
      <c r="CN155" s="36">
        <f>[1]contras!DG69</f>
        <v>0</v>
      </c>
      <c r="CO155" s="36">
        <f>[1]contras!DH69</f>
        <v>0</v>
      </c>
      <c r="CP155" s="36">
        <f>[1]contras!DI69</f>
        <v>0</v>
      </c>
      <c r="CQ155" s="36">
        <f>[1]contras!DJ69</f>
        <v>0</v>
      </c>
      <c r="CR155" s="36">
        <f>[1]contras!DK69</f>
        <v>0</v>
      </c>
      <c r="CS155" s="36">
        <f>[1]contras!DL69</f>
        <v>0</v>
      </c>
      <c r="CT155" s="39"/>
      <c r="CU155" s="39"/>
      <c r="CV155" s="39"/>
      <c r="CW155" s="21"/>
    </row>
    <row r="156" spans="3:101" x14ac:dyDescent="0.25">
      <c r="C156" s="49" t="str">
        <f t="shared" si="289"/>
        <v>GROWTH "HIT" PHWholesale</v>
      </c>
      <c r="D156" s="35" t="str">
        <f>[1]Key!C$14</f>
        <v>GROWTH "HIT" PH</v>
      </c>
      <c r="E156" s="35" t="str">
        <f>[1]contras!H70</f>
        <v>Wholesale</v>
      </c>
      <c r="F156" s="21"/>
      <c r="G156" s="21"/>
      <c r="H156" s="21"/>
      <c r="I156" s="21"/>
      <c r="J156" s="21"/>
      <c r="K156" s="21"/>
      <c r="L156" s="21"/>
      <c r="M156" s="21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36">
        <f>[1]contras!AS70</f>
        <v>0</v>
      </c>
      <c r="AA156" s="36">
        <f>[1]contras!AT70</f>
        <v>0</v>
      </c>
      <c r="AB156" s="36">
        <f>[1]contras!AU70</f>
        <v>0</v>
      </c>
      <c r="AC156" s="36">
        <f>[1]contras!AV70</f>
        <v>0</v>
      </c>
      <c r="AD156" s="36">
        <f>[1]contras!AW70</f>
        <v>0</v>
      </c>
      <c r="AE156" s="36">
        <f>[1]contras!AX70</f>
        <v>0</v>
      </c>
      <c r="AF156" s="36">
        <f>[1]contras!AY70</f>
        <v>0</v>
      </c>
      <c r="AG156" s="36">
        <f>[1]contras!AZ70</f>
        <v>0</v>
      </c>
      <c r="AH156" s="36">
        <f>[1]contras!BA70</f>
        <v>0</v>
      </c>
      <c r="AI156" s="36">
        <f>[1]contras!BB70</f>
        <v>0</v>
      </c>
      <c r="AJ156" s="36">
        <f>[1]contras!BC70</f>
        <v>0</v>
      </c>
      <c r="AK156" s="36">
        <f>[1]contras!BD70</f>
        <v>0</v>
      </c>
      <c r="AL156" s="36">
        <f>[1]contras!BE70</f>
        <v>0</v>
      </c>
      <c r="AM156" s="36">
        <f>[1]contras!BF70</f>
        <v>0</v>
      </c>
      <c r="AN156" s="36">
        <f>[1]contras!BG70</f>
        <v>0</v>
      </c>
      <c r="AO156" s="36">
        <f>[1]contras!BH70</f>
        <v>0</v>
      </c>
      <c r="AP156" s="36">
        <f>[1]contras!BI70</f>
        <v>0</v>
      </c>
      <c r="AQ156" s="36">
        <f>[1]contras!BJ70</f>
        <v>0</v>
      </c>
      <c r="AR156" s="36">
        <f>[1]contras!BK70</f>
        <v>0</v>
      </c>
      <c r="AS156" s="36">
        <f>[1]contras!BL70</f>
        <v>0</v>
      </c>
      <c r="AT156" s="36">
        <f>[1]contras!BM70</f>
        <v>0</v>
      </c>
      <c r="AU156" s="36">
        <f>[1]contras!BN70</f>
        <v>42000</v>
      </c>
      <c r="AV156" s="36">
        <f>[1]contras!BO70</f>
        <v>0</v>
      </c>
      <c r="AW156" s="36">
        <f>[1]contras!BP70</f>
        <v>0</v>
      </c>
      <c r="AX156" s="36">
        <f>[1]contras!BQ70</f>
        <v>90000</v>
      </c>
      <c r="AY156" s="36">
        <f>[1]contras!BR70</f>
        <v>0</v>
      </c>
      <c r="AZ156" s="36">
        <f>[1]contras!BS70</f>
        <v>0</v>
      </c>
      <c r="BA156" s="36">
        <f>[1]contras!BT70</f>
        <v>90000</v>
      </c>
      <c r="BB156" s="36">
        <f>[1]contras!BU70</f>
        <v>0</v>
      </c>
      <c r="BC156" s="36">
        <f>[1]contras!BV70</f>
        <v>0</v>
      </c>
      <c r="BD156" s="36">
        <f>[1]contras!BW70</f>
        <v>112500</v>
      </c>
      <c r="BE156" s="36">
        <f>[1]contras!BX70</f>
        <v>0</v>
      </c>
      <c r="BF156" s="36">
        <f>[1]contras!BY70</f>
        <v>0</v>
      </c>
      <c r="BG156" s="36">
        <f>[1]contras!BZ70</f>
        <v>157500</v>
      </c>
      <c r="BH156" s="36">
        <f>[1]contras!CA70</f>
        <v>0</v>
      </c>
      <c r="BI156" s="36">
        <f>[1]contras!CB70</f>
        <v>0</v>
      </c>
      <c r="BJ156" s="36">
        <f>[1]contras!CC70</f>
        <v>180000</v>
      </c>
      <c r="BK156" s="36">
        <f>[1]contras!CD70</f>
        <v>0</v>
      </c>
      <c r="BL156" s="36">
        <f>[1]contras!CE70</f>
        <v>0</v>
      </c>
      <c r="BM156" s="36">
        <f>[1]contras!CF70</f>
        <v>180000</v>
      </c>
      <c r="BN156" s="36">
        <f>[1]contras!CG70</f>
        <v>0</v>
      </c>
      <c r="BO156" s="36">
        <f>[1]contras!CH70</f>
        <v>0</v>
      </c>
      <c r="BP156" s="36">
        <f>[1]contras!CI70</f>
        <v>225000</v>
      </c>
      <c r="BQ156" s="36">
        <f>[1]contras!CJ70</f>
        <v>0</v>
      </c>
      <c r="BR156" s="36">
        <f>[1]contras!CK70</f>
        <v>0</v>
      </c>
      <c r="BS156" s="36">
        <f>[1]contras!CL70</f>
        <v>315000</v>
      </c>
      <c r="BT156" s="36">
        <f>[1]contras!CM70</f>
        <v>0</v>
      </c>
      <c r="BU156" s="36">
        <f>[1]contras!CN70</f>
        <v>0</v>
      </c>
      <c r="BV156" s="36">
        <f>[1]contras!CO70</f>
        <v>270000</v>
      </c>
      <c r="BW156" s="36">
        <f>[1]contras!CP70</f>
        <v>0</v>
      </c>
      <c r="BX156" s="36">
        <f>[1]contras!CQ70</f>
        <v>0</v>
      </c>
      <c r="BY156" s="36">
        <f>[1]contras!CR70</f>
        <v>270000</v>
      </c>
      <c r="BZ156" s="36">
        <f>[1]contras!CS70</f>
        <v>0</v>
      </c>
      <c r="CA156" s="36">
        <f>[1]contras!CT70</f>
        <v>0</v>
      </c>
      <c r="CB156" s="36">
        <f>[1]contras!CU70</f>
        <v>337500</v>
      </c>
      <c r="CC156" s="36">
        <f>[1]contras!CV70</f>
        <v>0</v>
      </c>
      <c r="CD156" s="36">
        <f>[1]contras!CW70</f>
        <v>0</v>
      </c>
      <c r="CE156" s="36">
        <f>[1]contras!CX70</f>
        <v>472500</v>
      </c>
      <c r="CF156" s="36">
        <f>[1]contras!CY70</f>
        <v>0</v>
      </c>
      <c r="CG156" s="36">
        <f>[1]contras!CZ70</f>
        <v>0</v>
      </c>
      <c r="CH156" s="36">
        <f>[1]contras!DA70</f>
        <v>351000</v>
      </c>
      <c r="CI156" s="36">
        <f>[1]contras!DB70</f>
        <v>0</v>
      </c>
      <c r="CJ156" s="36">
        <f>[1]contras!DC70</f>
        <v>0</v>
      </c>
      <c r="CK156" s="36">
        <f>[1]contras!DD70</f>
        <v>351000</v>
      </c>
      <c r="CL156" s="36">
        <f>[1]contras!DE70</f>
        <v>0</v>
      </c>
      <c r="CM156" s="36">
        <f>[1]contras!DF70</f>
        <v>0</v>
      </c>
      <c r="CN156" s="36">
        <f>[1]contras!DG70</f>
        <v>438750</v>
      </c>
      <c r="CO156" s="36">
        <f>[1]contras!DH70</f>
        <v>0</v>
      </c>
      <c r="CP156" s="36">
        <f>[1]contras!DI70</f>
        <v>0</v>
      </c>
      <c r="CQ156" s="36">
        <f>[1]contras!DJ70</f>
        <v>614250</v>
      </c>
      <c r="CR156" s="36">
        <f>[1]contras!DK70</f>
        <v>0</v>
      </c>
      <c r="CS156" s="36">
        <f>[1]contras!DL70</f>
        <v>0</v>
      </c>
      <c r="CT156" s="39"/>
      <c r="CU156" s="39"/>
      <c r="CV156" s="39"/>
      <c r="CW156" s="21"/>
    </row>
    <row r="157" spans="3:101" x14ac:dyDescent="0.25">
      <c r="C157" s="49" t="str">
        <f t="shared" si="289"/>
        <v>ICE STUDIOSWholesale</v>
      </c>
      <c r="D157" s="35" t="str">
        <f>[1]Key!C$15</f>
        <v>ICE STUDIOS</v>
      </c>
      <c r="E157" s="35" t="str">
        <f>[1]contras!H71</f>
        <v>Wholesale</v>
      </c>
      <c r="F157" s="21"/>
      <c r="G157" s="21"/>
      <c r="H157" s="21"/>
      <c r="I157" s="21"/>
      <c r="J157" s="21"/>
      <c r="K157" s="21"/>
      <c r="L157" s="21"/>
      <c r="M157" s="21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36">
        <f>[1]contras!AS71</f>
        <v>0</v>
      </c>
      <c r="AA157" s="36">
        <f>[1]contras!AT71</f>
        <v>0</v>
      </c>
      <c r="AB157" s="36">
        <f>[1]contras!AU71</f>
        <v>0</v>
      </c>
      <c r="AC157" s="36">
        <f>[1]contras!AV71</f>
        <v>0</v>
      </c>
      <c r="AD157" s="36">
        <f>[1]contras!AW71</f>
        <v>0</v>
      </c>
      <c r="AE157" s="36">
        <f>[1]contras!AX71</f>
        <v>0</v>
      </c>
      <c r="AF157" s="36">
        <f>[1]contras!AY71</f>
        <v>0</v>
      </c>
      <c r="AG157" s="36">
        <f>[1]contras!AZ71</f>
        <v>0</v>
      </c>
      <c r="AH157" s="36">
        <f>[1]contras!BA71</f>
        <v>0</v>
      </c>
      <c r="AI157" s="36">
        <f>[1]contras!BB71</f>
        <v>0</v>
      </c>
      <c r="AJ157" s="36">
        <f>[1]contras!BC71</f>
        <v>0</v>
      </c>
      <c r="AK157" s="36">
        <f>[1]contras!BD71</f>
        <v>1350</v>
      </c>
      <c r="AL157" s="36">
        <f>[1]contras!BE71</f>
        <v>0</v>
      </c>
      <c r="AM157" s="36">
        <f>[1]contras!BF71</f>
        <v>11340</v>
      </c>
      <c r="AN157" s="36">
        <f>[1]contras!BG71</f>
        <v>0</v>
      </c>
      <c r="AO157" s="36">
        <f>[1]contras!BH71</f>
        <v>0</v>
      </c>
      <c r="AP157" s="36">
        <f>[1]contras!BI71</f>
        <v>0</v>
      </c>
      <c r="AQ157" s="36">
        <f>[1]contras!BJ71</f>
        <v>18900</v>
      </c>
      <c r="AR157" s="36">
        <f>[1]contras!BK71</f>
        <v>0</v>
      </c>
      <c r="AS157" s="36">
        <f>[1]contras!BL71</f>
        <v>0</v>
      </c>
      <c r="AT157" s="36">
        <f>[1]contras!BM71</f>
        <v>30600</v>
      </c>
      <c r="AU157" s="36">
        <f>[1]contras!BN71</f>
        <v>0</v>
      </c>
      <c r="AV157" s="36">
        <f>[1]contras!BO71</f>
        <v>0</v>
      </c>
      <c r="AW157" s="36">
        <f>[1]contras!BP71</f>
        <v>36840</v>
      </c>
      <c r="AX157" s="36">
        <f>[1]contras!BQ71</f>
        <v>23040</v>
      </c>
      <c r="AY157" s="36">
        <f>[1]contras!BR71</f>
        <v>37440</v>
      </c>
      <c r="AZ157" s="36">
        <f>[1]contras!BS71</f>
        <v>0</v>
      </c>
      <c r="BA157" s="36">
        <f>[1]contras!BT71</f>
        <v>0</v>
      </c>
      <c r="BB157" s="36">
        <f>[1]contras!BU71</f>
        <v>0</v>
      </c>
      <c r="BC157" s="36">
        <f>[1]contras!BV71</f>
        <v>60480</v>
      </c>
      <c r="BD157" s="36">
        <f>[1]contras!BW71</f>
        <v>0</v>
      </c>
      <c r="BE157" s="36">
        <f>[1]contras!BX71</f>
        <v>0</v>
      </c>
      <c r="BF157" s="36">
        <f>[1]contras!BY71</f>
        <v>62400</v>
      </c>
      <c r="BG157" s="36">
        <f>[1]contras!BZ71</f>
        <v>0</v>
      </c>
      <c r="BH157" s="36">
        <f>[1]contras!CA71</f>
        <v>4608</v>
      </c>
      <c r="BI157" s="36">
        <f>[1]contras!CB71</f>
        <v>62400</v>
      </c>
      <c r="BJ157" s="36">
        <f>[1]contras!CC71</f>
        <v>57600</v>
      </c>
      <c r="BK157" s="36">
        <f>[1]contras!CD71</f>
        <v>93600</v>
      </c>
      <c r="BL157" s="36">
        <f>[1]contras!CE71</f>
        <v>0</v>
      </c>
      <c r="BM157" s="36">
        <f>[1]contras!CF71</f>
        <v>0</v>
      </c>
      <c r="BN157" s="36">
        <f>[1]contras!CG71</f>
        <v>0</v>
      </c>
      <c r="BO157" s="36">
        <f>[1]contras!CH71</f>
        <v>151200</v>
      </c>
      <c r="BP157" s="36">
        <f>[1]contras!CI71</f>
        <v>0</v>
      </c>
      <c r="BQ157" s="36">
        <f>[1]contras!CJ71</f>
        <v>0</v>
      </c>
      <c r="BR157" s="36">
        <f>[1]contras!CK71</f>
        <v>156000</v>
      </c>
      <c r="BS157" s="36">
        <f>[1]contras!CL71</f>
        <v>0</v>
      </c>
      <c r="BT157" s="36">
        <f>[1]contras!CM71</f>
        <v>11520</v>
      </c>
      <c r="BU157" s="36">
        <f>[1]contras!CN71</f>
        <v>156000</v>
      </c>
      <c r="BV157" s="36">
        <f>[1]contras!CO71</f>
        <v>129600</v>
      </c>
      <c r="BW157" s="36">
        <f>[1]contras!CP71</f>
        <v>210600</v>
      </c>
      <c r="BX157" s="36">
        <f>[1]contras!CQ71</f>
        <v>0</v>
      </c>
      <c r="BY157" s="36">
        <f>[1]contras!CR71</f>
        <v>0</v>
      </c>
      <c r="BZ157" s="36">
        <f>[1]contras!CS71</f>
        <v>0</v>
      </c>
      <c r="CA157" s="36">
        <f>[1]contras!CT71</f>
        <v>340200</v>
      </c>
      <c r="CB157" s="36">
        <f>[1]contras!CU71</f>
        <v>0</v>
      </c>
      <c r="CC157" s="36">
        <f>[1]contras!CV71</f>
        <v>0</v>
      </c>
      <c r="CD157" s="36">
        <f>[1]contras!CW71</f>
        <v>351000</v>
      </c>
      <c r="CE157" s="36">
        <f>[1]contras!CX71</f>
        <v>0</v>
      </c>
      <c r="CF157" s="36">
        <f>[1]contras!CY71</f>
        <v>25920</v>
      </c>
      <c r="CG157" s="36">
        <f>[1]contras!CZ71</f>
        <v>351000</v>
      </c>
      <c r="CH157" s="36">
        <f>[1]contras!DA71</f>
        <v>226800</v>
      </c>
      <c r="CI157" s="36">
        <f>[1]contras!DB71</f>
        <v>368550</v>
      </c>
      <c r="CJ157" s="36">
        <f>[1]contras!DC71</f>
        <v>0</v>
      </c>
      <c r="CK157" s="36">
        <f>[1]contras!DD71</f>
        <v>0</v>
      </c>
      <c r="CL157" s="36">
        <f>[1]contras!DE71</f>
        <v>0</v>
      </c>
      <c r="CM157" s="36">
        <f>[1]contras!DF71</f>
        <v>595350</v>
      </c>
      <c r="CN157" s="36">
        <f>[1]contras!DG71</f>
        <v>0</v>
      </c>
      <c r="CO157" s="36">
        <f>[1]contras!DH71</f>
        <v>0</v>
      </c>
      <c r="CP157" s="36">
        <f>[1]contras!DI71</f>
        <v>614250</v>
      </c>
      <c r="CQ157" s="36">
        <f>[1]contras!DJ71</f>
        <v>0</v>
      </c>
      <c r="CR157" s="36">
        <f>[1]contras!DK71</f>
        <v>45360</v>
      </c>
      <c r="CS157" s="36">
        <f>[1]contras!DL71</f>
        <v>614250</v>
      </c>
      <c r="CT157" s="39"/>
      <c r="CU157" s="39"/>
      <c r="CV157" s="39"/>
      <c r="CW157" s="21"/>
    </row>
    <row r="158" spans="3:101" x14ac:dyDescent="0.25">
      <c r="C158" s="49" t="str">
        <f t="shared" si="289"/>
        <v>MURAKAMI / TORITONWholesale</v>
      </c>
      <c r="D158" s="35" t="str">
        <f>[1]Key!C$16</f>
        <v>MURAKAMI / TORITON</v>
      </c>
      <c r="E158" s="35" t="str">
        <f>[1]contras!H72</f>
        <v>Wholesale</v>
      </c>
      <c r="F158" s="21"/>
      <c r="G158" s="21"/>
      <c r="H158" s="21"/>
      <c r="I158" s="21"/>
      <c r="J158" s="21"/>
      <c r="K158" s="21"/>
      <c r="L158" s="21"/>
      <c r="M158" s="21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36">
        <f>[1]contras!AS72</f>
        <v>0</v>
      </c>
      <c r="AA158" s="36">
        <f>[1]contras!AT72</f>
        <v>0</v>
      </c>
      <c r="AB158" s="36">
        <f>[1]contras!AU72</f>
        <v>43200</v>
      </c>
      <c r="AC158" s="36">
        <f>[1]contras!AV72</f>
        <v>4500</v>
      </c>
      <c r="AD158" s="36">
        <f>[1]contras!AW72</f>
        <v>0</v>
      </c>
      <c r="AE158" s="36">
        <f>[1]contras!AX72</f>
        <v>0</v>
      </c>
      <c r="AF158" s="36">
        <f>[1]contras!AY72</f>
        <v>0</v>
      </c>
      <c r="AG158" s="36">
        <f>[1]contras!AZ72</f>
        <v>0</v>
      </c>
      <c r="AH158" s="36">
        <f>[1]contras!BA72</f>
        <v>0</v>
      </c>
      <c r="AI158" s="36">
        <f>[1]contras!BB72</f>
        <v>0</v>
      </c>
      <c r="AJ158" s="36">
        <f>[1]contras!BC72</f>
        <v>4500</v>
      </c>
      <c r="AK158" s="36">
        <f>[1]contras!BD72</f>
        <v>6750</v>
      </c>
      <c r="AL158" s="36">
        <f>[1]contras!BE72</f>
        <v>0</v>
      </c>
      <c r="AM158" s="36">
        <f>[1]contras!BF72</f>
        <v>15000</v>
      </c>
      <c r="AN158" s="36">
        <f>[1]contras!BG72</f>
        <v>4500</v>
      </c>
      <c r="AO158" s="36">
        <f>[1]contras!BH72</f>
        <v>0</v>
      </c>
      <c r="AP158" s="36">
        <f>[1]contras!BI72</f>
        <v>18750</v>
      </c>
      <c r="AQ158" s="36">
        <f>[1]contras!BJ72</f>
        <v>10125</v>
      </c>
      <c r="AR158" s="36">
        <f>[1]contras!BK72</f>
        <v>5850</v>
      </c>
      <c r="AS158" s="36">
        <f>[1]contras!BL72</f>
        <v>22200</v>
      </c>
      <c r="AT158" s="36">
        <f>[1]contras!BM72</f>
        <v>0</v>
      </c>
      <c r="AU158" s="36">
        <f>[1]contras!BN72</f>
        <v>3000</v>
      </c>
      <c r="AV158" s="36">
        <f>[1]contras!BO72</f>
        <v>24300</v>
      </c>
      <c r="AW158" s="36">
        <f>[1]contras!BP72</f>
        <v>13725</v>
      </c>
      <c r="AX158" s="36">
        <f>[1]contras!BQ72</f>
        <v>4500</v>
      </c>
      <c r="AY158" s="36">
        <f>[1]contras!BR72</f>
        <v>33450</v>
      </c>
      <c r="AZ158" s="36">
        <f>[1]contras!BS72</f>
        <v>12600</v>
      </c>
      <c r="BA158" s="36">
        <f>[1]contras!BT72</f>
        <v>1125</v>
      </c>
      <c r="BB158" s="36">
        <f>[1]contras!BU72</f>
        <v>26250</v>
      </c>
      <c r="BC158" s="36">
        <f>[1]contras!BV72</f>
        <v>19800</v>
      </c>
      <c r="BD158" s="36">
        <f>[1]contras!BW72</f>
        <v>4500</v>
      </c>
      <c r="BE158" s="36">
        <f>[1]contras!BX72</f>
        <v>35700</v>
      </c>
      <c r="BF158" s="36">
        <f>[1]contras!BY72</f>
        <v>12600</v>
      </c>
      <c r="BG158" s="36">
        <f>[1]contras!BZ72</f>
        <v>1125</v>
      </c>
      <c r="BH158" s="36">
        <f>[1]contras!CA72</f>
        <v>23700</v>
      </c>
      <c r="BI158" s="36">
        <f>[1]contras!CB72</f>
        <v>12600</v>
      </c>
      <c r="BJ158" s="36">
        <f>[1]contras!CC72</f>
        <v>11250</v>
      </c>
      <c r="BK158" s="36">
        <f>[1]contras!CD72</f>
        <v>83625</v>
      </c>
      <c r="BL158" s="36">
        <f>[1]contras!CE72</f>
        <v>31500</v>
      </c>
      <c r="BM158" s="36">
        <f>[1]contras!CF72</f>
        <v>2812.5</v>
      </c>
      <c r="BN158" s="36">
        <f>[1]contras!CG72</f>
        <v>65625</v>
      </c>
      <c r="BO158" s="36">
        <f>[1]contras!CH72</f>
        <v>49500</v>
      </c>
      <c r="BP158" s="36">
        <f>[1]contras!CI72</f>
        <v>11250</v>
      </c>
      <c r="BQ158" s="36">
        <f>[1]contras!CJ72</f>
        <v>89250</v>
      </c>
      <c r="BR158" s="36">
        <f>[1]contras!CK72</f>
        <v>31500</v>
      </c>
      <c r="BS158" s="36">
        <f>[1]contras!CL72</f>
        <v>2812.5</v>
      </c>
      <c r="BT158" s="36">
        <f>[1]contras!CM72</f>
        <v>59250</v>
      </c>
      <c r="BU158" s="36">
        <f>[1]contras!CN72</f>
        <v>31500</v>
      </c>
      <c r="BV158" s="36">
        <f>[1]contras!CO72</f>
        <v>19687.5</v>
      </c>
      <c r="BW158" s="36">
        <f>[1]contras!CP72</f>
        <v>146343.75</v>
      </c>
      <c r="BX158" s="36">
        <f>[1]contras!CQ72</f>
        <v>55125</v>
      </c>
      <c r="BY158" s="36">
        <f>[1]contras!CR72</f>
        <v>4921.875</v>
      </c>
      <c r="BZ158" s="36">
        <f>[1]contras!CS72</f>
        <v>114843.75</v>
      </c>
      <c r="CA158" s="36">
        <f>[1]contras!CT72</f>
        <v>86625</v>
      </c>
      <c r="CB158" s="36">
        <f>[1]contras!CU72</f>
        <v>19687.5</v>
      </c>
      <c r="CC158" s="36">
        <f>[1]contras!CV72</f>
        <v>156187.5</v>
      </c>
      <c r="CD158" s="36">
        <f>[1]contras!CW72</f>
        <v>55125</v>
      </c>
      <c r="CE158" s="36">
        <f>[1]contras!CX72</f>
        <v>4921.875</v>
      </c>
      <c r="CF158" s="36">
        <f>[1]contras!CY72</f>
        <v>103687.5</v>
      </c>
      <c r="CG158" s="36">
        <f>[1]contras!CZ72</f>
        <v>55125</v>
      </c>
      <c r="CH158" s="36">
        <f>[1]contras!DA72</f>
        <v>29531.25</v>
      </c>
      <c r="CI158" s="36">
        <f>[1]contras!DB72</f>
        <v>219515.625</v>
      </c>
      <c r="CJ158" s="36">
        <f>[1]contras!DC72</f>
        <v>82687.5</v>
      </c>
      <c r="CK158" s="36">
        <f>[1]contras!DD72</f>
        <v>7382.8125</v>
      </c>
      <c r="CL158" s="36">
        <f>[1]contras!DE72</f>
        <v>172265.625</v>
      </c>
      <c r="CM158" s="36">
        <f>[1]contras!DF72</f>
        <v>129937.5</v>
      </c>
      <c r="CN158" s="36">
        <f>[1]contras!DG72</f>
        <v>29531.25</v>
      </c>
      <c r="CO158" s="36">
        <f>[1]contras!DH72</f>
        <v>234281.25</v>
      </c>
      <c r="CP158" s="36">
        <f>[1]contras!DI72</f>
        <v>82687.5</v>
      </c>
      <c r="CQ158" s="36">
        <f>[1]contras!DJ72</f>
        <v>7382.8125</v>
      </c>
      <c r="CR158" s="36">
        <f>[1]contras!DK72</f>
        <v>155531.25</v>
      </c>
      <c r="CS158" s="36">
        <f>[1]contras!DL72</f>
        <v>82687.5</v>
      </c>
      <c r="CT158" s="39"/>
      <c r="CU158" s="39"/>
      <c r="CV158" s="39"/>
      <c r="CW158" s="21"/>
    </row>
    <row r="159" spans="3:101" x14ac:dyDescent="0.25">
      <c r="C159" s="49" t="str">
        <f t="shared" si="289"/>
        <v>NEW PARTNER 1Wholesale</v>
      </c>
      <c r="D159" s="35" t="str">
        <f>[1]Key!C$17</f>
        <v>NEW PARTNER 1</v>
      </c>
      <c r="E159" s="35" t="str">
        <f>[1]contras!H73</f>
        <v>Wholesale</v>
      </c>
      <c r="F159" s="21"/>
      <c r="G159" s="21"/>
      <c r="H159" s="21"/>
      <c r="I159" s="21"/>
      <c r="J159" s="21"/>
      <c r="K159" s="21"/>
      <c r="L159" s="21"/>
      <c r="M159" s="21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36">
        <f>[1]contras!AS73</f>
        <v>0</v>
      </c>
      <c r="AA159" s="36">
        <f>[1]contras!AT73</f>
        <v>0</v>
      </c>
      <c r="AB159" s="36">
        <f>[1]contras!AU73</f>
        <v>0</v>
      </c>
      <c r="AC159" s="36">
        <f>[1]contras!AV73</f>
        <v>0</v>
      </c>
      <c r="AD159" s="36">
        <f>[1]contras!AW73</f>
        <v>0</v>
      </c>
      <c r="AE159" s="36">
        <f>[1]contras!AX73</f>
        <v>0</v>
      </c>
      <c r="AF159" s="36">
        <f>[1]contras!AY73</f>
        <v>0</v>
      </c>
      <c r="AG159" s="36">
        <f>[1]contras!AZ73</f>
        <v>0</v>
      </c>
      <c r="AH159" s="36">
        <f>[1]contras!BA73</f>
        <v>0</v>
      </c>
      <c r="AI159" s="36">
        <f>[1]contras!BB73</f>
        <v>0</v>
      </c>
      <c r="AJ159" s="36">
        <f>[1]contras!BC73</f>
        <v>0</v>
      </c>
      <c r="AK159" s="36">
        <f>[1]contras!BD73</f>
        <v>0</v>
      </c>
      <c r="AL159" s="36">
        <f>[1]contras!BE73</f>
        <v>0</v>
      </c>
      <c r="AM159" s="36">
        <f>[1]contras!BF73</f>
        <v>0</v>
      </c>
      <c r="AN159" s="36">
        <f>[1]contras!BG73</f>
        <v>0</v>
      </c>
      <c r="AO159" s="36">
        <f>[1]contras!BH73</f>
        <v>0</v>
      </c>
      <c r="AP159" s="36">
        <f>[1]contras!BI73</f>
        <v>0</v>
      </c>
      <c r="AQ159" s="36">
        <f>[1]contras!BJ73</f>
        <v>0</v>
      </c>
      <c r="AR159" s="36">
        <f>[1]contras!BK73</f>
        <v>0</v>
      </c>
      <c r="AS159" s="36">
        <f>[1]contras!BL73</f>
        <v>0</v>
      </c>
      <c r="AT159" s="36">
        <f>[1]contras!BM73</f>
        <v>0</v>
      </c>
      <c r="AU159" s="36">
        <f>[1]contras!BN73</f>
        <v>0</v>
      </c>
      <c r="AV159" s="36">
        <f>[1]contras!BO73</f>
        <v>0</v>
      </c>
      <c r="AW159" s="36">
        <f>[1]contras!BP73</f>
        <v>0</v>
      </c>
      <c r="AX159" s="36">
        <f>[1]contras!BQ73</f>
        <v>6480</v>
      </c>
      <c r="AY159" s="36">
        <f>[1]contras!BR73</f>
        <v>0</v>
      </c>
      <c r="AZ159" s="36">
        <f>[1]contras!BS73</f>
        <v>0</v>
      </c>
      <c r="BA159" s="36">
        <f>[1]contras!BT73</f>
        <v>0</v>
      </c>
      <c r="BB159" s="36">
        <f>[1]contras!BU73</f>
        <v>0</v>
      </c>
      <c r="BC159" s="36">
        <f>[1]contras!BV73</f>
        <v>0</v>
      </c>
      <c r="BD159" s="36">
        <f>[1]contras!BW73</f>
        <v>13500</v>
      </c>
      <c r="BE159" s="36">
        <f>[1]contras!BX73</f>
        <v>0</v>
      </c>
      <c r="BF159" s="36">
        <f>[1]contras!BY73</f>
        <v>0</v>
      </c>
      <c r="BG159" s="36">
        <f>[1]contras!BZ73</f>
        <v>0</v>
      </c>
      <c r="BH159" s="36">
        <f>[1]contras!CA73</f>
        <v>0</v>
      </c>
      <c r="BI159" s="36">
        <f>[1]contras!CB73</f>
        <v>0</v>
      </c>
      <c r="BJ159" s="36">
        <f>[1]contras!CC73</f>
        <v>19440</v>
      </c>
      <c r="BK159" s="36">
        <f>[1]contras!CD73</f>
        <v>0</v>
      </c>
      <c r="BL159" s="36">
        <f>[1]contras!CE73</f>
        <v>0</v>
      </c>
      <c r="BM159" s="36">
        <f>[1]contras!CF73</f>
        <v>0</v>
      </c>
      <c r="BN159" s="36">
        <f>[1]contras!CG73</f>
        <v>0</v>
      </c>
      <c r="BO159" s="36">
        <f>[1]contras!CH73</f>
        <v>0</v>
      </c>
      <c r="BP159" s="36">
        <f>[1]contras!CI73</f>
        <v>40500</v>
      </c>
      <c r="BQ159" s="36">
        <f>[1]contras!CJ73</f>
        <v>0</v>
      </c>
      <c r="BR159" s="36">
        <f>[1]contras!CK73</f>
        <v>0</v>
      </c>
      <c r="BS159" s="36">
        <f>[1]contras!CL73</f>
        <v>0</v>
      </c>
      <c r="BT159" s="36">
        <f>[1]contras!CM73</f>
        <v>0</v>
      </c>
      <c r="BU159" s="36">
        <f>[1]contras!CN73</f>
        <v>0</v>
      </c>
      <c r="BV159" s="36">
        <f>[1]contras!CO73</f>
        <v>48600</v>
      </c>
      <c r="BW159" s="36">
        <f>[1]contras!CP73</f>
        <v>0</v>
      </c>
      <c r="BX159" s="36">
        <f>[1]contras!CQ73</f>
        <v>0</v>
      </c>
      <c r="BY159" s="36">
        <f>[1]contras!CR73</f>
        <v>0</v>
      </c>
      <c r="BZ159" s="36">
        <f>[1]contras!CS73</f>
        <v>0</v>
      </c>
      <c r="CA159" s="36">
        <f>[1]contras!CT73</f>
        <v>0</v>
      </c>
      <c r="CB159" s="36">
        <f>[1]contras!CU73</f>
        <v>101250</v>
      </c>
      <c r="CC159" s="36">
        <f>[1]contras!CV73</f>
        <v>0</v>
      </c>
      <c r="CD159" s="36">
        <f>[1]contras!CW73</f>
        <v>0</v>
      </c>
      <c r="CE159" s="36">
        <f>[1]contras!CX73</f>
        <v>0</v>
      </c>
      <c r="CF159" s="36">
        <f>[1]contras!CY73</f>
        <v>0</v>
      </c>
      <c r="CG159" s="36">
        <f>[1]contras!CZ73</f>
        <v>0</v>
      </c>
      <c r="CH159" s="36">
        <f>[1]contras!DA73</f>
        <v>85050</v>
      </c>
      <c r="CI159" s="36">
        <f>[1]contras!DB73</f>
        <v>0</v>
      </c>
      <c r="CJ159" s="36">
        <f>[1]contras!DC73</f>
        <v>0</v>
      </c>
      <c r="CK159" s="36">
        <f>[1]contras!DD73</f>
        <v>0</v>
      </c>
      <c r="CL159" s="36">
        <f>[1]contras!DE73</f>
        <v>0</v>
      </c>
      <c r="CM159" s="36">
        <f>[1]contras!DF73</f>
        <v>0</v>
      </c>
      <c r="CN159" s="36">
        <f>[1]contras!DG73</f>
        <v>177187.5</v>
      </c>
      <c r="CO159" s="36">
        <f>[1]contras!DH73</f>
        <v>0</v>
      </c>
      <c r="CP159" s="36">
        <f>[1]contras!DI73</f>
        <v>0</v>
      </c>
      <c r="CQ159" s="36">
        <f>[1]contras!DJ73</f>
        <v>0</v>
      </c>
      <c r="CR159" s="36">
        <f>[1]contras!DK73</f>
        <v>0</v>
      </c>
      <c r="CS159" s="36">
        <f>[1]contras!DL73</f>
        <v>0</v>
      </c>
      <c r="CT159" s="39"/>
      <c r="CU159" s="39"/>
      <c r="CV159" s="39"/>
      <c r="CW159" s="21"/>
    </row>
    <row r="160" spans="3:101" x14ac:dyDescent="0.25">
      <c r="C160" s="49" t="str">
        <f t="shared" si="289"/>
        <v>NEW PARTNER 2Wholesale</v>
      </c>
      <c r="D160" s="35" t="str">
        <f>[1]Key!C$18</f>
        <v>NEW PARTNER 2</v>
      </c>
      <c r="E160" s="35" t="str">
        <f>[1]contras!H74</f>
        <v>Wholesale</v>
      </c>
      <c r="F160" s="21"/>
      <c r="G160" s="21"/>
      <c r="H160" s="21"/>
      <c r="I160" s="21"/>
      <c r="J160" s="21"/>
      <c r="K160" s="21"/>
      <c r="L160" s="21"/>
      <c r="M160" s="21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36">
        <f>[1]contras!AS74</f>
        <v>0</v>
      </c>
      <c r="AA160" s="36">
        <f>[1]contras!AT74</f>
        <v>0</v>
      </c>
      <c r="AB160" s="36">
        <f>[1]contras!AU74</f>
        <v>0</v>
      </c>
      <c r="AC160" s="36">
        <f>[1]contras!AV74</f>
        <v>0</v>
      </c>
      <c r="AD160" s="36">
        <f>[1]contras!AW74</f>
        <v>0</v>
      </c>
      <c r="AE160" s="36">
        <f>[1]contras!AX74</f>
        <v>0</v>
      </c>
      <c r="AF160" s="36">
        <f>[1]contras!AY74</f>
        <v>0</v>
      </c>
      <c r="AG160" s="36">
        <f>[1]contras!AZ74</f>
        <v>0</v>
      </c>
      <c r="AH160" s="36">
        <f>[1]contras!BA74</f>
        <v>0</v>
      </c>
      <c r="AI160" s="36">
        <f>[1]contras!BB74</f>
        <v>0</v>
      </c>
      <c r="AJ160" s="36">
        <f>[1]contras!BC74</f>
        <v>0</v>
      </c>
      <c r="AK160" s="36">
        <f>[1]contras!BD74</f>
        <v>0</v>
      </c>
      <c r="AL160" s="36">
        <f>[1]contras!BE74</f>
        <v>0</v>
      </c>
      <c r="AM160" s="36">
        <f>[1]contras!BF74</f>
        <v>0</v>
      </c>
      <c r="AN160" s="36">
        <f>[1]contras!BG74</f>
        <v>0</v>
      </c>
      <c r="AO160" s="36">
        <f>[1]contras!BH74</f>
        <v>0</v>
      </c>
      <c r="AP160" s="36">
        <f>[1]contras!BI74</f>
        <v>0</v>
      </c>
      <c r="AQ160" s="36">
        <f>[1]contras!BJ74</f>
        <v>0</v>
      </c>
      <c r="AR160" s="36">
        <f>[1]contras!BK74</f>
        <v>0</v>
      </c>
      <c r="AS160" s="36">
        <f>[1]contras!BL74</f>
        <v>0</v>
      </c>
      <c r="AT160" s="36">
        <f>[1]contras!BM74</f>
        <v>0</v>
      </c>
      <c r="AU160" s="36">
        <f>[1]contras!BN74</f>
        <v>0</v>
      </c>
      <c r="AV160" s="36">
        <f>[1]contras!BO74</f>
        <v>0</v>
      </c>
      <c r="AW160" s="36">
        <f>[1]contras!BP74</f>
        <v>0</v>
      </c>
      <c r="AX160" s="36">
        <f>[1]contras!BQ74</f>
        <v>19500</v>
      </c>
      <c r="AY160" s="36">
        <f>[1]contras!BR74</f>
        <v>0</v>
      </c>
      <c r="AZ160" s="36">
        <f>[1]contras!BS74</f>
        <v>0</v>
      </c>
      <c r="BA160" s="36">
        <f>[1]contras!BT74</f>
        <v>0</v>
      </c>
      <c r="BB160" s="36">
        <f>[1]contras!BU74</f>
        <v>0</v>
      </c>
      <c r="BC160" s="36">
        <f>[1]contras!BV74</f>
        <v>0</v>
      </c>
      <c r="BD160" s="36">
        <f>[1]contras!BW74</f>
        <v>46800</v>
      </c>
      <c r="BE160" s="36">
        <f>[1]contras!BX74</f>
        <v>0</v>
      </c>
      <c r="BF160" s="36">
        <f>[1]contras!BY74</f>
        <v>0</v>
      </c>
      <c r="BG160" s="36">
        <f>[1]contras!BZ74</f>
        <v>0</v>
      </c>
      <c r="BH160" s="36">
        <f>[1]contras!CA74</f>
        <v>9360</v>
      </c>
      <c r="BI160" s="36">
        <f>[1]contras!CB74</f>
        <v>0</v>
      </c>
      <c r="BJ160" s="36">
        <f>[1]contras!CC74</f>
        <v>58500</v>
      </c>
      <c r="BK160" s="36">
        <f>[1]contras!CD74</f>
        <v>0</v>
      </c>
      <c r="BL160" s="36">
        <f>[1]contras!CE74</f>
        <v>0</v>
      </c>
      <c r="BM160" s="36">
        <f>[1]contras!CF74</f>
        <v>0</v>
      </c>
      <c r="BN160" s="36">
        <f>[1]contras!CG74</f>
        <v>0</v>
      </c>
      <c r="BO160" s="36">
        <f>[1]contras!CH74</f>
        <v>0</v>
      </c>
      <c r="BP160" s="36">
        <f>[1]contras!CI74</f>
        <v>140400</v>
      </c>
      <c r="BQ160" s="36">
        <f>[1]contras!CJ74</f>
        <v>0</v>
      </c>
      <c r="BR160" s="36">
        <f>[1]contras!CK74</f>
        <v>0</v>
      </c>
      <c r="BS160" s="36">
        <f>[1]contras!CL74</f>
        <v>0</v>
      </c>
      <c r="BT160" s="36">
        <f>[1]contras!CM74</f>
        <v>28080</v>
      </c>
      <c r="BU160" s="36">
        <f>[1]contras!CN74</f>
        <v>0</v>
      </c>
      <c r="BV160" s="36">
        <f>[1]contras!CO74</f>
        <v>146250</v>
      </c>
      <c r="BW160" s="36">
        <f>[1]contras!CP74</f>
        <v>0</v>
      </c>
      <c r="BX160" s="36">
        <f>[1]contras!CQ74</f>
        <v>0</v>
      </c>
      <c r="BY160" s="36">
        <f>[1]contras!CR74</f>
        <v>0</v>
      </c>
      <c r="BZ160" s="36">
        <f>[1]contras!CS74</f>
        <v>0</v>
      </c>
      <c r="CA160" s="36">
        <f>[1]contras!CT74</f>
        <v>0</v>
      </c>
      <c r="CB160" s="36">
        <f>[1]contras!CU74</f>
        <v>351000</v>
      </c>
      <c r="CC160" s="36">
        <f>[1]contras!CV74</f>
        <v>0</v>
      </c>
      <c r="CD160" s="36">
        <f>[1]contras!CW74</f>
        <v>0</v>
      </c>
      <c r="CE160" s="36">
        <f>[1]contras!CX74</f>
        <v>0</v>
      </c>
      <c r="CF160" s="36">
        <f>[1]contras!CY74</f>
        <v>70200</v>
      </c>
      <c r="CG160" s="36">
        <f>[1]contras!CZ74</f>
        <v>0</v>
      </c>
      <c r="CH160" s="36">
        <f>[1]contras!DA74</f>
        <v>255937.5</v>
      </c>
      <c r="CI160" s="36">
        <f>[1]contras!DB74</f>
        <v>0</v>
      </c>
      <c r="CJ160" s="36">
        <f>[1]contras!DC74</f>
        <v>0</v>
      </c>
      <c r="CK160" s="36">
        <f>[1]contras!DD74</f>
        <v>0</v>
      </c>
      <c r="CL160" s="36">
        <f>[1]contras!DE74</f>
        <v>0</v>
      </c>
      <c r="CM160" s="36">
        <f>[1]contras!DF74</f>
        <v>0</v>
      </c>
      <c r="CN160" s="36">
        <f>[1]contras!DG74</f>
        <v>614250</v>
      </c>
      <c r="CO160" s="36">
        <f>[1]contras!DH74</f>
        <v>0</v>
      </c>
      <c r="CP160" s="36">
        <f>[1]contras!DI74</f>
        <v>0</v>
      </c>
      <c r="CQ160" s="36">
        <f>[1]contras!DJ74</f>
        <v>0</v>
      </c>
      <c r="CR160" s="36">
        <f>[1]contras!DK74</f>
        <v>122850</v>
      </c>
      <c r="CS160" s="36">
        <f>[1]contras!DL74</f>
        <v>0</v>
      </c>
      <c r="CT160" s="39"/>
      <c r="CU160" s="39"/>
      <c r="CV160" s="39"/>
      <c r="CW160" s="21"/>
    </row>
    <row r="161" spans="3:101" x14ac:dyDescent="0.25">
      <c r="C161" s="49" t="str">
        <f t="shared" si="289"/>
        <v>PIGALLEWholesale</v>
      </c>
      <c r="D161" s="35" t="str">
        <f>[1]Key!C$19</f>
        <v>PIGALLE</v>
      </c>
      <c r="E161" s="35" t="str">
        <f>[1]contras!H75</f>
        <v>Wholesale</v>
      </c>
      <c r="F161" s="21"/>
      <c r="G161" s="21"/>
      <c r="H161" s="21"/>
      <c r="I161" s="21"/>
      <c r="J161" s="21"/>
      <c r="K161" s="21"/>
      <c r="L161" s="21"/>
      <c r="M161" s="21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36">
        <f>[1]contras!AS75</f>
        <v>0</v>
      </c>
      <c r="AA161" s="36">
        <f>[1]contras!AT75</f>
        <v>0</v>
      </c>
      <c r="AB161" s="36">
        <f>[1]contras!AU75</f>
        <v>0</v>
      </c>
      <c r="AC161" s="36">
        <f>[1]contras!AV75</f>
        <v>0</v>
      </c>
      <c r="AD161" s="36">
        <f>[1]contras!AW75</f>
        <v>0</v>
      </c>
      <c r="AE161" s="36">
        <f>[1]contras!AX75</f>
        <v>0</v>
      </c>
      <c r="AF161" s="36">
        <f>[1]contras!AY75</f>
        <v>0</v>
      </c>
      <c r="AG161" s="36">
        <f>[1]contras!AZ75</f>
        <v>0</v>
      </c>
      <c r="AH161" s="36">
        <f>[1]contras!BA75</f>
        <v>0</v>
      </c>
      <c r="AI161" s="36">
        <f>[1]contras!BB75</f>
        <v>0</v>
      </c>
      <c r="AJ161" s="36">
        <f>[1]contras!BC75</f>
        <v>0</v>
      </c>
      <c r="AK161" s="36">
        <f>[1]contras!BD75</f>
        <v>0</v>
      </c>
      <c r="AL161" s="36">
        <f>[1]contras!BE75</f>
        <v>0</v>
      </c>
      <c r="AM161" s="36">
        <f>[1]contras!BF75</f>
        <v>0</v>
      </c>
      <c r="AN161" s="36">
        <f>[1]contras!BG75</f>
        <v>0</v>
      </c>
      <c r="AO161" s="36">
        <f>[1]contras!BH75</f>
        <v>0</v>
      </c>
      <c r="AP161" s="36">
        <f>[1]contras!BI75</f>
        <v>0</v>
      </c>
      <c r="AQ161" s="36">
        <f>[1]contras!BJ75</f>
        <v>0</v>
      </c>
      <c r="AR161" s="36">
        <f>[1]contras!BK75</f>
        <v>0</v>
      </c>
      <c r="AS161" s="36">
        <f>[1]contras!BL75</f>
        <v>0</v>
      </c>
      <c r="AT161" s="36">
        <f>[1]contras!BM75</f>
        <v>0</v>
      </c>
      <c r="AU161" s="36">
        <f>[1]contras!BN75</f>
        <v>0</v>
      </c>
      <c r="AV161" s="36">
        <f>[1]contras!BO75</f>
        <v>6480</v>
      </c>
      <c r="AW161" s="36">
        <f>[1]contras!BP75</f>
        <v>0</v>
      </c>
      <c r="AX161" s="36">
        <f>[1]contras!BQ75</f>
        <v>0</v>
      </c>
      <c r="AY161" s="36">
        <f>[1]contras!BR75</f>
        <v>0</v>
      </c>
      <c r="AZ161" s="36">
        <f>[1]contras!BS75</f>
        <v>0</v>
      </c>
      <c r="BA161" s="36">
        <f>[1]contras!BT75</f>
        <v>0</v>
      </c>
      <c r="BB161" s="36">
        <f>[1]contras!BU75</f>
        <v>0</v>
      </c>
      <c r="BC161" s="36">
        <f>[1]contras!BV75</f>
        <v>0</v>
      </c>
      <c r="BD161" s="36">
        <f>[1]contras!BW75</f>
        <v>0</v>
      </c>
      <c r="BE161" s="36">
        <f>[1]contras!BX75</f>
        <v>0</v>
      </c>
      <c r="BF161" s="36">
        <f>[1]contras!BY75</f>
        <v>0</v>
      </c>
      <c r="BG161" s="36">
        <f>[1]contras!BZ75</f>
        <v>0</v>
      </c>
      <c r="BH161" s="36">
        <f>[1]contras!CA75</f>
        <v>0</v>
      </c>
      <c r="BI161" s="36">
        <f>[1]contras!CB75</f>
        <v>0</v>
      </c>
      <c r="BJ161" s="36">
        <f>[1]contras!CC75</f>
        <v>0</v>
      </c>
      <c r="BK161" s="36">
        <f>[1]contras!CD75</f>
        <v>0</v>
      </c>
      <c r="BL161" s="36">
        <f>[1]contras!CE75</f>
        <v>0</v>
      </c>
      <c r="BM161" s="36">
        <f>[1]contras!CF75</f>
        <v>0</v>
      </c>
      <c r="BN161" s="36">
        <f>[1]contras!CG75</f>
        <v>0</v>
      </c>
      <c r="BO161" s="36">
        <f>[1]contras!CH75</f>
        <v>0</v>
      </c>
      <c r="BP161" s="36">
        <f>[1]contras!CI75</f>
        <v>0</v>
      </c>
      <c r="BQ161" s="36">
        <f>[1]contras!CJ75</f>
        <v>0</v>
      </c>
      <c r="BR161" s="36">
        <f>[1]contras!CK75</f>
        <v>0</v>
      </c>
      <c r="BS161" s="36">
        <f>[1]contras!CL75</f>
        <v>0</v>
      </c>
      <c r="BT161" s="36">
        <f>[1]contras!CM75</f>
        <v>0</v>
      </c>
      <c r="BU161" s="36">
        <f>[1]contras!CN75</f>
        <v>0</v>
      </c>
      <c r="BV161" s="36">
        <f>[1]contras!CO75</f>
        <v>0</v>
      </c>
      <c r="BW161" s="36">
        <f>[1]contras!CP75</f>
        <v>0</v>
      </c>
      <c r="BX161" s="36">
        <f>[1]contras!CQ75</f>
        <v>0</v>
      </c>
      <c r="BY161" s="36">
        <f>[1]contras!CR75</f>
        <v>0</v>
      </c>
      <c r="BZ161" s="36">
        <f>[1]contras!CS75</f>
        <v>0</v>
      </c>
      <c r="CA161" s="36">
        <f>[1]contras!CT75</f>
        <v>0</v>
      </c>
      <c r="CB161" s="36">
        <f>[1]contras!CU75</f>
        <v>0</v>
      </c>
      <c r="CC161" s="36">
        <f>[1]contras!CV75</f>
        <v>0</v>
      </c>
      <c r="CD161" s="36">
        <f>[1]contras!CW75</f>
        <v>0</v>
      </c>
      <c r="CE161" s="36">
        <f>[1]contras!CX75</f>
        <v>0</v>
      </c>
      <c r="CF161" s="36">
        <f>[1]contras!CY75</f>
        <v>0</v>
      </c>
      <c r="CG161" s="36">
        <f>[1]contras!CZ75</f>
        <v>0</v>
      </c>
      <c r="CH161" s="36">
        <f>[1]contras!DA75</f>
        <v>0</v>
      </c>
      <c r="CI161" s="36">
        <f>[1]contras!DB75</f>
        <v>0</v>
      </c>
      <c r="CJ161" s="36">
        <f>[1]contras!DC75</f>
        <v>0</v>
      </c>
      <c r="CK161" s="36">
        <f>[1]contras!DD75</f>
        <v>0</v>
      </c>
      <c r="CL161" s="36">
        <f>[1]contras!DE75</f>
        <v>0</v>
      </c>
      <c r="CM161" s="36">
        <f>[1]contras!DF75</f>
        <v>0</v>
      </c>
      <c r="CN161" s="36">
        <f>[1]contras!DG75</f>
        <v>0</v>
      </c>
      <c r="CO161" s="36">
        <f>[1]contras!DH75</f>
        <v>0</v>
      </c>
      <c r="CP161" s="36">
        <f>[1]contras!DI75</f>
        <v>0</v>
      </c>
      <c r="CQ161" s="36">
        <f>[1]contras!DJ75</f>
        <v>0</v>
      </c>
      <c r="CR161" s="36">
        <f>[1]contras!DK75</f>
        <v>0</v>
      </c>
      <c r="CS161" s="36">
        <f>[1]contras!DL75</f>
        <v>0</v>
      </c>
      <c r="CT161" s="39"/>
      <c r="CU161" s="39"/>
      <c r="CV161" s="39"/>
      <c r="CW161" s="21"/>
    </row>
    <row r="162" spans="3:101" x14ac:dyDescent="0.25">
      <c r="C162" s="49" t="str">
        <f t="shared" si="289"/>
        <v>SPORT PLACEHOLDERWholesale</v>
      </c>
      <c r="D162" s="35" t="str">
        <f>[1]Key!C$20</f>
        <v>SPORT PLACEHOLDER</v>
      </c>
      <c r="E162" s="35" t="str">
        <f>[1]contras!H76</f>
        <v>Wholesale</v>
      </c>
      <c r="F162" s="21"/>
      <c r="G162" s="21"/>
      <c r="H162" s="21"/>
      <c r="I162" s="21"/>
      <c r="J162" s="21"/>
      <c r="K162" s="21"/>
      <c r="L162" s="21"/>
      <c r="M162" s="21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36">
        <f>[1]contras!AS76</f>
        <v>0</v>
      </c>
      <c r="AA162" s="36">
        <f>[1]contras!AT76</f>
        <v>0</v>
      </c>
      <c r="AB162" s="36">
        <f>[1]contras!AU76</f>
        <v>0</v>
      </c>
      <c r="AC162" s="36">
        <f>[1]contras!AV76</f>
        <v>0</v>
      </c>
      <c r="AD162" s="36">
        <f>[1]contras!AW76</f>
        <v>0</v>
      </c>
      <c r="AE162" s="36">
        <f>[1]contras!AX76</f>
        <v>0</v>
      </c>
      <c r="AF162" s="36">
        <f>[1]contras!AY76</f>
        <v>0</v>
      </c>
      <c r="AG162" s="36">
        <f>[1]contras!AZ76</f>
        <v>0</v>
      </c>
      <c r="AH162" s="36">
        <f>[1]contras!BA76</f>
        <v>0</v>
      </c>
      <c r="AI162" s="36">
        <f>[1]contras!BB76</f>
        <v>0</v>
      </c>
      <c r="AJ162" s="36">
        <f>[1]contras!BC76</f>
        <v>0</v>
      </c>
      <c r="AK162" s="36">
        <f>[1]contras!BD76</f>
        <v>0</v>
      </c>
      <c r="AL162" s="36">
        <f>[1]contras!BE76</f>
        <v>0</v>
      </c>
      <c r="AM162" s="36">
        <f>[1]contras!BF76</f>
        <v>0</v>
      </c>
      <c r="AN162" s="36">
        <f>[1]contras!BG76</f>
        <v>0</v>
      </c>
      <c r="AO162" s="36">
        <f>[1]contras!BH76</f>
        <v>0</v>
      </c>
      <c r="AP162" s="36">
        <f>[1]contras!BI76</f>
        <v>0</v>
      </c>
      <c r="AQ162" s="36">
        <f>[1]contras!BJ76</f>
        <v>0</v>
      </c>
      <c r="AR162" s="36">
        <f>[1]contras!BK76</f>
        <v>0</v>
      </c>
      <c r="AS162" s="36">
        <f>[1]contras!BL76</f>
        <v>0</v>
      </c>
      <c r="AT162" s="36">
        <f>[1]contras!BM76</f>
        <v>0</v>
      </c>
      <c r="AU162" s="36">
        <f>[1]contras!BN76</f>
        <v>0</v>
      </c>
      <c r="AV162" s="36">
        <f>[1]contras!BO76</f>
        <v>0</v>
      </c>
      <c r="AW162" s="36">
        <f>[1]contras!BP76</f>
        <v>0</v>
      </c>
      <c r="AX162" s="36">
        <f>[1]contras!BQ76</f>
        <v>46800</v>
      </c>
      <c r="AY162" s="36">
        <f>[1]contras!BR76</f>
        <v>0</v>
      </c>
      <c r="AZ162" s="36">
        <f>[1]contras!BS76</f>
        <v>0</v>
      </c>
      <c r="BA162" s="36">
        <f>[1]contras!BT76</f>
        <v>0</v>
      </c>
      <c r="BB162" s="36">
        <f>[1]contras!BU76</f>
        <v>0</v>
      </c>
      <c r="BC162" s="36">
        <f>[1]contras!BV76</f>
        <v>0</v>
      </c>
      <c r="BD162" s="36">
        <f>[1]contras!BW76</f>
        <v>93600</v>
      </c>
      <c r="BE162" s="36">
        <f>[1]contras!BX76</f>
        <v>0</v>
      </c>
      <c r="BF162" s="36">
        <f>[1]contras!BY76</f>
        <v>0</v>
      </c>
      <c r="BG162" s="36">
        <f>[1]contras!BZ76</f>
        <v>0</v>
      </c>
      <c r="BH162" s="36">
        <f>[1]contras!CA76</f>
        <v>0</v>
      </c>
      <c r="BI162" s="36">
        <f>[1]contras!CB76</f>
        <v>0</v>
      </c>
      <c r="BJ162" s="36">
        <f>[1]contras!CC76</f>
        <v>140400</v>
      </c>
      <c r="BK162" s="36">
        <f>[1]contras!CD76</f>
        <v>0</v>
      </c>
      <c r="BL162" s="36">
        <f>[1]contras!CE76</f>
        <v>0</v>
      </c>
      <c r="BM162" s="36">
        <f>[1]contras!CF76</f>
        <v>0</v>
      </c>
      <c r="BN162" s="36">
        <f>[1]contras!CG76</f>
        <v>0</v>
      </c>
      <c r="BO162" s="36">
        <f>[1]contras!CH76</f>
        <v>0</v>
      </c>
      <c r="BP162" s="36">
        <f>[1]contras!CI76</f>
        <v>280800</v>
      </c>
      <c r="BQ162" s="36">
        <f>[1]contras!CJ76</f>
        <v>0</v>
      </c>
      <c r="BR162" s="36">
        <f>[1]contras!CK76</f>
        <v>0</v>
      </c>
      <c r="BS162" s="36">
        <f>[1]contras!CL76</f>
        <v>0</v>
      </c>
      <c r="BT162" s="36">
        <f>[1]contras!CM76</f>
        <v>0</v>
      </c>
      <c r="BU162" s="36">
        <f>[1]contras!CN76</f>
        <v>0</v>
      </c>
      <c r="BV162" s="36">
        <f>[1]contras!CO76</f>
        <v>421200</v>
      </c>
      <c r="BW162" s="36">
        <f>[1]contras!CP76</f>
        <v>0</v>
      </c>
      <c r="BX162" s="36">
        <f>[1]contras!CQ76</f>
        <v>0</v>
      </c>
      <c r="BY162" s="36">
        <f>[1]contras!CR76</f>
        <v>0</v>
      </c>
      <c r="BZ162" s="36">
        <f>[1]contras!CS76</f>
        <v>0</v>
      </c>
      <c r="CA162" s="36">
        <f>[1]contras!CT76</f>
        <v>0</v>
      </c>
      <c r="CB162" s="36">
        <f>[1]contras!CU76</f>
        <v>842400</v>
      </c>
      <c r="CC162" s="36">
        <f>[1]contras!CV76</f>
        <v>0</v>
      </c>
      <c r="CD162" s="36">
        <f>[1]contras!CW76</f>
        <v>0</v>
      </c>
      <c r="CE162" s="36">
        <f>[1]contras!CX76</f>
        <v>0</v>
      </c>
      <c r="CF162" s="36">
        <f>[1]contras!CY76</f>
        <v>0</v>
      </c>
      <c r="CG162" s="36">
        <f>[1]contras!CZ76</f>
        <v>0</v>
      </c>
      <c r="CH162" s="36">
        <f>[1]contras!DA76</f>
        <v>1053000</v>
      </c>
      <c r="CI162" s="36">
        <f>[1]contras!DB76</f>
        <v>0</v>
      </c>
      <c r="CJ162" s="36">
        <f>[1]contras!DC76</f>
        <v>0</v>
      </c>
      <c r="CK162" s="36">
        <f>[1]contras!DD76</f>
        <v>0</v>
      </c>
      <c r="CL162" s="36">
        <f>[1]contras!DE76</f>
        <v>0</v>
      </c>
      <c r="CM162" s="36">
        <f>[1]contras!DF76</f>
        <v>0</v>
      </c>
      <c r="CN162" s="36">
        <f>[1]contras!DG76</f>
        <v>2106000</v>
      </c>
      <c r="CO162" s="36">
        <f>[1]contras!DH76</f>
        <v>0</v>
      </c>
      <c r="CP162" s="36">
        <f>[1]contras!DI76</f>
        <v>0</v>
      </c>
      <c r="CQ162" s="36">
        <f>[1]contras!DJ76</f>
        <v>0</v>
      </c>
      <c r="CR162" s="36">
        <f>[1]contras!DK76</f>
        <v>0</v>
      </c>
      <c r="CS162" s="36">
        <f>[1]contras!DL76</f>
        <v>0</v>
      </c>
      <c r="CT162" s="39"/>
      <c r="CU162" s="39"/>
      <c r="CV162" s="39"/>
      <c r="CW162" s="21"/>
    </row>
    <row r="163" spans="3:101" x14ac:dyDescent="0.25">
      <c r="C163" s="49" t="str">
        <f t="shared" si="289"/>
        <v>SPUNGEWholesale</v>
      </c>
      <c r="D163" s="35" t="str">
        <f>[1]Key!C$21</f>
        <v>SPUNGE</v>
      </c>
      <c r="E163" s="35" t="str">
        <f>[1]contras!H77</f>
        <v>Wholesale</v>
      </c>
      <c r="F163" s="21"/>
      <c r="G163" s="21"/>
      <c r="H163" s="21"/>
      <c r="I163" s="21"/>
      <c r="J163" s="21"/>
      <c r="K163" s="21"/>
      <c r="L163" s="21"/>
      <c r="M163" s="21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36">
        <f>[1]contras!AS77</f>
        <v>0</v>
      </c>
      <c r="AA163" s="36">
        <f>[1]contras!AT77</f>
        <v>0</v>
      </c>
      <c r="AB163" s="36">
        <f>[1]contras!AU77</f>
        <v>0</v>
      </c>
      <c r="AC163" s="36">
        <f>[1]contras!AV77</f>
        <v>0</v>
      </c>
      <c r="AD163" s="36">
        <f>[1]contras!AW77</f>
        <v>0</v>
      </c>
      <c r="AE163" s="36">
        <f>[1]contras!AX77</f>
        <v>0</v>
      </c>
      <c r="AF163" s="36">
        <f>[1]contras!AY77</f>
        <v>0</v>
      </c>
      <c r="AG163" s="36">
        <f>[1]contras!AZ77</f>
        <v>0</v>
      </c>
      <c r="AH163" s="36">
        <f>[1]contras!BA77</f>
        <v>0</v>
      </c>
      <c r="AI163" s="36">
        <f>[1]contras!BB77</f>
        <v>0</v>
      </c>
      <c r="AJ163" s="36">
        <f>[1]contras!BC77</f>
        <v>0</v>
      </c>
      <c r="AK163" s="36">
        <f>[1]contras!BD77</f>
        <v>0</v>
      </c>
      <c r="AL163" s="36">
        <f>[1]contras!BE77</f>
        <v>0</v>
      </c>
      <c r="AM163" s="36">
        <f>[1]contras!BF77</f>
        <v>0</v>
      </c>
      <c r="AN163" s="36">
        <f>[1]contras!BG77</f>
        <v>0</v>
      </c>
      <c r="AO163" s="36">
        <f>[1]contras!BH77</f>
        <v>0</v>
      </c>
      <c r="AP163" s="36">
        <f>[1]contras!BI77</f>
        <v>0</v>
      </c>
      <c r="AQ163" s="36">
        <f>[1]contras!BJ77</f>
        <v>0</v>
      </c>
      <c r="AR163" s="36">
        <f>[1]contras!BK77</f>
        <v>0</v>
      </c>
      <c r="AS163" s="36">
        <f>[1]contras!BL77</f>
        <v>0</v>
      </c>
      <c r="AT163" s="36">
        <f>[1]contras!BM77</f>
        <v>0</v>
      </c>
      <c r="AU163" s="36">
        <f>[1]contras!BN77</f>
        <v>0</v>
      </c>
      <c r="AV163" s="36">
        <f>[1]contras!BO77</f>
        <v>3240</v>
      </c>
      <c r="AW163" s="36">
        <f>[1]contras!BP77</f>
        <v>8100</v>
      </c>
      <c r="AX163" s="36">
        <f>[1]contras!BQ77</f>
        <v>0</v>
      </c>
      <c r="AY163" s="36">
        <f>[1]contras!BR77</f>
        <v>39744</v>
      </c>
      <c r="AZ163" s="36">
        <f>[1]contras!BS77</f>
        <v>0</v>
      </c>
      <c r="BA163" s="36">
        <f>[1]contras!BT77</f>
        <v>0</v>
      </c>
      <c r="BB163" s="36">
        <f>[1]contras!BU77</f>
        <v>44928</v>
      </c>
      <c r="BC163" s="36">
        <f>[1]contras!BV77</f>
        <v>0</v>
      </c>
      <c r="BD163" s="36">
        <f>[1]contras!BW77</f>
        <v>51840</v>
      </c>
      <c r="BE163" s="36">
        <f>[1]contras!BX77</f>
        <v>0</v>
      </c>
      <c r="BF163" s="36">
        <f>[1]contras!BY77</f>
        <v>5184</v>
      </c>
      <c r="BG163" s="36">
        <f>[1]contras!BZ77</f>
        <v>0</v>
      </c>
      <c r="BH163" s="36">
        <f>[1]contras!CA77</f>
        <v>69120</v>
      </c>
      <c r="BI163" s="36">
        <f>[1]contras!CB77</f>
        <v>12960</v>
      </c>
      <c r="BJ163" s="36">
        <f>[1]contras!CC77</f>
        <v>0</v>
      </c>
      <c r="BK163" s="36">
        <f>[1]contras!CD77</f>
        <v>119232</v>
      </c>
      <c r="BL163" s="36">
        <f>[1]contras!CE77</f>
        <v>0</v>
      </c>
      <c r="BM163" s="36">
        <f>[1]contras!CF77</f>
        <v>0</v>
      </c>
      <c r="BN163" s="36">
        <f>[1]contras!CG77</f>
        <v>134784</v>
      </c>
      <c r="BO163" s="36">
        <f>[1]contras!CH77</f>
        <v>0</v>
      </c>
      <c r="BP163" s="36">
        <f>[1]contras!CI77</f>
        <v>155520</v>
      </c>
      <c r="BQ163" s="36">
        <f>[1]contras!CJ77</f>
        <v>0</v>
      </c>
      <c r="BR163" s="36">
        <f>[1]contras!CK77</f>
        <v>15552</v>
      </c>
      <c r="BS163" s="36">
        <f>[1]contras!CL77</f>
        <v>0</v>
      </c>
      <c r="BT163" s="36">
        <f>[1]contras!CM77</f>
        <v>207360</v>
      </c>
      <c r="BU163" s="36">
        <f>[1]contras!CN77</f>
        <v>38880</v>
      </c>
      <c r="BV163" s="36">
        <f>[1]contras!CO77</f>
        <v>0</v>
      </c>
      <c r="BW163" s="36">
        <f>[1]contras!CP77</f>
        <v>298080</v>
      </c>
      <c r="BX163" s="36">
        <f>[1]contras!CQ77</f>
        <v>0</v>
      </c>
      <c r="BY163" s="36">
        <f>[1]contras!CR77</f>
        <v>0</v>
      </c>
      <c r="BZ163" s="36">
        <f>[1]contras!CS77</f>
        <v>336960</v>
      </c>
      <c r="CA163" s="36">
        <f>[1]contras!CT77</f>
        <v>0</v>
      </c>
      <c r="CB163" s="36">
        <f>[1]contras!CU77</f>
        <v>388800</v>
      </c>
      <c r="CC163" s="36">
        <f>[1]contras!CV77</f>
        <v>0</v>
      </c>
      <c r="CD163" s="36">
        <f>[1]contras!CW77</f>
        <v>38880</v>
      </c>
      <c r="CE163" s="36">
        <f>[1]contras!CX77</f>
        <v>0</v>
      </c>
      <c r="CF163" s="36">
        <f>[1]contras!CY77</f>
        <v>518400</v>
      </c>
      <c r="CG163" s="36">
        <f>[1]contras!CZ77</f>
        <v>97200</v>
      </c>
      <c r="CH163" s="36">
        <f>[1]contras!DA77</f>
        <v>0</v>
      </c>
      <c r="CI163" s="36">
        <f>[1]contras!DB77</f>
        <v>521640</v>
      </c>
      <c r="CJ163" s="36">
        <f>[1]contras!DC77</f>
        <v>0</v>
      </c>
      <c r="CK163" s="36">
        <f>[1]contras!DD77</f>
        <v>0</v>
      </c>
      <c r="CL163" s="36">
        <f>[1]contras!DE77</f>
        <v>589680</v>
      </c>
      <c r="CM163" s="36">
        <f>[1]contras!DF77</f>
        <v>0</v>
      </c>
      <c r="CN163" s="36">
        <f>[1]contras!DG77</f>
        <v>680400</v>
      </c>
      <c r="CO163" s="36">
        <f>[1]contras!DH77</f>
        <v>0</v>
      </c>
      <c r="CP163" s="36">
        <f>[1]contras!DI77</f>
        <v>68040</v>
      </c>
      <c r="CQ163" s="36">
        <f>[1]contras!DJ77</f>
        <v>0</v>
      </c>
      <c r="CR163" s="36">
        <f>[1]contras!DK77</f>
        <v>907200</v>
      </c>
      <c r="CS163" s="36">
        <f>[1]contras!DL77</f>
        <v>170100</v>
      </c>
      <c r="CT163" s="39"/>
      <c r="CU163" s="39"/>
      <c r="CV163" s="39"/>
      <c r="CW163" s="21"/>
    </row>
    <row r="164" spans="3:101" x14ac:dyDescent="0.25">
      <c r="C164" s="49" t="str">
        <f t="shared" si="289"/>
        <v>SUNFLOWERWholesale</v>
      </c>
      <c r="D164" s="35" t="str">
        <f>[1]Key!C$22</f>
        <v>SUNFLOWER</v>
      </c>
      <c r="E164" s="35" t="str">
        <f>[1]contras!H78</f>
        <v>Wholesale</v>
      </c>
      <c r="F164" s="21"/>
      <c r="G164" s="21"/>
      <c r="H164" s="21"/>
      <c r="I164" s="21"/>
      <c r="J164" s="21"/>
      <c r="K164" s="21"/>
      <c r="L164" s="21"/>
      <c r="M164" s="21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36">
        <f>[1]contras!AS78</f>
        <v>0</v>
      </c>
      <c r="AA164" s="36">
        <f>[1]contras!AT78</f>
        <v>0</v>
      </c>
      <c r="AB164" s="36">
        <f>[1]contras!AU78</f>
        <v>0</v>
      </c>
      <c r="AC164" s="36">
        <f>[1]contras!AV78</f>
        <v>0</v>
      </c>
      <c r="AD164" s="36">
        <f>[1]contras!AW78</f>
        <v>0</v>
      </c>
      <c r="AE164" s="36">
        <f>[1]contras!AX78</f>
        <v>0</v>
      </c>
      <c r="AF164" s="36">
        <f>[1]contras!AY78</f>
        <v>0</v>
      </c>
      <c r="AG164" s="36">
        <f>[1]contras!AZ78</f>
        <v>0</v>
      </c>
      <c r="AH164" s="36">
        <f>[1]contras!BA78</f>
        <v>0</v>
      </c>
      <c r="AI164" s="36">
        <f>[1]contras!BB78</f>
        <v>0</v>
      </c>
      <c r="AJ164" s="36">
        <f>[1]contras!BC78</f>
        <v>0</v>
      </c>
      <c r="AK164" s="36">
        <f>[1]contras!BD78</f>
        <v>0</v>
      </c>
      <c r="AL164" s="36">
        <f>[1]contras!BE78</f>
        <v>0</v>
      </c>
      <c r="AM164" s="36">
        <f>[1]contras!BF78</f>
        <v>0</v>
      </c>
      <c r="AN164" s="36">
        <f>[1]contras!BG78</f>
        <v>0</v>
      </c>
      <c r="AO164" s="36">
        <f>[1]contras!BH78</f>
        <v>0</v>
      </c>
      <c r="AP164" s="36">
        <f>[1]contras!BI78</f>
        <v>0</v>
      </c>
      <c r="AQ164" s="36">
        <f>[1]contras!BJ78</f>
        <v>0</v>
      </c>
      <c r="AR164" s="36">
        <f>[1]contras!BK78</f>
        <v>0</v>
      </c>
      <c r="AS164" s="36">
        <f>[1]contras!BL78</f>
        <v>0</v>
      </c>
      <c r="AT164" s="36">
        <f>[1]contras!BM78</f>
        <v>0</v>
      </c>
      <c r="AU164" s="36">
        <f>[1]contras!BN78</f>
        <v>0</v>
      </c>
      <c r="AV164" s="36">
        <f>[1]contras!BO78</f>
        <v>0</v>
      </c>
      <c r="AW164" s="36">
        <f>[1]contras!BP78</f>
        <v>0</v>
      </c>
      <c r="AX164" s="36">
        <f>[1]contras!BQ78</f>
        <v>0</v>
      </c>
      <c r="AY164" s="36">
        <f>[1]contras!BR78</f>
        <v>0</v>
      </c>
      <c r="AZ164" s="36">
        <f>[1]contras!BS78</f>
        <v>0</v>
      </c>
      <c r="BA164" s="36">
        <f>[1]contras!BT78</f>
        <v>0</v>
      </c>
      <c r="BB164" s="36">
        <f>[1]contras!BU78</f>
        <v>0</v>
      </c>
      <c r="BC164" s="36">
        <f>[1]contras!BV78</f>
        <v>0</v>
      </c>
      <c r="BD164" s="36">
        <f>[1]contras!BW78</f>
        <v>0</v>
      </c>
      <c r="BE164" s="36">
        <f>[1]contras!BX78</f>
        <v>0</v>
      </c>
      <c r="BF164" s="36">
        <f>[1]contras!BY78</f>
        <v>0</v>
      </c>
      <c r="BG164" s="36">
        <f>[1]contras!BZ78</f>
        <v>0</v>
      </c>
      <c r="BH164" s="36">
        <f>[1]contras!CA78</f>
        <v>0</v>
      </c>
      <c r="BI164" s="36">
        <f>[1]contras!CB78</f>
        <v>0</v>
      </c>
      <c r="BJ164" s="36">
        <f>[1]contras!CC78</f>
        <v>0</v>
      </c>
      <c r="BK164" s="36">
        <f>[1]contras!CD78</f>
        <v>0</v>
      </c>
      <c r="BL164" s="36">
        <f>[1]contras!CE78</f>
        <v>0</v>
      </c>
      <c r="BM164" s="36">
        <f>[1]contras!CF78</f>
        <v>0</v>
      </c>
      <c r="BN164" s="36">
        <f>[1]contras!CG78</f>
        <v>0</v>
      </c>
      <c r="BO164" s="36">
        <f>[1]contras!CH78</f>
        <v>0</v>
      </c>
      <c r="BP164" s="36">
        <f>[1]contras!CI78</f>
        <v>0</v>
      </c>
      <c r="BQ164" s="36">
        <f>[1]contras!CJ78</f>
        <v>0</v>
      </c>
      <c r="BR164" s="36">
        <f>[1]contras!CK78</f>
        <v>0</v>
      </c>
      <c r="BS164" s="36">
        <f>[1]contras!CL78</f>
        <v>0</v>
      </c>
      <c r="BT164" s="36">
        <f>[1]contras!CM78</f>
        <v>0</v>
      </c>
      <c r="BU164" s="36">
        <f>[1]contras!CN78</f>
        <v>0</v>
      </c>
      <c r="BV164" s="36">
        <f>[1]contras!CO78</f>
        <v>0</v>
      </c>
      <c r="BW164" s="36">
        <f>[1]contras!CP78</f>
        <v>0</v>
      </c>
      <c r="BX164" s="36">
        <f>[1]contras!CQ78</f>
        <v>0</v>
      </c>
      <c r="BY164" s="36">
        <f>[1]contras!CR78</f>
        <v>0</v>
      </c>
      <c r="BZ164" s="36">
        <f>[1]contras!CS78</f>
        <v>0</v>
      </c>
      <c r="CA164" s="36">
        <f>[1]contras!CT78</f>
        <v>0</v>
      </c>
      <c r="CB164" s="36">
        <f>[1]contras!CU78</f>
        <v>0</v>
      </c>
      <c r="CC164" s="36">
        <f>[1]contras!CV78</f>
        <v>0</v>
      </c>
      <c r="CD164" s="36">
        <f>[1]contras!CW78</f>
        <v>0</v>
      </c>
      <c r="CE164" s="36">
        <f>[1]contras!CX78</f>
        <v>0</v>
      </c>
      <c r="CF164" s="36">
        <f>[1]contras!CY78</f>
        <v>0</v>
      </c>
      <c r="CG164" s="36">
        <f>[1]contras!CZ78</f>
        <v>0</v>
      </c>
      <c r="CH164" s="36">
        <f>[1]contras!DA78</f>
        <v>0</v>
      </c>
      <c r="CI164" s="36">
        <f>[1]contras!DB78</f>
        <v>0</v>
      </c>
      <c r="CJ164" s="36">
        <f>[1]contras!DC78</f>
        <v>0</v>
      </c>
      <c r="CK164" s="36">
        <f>[1]contras!DD78</f>
        <v>0</v>
      </c>
      <c r="CL164" s="36">
        <f>[1]contras!DE78</f>
        <v>0</v>
      </c>
      <c r="CM164" s="36">
        <f>[1]contras!DF78</f>
        <v>0</v>
      </c>
      <c r="CN164" s="36">
        <f>[1]contras!DG78</f>
        <v>0</v>
      </c>
      <c r="CO164" s="36">
        <f>[1]contras!DH78</f>
        <v>0</v>
      </c>
      <c r="CP164" s="36">
        <f>[1]contras!DI78</f>
        <v>0</v>
      </c>
      <c r="CQ164" s="36">
        <f>[1]contras!DJ78</f>
        <v>0</v>
      </c>
      <c r="CR164" s="36">
        <f>[1]contras!DK78</f>
        <v>0</v>
      </c>
      <c r="CS164" s="36">
        <f>[1]contras!DL78</f>
        <v>0</v>
      </c>
      <c r="CT164" s="39"/>
      <c r="CU164" s="39"/>
      <c r="CV164" s="39"/>
      <c r="CW164" s="21"/>
    </row>
    <row r="165" spans="3:101" x14ac:dyDescent="0.25">
      <c r="C165" s="49" t="str">
        <f t="shared" si="289"/>
        <v>BARIDTC</v>
      </c>
      <c r="D165" s="35" t="str">
        <f>[1]Key!C$23</f>
        <v>BARI</v>
      </c>
      <c r="E165" s="35" t="str">
        <f>[1]contras!H79</f>
        <v>DTC</v>
      </c>
      <c r="F165" s="21"/>
      <c r="G165" s="21"/>
      <c r="H165" s="21"/>
      <c r="I165" s="21"/>
      <c r="J165" s="21"/>
      <c r="K165" s="21"/>
      <c r="L165" s="21"/>
      <c r="M165" s="21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36">
        <f>[1]contras!AS79</f>
        <v>0</v>
      </c>
      <c r="AA165" s="36">
        <f>[1]contras!AT79</f>
        <v>0</v>
      </c>
      <c r="AB165" s="36">
        <f>[1]contras!AU79</f>
        <v>0</v>
      </c>
      <c r="AC165" s="36">
        <f>[1]contras!AV79</f>
        <v>0</v>
      </c>
      <c r="AD165" s="36">
        <f>[1]contras!AW79</f>
        <v>0</v>
      </c>
      <c r="AE165" s="36">
        <f>[1]contras!AX79</f>
        <v>0</v>
      </c>
      <c r="AF165" s="36">
        <f>[1]contras!AY79</f>
        <v>0</v>
      </c>
      <c r="AG165" s="36">
        <f>[1]contras!AZ79</f>
        <v>0</v>
      </c>
      <c r="AH165" s="36">
        <f>[1]contras!BA79</f>
        <v>0</v>
      </c>
      <c r="AI165" s="36">
        <f>[1]contras!BB79</f>
        <v>20000</v>
      </c>
      <c r="AJ165" s="36">
        <f>[1]contras!BC79</f>
        <v>20000</v>
      </c>
      <c r="AK165" s="36">
        <f>[1]contras!BD79</f>
        <v>48000</v>
      </c>
      <c r="AL165" s="36">
        <f>[1]contras!BE79</f>
        <v>36000</v>
      </c>
      <c r="AM165" s="36">
        <f>[1]contras!BF79</f>
        <v>0</v>
      </c>
      <c r="AN165" s="36">
        <f>[1]contras!BG79</f>
        <v>36000</v>
      </c>
      <c r="AO165" s="36">
        <f>[1]contras!BH79</f>
        <v>0</v>
      </c>
      <c r="AP165" s="36">
        <f>[1]contras!BI79</f>
        <v>0</v>
      </c>
      <c r="AQ165" s="36">
        <f>[1]contras!BJ79</f>
        <v>72000</v>
      </c>
      <c r="AR165" s="36">
        <f>[1]contras!BK79</f>
        <v>0</v>
      </c>
      <c r="AS165" s="36">
        <f>[1]contras!BL79</f>
        <v>36000</v>
      </c>
      <c r="AT165" s="36">
        <f>[1]contras!BM79</f>
        <v>72000</v>
      </c>
      <c r="AU165" s="36">
        <f>[1]contras!BN79</f>
        <v>72000</v>
      </c>
      <c r="AV165" s="36">
        <f>[1]contras!BO79</f>
        <v>15000</v>
      </c>
      <c r="AW165" s="36">
        <f>[1]contras!BP79</f>
        <v>72000</v>
      </c>
      <c r="AX165" s="36">
        <f>[1]contras!BQ79</f>
        <v>108000</v>
      </c>
      <c r="AY165" s="36">
        <f>[1]contras!BR79</f>
        <v>0</v>
      </c>
      <c r="AZ165" s="36">
        <f>[1]contras!BS79</f>
        <v>72000</v>
      </c>
      <c r="BA165" s="36">
        <f>[1]contras!BT79</f>
        <v>0</v>
      </c>
      <c r="BB165" s="36">
        <f>[1]contras!BU79</f>
        <v>0</v>
      </c>
      <c r="BC165" s="36">
        <f>[1]contras!BV79</f>
        <v>180000</v>
      </c>
      <c r="BD165" s="36">
        <f>[1]contras!BW79</f>
        <v>0</v>
      </c>
      <c r="BE165" s="36">
        <f>[1]contras!BX79</f>
        <v>0</v>
      </c>
      <c r="BF165" s="36">
        <f>[1]contras!BY79</f>
        <v>72000</v>
      </c>
      <c r="BG165" s="36">
        <f>[1]contras!BZ79</f>
        <v>144000</v>
      </c>
      <c r="BH165" s="36">
        <f>[1]contras!CA79</f>
        <v>0</v>
      </c>
      <c r="BI165" s="36">
        <f>[1]contras!CB79</f>
        <v>87000</v>
      </c>
      <c r="BJ165" s="36">
        <f>[1]contras!CC79</f>
        <v>280800</v>
      </c>
      <c r="BK165" s="36">
        <f>[1]contras!CD79</f>
        <v>0</v>
      </c>
      <c r="BL165" s="36">
        <f>[1]contras!CE79</f>
        <v>187200</v>
      </c>
      <c r="BM165" s="36">
        <f>[1]contras!CF79</f>
        <v>0</v>
      </c>
      <c r="BN165" s="36">
        <f>[1]contras!CG79</f>
        <v>0</v>
      </c>
      <c r="BO165" s="36">
        <f>[1]contras!CH79</f>
        <v>468000</v>
      </c>
      <c r="BP165" s="36">
        <f>[1]contras!CI79</f>
        <v>0</v>
      </c>
      <c r="BQ165" s="36">
        <f>[1]contras!CJ79</f>
        <v>0</v>
      </c>
      <c r="BR165" s="36">
        <f>[1]contras!CK79</f>
        <v>187200</v>
      </c>
      <c r="BS165" s="36">
        <f>[1]contras!CL79</f>
        <v>374400</v>
      </c>
      <c r="BT165" s="36">
        <f>[1]contras!CM79</f>
        <v>0</v>
      </c>
      <c r="BU165" s="36">
        <f>[1]contras!CN79</f>
        <v>226200</v>
      </c>
      <c r="BV165" s="36">
        <f>[1]contras!CO79</f>
        <v>421200</v>
      </c>
      <c r="BW165" s="36">
        <f>[1]contras!CP79</f>
        <v>0</v>
      </c>
      <c r="BX165" s="36">
        <f>[1]contras!CQ79</f>
        <v>280800</v>
      </c>
      <c r="BY165" s="36">
        <f>[1]contras!CR79</f>
        <v>0</v>
      </c>
      <c r="BZ165" s="36">
        <f>[1]contras!CS79</f>
        <v>0</v>
      </c>
      <c r="CA165" s="36">
        <f>[1]contras!CT79</f>
        <v>702000</v>
      </c>
      <c r="CB165" s="36">
        <f>[1]contras!CU79</f>
        <v>0</v>
      </c>
      <c r="CC165" s="36">
        <f>[1]contras!CV79</f>
        <v>0</v>
      </c>
      <c r="CD165" s="36">
        <f>[1]contras!CW79</f>
        <v>280800</v>
      </c>
      <c r="CE165" s="36">
        <f>[1]contras!CX79</f>
        <v>561600</v>
      </c>
      <c r="CF165" s="36">
        <f>[1]contras!CY79</f>
        <v>0</v>
      </c>
      <c r="CG165" s="36">
        <f>[1]contras!CZ79</f>
        <v>339300</v>
      </c>
      <c r="CH165" s="36">
        <f>[1]contras!DA79</f>
        <v>547560</v>
      </c>
      <c r="CI165" s="36">
        <f>[1]contras!DB79</f>
        <v>0</v>
      </c>
      <c r="CJ165" s="36">
        <f>[1]contras!DC79</f>
        <v>365040</v>
      </c>
      <c r="CK165" s="36">
        <f>[1]contras!DD79</f>
        <v>0</v>
      </c>
      <c r="CL165" s="36">
        <f>[1]contras!DE79</f>
        <v>0</v>
      </c>
      <c r="CM165" s="36">
        <f>[1]contras!DF79</f>
        <v>912600</v>
      </c>
      <c r="CN165" s="36">
        <f>[1]contras!DG79</f>
        <v>0</v>
      </c>
      <c r="CO165" s="36">
        <f>[1]contras!DH79</f>
        <v>0</v>
      </c>
      <c r="CP165" s="36">
        <f>[1]contras!DI79</f>
        <v>365040</v>
      </c>
      <c r="CQ165" s="36">
        <f>[1]contras!DJ79</f>
        <v>730080</v>
      </c>
      <c r="CR165" s="36">
        <f>[1]contras!DK79</f>
        <v>0</v>
      </c>
      <c r="CS165" s="36">
        <f>[1]contras!DL79</f>
        <v>441090</v>
      </c>
      <c r="CT165" s="39"/>
      <c r="CU165" s="39"/>
      <c r="CV165" s="39"/>
      <c r="CW165" s="21"/>
    </row>
    <row r="166" spans="3:101" x14ac:dyDescent="0.25">
      <c r="C166" s="49" t="str">
        <f t="shared" si="289"/>
        <v>BRAIN DEAD OAKLEYDTC</v>
      </c>
      <c r="D166" s="35" t="str">
        <f>[1]Key!C$24</f>
        <v>BRAIN DEAD OAKLEY</v>
      </c>
      <c r="E166" s="35" t="str">
        <f>[1]contras!H80</f>
        <v>DTC</v>
      </c>
      <c r="F166" s="21"/>
      <c r="G166" s="21"/>
      <c r="H166" s="21"/>
      <c r="I166" s="21"/>
      <c r="J166" s="21"/>
      <c r="K166" s="21"/>
      <c r="L166" s="21"/>
      <c r="M166" s="21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36">
        <f>[1]contras!AS80</f>
        <v>0</v>
      </c>
      <c r="AA166" s="36">
        <f>[1]contras!AT80</f>
        <v>0</v>
      </c>
      <c r="AB166" s="36">
        <f>[1]contras!AU80</f>
        <v>0</v>
      </c>
      <c r="AC166" s="36">
        <f>[1]contras!AV80</f>
        <v>0</v>
      </c>
      <c r="AD166" s="36">
        <f>[1]contras!AW80</f>
        <v>0</v>
      </c>
      <c r="AE166" s="36">
        <f>[1]contras!AX80</f>
        <v>0</v>
      </c>
      <c r="AF166" s="36">
        <f>[1]contras!AY80</f>
        <v>0</v>
      </c>
      <c r="AG166" s="36">
        <f>[1]contras!AZ80</f>
        <v>0</v>
      </c>
      <c r="AH166" s="36">
        <f>[1]contras!BA80</f>
        <v>0</v>
      </c>
      <c r="AI166" s="36">
        <f>[1]contras!BB80</f>
        <v>0</v>
      </c>
      <c r="AJ166" s="36">
        <f>[1]contras!BC80</f>
        <v>0</v>
      </c>
      <c r="AK166" s="36">
        <f>[1]contras!BD80</f>
        <v>0</v>
      </c>
      <c r="AL166" s="36">
        <f>[1]contras!BE80</f>
        <v>0</v>
      </c>
      <c r="AM166" s="36">
        <f>[1]contras!BF80</f>
        <v>0</v>
      </c>
      <c r="AN166" s="36">
        <f>[1]contras!BG80</f>
        <v>0</v>
      </c>
      <c r="AO166" s="36">
        <f>[1]contras!BH80</f>
        <v>0</v>
      </c>
      <c r="AP166" s="36">
        <f>[1]contras!BI80</f>
        <v>0</v>
      </c>
      <c r="AQ166" s="36">
        <f>[1]contras!BJ80</f>
        <v>0</v>
      </c>
      <c r="AR166" s="36">
        <f>[1]contras!BK80</f>
        <v>0</v>
      </c>
      <c r="AS166" s="36">
        <f>[1]contras!BL80</f>
        <v>0</v>
      </c>
      <c r="AT166" s="36">
        <f>[1]contras!BM80</f>
        <v>0</v>
      </c>
      <c r="AU166" s="36">
        <f>[1]contras!BN80</f>
        <v>0</v>
      </c>
      <c r="AV166" s="36">
        <f>[1]contras!BO80</f>
        <v>0</v>
      </c>
      <c r="AW166" s="36">
        <f>[1]contras!BP80</f>
        <v>0</v>
      </c>
      <c r="AX166" s="36">
        <f>[1]contras!BQ80</f>
        <v>0</v>
      </c>
      <c r="AY166" s="36">
        <f>[1]contras!BR80</f>
        <v>0</v>
      </c>
      <c r="AZ166" s="36">
        <f>[1]contras!BS80</f>
        <v>0</v>
      </c>
      <c r="BA166" s="36">
        <f>[1]contras!BT80</f>
        <v>0</v>
      </c>
      <c r="BB166" s="36">
        <f>[1]contras!BU80</f>
        <v>0</v>
      </c>
      <c r="BC166" s="36">
        <f>[1]contras!BV80</f>
        <v>0</v>
      </c>
      <c r="BD166" s="36">
        <f>[1]contras!BW80</f>
        <v>0</v>
      </c>
      <c r="BE166" s="36">
        <f>[1]contras!BX80</f>
        <v>0</v>
      </c>
      <c r="BF166" s="36">
        <f>[1]contras!BY80</f>
        <v>0</v>
      </c>
      <c r="BG166" s="36">
        <f>[1]contras!BZ80</f>
        <v>0</v>
      </c>
      <c r="BH166" s="36">
        <f>[1]contras!CA80</f>
        <v>0</v>
      </c>
      <c r="BI166" s="36">
        <f>[1]contras!CB80</f>
        <v>0</v>
      </c>
      <c r="BJ166" s="36">
        <f>[1]contras!CC80</f>
        <v>0</v>
      </c>
      <c r="BK166" s="36">
        <f>[1]contras!CD80</f>
        <v>0</v>
      </c>
      <c r="BL166" s="36">
        <f>[1]contras!CE80</f>
        <v>0</v>
      </c>
      <c r="BM166" s="36">
        <f>[1]contras!CF80</f>
        <v>0</v>
      </c>
      <c r="BN166" s="36">
        <f>[1]contras!CG80</f>
        <v>0</v>
      </c>
      <c r="BO166" s="36">
        <f>[1]contras!CH80</f>
        <v>0</v>
      </c>
      <c r="BP166" s="36">
        <f>[1]contras!CI80</f>
        <v>0</v>
      </c>
      <c r="BQ166" s="36">
        <f>[1]contras!CJ80</f>
        <v>0</v>
      </c>
      <c r="BR166" s="36">
        <f>[1]contras!CK80</f>
        <v>0</v>
      </c>
      <c r="BS166" s="36">
        <f>[1]contras!CL80</f>
        <v>0</v>
      </c>
      <c r="BT166" s="36">
        <f>[1]contras!CM80</f>
        <v>0</v>
      </c>
      <c r="BU166" s="36">
        <f>[1]contras!CN80</f>
        <v>0</v>
      </c>
      <c r="BV166" s="36">
        <f>[1]contras!CO80</f>
        <v>0</v>
      </c>
      <c r="BW166" s="36">
        <f>[1]contras!CP80</f>
        <v>0</v>
      </c>
      <c r="BX166" s="36">
        <f>[1]contras!CQ80</f>
        <v>0</v>
      </c>
      <c r="BY166" s="36">
        <f>[1]contras!CR80</f>
        <v>0</v>
      </c>
      <c r="BZ166" s="36">
        <f>[1]contras!CS80</f>
        <v>0</v>
      </c>
      <c r="CA166" s="36">
        <f>[1]contras!CT80</f>
        <v>0</v>
      </c>
      <c r="CB166" s="36">
        <f>[1]contras!CU80</f>
        <v>0</v>
      </c>
      <c r="CC166" s="36">
        <f>[1]contras!CV80</f>
        <v>0</v>
      </c>
      <c r="CD166" s="36">
        <f>[1]contras!CW80</f>
        <v>0</v>
      </c>
      <c r="CE166" s="36">
        <f>[1]contras!CX80</f>
        <v>0</v>
      </c>
      <c r="CF166" s="36">
        <f>[1]contras!CY80</f>
        <v>0</v>
      </c>
      <c r="CG166" s="36">
        <f>[1]contras!CZ80</f>
        <v>0</v>
      </c>
      <c r="CH166" s="36">
        <f>[1]contras!DA80</f>
        <v>0</v>
      </c>
      <c r="CI166" s="36">
        <f>[1]contras!DB80</f>
        <v>0</v>
      </c>
      <c r="CJ166" s="36">
        <f>[1]contras!DC80</f>
        <v>0</v>
      </c>
      <c r="CK166" s="36">
        <f>[1]contras!DD80</f>
        <v>0</v>
      </c>
      <c r="CL166" s="36">
        <f>[1]contras!DE80</f>
        <v>0</v>
      </c>
      <c r="CM166" s="36">
        <f>[1]contras!DF80</f>
        <v>0</v>
      </c>
      <c r="CN166" s="36">
        <f>[1]contras!DG80</f>
        <v>0</v>
      </c>
      <c r="CO166" s="36">
        <f>[1]contras!DH80</f>
        <v>0</v>
      </c>
      <c r="CP166" s="36">
        <f>[1]contras!DI80</f>
        <v>0</v>
      </c>
      <c r="CQ166" s="36">
        <f>[1]contras!DJ80</f>
        <v>0</v>
      </c>
      <c r="CR166" s="36">
        <f>[1]contras!DK80</f>
        <v>0</v>
      </c>
      <c r="CS166" s="36">
        <f>[1]contras!DL80</f>
        <v>0</v>
      </c>
      <c r="CT166" s="39"/>
      <c r="CU166" s="39"/>
      <c r="CV166" s="39"/>
      <c r="CW166" s="21"/>
    </row>
    <row r="167" spans="3:101" x14ac:dyDescent="0.25">
      <c r="C167" s="49" t="str">
        <f t="shared" si="289"/>
        <v>GROWTH "HIT" PHDTC</v>
      </c>
      <c r="D167" s="35" t="str">
        <f>[1]Key!C$25</f>
        <v>GROWTH "HIT" PH</v>
      </c>
      <c r="E167" s="35" t="str">
        <f>[1]contras!H81</f>
        <v>DTC</v>
      </c>
      <c r="F167" s="21"/>
      <c r="G167" s="21"/>
      <c r="H167" s="21"/>
      <c r="I167" s="21"/>
      <c r="J167" s="21"/>
      <c r="K167" s="21"/>
      <c r="L167" s="21"/>
      <c r="M167" s="21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36">
        <f>[1]contras!AS81</f>
        <v>0</v>
      </c>
      <c r="AA167" s="36">
        <f>[1]contras!AT81</f>
        <v>0</v>
      </c>
      <c r="AB167" s="36">
        <f>[1]contras!AU81</f>
        <v>0</v>
      </c>
      <c r="AC167" s="36">
        <f>[1]contras!AV81</f>
        <v>0</v>
      </c>
      <c r="AD167" s="36">
        <f>[1]contras!AW81</f>
        <v>0</v>
      </c>
      <c r="AE167" s="36">
        <f>[1]contras!AX81</f>
        <v>0</v>
      </c>
      <c r="AF167" s="36">
        <f>[1]contras!AY81</f>
        <v>0</v>
      </c>
      <c r="AG167" s="36">
        <f>[1]contras!AZ81</f>
        <v>0</v>
      </c>
      <c r="AH167" s="36">
        <f>[1]contras!BA81</f>
        <v>0</v>
      </c>
      <c r="AI167" s="36">
        <f>[1]contras!BB81</f>
        <v>0</v>
      </c>
      <c r="AJ167" s="36">
        <f>[1]contras!BC81</f>
        <v>0</v>
      </c>
      <c r="AK167" s="36">
        <f>[1]contras!BD81</f>
        <v>0</v>
      </c>
      <c r="AL167" s="36">
        <f>[1]contras!BE81</f>
        <v>0</v>
      </c>
      <c r="AM167" s="36">
        <f>[1]contras!BF81</f>
        <v>0</v>
      </c>
      <c r="AN167" s="36">
        <f>[1]contras!BG81</f>
        <v>0</v>
      </c>
      <c r="AO167" s="36">
        <f>[1]contras!BH81</f>
        <v>0</v>
      </c>
      <c r="AP167" s="36">
        <f>[1]contras!BI81</f>
        <v>0</v>
      </c>
      <c r="AQ167" s="36">
        <f>[1]contras!BJ81</f>
        <v>0</v>
      </c>
      <c r="AR167" s="36">
        <f>[1]contras!BK81</f>
        <v>0</v>
      </c>
      <c r="AS167" s="36">
        <f>[1]contras!BL81</f>
        <v>0</v>
      </c>
      <c r="AT167" s="36">
        <f>[1]contras!BM81</f>
        <v>0</v>
      </c>
      <c r="AU167" s="36">
        <f>[1]contras!BN81</f>
        <v>112000</v>
      </c>
      <c r="AV167" s="36">
        <f>[1]contras!BO81</f>
        <v>0</v>
      </c>
      <c r="AW167" s="36">
        <f>[1]contras!BP81</f>
        <v>0</v>
      </c>
      <c r="AX167" s="36">
        <f>[1]contras!BQ81</f>
        <v>240000</v>
      </c>
      <c r="AY167" s="36">
        <f>[1]contras!BR81</f>
        <v>0</v>
      </c>
      <c r="AZ167" s="36">
        <f>[1]contras!BS81</f>
        <v>0</v>
      </c>
      <c r="BA167" s="36">
        <f>[1]contras!BT81</f>
        <v>240000</v>
      </c>
      <c r="BB167" s="36">
        <f>[1]contras!BU81</f>
        <v>0</v>
      </c>
      <c r="BC167" s="36">
        <f>[1]contras!BV81</f>
        <v>0</v>
      </c>
      <c r="BD167" s="36">
        <f>[1]contras!BW81</f>
        <v>300000</v>
      </c>
      <c r="BE167" s="36">
        <f>[1]contras!BX81</f>
        <v>0</v>
      </c>
      <c r="BF167" s="36">
        <f>[1]contras!BY81</f>
        <v>0</v>
      </c>
      <c r="BG167" s="36">
        <f>[1]contras!BZ81</f>
        <v>420000</v>
      </c>
      <c r="BH167" s="36">
        <f>[1]contras!CA81</f>
        <v>0</v>
      </c>
      <c r="BI167" s="36">
        <f>[1]contras!CB81</f>
        <v>0</v>
      </c>
      <c r="BJ167" s="36">
        <f>[1]contras!CC81</f>
        <v>624000</v>
      </c>
      <c r="BK167" s="36">
        <f>[1]contras!CD81</f>
        <v>0</v>
      </c>
      <c r="BL167" s="36">
        <f>[1]contras!CE81</f>
        <v>0</v>
      </c>
      <c r="BM167" s="36">
        <f>[1]contras!CF81</f>
        <v>624000</v>
      </c>
      <c r="BN167" s="36">
        <f>[1]contras!CG81</f>
        <v>0</v>
      </c>
      <c r="BO167" s="36">
        <f>[1]contras!CH81</f>
        <v>0</v>
      </c>
      <c r="BP167" s="36">
        <f>[1]contras!CI81</f>
        <v>780000</v>
      </c>
      <c r="BQ167" s="36">
        <f>[1]contras!CJ81</f>
        <v>0</v>
      </c>
      <c r="BR167" s="36">
        <f>[1]contras!CK81</f>
        <v>0</v>
      </c>
      <c r="BS167" s="36">
        <f>[1]contras!CL81</f>
        <v>1092000</v>
      </c>
      <c r="BT167" s="36">
        <f>[1]contras!CM81</f>
        <v>0</v>
      </c>
      <c r="BU167" s="36">
        <f>[1]contras!CN81</f>
        <v>0</v>
      </c>
      <c r="BV167" s="36">
        <f>[1]contras!CO81</f>
        <v>936000</v>
      </c>
      <c r="BW167" s="36">
        <f>[1]contras!CP81</f>
        <v>0</v>
      </c>
      <c r="BX167" s="36">
        <f>[1]contras!CQ81</f>
        <v>0</v>
      </c>
      <c r="BY167" s="36">
        <f>[1]contras!CR81</f>
        <v>936000</v>
      </c>
      <c r="BZ167" s="36">
        <f>[1]contras!CS81</f>
        <v>0</v>
      </c>
      <c r="CA167" s="36">
        <f>[1]contras!CT81</f>
        <v>0</v>
      </c>
      <c r="CB167" s="36">
        <f>[1]contras!CU81</f>
        <v>1170000</v>
      </c>
      <c r="CC167" s="36">
        <f>[1]contras!CV81</f>
        <v>0</v>
      </c>
      <c r="CD167" s="36">
        <f>[1]contras!CW81</f>
        <v>0</v>
      </c>
      <c r="CE167" s="36">
        <f>[1]contras!CX81</f>
        <v>1638000</v>
      </c>
      <c r="CF167" s="36">
        <f>[1]contras!CY81</f>
        <v>0</v>
      </c>
      <c r="CG167" s="36">
        <f>[1]contras!CZ81</f>
        <v>0</v>
      </c>
      <c r="CH167" s="36">
        <f>[1]contras!DA81</f>
        <v>1216800</v>
      </c>
      <c r="CI167" s="36">
        <f>[1]contras!DB81</f>
        <v>0</v>
      </c>
      <c r="CJ167" s="36">
        <f>[1]contras!DC81</f>
        <v>0</v>
      </c>
      <c r="CK167" s="36">
        <f>[1]contras!DD81</f>
        <v>1216800</v>
      </c>
      <c r="CL167" s="36">
        <f>[1]contras!DE81</f>
        <v>0</v>
      </c>
      <c r="CM167" s="36">
        <f>[1]contras!DF81</f>
        <v>0</v>
      </c>
      <c r="CN167" s="36">
        <f>[1]contras!DG81</f>
        <v>1521000</v>
      </c>
      <c r="CO167" s="36">
        <f>[1]contras!DH81</f>
        <v>0</v>
      </c>
      <c r="CP167" s="36">
        <f>[1]contras!DI81</f>
        <v>0</v>
      </c>
      <c r="CQ167" s="36">
        <f>[1]contras!DJ81</f>
        <v>2129400</v>
      </c>
      <c r="CR167" s="36">
        <f>[1]contras!DK81</f>
        <v>0</v>
      </c>
      <c r="CS167" s="36">
        <f>[1]contras!DL81</f>
        <v>0</v>
      </c>
      <c r="CT167" s="39"/>
      <c r="CU167" s="39"/>
      <c r="CV167" s="39"/>
      <c r="CW167" s="21"/>
    </row>
    <row r="168" spans="3:101" x14ac:dyDescent="0.25">
      <c r="C168" s="49" t="str">
        <f t="shared" si="289"/>
        <v>ICE STUDIOSDTC</v>
      </c>
      <c r="D168" s="35" t="str">
        <f>[1]Key!C$26</f>
        <v>ICE STUDIOS</v>
      </c>
      <c r="E168" s="35" t="str">
        <f>[1]contras!H82</f>
        <v>DTC</v>
      </c>
      <c r="F168" s="21"/>
      <c r="G168" s="21"/>
      <c r="H168" s="21"/>
      <c r="I168" s="21"/>
      <c r="J168" s="21"/>
      <c r="K168" s="21"/>
      <c r="L168" s="21"/>
      <c r="M168" s="21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36">
        <f>[1]contras!AS82</f>
        <v>0</v>
      </c>
      <c r="AA168" s="36">
        <f>[1]contras!AT82</f>
        <v>0</v>
      </c>
      <c r="AB168" s="36">
        <f>[1]contras!AU82</f>
        <v>0</v>
      </c>
      <c r="AC168" s="36">
        <f>[1]contras!AV82</f>
        <v>0</v>
      </c>
      <c r="AD168" s="36">
        <f>[1]contras!AW82</f>
        <v>0</v>
      </c>
      <c r="AE168" s="36">
        <f>[1]contras!AX82</f>
        <v>0</v>
      </c>
      <c r="AF168" s="36">
        <f>[1]contras!AY82</f>
        <v>0</v>
      </c>
      <c r="AG168" s="36">
        <f>[1]contras!AZ82</f>
        <v>0</v>
      </c>
      <c r="AH168" s="36">
        <f>[1]contras!BA82</f>
        <v>0</v>
      </c>
      <c r="AI168" s="36">
        <f>[1]contras!BB82</f>
        <v>0</v>
      </c>
      <c r="AJ168" s="36">
        <f>[1]contras!BC82</f>
        <v>0</v>
      </c>
      <c r="AK168" s="36">
        <f>[1]contras!BD82</f>
        <v>58800</v>
      </c>
      <c r="AL168" s="36">
        <f>[1]contras!BE82</f>
        <v>0</v>
      </c>
      <c r="AM168" s="36">
        <f>[1]contras!BF82</f>
        <v>90720</v>
      </c>
      <c r="AN168" s="36">
        <f>[1]contras!BG82</f>
        <v>0</v>
      </c>
      <c r="AO168" s="36">
        <f>[1]contras!BH82</f>
        <v>0</v>
      </c>
      <c r="AP168" s="36">
        <f>[1]contras!BI82</f>
        <v>0</v>
      </c>
      <c r="AQ168" s="36">
        <f>[1]contras!BJ82</f>
        <v>151200</v>
      </c>
      <c r="AR168" s="36">
        <f>[1]contras!BK82</f>
        <v>0</v>
      </c>
      <c r="AS168" s="36">
        <f>[1]contras!BL82</f>
        <v>0</v>
      </c>
      <c r="AT168" s="36">
        <f>[1]contras!BM82</f>
        <v>244800</v>
      </c>
      <c r="AU168" s="36">
        <f>[1]contras!BN82</f>
        <v>0</v>
      </c>
      <c r="AV168" s="36">
        <f>[1]contras!BO82</f>
        <v>0</v>
      </c>
      <c r="AW168" s="36">
        <f>[1]contras!BP82</f>
        <v>294720</v>
      </c>
      <c r="AX168" s="36">
        <f>[1]contras!BQ82</f>
        <v>92160</v>
      </c>
      <c r="AY168" s="36">
        <f>[1]contras!BR82</f>
        <v>149760</v>
      </c>
      <c r="AZ168" s="36">
        <f>[1]contras!BS82</f>
        <v>0</v>
      </c>
      <c r="BA168" s="36">
        <f>[1]contras!BT82</f>
        <v>0</v>
      </c>
      <c r="BB168" s="36">
        <f>[1]contras!BU82</f>
        <v>0</v>
      </c>
      <c r="BC168" s="36">
        <f>[1]contras!BV82</f>
        <v>241920</v>
      </c>
      <c r="BD168" s="36">
        <f>[1]contras!BW82</f>
        <v>0</v>
      </c>
      <c r="BE168" s="36">
        <f>[1]contras!BX82</f>
        <v>0</v>
      </c>
      <c r="BF168" s="36">
        <f>[1]contras!BY82</f>
        <v>249600</v>
      </c>
      <c r="BG168" s="36">
        <f>[1]contras!BZ82</f>
        <v>0</v>
      </c>
      <c r="BH168" s="36">
        <f>[1]contras!CA82</f>
        <v>18432</v>
      </c>
      <c r="BI168" s="36">
        <f>[1]contras!CB82</f>
        <v>249600</v>
      </c>
      <c r="BJ168" s="36">
        <f>[1]contras!CC82</f>
        <v>299520</v>
      </c>
      <c r="BK168" s="36">
        <f>[1]contras!CD82</f>
        <v>486720</v>
      </c>
      <c r="BL168" s="36">
        <f>[1]contras!CE82</f>
        <v>0</v>
      </c>
      <c r="BM168" s="36">
        <f>[1]contras!CF82</f>
        <v>0</v>
      </c>
      <c r="BN168" s="36">
        <f>[1]contras!CG82</f>
        <v>0</v>
      </c>
      <c r="BO168" s="36">
        <f>[1]contras!CH82</f>
        <v>786240</v>
      </c>
      <c r="BP168" s="36">
        <f>[1]contras!CI82</f>
        <v>0</v>
      </c>
      <c r="BQ168" s="36">
        <f>[1]contras!CJ82</f>
        <v>0</v>
      </c>
      <c r="BR168" s="36">
        <f>[1]contras!CK82</f>
        <v>811200</v>
      </c>
      <c r="BS168" s="36">
        <f>[1]contras!CL82</f>
        <v>0</v>
      </c>
      <c r="BT168" s="36">
        <f>[1]contras!CM82</f>
        <v>59904</v>
      </c>
      <c r="BU168" s="36">
        <f>[1]contras!CN82</f>
        <v>811200</v>
      </c>
      <c r="BV168" s="36">
        <f>[1]contras!CO82</f>
        <v>673920</v>
      </c>
      <c r="BW168" s="36">
        <f>[1]contras!CP82</f>
        <v>1095120</v>
      </c>
      <c r="BX168" s="36">
        <f>[1]contras!CQ82</f>
        <v>0</v>
      </c>
      <c r="BY168" s="36">
        <f>[1]contras!CR82</f>
        <v>0</v>
      </c>
      <c r="BZ168" s="36">
        <f>[1]contras!CS82</f>
        <v>0</v>
      </c>
      <c r="CA168" s="36">
        <f>[1]contras!CT82</f>
        <v>1769040</v>
      </c>
      <c r="CB168" s="36">
        <f>[1]contras!CU82</f>
        <v>0</v>
      </c>
      <c r="CC168" s="36">
        <f>[1]contras!CV82</f>
        <v>0</v>
      </c>
      <c r="CD168" s="36">
        <f>[1]contras!CW82</f>
        <v>1825200</v>
      </c>
      <c r="CE168" s="36">
        <f>[1]contras!CX82</f>
        <v>0</v>
      </c>
      <c r="CF168" s="36">
        <f>[1]contras!CY82</f>
        <v>134784</v>
      </c>
      <c r="CG168" s="36">
        <f>[1]contras!CZ82</f>
        <v>1825200</v>
      </c>
      <c r="CH168" s="36">
        <f>[1]contras!DA82</f>
        <v>1179360</v>
      </c>
      <c r="CI168" s="36">
        <f>[1]contras!DB82</f>
        <v>1916460</v>
      </c>
      <c r="CJ168" s="36">
        <f>[1]contras!DC82</f>
        <v>0</v>
      </c>
      <c r="CK168" s="36">
        <f>[1]contras!DD82</f>
        <v>0</v>
      </c>
      <c r="CL168" s="36">
        <f>[1]contras!DE82</f>
        <v>0</v>
      </c>
      <c r="CM168" s="36">
        <f>[1]contras!DF82</f>
        <v>3095820</v>
      </c>
      <c r="CN168" s="36">
        <f>[1]contras!DG82</f>
        <v>0</v>
      </c>
      <c r="CO168" s="36">
        <f>[1]contras!DH82</f>
        <v>0</v>
      </c>
      <c r="CP168" s="36">
        <f>[1]contras!DI82</f>
        <v>3194100</v>
      </c>
      <c r="CQ168" s="36">
        <f>[1]contras!DJ82</f>
        <v>0</v>
      </c>
      <c r="CR168" s="36">
        <f>[1]contras!DK82</f>
        <v>235872</v>
      </c>
      <c r="CS168" s="36">
        <f>[1]contras!DL82</f>
        <v>3194100</v>
      </c>
      <c r="CT168" s="39"/>
      <c r="CU168" s="39"/>
      <c r="CV168" s="39"/>
      <c r="CW168" s="21"/>
    </row>
    <row r="169" spans="3:101" x14ac:dyDescent="0.25">
      <c r="C169" s="49" t="str">
        <f t="shared" si="289"/>
        <v>MURAKAMI / TORITONDTC</v>
      </c>
      <c r="D169" s="35" t="str">
        <f>[1]Key!C$27</f>
        <v>MURAKAMI / TORITON</v>
      </c>
      <c r="E169" s="35" t="str">
        <f>[1]contras!H83</f>
        <v>DTC</v>
      </c>
      <c r="F169" s="21"/>
      <c r="G169" s="21"/>
      <c r="H169" s="21"/>
      <c r="I169" s="21"/>
      <c r="J169" s="21"/>
      <c r="K169" s="21"/>
      <c r="L169" s="21"/>
      <c r="M169" s="21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36">
        <f>[1]contras!AS83</f>
        <v>0</v>
      </c>
      <c r="AA169" s="36">
        <f>[1]contras!AT83</f>
        <v>0</v>
      </c>
      <c r="AB169" s="36">
        <f>[1]contras!AU83</f>
        <v>0</v>
      </c>
      <c r="AC169" s="36">
        <f>[1]contras!AV83</f>
        <v>0</v>
      </c>
      <c r="AD169" s="36">
        <f>[1]contras!AW83</f>
        <v>0</v>
      </c>
      <c r="AE169" s="36">
        <f>[1]contras!AX83</f>
        <v>12000</v>
      </c>
      <c r="AF169" s="36">
        <f>[1]contras!AY83</f>
        <v>288000</v>
      </c>
      <c r="AG169" s="36">
        <f>[1]contras!AZ83</f>
        <v>0</v>
      </c>
      <c r="AH169" s="36">
        <f>[1]contras!BA83</f>
        <v>24000</v>
      </c>
      <c r="AI169" s="36">
        <f>[1]contras!BB83</f>
        <v>0</v>
      </c>
      <c r="AJ169" s="36">
        <f>[1]contras!BC83</f>
        <v>36000</v>
      </c>
      <c r="AK169" s="36">
        <f>[1]contras!BD83</f>
        <v>54000</v>
      </c>
      <c r="AL169" s="36">
        <f>[1]contras!BE83</f>
        <v>0</v>
      </c>
      <c r="AM169" s="36">
        <f>[1]contras!BF83</f>
        <v>120000</v>
      </c>
      <c r="AN169" s="36">
        <f>[1]contras!BG83</f>
        <v>36000</v>
      </c>
      <c r="AO169" s="36">
        <f>[1]contras!BH83</f>
        <v>0</v>
      </c>
      <c r="AP169" s="36">
        <f>[1]contras!BI83</f>
        <v>150000</v>
      </c>
      <c r="AQ169" s="36">
        <f>[1]contras!BJ83</f>
        <v>81000</v>
      </c>
      <c r="AR169" s="36">
        <f>[1]contras!BK83</f>
        <v>46800</v>
      </c>
      <c r="AS169" s="36">
        <f>[1]contras!BL83</f>
        <v>177600</v>
      </c>
      <c r="AT169" s="36">
        <f>[1]contras!BM83</f>
        <v>0</v>
      </c>
      <c r="AU169" s="36">
        <f>[1]contras!BN83</f>
        <v>24000</v>
      </c>
      <c r="AV169" s="36">
        <f>[1]contras!BO83</f>
        <v>194400</v>
      </c>
      <c r="AW169" s="36">
        <f>[1]contras!BP83</f>
        <v>109800</v>
      </c>
      <c r="AX169" s="36">
        <f>[1]contras!BQ83</f>
        <v>36000</v>
      </c>
      <c r="AY169" s="36">
        <f>[1]contras!BR83</f>
        <v>267600</v>
      </c>
      <c r="AZ169" s="36">
        <f>[1]contras!BS83</f>
        <v>100800</v>
      </c>
      <c r="BA169" s="36">
        <f>[1]contras!BT83</f>
        <v>9000</v>
      </c>
      <c r="BB169" s="36">
        <f>[1]contras!BU83</f>
        <v>210000</v>
      </c>
      <c r="BC169" s="36">
        <f>[1]contras!BV83</f>
        <v>158400</v>
      </c>
      <c r="BD169" s="36">
        <f>[1]contras!BW83</f>
        <v>36000</v>
      </c>
      <c r="BE169" s="36">
        <f>[1]contras!BX83</f>
        <v>285600</v>
      </c>
      <c r="BF169" s="36">
        <f>[1]contras!BY83</f>
        <v>100800</v>
      </c>
      <c r="BG169" s="36">
        <f>[1]contras!BZ83</f>
        <v>9000</v>
      </c>
      <c r="BH169" s="36">
        <f>[1]contras!CA83</f>
        <v>189600</v>
      </c>
      <c r="BI169" s="36">
        <f>[1]contras!CB83</f>
        <v>100800</v>
      </c>
      <c r="BJ169" s="36">
        <f>[1]contras!CC83</f>
        <v>117000</v>
      </c>
      <c r="BK169" s="36">
        <f>[1]contras!CD83</f>
        <v>869700</v>
      </c>
      <c r="BL169" s="36">
        <f>[1]contras!CE83</f>
        <v>327600</v>
      </c>
      <c r="BM169" s="36">
        <f>[1]contras!CF83</f>
        <v>29250</v>
      </c>
      <c r="BN169" s="36">
        <f>[1]contras!CG83</f>
        <v>682500</v>
      </c>
      <c r="BO169" s="36">
        <f>[1]contras!CH83</f>
        <v>514800</v>
      </c>
      <c r="BP169" s="36">
        <f>[1]contras!CI83</f>
        <v>117000</v>
      </c>
      <c r="BQ169" s="36">
        <f>[1]contras!CJ83</f>
        <v>928200</v>
      </c>
      <c r="BR169" s="36">
        <f>[1]contras!CK83</f>
        <v>327600</v>
      </c>
      <c r="BS169" s="36">
        <f>[1]contras!CL83</f>
        <v>29250</v>
      </c>
      <c r="BT169" s="36">
        <f>[1]contras!CM83</f>
        <v>616200</v>
      </c>
      <c r="BU169" s="36">
        <f>[1]contras!CN83</f>
        <v>327600</v>
      </c>
      <c r="BV169" s="36">
        <f>[1]contras!CO83</f>
        <v>204750</v>
      </c>
      <c r="BW169" s="36">
        <f>[1]contras!CP83</f>
        <v>1521975</v>
      </c>
      <c r="BX169" s="36">
        <f>[1]contras!CQ83</f>
        <v>573300</v>
      </c>
      <c r="BY169" s="36">
        <f>[1]contras!CR83</f>
        <v>51187.5</v>
      </c>
      <c r="BZ169" s="36">
        <f>[1]contras!CS83</f>
        <v>1194375</v>
      </c>
      <c r="CA169" s="36">
        <f>[1]contras!CT83</f>
        <v>900900</v>
      </c>
      <c r="CB169" s="36">
        <f>[1]contras!CU83</f>
        <v>204750</v>
      </c>
      <c r="CC169" s="36">
        <f>[1]contras!CV83</f>
        <v>1624350</v>
      </c>
      <c r="CD169" s="36">
        <f>[1]contras!CW83</f>
        <v>573300</v>
      </c>
      <c r="CE169" s="36">
        <f>[1]contras!CX83</f>
        <v>51187.5</v>
      </c>
      <c r="CF169" s="36">
        <f>[1]contras!CY83</f>
        <v>1078350</v>
      </c>
      <c r="CG169" s="36">
        <f>[1]contras!CZ83</f>
        <v>573300</v>
      </c>
      <c r="CH169" s="36">
        <f>[1]contras!DA83</f>
        <v>307125</v>
      </c>
      <c r="CI169" s="36">
        <f>[1]contras!DB83</f>
        <v>2282962.5</v>
      </c>
      <c r="CJ169" s="36">
        <f>[1]contras!DC83</f>
        <v>859950</v>
      </c>
      <c r="CK169" s="36">
        <f>[1]contras!DD83</f>
        <v>76781.25</v>
      </c>
      <c r="CL169" s="36">
        <f>[1]contras!DE83</f>
        <v>1791562.5</v>
      </c>
      <c r="CM169" s="36">
        <f>[1]contras!DF83</f>
        <v>1351350</v>
      </c>
      <c r="CN169" s="36">
        <f>[1]contras!DG83</f>
        <v>307125</v>
      </c>
      <c r="CO169" s="36">
        <f>[1]contras!DH83</f>
        <v>2436525</v>
      </c>
      <c r="CP169" s="36">
        <f>[1]contras!DI83</f>
        <v>859950</v>
      </c>
      <c r="CQ169" s="36">
        <f>[1]contras!DJ83</f>
        <v>76781.25</v>
      </c>
      <c r="CR169" s="36">
        <f>[1]contras!DK83</f>
        <v>1617525</v>
      </c>
      <c r="CS169" s="36">
        <f>[1]contras!DL83</f>
        <v>859950</v>
      </c>
      <c r="CT169" s="39"/>
      <c r="CU169" s="39"/>
      <c r="CV169" s="39"/>
      <c r="CW169" s="21"/>
    </row>
    <row r="170" spans="3:101" x14ac:dyDescent="0.25">
      <c r="C170" s="49" t="str">
        <f t="shared" si="289"/>
        <v>NEW PARTNER 1DTC</v>
      </c>
      <c r="D170" s="35" t="str">
        <f>[1]Key!C$28</f>
        <v>NEW PARTNER 1</v>
      </c>
      <c r="E170" s="35" t="str">
        <f>[1]contras!H84</f>
        <v>DTC</v>
      </c>
      <c r="F170" s="21"/>
      <c r="G170" s="21"/>
      <c r="H170" s="21"/>
      <c r="I170" s="21"/>
      <c r="J170" s="21"/>
      <c r="K170" s="21"/>
      <c r="L170" s="21"/>
      <c r="M170" s="21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36">
        <f>[1]contras!AS84</f>
        <v>0</v>
      </c>
      <c r="AA170" s="36">
        <f>[1]contras!AT84</f>
        <v>0</v>
      </c>
      <c r="AB170" s="36">
        <f>[1]contras!AU84</f>
        <v>0</v>
      </c>
      <c r="AC170" s="36">
        <f>[1]contras!AV84</f>
        <v>0</v>
      </c>
      <c r="AD170" s="36">
        <f>[1]contras!AW84</f>
        <v>0</v>
      </c>
      <c r="AE170" s="36">
        <f>[1]contras!AX84</f>
        <v>0</v>
      </c>
      <c r="AF170" s="36">
        <f>[1]contras!AY84</f>
        <v>0</v>
      </c>
      <c r="AG170" s="36">
        <f>[1]contras!AZ84</f>
        <v>0</v>
      </c>
      <c r="AH170" s="36">
        <f>[1]contras!BA84</f>
        <v>0</v>
      </c>
      <c r="AI170" s="36">
        <f>[1]contras!BB84</f>
        <v>0</v>
      </c>
      <c r="AJ170" s="36">
        <f>[1]contras!BC84</f>
        <v>0</v>
      </c>
      <c r="AK170" s="36">
        <f>[1]contras!BD84</f>
        <v>0</v>
      </c>
      <c r="AL170" s="36">
        <f>[1]contras!BE84</f>
        <v>0</v>
      </c>
      <c r="AM170" s="36">
        <f>[1]contras!BF84</f>
        <v>0</v>
      </c>
      <c r="AN170" s="36">
        <f>[1]contras!BG84</f>
        <v>0</v>
      </c>
      <c r="AO170" s="36">
        <f>[1]contras!BH84</f>
        <v>0</v>
      </c>
      <c r="AP170" s="36">
        <f>[1]contras!BI84</f>
        <v>0</v>
      </c>
      <c r="AQ170" s="36">
        <f>[1]contras!BJ84</f>
        <v>0</v>
      </c>
      <c r="AR170" s="36">
        <f>[1]contras!BK84</f>
        <v>0</v>
      </c>
      <c r="AS170" s="36">
        <f>[1]contras!BL84</f>
        <v>0</v>
      </c>
      <c r="AT170" s="36">
        <f>[1]contras!BM84</f>
        <v>0</v>
      </c>
      <c r="AU170" s="36">
        <f>[1]contras!BN84</f>
        <v>0</v>
      </c>
      <c r="AV170" s="36">
        <f>[1]contras!BO84</f>
        <v>0</v>
      </c>
      <c r="AW170" s="36">
        <f>[1]contras!BP84</f>
        <v>0</v>
      </c>
      <c r="AX170" s="36">
        <f>[1]contras!BQ84</f>
        <v>51840</v>
      </c>
      <c r="AY170" s="36">
        <f>[1]contras!BR84</f>
        <v>0</v>
      </c>
      <c r="AZ170" s="36">
        <f>[1]contras!BS84</f>
        <v>0</v>
      </c>
      <c r="BA170" s="36">
        <f>[1]contras!BT84</f>
        <v>0</v>
      </c>
      <c r="BB170" s="36">
        <f>[1]contras!BU84</f>
        <v>0</v>
      </c>
      <c r="BC170" s="36">
        <f>[1]contras!BV84</f>
        <v>0</v>
      </c>
      <c r="BD170" s="36">
        <f>[1]contras!BW84</f>
        <v>108000</v>
      </c>
      <c r="BE170" s="36">
        <f>[1]contras!BX84</f>
        <v>0</v>
      </c>
      <c r="BF170" s="36">
        <f>[1]contras!BY84</f>
        <v>0</v>
      </c>
      <c r="BG170" s="36">
        <f>[1]contras!BZ84</f>
        <v>0</v>
      </c>
      <c r="BH170" s="36">
        <f>[1]contras!CA84</f>
        <v>0</v>
      </c>
      <c r="BI170" s="36">
        <f>[1]contras!CB84</f>
        <v>0</v>
      </c>
      <c r="BJ170" s="36">
        <f>[1]contras!CC84</f>
        <v>202176</v>
      </c>
      <c r="BK170" s="36">
        <f>[1]contras!CD84</f>
        <v>0</v>
      </c>
      <c r="BL170" s="36">
        <f>[1]contras!CE84</f>
        <v>0</v>
      </c>
      <c r="BM170" s="36">
        <f>[1]contras!CF84</f>
        <v>0</v>
      </c>
      <c r="BN170" s="36">
        <f>[1]contras!CG84</f>
        <v>0</v>
      </c>
      <c r="BO170" s="36">
        <f>[1]contras!CH84</f>
        <v>0</v>
      </c>
      <c r="BP170" s="36">
        <f>[1]contras!CI84</f>
        <v>421200</v>
      </c>
      <c r="BQ170" s="36">
        <f>[1]contras!CJ84</f>
        <v>0</v>
      </c>
      <c r="BR170" s="36">
        <f>[1]contras!CK84</f>
        <v>0</v>
      </c>
      <c r="BS170" s="36">
        <f>[1]contras!CL84</f>
        <v>0</v>
      </c>
      <c r="BT170" s="36">
        <f>[1]contras!CM84</f>
        <v>0</v>
      </c>
      <c r="BU170" s="36">
        <f>[1]contras!CN84</f>
        <v>0</v>
      </c>
      <c r="BV170" s="36">
        <f>[1]contras!CO84</f>
        <v>505440</v>
      </c>
      <c r="BW170" s="36">
        <f>[1]contras!CP84</f>
        <v>0</v>
      </c>
      <c r="BX170" s="36">
        <f>[1]contras!CQ84</f>
        <v>0</v>
      </c>
      <c r="BY170" s="36">
        <f>[1]contras!CR84</f>
        <v>0</v>
      </c>
      <c r="BZ170" s="36">
        <f>[1]contras!CS84</f>
        <v>0</v>
      </c>
      <c r="CA170" s="36">
        <f>[1]contras!CT84</f>
        <v>0</v>
      </c>
      <c r="CB170" s="36">
        <f>[1]contras!CU84</f>
        <v>1053000</v>
      </c>
      <c r="CC170" s="36">
        <f>[1]contras!CV84</f>
        <v>0</v>
      </c>
      <c r="CD170" s="36">
        <f>[1]contras!CW84</f>
        <v>0</v>
      </c>
      <c r="CE170" s="36">
        <f>[1]contras!CX84</f>
        <v>0</v>
      </c>
      <c r="CF170" s="36">
        <f>[1]contras!CY84</f>
        <v>0</v>
      </c>
      <c r="CG170" s="36">
        <f>[1]contras!CZ84</f>
        <v>0</v>
      </c>
      <c r="CH170" s="36">
        <f>[1]contras!DA84</f>
        <v>884520</v>
      </c>
      <c r="CI170" s="36">
        <f>[1]contras!DB84</f>
        <v>0</v>
      </c>
      <c r="CJ170" s="36">
        <f>[1]contras!DC84</f>
        <v>0</v>
      </c>
      <c r="CK170" s="36">
        <f>[1]contras!DD84</f>
        <v>0</v>
      </c>
      <c r="CL170" s="36">
        <f>[1]contras!DE84</f>
        <v>0</v>
      </c>
      <c r="CM170" s="36">
        <f>[1]contras!DF84</f>
        <v>0</v>
      </c>
      <c r="CN170" s="36">
        <f>[1]contras!DG84</f>
        <v>1842750</v>
      </c>
      <c r="CO170" s="36">
        <f>[1]contras!DH84</f>
        <v>0</v>
      </c>
      <c r="CP170" s="36">
        <f>[1]contras!DI84</f>
        <v>0</v>
      </c>
      <c r="CQ170" s="36">
        <f>[1]contras!DJ84</f>
        <v>0</v>
      </c>
      <c r="CR170" s="36">
        <f>[1]contras!DK84</f>
        <v>0</v>
      </c>
      <c r="CS170" s="36">
        <f>[1]contras!DL84</f>
        <v>0</v>
      </c>
      <c r="CT170" s="39"/>
      <c r="CU170" s="39"/>
      <c r="CV170" s="39"/>
      <c r="CW170" s="21"/>
    </row>
    <row r="171" spans="3:101" x14ac:dyDescent="0.25">
      <c r="C171" s="49" t="str">
        <f t="shared" si="289"/>
        <v>NEW PARTNER 2DTC</v>
      </c>
      <c r="D171" s="35" t="str">
        <f>[1]Key!C$29</f>
        <v>NEW PARTNER 2</v>
      </c>
      <c r="E171" s="35" t="str">
        <f>[1]contras!H85</f>
        <v>DTC</v>
      </c>
      <c r="F171" s="21"/>
      <c r="G171" s="21"/>
      <c r="H171" s="21"/>
      <c r="I171" s="21"/>
      <c r="J171" s="21"/>
      <c r="K171" s="21"/>
      <c r="L171" s="21"/>
      <c r="M171" s="21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36">
        <f>[1]contras!AS85</f>
        <v>0</v>
      </c>
      <c r="AA171" s="36">
        <f>[1]contras!AT85</f>
        <v>0</v>
      </c>
      <c r="AB171" s="36">
        <f>[1]contras!AU85</f>
        <v>0</v>
      </c>
      <c r="AC171" s="36">
        <f>[1]contras!AV85</f>
        <v>0</v>
      </c>
      <c r="AD171" s="36">
        <f>[1]contras!AW85</f>
        <v>0</v>
      </c>
      <c r="AE171" s="36">
        <f>[1]contras!AX85</f>
        <v>0</v>
      </c>
      <c r="AF171" s="36">
        <f>[1]contras!AY85</f>
        <v>0</v>
      </c>
      <c r="AG171" s="36">
        <f>[1]contras!AZ85</f>
        <v>0</v>
      </c>
      <c r="AH171" s="36">
        <f>[1]contras!BA85</f>
        <v>0</v>
      </c>
      <c r="AI171" s="36">
        <f>[1]contras!BB85</f>
        <v>0</v>
      </c>
      <c r="AJ171" s="36">
        <f>[1]contras!BC85</f>
        <v>0</v>
      </c>
      <c r="AK171" s="36">
        <f>[1]contras!BD85</f>
        <v>0</v>
      </c>
      <c r="AL171" s="36">
        <f>[1]contras!BE85</f>
        <v>0</v>
      </c>
      <c r="AM171" s="36">
        <f>[1]contras!BF85</f>
        <v>0</v>
      </c>
      <c r="AN171" s="36">
        <f>[1]contras!BG85</f>
        <v>0</v>
      </c>
      <c r="AO171" s="36">
        <f>[1]contras!BH85</f>
        <v>0</v>
      </c>
      <c r="AP171" s="36">
        <f>[1]contras!BI85</f>
        <v>0</v>
      </c>
      <c r="AQ171" s="36">
        <f>[1]contras!BJ85</f>
        <v>0</v>
      </c>
      <c r="AR171" s="36">
        <f>[1]contras!BK85</f>
        <v>0</v>
      </c>
      <c r="AS171" s="36">
        <f>[1]contras!BL85</f>
        <v>0</v>
      </c>
      <c r="AT171" s="36">
        <f>[1]contras!BM85</f>
        <v>0</v>
      </c>
      <c r="AU171" s="36">
        <f>[1]contras!BN85</f>
        <v>0</v>
      </c>
      <c r="AV171" s="36">
        <f>[1]contras!BO85</f>
        <v>0</v>
      </c>
      <c r="AW171" s="36">
        <f>[1]contras!BP85</f>
        <v>0</v>
      </c>
      <c r="AX171" s="36">
        <f>[1]contras!BQ85</f>
        <v>52000</v>
      </c>
      <c r="AY171" s="36">
        <f>[1]contras!BR85</f>
        <v>0</v>
      </c>
      <c r="AZ171" s="36">
        <f>[1]contras!BS85</f>
        <v>0</v>
      </c>
      <c r="BA171" s="36">
        <f>[1]contras!BT85</f>
        <v>0</v>
      </c>
      <c r="BB171" s="36">
        <f>[1]contras!BU85</f>
        <v>0</v>
      </c>
      <c r="BC171" s="36">
        <f>[1]contras!BV85</f>
        <v>0</v>
      </c>
      <c r="BD171" s="36">
        <f>[1]contras!BW85</f>
        <v>124800</v>
      </c>
      <c r="BE171" s="36">
        <f>[1]contras!BX85</f>
        <v>0</v>
      </c>
      <c r="BF171" s="36">
        <f>[1]contras!BY85</f>
        <v>0</v>
      </c>
      <c r="BG171" s="36">
        <f>[1]contras!BZ85</f>
        <v>0</v>
      </c>
      <c r="BH171" s="36">
        <f>[1]contras!CA85</f>
        <v>24960</v>
      </c>
      <c r="BI171" s="36">
        <f>[1]contras!CB85</f>
        <v>0</v>
      </c>
      <c r="BJ171" s="36">
        <f>[1]contras!CC85</f>
        <v>202800</v>
      </c>
      <c r="BK171" s="36">
        <f>[1]contras!CD85</f>
        <v>0</v>
      </c>
      <c r="BL171" s="36">
        <f>[1]contras!CE85</f>
        <v>0</v>
      </c>
      <c r="BM171" s="36">
        <f>[1]contras!CF85</f>
        <v>0</v>
      </c>
      <c r="BN171" s="36">
        <f>[1]contras!CG85</f>
        <v>0</v>
      </c>
      <c r="BO171" s="36">
        <f>[1]contras!CH85</f>
        <v>0</v>
      </c>
      <c r="BP171" s="36">
        <f>[1]contras!CI85</f>
        <v>486720</v>
      </c>
      <c r="BQ171" s="36">
        <f>[1]contras!CJ85</f>
        <v>0</v>
      </c>
      <c r="BR171" s="36">
        <f>[1]contras!CK85</f>
        <v>0</v>
      </c>
      <c r="BS171" s="36">
        <f>[1]contras!CL85</f>
        <v>0</v>
      </c>
      <c r="BT171" s="36">
        <f>[1]contras!CM85</f>
        <v>97344</v>
      </c>
      <c r="BU171" s="36">
        <f>[1]contras!CN85</f>
        <v>0</v>
      </c>
      <c r="BV171" s="36">
        <f>[1]contras!CO85</f>
        <v>507000</v>
      </c>
      <c r="BW171" s="36">
        <f>[1]contras!CP85</f>
        <v>0</v>
      </c>
      <c r="BX171" s="36">
        <f>[1]contras!CQ85</f>
        <v>0</v>
      </c>
      <c r="BY171" s="36">
        <f>[1]contras!CR85</f>
        <v>0</v>
      </c>
      <c r="BZ171" s="36">
        <f>[1]contras!CS85</f>
        <v>0</v>
      </c>
      <c r="CA171" s="36">
        <f>[1]contras!CT85</f>
        <v>0</v>
      </c>
      <c r="CB171" s="36">
        <f>[1]contras!CU85</f>
        <v>1216800</v>
      </c>
      <c r="CC171" s="36">
        <f>[1]contras!CV85</f>
        <v>0</v>
      </c>
      <c r="CD171" s="36">
        <f>[1]contras!CW85</f>
        <v>0</v>
      </c>
      <c r="CE171" s="36">
        <f>[1]contras!CX85</f>
        <v>0</v>
      </c>
      <c r="CF171" s="36">
        <f>[1]contras!CY85</f>
        <v>243360</v>
      </c>
      <c r="CG171" s="36">
        <f>[1]contras!CZ85</f>
        <v>0</v>
      </c>
      <c r="CH171" s="36">
        <f>[1]contras!DA85</f>
        <v>887250</v>
      </c>
      <c r="CI171" s="36">
        <f>[1]contras!DB85</f>
        <v>0</v>
      </c>
      <c r="CJ171" s="36">
        <f>[1]contras!DC85</f>
        <v>0</v>
      </c>
      <c r="CK171" s="36">
        <f>[1]contras!DD85</f>
        <v>0</v>
      </c>
      <c r="CL171" s="36">
        <f>[1]contras!DE85</f>
        <v>0</v>
      </c>
      <c r="CM171" s="36">
        <f>[1]contras!DF85</f>
        <v>0</v>
      </c>
      <c r="CN171" s="36">
        <f>[1]contras!DG85</f>
        <v>2129400</v>
      </c>
      <c r="CO171" s="36">
        <f>[1]contras!DH85</f>
        <v>0</v>
      </c>
      <c r="CP171" s="36">
        <f>[1]contras!DI85</f>
        <v>0</v>
      </c>
      <c r="CQ171" s="36">
        <f>[1]contras!DJ85</f>
        <v>0</v>
      </c>
      <c r="CR171" s="36">
        <f>[1]contras!DK85</f>
        <v>425880</v>
      </c>
      <c r="CS171" s="36">
        <f>[1]contras!DL85</f>
        <v>0</v>
      </c>
      <c r="CT171" s="39"/>
      <c r="CU171" s="39"/>
      <c r="CV171" s="39"/>
      <c r="CW171" s="21"/>
    </row>
    <row r="172" spans="3:101" x14ac:dyDescent="0.25">
      <c r="C172" s="49" t="str">
        <f t="shared" si="289"/>
        <v>PIGALLEDTC</v>
      </c>
      <c r="D172" s="35" t="str">
        <f>[1]Key!C$30</f>
        <v>PIGALLE</v>
      </c>
      <c r="E172" s="35" t="str">
        <f>[1]contras!H86</f>
        <v>DTC</v>
      </c>
      <c r="F172" s="21"/>
      <c r="G172" s="21"/>
      <c r="H172" s="21"/>
      <c r="I172" s="21"/>
      <c r="J172" s="21"/>
      <c r="K172" s="21"/>
      <c r="L172" s="21"/>
      <c r="M172" s="21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36">
        <f>[1]contras!AS86</f>
        <v>0</v>
      </c>
      <c r="AA172" s="36">
        <f>[1]contras!AT86</f>
        <v>0</v>
      </c>
      <c r="AB172" s="36">
        <f>[1]contras!AU86</f>
        <v>0</v>
      </c>
      <c r="AC172" s="36">
        <f>[1]contras!AV86</f>
        <v>0</v>
      </c>
      <c r="AD172" s="36">
        <f>[1]contras!AW86</f>
        <v>0</v>
      </c>
      <c r="AE172" s="36">
        <f>[1]contras!AX86</f>
        <v>0</v>
      </c>
      <c r="AF172" s="36">
        <f>[1]contras!AY86</f>
        <v>0</v>
      </c>
      <c r="AG172" s="36">
        <f>[1]contras!AZ86</f>
        <v>0</v>
      </c>
      <c r="AH172" s="36">
        <f>[1]contras!BA86</f>
        <v>0</v>
      </c>
      <c r="AI172" s="36">
        <f>[1]contras!BB86</f>
        <v>0</v>
      </c>
      <c r="AJ172" s="36">
        <f>[1]contras!BC86</f>
        <v>0</v>
      </c>
      <c r="AK172" s="36">
        <f>[1]contras!BD86</f>
        <v>0</v>
      </c>
      <c r="AL172" s="36">
        <f>[1]contras!BE86</f>
        <v>0</v>
      </c>
      <c r="AM172" s="36">
        <f>[1]contras!BF86</f>
        <v>0</v>
      </c>
      <c r="AN172" s="36">
        <f>[1]contras!BG86</f>
        <v>0</v>
      </c>
      <c r="AO172" s="36">
        <f>[1]contras!BH86</f>
        <v>0</v>
      </c>
      <c r="AP172" s="36">
        <f>[1]contras!BI86</f>
        <v>17280</v>
      </c>
      <c r="AQ172" s="36">
        <f>[1]contras!BJ86</f>
        <v>0</v>
      </c>
      <c r="AR172" s="36">
        <f>[1]contras!BK86</f>
        <v>34560</v>
      </c>
      <c r="AS172" s="36">
        <f>[1]contras!BL86</f>
        <v>0</v>
      </c>
      <c r="AT172" s="36">
        <f>[1]contras!BM86</f>
        <v>0</v>
      </c>
      <c r="AU172" s="36">
        <f>[1]contras!BN86</f>
        <v>0</v>
      </c>
      <c r="AV172" s="36">
        <f>[1]contras!BO86</f>
        <v>51840</v>
      </c>
      <c r="AW172" s="36">
        <f>[1]contras!BP86</f>
        <v>0</v>
      </c>
      <c r="AX172" s="36">
        <f>[1]contras!BQ86</f>
        <v>0</v>
      </c>
      <c r="AY172" s="36">
        <f>[1]contras!BR86</f>
        <v>69120</v>
      </c>
      <c r="AZ172" s="36">
        <f>[1]contras!BS86</f>
        <v>0</v>
      </c>
      <c r="BA172" s="36">
        <f>[1]contras!BT86</f>
        <v>0</v>
      </c>
      <c r="BB172" s="36">
        <f>[1]contras!BU86</f>
        <v>69120</v>
      </c>
      <c r="BC172" s="36">
        <f>[1]contras!BV86</f>
        <v>0</v>
      </c>
      <c r="BD172" s="36">
        <f>[1]contras!BW86</f>
        <v>0</v>
      </c>
      <c r="BE172" s="36">
        <f>[1]contras!BX86</f>
        <v>69120</v>
      </c>
      <c r="BF172" s="36">
        <f>[1]contras!BY86</f>
        <v>0</v>
      </c>
      <c r="BG172" s="36">
        <f>[1]contras!BZ86</f>
        <v>0</v>
      </c>
      <c r="BH172" s="36">
        <f>[1]contras!CA86</f>
        <v>69120</v>
      </c>
      <c r="BI172" s="36">
        <f>[1]contras!CB86</f>
        <v>0</v>
      </c>
      <c r="BJ172" s="36">
        <f>[1]contras!CC86</f>
        <v>0</v>
      </c>
      <c r="BK172" s="36">
        <f>[1]contras!CD86</f>
        <v>179712</v>
      </c>
      <c r="BL172" s="36">
        <f>[1]contras!CE86</f>
        <v>0</v>
      </c>
      <c r="BM172" s="36">
        <f>[1]contras!CF86</f>
        <v>0</v>
      </c>
      <c r="BN172" s="36">
        <f>[1]contras!CG86</f>
        <v>179712</v>
      </c>
      <c r="BO172" s="36">
        <f>[1]contras!CH86</f>
        <v>0</v>
      </c>
      <c r="BP172" s="36">
        <f>[1]contras!CI86</f>
        <v>0</v>
      </c>
      <c r="BQ172" s="36">
        <f>[1]contras!CJ86</f>
        <v>179712</v>
      </c>
      <c r="BR172" s="36">
        <f>[1]contras!CK86</f>
        <v>0</v>
      </c>
      <c r="BS172" s="36">
        <f>[1]contras!CL86</f>
        <v>0</v>
      </c>
      <c r="BT172" s="36">
        <f>[1]contras!CM86</f>
        <v>179712</v>
      </c>
      <c r="BU172" s="36">
        <f>[1]contras!CN86</f>
        <v>0</v>
      </c>
      <c r="BV172" s="36">
        <f>[1]contras!CO86</f>
        <v>0</v>
      </c>
      <c r="BW172" s="36">
        <f>[1]contras!CP86</f>
        <v>269568</v>
      </c>
      <c r="BX172" s="36">
        <f>[1]contras!CQ86</f>
        <v>0</v>
      </c>
      <c r="BY172" s="36">
        <f>[1]contras!CR86</f>
        <v>0</v>
      </c>
      <c r="BZ172" s="36">
        <f>[1]contras!CS86</f>
        <v>269568</v>
      </c>
      <c r="CA172" s="36">
        <f>[1]contras!CT86</f>
        <v>0</v>
      </c>
      <c r="CB172" s="36">
        <f>[1]contras!CU86</f>
        <v>0</v>
      </c>
      <c r="CC172" s="36">
        <f>[1]contras!CV86</f>
        <v>269568</v>
      </c>
      <c r="CD172" s="36">
        <f>[1]contras!CW86</f>
        <v>0</v>
      </c>
      <c r="CE172" s="36">
        <f>[1]contras!CX86</f>
        <v>0</v>
      </c>
      <c r="CF172" s="36">
        <f>[1]contras!CY86</f>
        <v>269568</v>
      </c>
      <c r="CG172" s="36">
        <f>[1]contras!CZ86</f>
        <v>0</v>
      </c>
      <c r="CH172" s="36">
        <f>[1]contras!DA86</f>
        <v>0</v>
      </c>
      <c r="CI172" s="36">
        <f>[1]contras!DB86</f>
        <v>350438.40000000002</v>
      </c>
      <c r="CJ172" s="36">
        <f>[1]contras!DC86</f>
        <v>0</v>
      </c>
      <c r="CK172" s="36">
        <f>[1]contras!DD86</f>
        <v>0</v>
      </c>
      <c r="CL172" s="36">
        <f>[1]contras!DE86</f>
        <v>350438.40000000002</v>
      </c>
      <c r="CM172" s="36">
        <f>[1]contras!DF86</f>
        <v>0</v>
      </c>
      <c r="CN172" s="36">
        <f>[1]contras!DG86</f>
        <v>0</v>
      </c>
      <c r="CO172" s="36">
        <f>[1]contras!DH86</f>
        <v>350438.40000000002</v>
      </c>
      <c r="CP172" s="36">
        <f>[1]contras!DI86</f>
        <v>0</v>
      </c>
      <c r="CQ172" s="36">
        <f>[1]contras!DJ86</f>
        <v>0</v>
      </c>
      <c r="CR172" s="36">
        <f>[1]contras!DK86</f>
        <v>350438.40000000002</v>
      </c>
      <c r="CS172" s="36">
        <f>[1]contras!DL86</f>
        <v>0</v>
      </c>
      <c r="CT172" s="39"/>
      <c r="CU172" s="39"/>
      <c r="CV172" s="39"/>
      <c r="CW172" s="21"/>
    </row>
    <row r="173" spans="3:101" x14ac:dyDescent="0.25">
      <c r="C173" s="49" t="str">
        <f t="shared" si="289"/>
        <v>SPORT PLACEHOLDERDTC</v>
      </c>
      <c r="D173" s="35" t="str">
        <f>[1]Key!C$31</f>
        <v>SPORT PLACEHOLDER</v>
      </c>
      <c r="E173" s="35" t="str">
        <f>[1]contras!H87</f>
        <v>DTC</v>
      </c>
      <c r="F173" s="21"/>
      <c r="G173" s="21"/>
      <c r="H173" s="21"/>
      <c r="I173" s="21"/>
      <c r="J173" s="21"/>
      <c r="K173" s="21"/>
      <c r="L173" s="21"/>
      <c r="M173" s="21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36">
        <f>[1]contras!AS87</f>
        <v>0</v>
      </c>
      <c r="AA173" s="36">
        <f>[1]contras!AT87</f>
        <v>0</v>
      </c>
      <c r="AB173" s="36">
        <f>[1]contras!AU87</f>
        <v>0</v>
      </c>
      <c r="AC173" s="36">
        <f>[1]contras!AV87</f>
        <v>0</v>
      </c>
      <c r="AD173" s="36">
        <f>[1]contras!AW87</f>
        <v>0</v>
      </c>
      <c r="AE173" s="36">
        <f>[1]contras!AX87</f>
        <v>0</v>
      </c>
      <c r="AF173" s="36">
        <f>[1]contras!AY87</f>
        <v>0</v>
      </c>
      <c r="AG173" s="36">
        <f>[1]contras!AZ87</f>
        <v>0</v>
      </c>
      <c r="AH173" s="36">
        <f>[1]contras!BA87</f>
        <v>0</v>
      </c>
      <c r="AI173" s="36">
        <f>[1]contras!BB87</f>
        <v>0</v>
      </c>
      <c r="AJ173" s="36">
        <f>[1]contras!BC87</f>
        <v>0</v>
      </c>
      <c r="AK173" s="36">
        <f>[1]contras!BD87</f>
        <v>0</v>
      </c>
      <c r="AL173" s="36">
        <f>[1]contras!BE87</f>
        <v>0</v>
      </c>
      <c r="AM173" s="36">
        <f>[1]contras!BF87</f>
        <v>0</v>
      </c>
      <c r="AN173" s="36">
        <f>[1]contras!BG87</f>
        <v>0</v>
      </c>
      <c r="AO173" s="36">
        <f>[1]contras!BH87</f>
        <v>0</v>
      </c>
      <c r="AP173" s="36">
        <f>[1]contras!BI87</f>
        <v>0</v>
      </c>
      <c r="AQ173" s="36">
        <f>[1]contras!BJ87</f>
        <v>0</v>
      </c>
      <c r="AR173" s="36">
        <f>[1]contras!BK87</f>
        <v>0</v>
      </c>
      <c r="AS173" s="36">
        <f>[1]contras!BL87</f>
        <v>0</v>
      </c>
      <c r="AT173" s="36">
        <f>[1]contras!BM87</f>
        <v>0</v>
      </c>
      <c r="AU173" s="36">
        <f>[1]contras!BN87</f>
        <v>0</v>
      </c>
      <c r="AV173" s="36">
        <f>[1]contras!BO87</f>
        <v>0</v>
      </c>
      <c r="AW173" s="36">
        <f>[1]contras!BP87</f>
        <v>0</v>
      </c>
      <c r="AX173" s="36">
        <f>[1]contras!BQ87</f>
        <v>124800</v>
      </c>
      <c r="AY173" s="36">
        <f>[1]contras!BR87</f>
        <v>0</v>
      </c>
      <c r="AZ173" s="36">
        <f>[1]contras!BS87</f>
        <v>0</v>
      </c>
      <c r="BA173" s="36">
        <f>[1]contras!BT87</f>
        <v>0</v>
      </c>
      <c r="BB173" s="36">
        <f>[1]contras!BU87</f>
        <v>0</v>
      </c>
      <c r="BC173" s="36">
        <f>[1]contras!BV87</f>
        <v>0</v>
      </c>
      <c r="BD173" s="36">
        <f>[1]contras!BW87</f>
        <v>249600</v>
      </c>
      <c r="BE173" s="36">
        <f>[1]contras!BX87</f>
        <v>0</v>
      </c>
      <c r="BF173" s="36">
        <f>[1]contras!BY87</f>
        <v>0</v>
      </c>
      <c r="BG173" s="36">
        <f>[1]contras!BZ87</f>
        <v>0</v>
      </c>
      <c r="BH173" s="36">
        <f>[1]contras!CA87</f>
        <v>0</v>
      </c>
      <c r="BI173" s="36">
        <f>[1]contras!CB87</f>
        <v>0</v>
      </c>
      <c r="BJ173" s="36">
        <f>[1]contras!CC87</f>
        <v>486720</v>
      </c>
      <c r="BK173" s="36">
        <f>[1]contras!CD87</f>
        <v>0</v>
      </c>
      <c r="BL173" s="36">
        <f>[1]contras!CE87</f>
        <v>0</v>
      </c>
      <c r="BM173" s="36">
        <f>[1]contras!CF87</f>
        <v>0</v>
      </c>
      <c r="BN173" s="36">
        <f>[1]contras!CG87</f>
        <v>0</v>
      </c>
      <c r="BO173" s="36">
        <f>[1]contras!CH87</f>
        <v>0</v>
      </c>
      <c r="BP173" s="36">
        <f>[1]contras!CI87</f>
        <v>973440</v>
      </c>
      <c r="BQ173" s="36">
        <f>[1]contras!CJ87</f>
        <v>0</v>
      </c>
      <c r="BR173" s="36">
        <f>[1]contras!CK87</f>
        <v>0</v>
      </c>
      <c r="BS173" s="36">
        <f>[1]contras!CL87</f>
        <v>0</v>
      </c>
      <c r="BT173" s="36">
        <f>[1]contras!CM87</f>
        <v>0</v>
      </c>
      <c r="BU173" s="36">
        <f>[1]contras!CN87</f>
        <v>0</v>
      </c>
      <c r="BV173" s="36">
        <f>[1]contras!CO87</f>
        <v>1460160</v>
      </c>
      <c r="BW173" s="36">
        <f>[1]contras!CP87</f>
        <v>0</v>
      </c>
      <c r="BX173" s="36">
        <f>[1]contras!CQ87</f>
        <v>0</v>
      </c>
      <c r="BY173" s="36">
        <f>[1]contras!CR87</f>
        <v>0</v>
      </c>
      <c r="BZ173" s="36">
        <f>[1]contras!CS87</f>
        <v>0</v>
      </c>
      <c r="CA173" s="36">
        <f>[1]contras!CT87</f>
        <v>0</v>
      </c>
      <c r="CB173" s="36">
        <f>[1]contras!CU87</f>
        <v>2920320</v>
      </c>
      <c r="CC173" s="36">
        <f>[1]contras!CV87</f>
        <v>0</v>
      </c>
      <c r="CD173" s="36">
        <f>[1]contras!CW87</f>
        <v>0</v>
      </c>
      <c r="CE173" s="36">
        <f>[1]contras!CX87</f>
        <v>0</v>
      </c>
      <c r="CF173" s="36">
        <f>[1]contras!CY87</f>
        <v>0</v>
      </c>
      <c r="CG173" s="36">
        <f>[1]contras!CZ87</f>
        <v>0</v>
      </c>
      <c r="CH173" s="36">
        <f>[1]contras!DA87</f>
        <v>3650400</v>
      </c>
      <c r="CI173" s="36">
        <f>[1]contras!DB87</f>
        <v>0</v>
      </c>
      <c r="CJ173" s="36">
        <f>[1]contras!DC87</f>
        <v>0</v>
      </c>
      <c r="CK173" s="36">
        <f>[1]contras!DD87</f>
        <v>0</v>
      </c>
      <c r="CL173" s="36">
        <f>[1]contras!DE87</f>
        <v>0</v>
      </c>
      <c r="CM173" s="36">
        <f>[1]contras!DF87</f>
        <v>0</v>
      </c>
      <c r="CN173" s="36">
        <f>[1]contras!DG87</f>
        <v>7300800</v>
      </c>
      <c r="CO173" s="36">
        <f>[1]contras!DH87</f>
        <v>0</v>
      </c>
      <c r="CP173" s="36">
        <f>[1]contras!DI87</f>
        <v>0</v>
      </c>
      <c r="CQ173" s="36">
        <f>[1]contras!DJ87</f>
        <v>0</v>
      </c>
      <c r="CR173" s="36">
        <f>[1]contras!DK87</f>
        <v>0</v>
      </c>
      <c r="CS173" s="36">
        <f>[1]contras!DL87</f>
        <v>0</v>
      </c>
      <c r="CT173" s="39"/>
      <c r="CU173" s="39"/>
      <c r="CV173" s="39"/>
      <c r="CW173" s="21"/>
    </row>
    <row r="174" spans="3:101" x14ac:dyDescent="0.25">
      <c r="C174" s="49" t="str">
        <f t="shared" si="289"/>
        <v>SPUNGEDTC</v>
      </c>
      <c r="D174" s="35" t="str">
        <f>[1]Key!C$32</f>
        <v>SPUNGE</v>
      </c>
      <c r="E174" s="35" t="str">
        <f>[1]contras!H88</f>
        <v>DTC</v>
      </c>
      <c r="F174" s="21"/>
      <c r="G174" s="21"/>
      <c r="H174" s="21"/>
      <c r="I174" s="21"/>
      <c r="J174" s="21"/>
      <c r="K174" s="21"/>
      <c r="L174" s="21"/>
      <c r="M174" s="21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36">
        <f>[1]contras!AS88</f>
        <v>0</v>
      </c>
      <c r="AA174" s="36">
        <f>[1]contras!AT88</f>
        <v>0</v>
      </c>
      <c r="AB174" s="36">
        <f>[1]contras!AU88</f>
        <v>0</v>
      </c>
      <c r="AC174" s="36">
        <f>[1]contras!AV88</f>
        <v>0</v>
      </c>
      <c r="AD174" s="36">
        <f>[1]contras!AW88</f>
        <v>0</v>
      </c>
      <c r="AE174" s="36">
        <f>[1]contras!AX88</f>
        <v>0</v>
      </c>
      <c r="AF174" s="36">
        <f>[1]contras!AY88</f>
        <v>0</v>
      </c>
      <c r="AG174" s="36">
        <f>[1]contras!AZ88</f>
        <v>0</v>
      </c>
      <c r="AH174" s="36">
        <f>[1]contras!BA88</f>
        <v>0</v>
      </c>
      <c r="AI174" s="36">
        <f>[1]contras!BB88</f>
        <v>0</v>
      </c>
      <c r="AJ174" s="36">
        <f>[1]contras!BC88</f>
        <v>0</v>
      </c>
      <c r="AK174" s="36">
        <f>[1]contras!BD88</f>
        <v>0</v>
      </c>
      <c r="AL174" s="36">
        <f>[1]contras!BE88</f>
        <v>0</v>
      </c>
      <c r="AM174" s="36">
        <f>[1]contras!BF88</f>
        <v>0</v>
      </c>
      <c r="AN174" s="36">
        <f>[1]contras!BG88</f>
        <v>0</v>
      </c>
      <c r="AO174" s="36">
        <f>[1]contras!BH88</f>
        <v>0</v>
      </c>
      <c r="AP174" s="36">
        <f>[1]contras!BI88</f>
        <v>0</v>
      </c>
      <c r="AQ174" s="36">
        <f>[1]contras!BJ88</f>
        <v>0</v>
      </c>
      <c r="AR174" s="36">
        <f>[1]contras!BK88</f>
        <v>0</v>
      </c>
      <c r="AS174" s="36">
        <f>[1]contras!BL88</f>
        <v>0</v>
      </c>
      <c r="AT174" s="36">
        <f>[1]contras!BM88</f>
        <v>34560</v>
      </c>
      <c r="AU174" s="36">
        <f>[1]contras!BN88</f>
        <v>0</v>
      </c>
      <c r="AV174" s="36">
        <f>[1]contras!BO88</f>
        <v>25920</v>
      </c>
      <c r="AW174" s="36">
        <f>[1]contras!BP88</f>
        <v>64800</v>
      </c>
      <c r="AX174" s="36">
        <f>[1]contras!BQ88</f>
        <v>0</v>
      </c>
      <c r="AY174" s="36">
        <f>[1]contras!BR88</f>
        <v>158976</v>
      </c>
      <c r="AZ174" s="36">
        <f>[1]contras!BS88</f>
        <v>0</v>
      </c>
      <c r="BA174" s="36">
        <f>[1]contras!BT88</f>
        <v>0</v>
      </c>
      <c r="BB174" s="36">
        <f>[1]contras!BU88</f>
        <v>179712</v>
      </c>
      <c r="BC174" s="36">
        <f>[1]contras!BV88</f>
        <v>0</v>
      </c>
      <c r="BD174" s="36">
        <f>[1]contras!BW88</f>
        <v>207360</v>
      </c>
      <c r="BE174" s="36">
        <f>[1]contras!BX88</f>
        <v>0</v>
      </c>
      <c r="BF174" s="36">
        <f>[1]contras!BY88</f>
        <v>20736</v>
      </c>
      <c r="BG174" s="36">
        <f>[1]contras!BZ88</f>
        <v>0</v>
      </c>
      <c r="BH174" s="36">
        <f>[1]contras!CA88</f>
        <v>276480</v>
      </c>
      <c r="BI174" s="36">
        <f>[1]contras!CB88</f>
        <v>51840</v>
      </c>
      <c r="BJ174" s="36">
        <f>[1]contras!CC88</f>
        <v>0</v>
      </c>
      <c r="BK174" s="36">
        <f>[1]contras!CD88</f>
        <v>620006.40000000002</v>
      </c>
      <c r="BL174" s="36">
        <f>[1]contras!CE88</f>
        <v>0</v>
      </c>
      <c r="BM174" s="36">
        <f>[1]contras!CF88</f>
        <v>0</v>
      </c>
      <c r="BN174" s="36">
        <f>[1]contras!CG88</f>
        <v>700876.80000000005</v>
      </c>
      <c r="BO174" s="36">
        <f>[1]contras!CH88</f>
        <v>0</v>
      </c>
      <c r="BP174" s="36">
        <f>[1]contras!CI88</f>
        <v>808704</v>
      </c>
      <c r="BQ174" s="36">
        <f>[1]contras!CJ88</f>
        <v>0</v>
      </c>
      <c r="BR174" s="36">
        <f>[1]contras!CK88</f>
        <v>80870.399999999994</v>
      </c>
      <c r="BS174" s="36">
        <f>[1]contras!CL88</f>
        <v>0</v>
      </c>
      <c r="BT174" s="36">
        <f>[1]contras!CM88</f>
        <v>1078272</v>
      </c>
      <c r="BU174" s="36">
        <f>[1]contras!CN88</f>
        <v>202176</v>
      </c>
      <c r="BV174" s="36">
        <f>[1]contras!CO88</f>
        <v>0</v>
      </c>
      <c r="BW174" s="36">
        <f>[1]contras!CP88</f>
        <v>1550016</v>
      </c>
      <c r="BX174" s="36">
        <f>[1]contras!CQ88</f>
        <v>0</v>
      </c>
      <c r="BY174" s="36">
        <f>[1]contras!CR88</f>
        <v>0</v>
      </c>
      <c r="BZ174" s="36">
        <f>[1]contras!CS88</f>
        <v>1752192</v>
      </c>
      <c r="CA174" s="36">
        <f>[1]contras!CT88</f>
        <v>0</v>
      </c>
      <c r="CB174" s="36">
        <f>[1]contras!CU88</f>
        <v>2021760</v>
      </c>
      <c r="CC174" s="36">
        <f>[1]contras!CV88</f>
        <v>0</v>
      </c>
      <c r="CD174" s="36">
        <f>[1]contras!CW88</f>
        <v>202176</v>
      </c>
      <c r="CE174" s="36">
        <f>[1]contras!CX88</f>
        <v>0</v>
      </c>
      <c r="CF174" s="36">
        <f>[1]contras!CY88</f>
        <v>2695680</v>
      </c>
      <c r="CG174" s="36">
        <f>[1]contras!CZ88</f>
        <v>505440</v>
      </c>
      <c r="CH174" s="36">
        <f>[1]contras!DA88</f>
        <v>0</v>
      </c>
      <c r="CI174" s="36">
        <f>[1]contras!DB88</f>
        <v>2712528</v>
      </c>
      <c r="CJ174" s="36">
        <f>[1]contras!DC88</f>
        <v>0</v>
      </c>
      <c r="CK174" s="36">
        <f>[1]contras!DD88</f>
        <v>0</v>
      </c>
      <c r="CL174" s="36">
        <f>[1]contras!DE88</f>
        <v>3066336</v>
      </c>
      <c r="CM174" s="36">
        <f>[1]contras!DF88</f>
        <v>0</v>
      </c>
      <c r="CN174" s="36">
        <f>[1]contras!DG88</f>
        <v>3538080</v>
      </c>
      <c r="CO174" s="36">
        <f>[1]contras!DH88</f>
        <v>0</v>
      </c>
      <c r="CP174" s="36">
        <f>[1]contras!DI88</f>
        <v>353808</v>
      </c>
      <c r="CQ174" s="36">
        <f>[1]contras!DJ88</f>
        <v>0</v>
      </c>
      <c r="CR174" s="36">
        <f>[1]contras!DK88</f>
        <v>4717440</v>
      </c>
      <c r="CS174" s="36">
        <f>[1]contras!DL88</f>
        <v>884520</v>
      </c>
      <c r="CT174" s="39"/>
      <c r="CU174" s="39"/>
      <c r="CV174" s="39"/>
      <c r="CW174" s="21"/>
    </row>
    <row r="175" spans="3:101" x14ac:dyDescent="0.25">
      <c r="C175" s="49" t="str">
        <f t="shared" si="289"/>
        <v>SUNFLOWERDTC</v>
      </c>
      <c r="D175" s="35" t="str">
        <f>[1]Key!C$33</f>
        <v>SUNFLOWER</v>
      </c>
      <c r="E175" s="35" t="str">
        <f>[1]contras!H89</f>
        <v>DTC</v>
      </c>
      <c r="F175" s="21"/>
      <c r="G175" s="21"/>
      <c r="H175" s="21"/>
      <c r="I175" s="21"/>
      <c r="J175" s="21"/>
      <c r="K175" s="21"/>
      <c r="L175" s="21"/>
      <c r="M175" s="21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36">
        <f>[1]contras!AS89</f>
        <v>0</v>
      </c>
      <c r="AA175" s="36">
        <f>[1]contras!AT89</f>
        <v>0</v>
      </c>
      <c r="AB175" s="36">
        <f>[1]contras!AU89</f>
        <v>0</v>
      </c>
      <c r="AC175" s="36">
        <f>[1]contras!AV89</f>
        <v>0</v>
      </c>
      <c r="AD175" s="36">
        <f>[1]contras!AW89</f>
        <v>0</v>
      </c>
      <c r="AE175" s="36">
        <f>[1]contras!AX89</f>
        <v>0</v>
      </c>
      <c r="AF175" s="36">
        <f>[1]contras!AY89</f>
        <v>0</v>
      </c>
      <c r="AG175" s="36">
        <f>[1]contras!AZ89</f>
        <v>0</v>
      </c>
      <c r="AH175" s="36">
        <f>[1]contras!BA89</f>
        <v>0</v>
      </c>
      <c r="AI175" s="36">
        <f>[1]contras!BB89</f>
        <v>0</v>
      </c>
      <c r="AJ175" s="36">
        <f>[1]contras!BC89</f>
        <v>0</v>
      </c>
      <c r="AK175" s="36">
        <f>[1]contras!BD89</f>
        <v>0</v>
      </c>
      <c r="AL175" s="36">
        <f>[1]contras!BE89</f>
        <v>0</v>
      </c>
      <c r="AM175" s="36">
        <f>[1]contras!BF89</f>
        <v>0</v>
      </c>
      <c r="AN175" s="36">
        <f>[1]contras!BG89</f>
        <v>0</v>
      </c>
      <c r="AO175" s="36">
        <f>[1]contras!BH89</f>
        <v>0</v>
      </c>
      <c r="AP175" s="36">
        <f>[1]contras!BI89</f>
        <v>0</v>
      </c>
      <c r="AQ175" s="36">
        <f>[1]contras!BJ89</f>
        <v>0</v>
      </c>
      <c r="AR175" s="36">
        <f>[1]contras!BK89</f>
        <v>0</v>
      </c>
      <c r="AS175" s="36">
        <f>[1]contras!BL89</f>
        <v>0</v>
      </c>
      <c r="AT175" s="36">
        <f>[1]contras!BM89</f>
        <v>0</v>
      </c>
      <c r="AU175" s="36">
        <f>[1]contras!BN89</f>
        <v>0</v>
      </c>
      <c r="AV175" s="36">
        <f>[1]contras!BO89</f>
        <v>0</v>
      </c>
      <c r="AW175" s="36">
        <f>[1]contras!BP89</f>
        <v>0</v>
      </c>
      <c r="AX175" s="36">
        <f>[1]contras!BQ89</f>
        <v>0</v>
      </c>
      <c r="AY175" s="36">
        <f>[1]contras!BR89</f>
        <v>0</v>
      </c>
      <c r="AZ175" s="36">
        <f>[1]contras!BS89</f>
        <v>0</v>
      </c>
      <c r="BA175" s="36">
        <f>[1]contras!BT89</f>
        <v>0</v>
      </c>
      <c r="BB175" s="36">
        <f>[1]contras!BU89</f>
        <v>0</v>
      </c>
      <c r="BC175" s="36">
        <f>[1]contras!BV89</f>
        <v>0</v>
      </c>
      <c r="BD175" s="36">
        <f>[1]contras!BW89</f>
        <v>0</v>
      </c>
      <c r="BE175" s="36">
        <f>[1]contras!BX89</f>
        <v>0</v>
      </c>
      <c r="BF175" s="36">
        <f>[1]contras!BY89</f>
        <v>0</v>
      </c>
      <c r="BG175" s="36">
        <f>[1]contras!BZ89</f>
        <v>0</v>
      </c>
      <c r="BH175" s="36">
        <f>[1]contras!CA89</f>
        <v>0</v>
      </c>
      <c r="BI175" s="36">
        <f>[1]contras!CB89</f>
        <v>0</v>
      </c>
      <c r="BJ175" s="36">
        <f>[1]contras!CC89</f>
        <v>0</v>
      </c>
      <c r="BK175" s="36">
        <f>[1]contras!CD89</f>
        <v>0</v>
      </c>
      <c r="BL175" s="36">
        <f>[1]contras!CE89</f>
        <v>0</v>
      </c>
      <c r="BM175" s="36">
        <f>[1]contras!CF89</f>
        <v>0</v>
      </c>
      <c r="BN175" s="36">
        <f>[1]contras!CG89</f>
        <v>0</v>
      </c>
      <c r="BO175" s="36">
        <f>[1]contras!CH89</f>
        <v>0</v>
      </c>
      <c r="BP175" s="36">
        <f>[1]contras!CI89</f>
        <v>0</v>
      </c>
      <c r="BQ175" s="36">
        <f>[1]contras!CJ89</f>
        <v>0</v>
      </c>
      <c r="BR175" s="36">
        <f>[1]contras!CK89</f>
        <v>0</v>
      </c>
      <c r="BS175" s="36">
        <f>[1]contras!CL89</f>
        <v>0</v>
      </c>
      <c r="BT175" s="36">
        <f>[1]contras!CM89</f>
        <v>0</v>
      </c>
      <c r="BU175" s="36">
        <f>[1]contras!CN89</f>
        <v>0</v>
      </c>
      <c r="BV175" s="36">
        <f>[1]contras!CO89</f>
        <v>0</v>
      </c>
      <c r="BW175" s="36">
        <f>[1]contras!CP89</f>
        <v>0</v>
      </c>
      <c r="BX175" s="36">
        <f>[1]contras!CQ89</f>
        <v>0</v>
      </c>
      <c r="BY175" s="36">
        <f>[1]contras!CR89</f>
        <v>0</v>
      </c>
      <c r="BZ175" s="36">
        <f>[1]contras!CS89</f>
        <v>0</v>
      </c>
      <c r="CA175" s="36">
        <f>[1]contras!CT89</f>
        <v>0</v>
      </c>
      <c r="CB175" s="36">
        <f>[1]contras!CU89</f>
        <v>0</v>
      </c>
      <c r="CC175" s="36">
        <f>[1]contras!CV89</f>
        <v>0</v>
      </c>
      <c r="CD175" s="36">
        <f>[1]contras!CW89</f>
        <v>0</v>
      </c>
      <c r="CE175" s="36">
        <f>[1]contras!CX89</f>
        <v>0</v>
      </c>
      <c r="CF175" s="36">
        <f>[1]contras!CY89</f>
        <v>0</v>
      </c>
      <c r="CG175" s="36">
        <f>[1]contras!CZ89</f>
        <v>0</v>
      </c>
      <c r="CH175" s="36">
        <f>[1]contras!DA89</f>
        <v>0</v>
      </c>
      <c r="CI175" s="36">
        <f>[1]contras!DB89</f>
        <v>0</v>
      </c>
      <c r="CJ175" s="36">
        <f>[1]contras!DC89</f>
        <v>0</v>
      </c>
      <c r="CK175" s="36">
        <f>[1]contras!DD89</f>
        <v>0</v>
      </c>
      <c r="CL175" s="36">
        <f>[1]contras!DE89</f>
        <v>0</v>
      </c>
      <c r="CM175" s="36">
        <f>[1]contras!DF89</f>
        <v>0</v>
      </c>
      <c r="CN175" s="36">
        <f>[1]contras!DG89</f>
        <v>0</v>
      </c>
      <c r="CO175" s="36">
        <f>[1]contras!DH89</f>
        <v>0</v>
      </c>
      <c r="CP175" s="36">
        <f>[1]contras!DI89</f>
        <v>0</v>
      </c>
      <c r="CQ175" s="36">
        <f>[1]contras!DJ89</f>
        <v>0</v>
      </c>
      <c r="CR175" s="36">
        <f>[1]contras!DK89</f>
        <v>0</v>
      </c>
      <c r="CS175" s="36">
        <f>[1]contras!DL89</f>
        <v>0</v>
      </c>
      <c r="CT175" s="39"/>
      <c r="CU175" s="39"/>
      <c r="CV175" s="39"/>
      <c r="CW175" s="21"/>
    </row>
    <row r="176" spans="3:101" x14ac:dyDescent="0.25">
      <c r="C176" s="49" t="str">
        <f t="shared" si="289"/>
        <v>CorporateN/A</v>
      </c>
      <c r="D176" s="35" t="str">
        <f>[1]Key!C$34</f>
        <v>Corporate</v>
      </c>
      <c r="E176" s="35" t="str">
        <f>[1]Key!D$34</f>
        <v>N/A</v>
      </c>
      <c r="F176" s="21"/>
      <c r="G176" s="21"/>
      <c r="H176" s="21"/>
      <c r="I176" s="21"/>
      <c r="J176" s="21"/>
      <c r="K176" s="21"/>
      <c r="L176" s="21"/>
      <c r="M176" s="21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39"/>
      <c r="CU176" s="39"/>
      <c r="CV176" s="39"/>
      <c r="CW176" s="21"/>
    </row>
    <row r="177" spans="3:101" x14ac:dyDescent="0.25">
      <c r="C177" s="49" t="str">
        <f t="shared" ref="C177" si="290">CONCATENATE(D177,E177)</f>
        <v>Other RevenueN/A</v>
      </c>
      <c r="D177" s="35" t="str">
        <f>[1]Key!C$35</f>
        <v>Other Revenue</v>
      </c>
      <c r="E177" s="35" t="str">
        <f>[1]Key!D$35</f>
        <v>N/A</v>
      </c>
      <c r="F177" s="21"/>
      <c r="G177" s="21"/>
      <c r="H177" s="21"/>
      <c r="I177" s="21"/>
      <c r="J177" s="21"/>
      <c r="K177" s="21"/>
      <c r="L177" s="21"/>
      <c r="M177" s="21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13">
        <v>0</v>
      </c>
      <c r="AA177" s="113">
        <v>0</v>
      </c>
      <c r="AB177" s="113">
        <v>0</v>
      </c>
      <c r="AC177" s="113">
        <v>0</v>
      </c>
      <c r="AD177" s="113">
        <v>0</v>
      </c>
      <c r="AE177" s="113">
        <v>0</v>
      </c>
      <c r="AF177" s="113">
        <v>0</v>
      </c>
      <c r="AG177" s="113">
        <v>0</v>
      </c>
      <c r="AH177" s="113">
        <v>0</v>
      </c>
      <c r="AI177" s="113">
        <v>0</v>
      </c>
      <c r="AJ177" s="113">
        <v>0</v>
      </c>
      <c r="AK177" s="113">
        <v>0</v>
      </c>
      <c r="AL177" s="113">
        <v>0</v>
      </c>
      <c r="AM177" s="113">
        <v>0</v>
      </c>
      <c r="AN177" s="113">
        <v>0</v>
      </c>
      <c r="AO177" s="113">
        <v>0</v>
      </c>
      <c r="AP177" s="113">
        <v>0</v>
      </c>
      <c r="AQ177" s="113">
        <v>0</v>
      </c>
      <c r="AR177" s="113">
        <v>0</v>
      </c>
      <c r="AS177" s="113">
        <v>0</v>
      </c>
      <c r="AT177" s="113">
        <v>0</v>
      </c>
      <c r="AU177" s="113">
        <v>0</v>
      </c>
      <c r="AV177" s="113">
        <v>0</v>
      </c>
      <c r="AW177" s="113">
        <v>0</v>
      </c>
      <c r="AX177" s="113">
        <v>0</v>
      </c>
      <c r="AY177" s="113">
        <v>0</v>
      </c>
      <c r="AZ177" s="113">
        <v>0</v>
      </c>
      <c r="BA177" s="113">
        <v>0</v>
      </c>
      <c r="BB177" s="113">
        <v>0</v>
      </c>
      <c r="BC177" s="113">
        <v>0</v>
      </c>
      <c r="BD177" s="113">
        <v>0</v>
      </c>
      <c r="BE177" s="113">
        <v>0</v>
      </c>
      <c r="BF177" s="113">
        <v>0</v>
      </c>
      <c r="BG177" s="113">
        <v>0</v>
      </c>
      <c r="BH177" s="113">
        <v>0</v>
      </c>
      <c r="BI177" s="113">
        <v>0</v>
      </c>
      <c r="BJ177" s="113">
        <v>0</v>
      </c>
      <c r="BK177" s="113">
        <v>0</v>
      </c>
      <c r="BL177" s="113">
        <v>0</v>
      </c>
      <c r="BM177" s="113">
        <v>0</v>
      </c>
      <c r="BN177" s="113">
        <v>0</v>
      </c>
      <c r="BO177" s="113">
        <v>0</v>
      </c>
      <c r="BP177" s="113">
        <v>0</v>
      </c>
      <c r="BQ177" s="113">
        <v>0</v>
      </c>
      <c r="BR177" s="113">
        <v>0</v>
      </c>
      <c r="BS177" s="113">
        <v>0</v>
      </c>
      <c r="BT177" s="113">
        <v>0</v>
      </c>
      <c r="BU177" s="113">
        <v>0</v>
      </c>
      <c r="BV177" s="113">
        <v>0</v>
      </c>
      <c r="BW177" s="113">
        <v>0</v>
      </c>
      <c r="BX177" s="113">
        <v>0</v>
      </c>
      <c r="BY177" s="113">
        <v>0</v>
      </c>
      <c r="BZ177" s="113">
        <v>0</v>
      </c>
      <c r="CA177" s="113">
        <v>0</v>
      </c>
      <c r="CB177" s="113">
        <v>0</v>
      </c>
      <c r="CC177" s="113">
        <v>0</v>
      </c>
      <c r="CD177" s="113">
        <v>0</v>
      </c>
      <c r="CE177" s="113">
        <v>0</v>
      </c>
      <c r="CF177" s="113">
        <v>0</v>
      </c>
      <c r="CG177" s="113">
        <v>0</v>
      </c>
      <c r="CH177" s="113">
        <v>0</v>
      </c>
      <c r="CI177" s="113">
        <v>0</v>
      </c>
      <c r="CJ177" s="113">
        <v>0</v>
      </c>
      <c r="CK177" s="113">
        <v>0</v>
      </c>
      <c r="CL177" s="113">
        <v>0</v>
      </c>
      <c r="CM177" s="113">
        <v>0</v>
      </c>
      <c r="CN177" s="113">
        <v>0</v>
      </c>
      <c r="CO177" s="113">
        <v>0</v>
      </c>
      <c r="CP177" s="113">
        <v>0</v>
      </c>
      <c r="CQ177" s="113">
        <v>0</v>
      </c>
      <c r="CR177" s="113">
        <v>0</v>
      </c>
      <c r="CS177" s="113">
        <v>0</v>
      </c>
      <c r="CT177" s="39"/>
      <c r="CU177" s="39"/>
      <c r="CV177" s="39"/>
      <c r="CW177" s="21"/>
    </row>
    <row r="178" spans="3:101" x14ac:dyDescent="0.25">
      <c r="F178" s="21"/>
      <c r="G178" s="21"/>
      <c r="H178" s="21"/>
      <c r="I178" s="21"/>
      <c r="J178" s="21"/>
      <c r="K178" s="21"/>
      <c r="L178" s="21"/>
      <c r="M178" s="21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9"/>
      <c r="CU178" s="39"/>
      <c r="CV178" s="39"/>
      <c r="CW178" s="21"/>
    </row>
    <row r="179" spans="3:101" x14ac:dyDescent="0.25">
      <c r="D179" s="38" t="s">
        <v>152</v>
      </c>
      <c r="F179" s="21"/>
      <c r="G179" s="21"/>
      <c r="H179" s="21"/>
      <c r="I179" s="21"/>
      <c r="J179" s="21"/>
      <c r="K179" s="21"/>
      <c r="L179" s="21"/>
      <c r="M179" s="21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37">
        <f t="shared" ref="Z179:CV179" si="291">SUM(Z154:Z178)</f>
        <v>0</v>
      </c>
      <c r="AA179" s="37">
        <f t="shared" si="291"/>
        <v>0</v>
      </c>
      <c r="AB179" s="37">
        <f t="shared" si="291"/>
        <v>43200</v>
      </c>
      <c r="AC179" s="37">
        <f t="shared" si="291"/>
        <v>4500</v>
      </c>
      <c r="AD179" s="37">
        <f t="shared" si="291"/>
        <v>0</v>
      </c>
      <c r="AE179" s="37">
        <f t="shared" si="291"/>
        <v>12000</v>
      </c>
      <c r="AF179" s="37">
        <f t="shared" si="291"/>
        <v>288000</v>
      </c>
      <c r="AG179" s="37">
        <f t="shared" si="291"/>
        <v>0</v>
      </c>
      <c r="AH179" s="37">
        <f t="shared" si="291"/>
        <v>24000</v>
      </c>
      <c r="AI179" s="37">
        <f t="shared" si="291"/>
        <v>20000</v>
      </c>
      <c r="AJ179" s="37">
        <f t="shared" si="291"/>
        <v>60500</v>
      </c>
      <c r="AK179" s="37">
        <f t="shared" si="291"/>
        <v>168900</v>
      </c>
      <c r="AL179" s="37">
        <f t="shared" si="291"/>
        <v>40500</v>
      </c>
      <c r="AM179" s="37">
        <f t="shared" si="291"/>
        <v>237060</v>
      </c>
      <c r="AN179" s="37">
        <f t="shared" si="291"/>
        <v>81000</v>
      </c>
      <c r="AO179" s="37">
        <f t="shared" si="291"/>
        <v>0</v>
      </c>
      <c r="AP179" s="37">
        <f t="shared" si="291"/>
        <v>186030</v>
      </c>
      <c r="AQ179" s="37">
        <f t="shared" si="291"/>
        <v>342225</v>
      </c>
      <c r="AR179" s="37">
        <f t="shared" si="291"/>
        <v>87210</v>
      </c>
      <c r="AS179" s="37">
        <f t="shared" si="291"/>
        <v>240300</v>
      </c>
      <c r="AT179" s="37">
        <f t="shared" si="291"/>
        <v>390960</v>
      </c>
      <c r="AU179" s="37">
        <f t="shared" si="291"/>
        <v>262000</v>
      </c>
      <c r="AV179" s="37">
        <f t="shared" si="291"/>
        <v>323055</v>
      </c>
      <c r="AW179" s="37">
        <f t="shared" si="291"/>
        <v>608985</v>
      </c>
      <c r="AX179" s="37">
        <f t="shared" si="291"/>
        <v>908620</v>
      </c>
      <c r="AY179" s="37">
        <f t="shared" si="291"/>
        <v>756090</v>
      </c>
      <c r="AZ179" s="37">
        <f t="shared" si="291"/>
        <v>194400</v>
      </c>
      <c r="BA179" s="37">
        <f t="shared" si="291"/>
        <v>340125</v>
      </c>
      <c r="BB179" s="37">
        <f t="shared" si="291"/>
        <v>530010</v>
      </c>
      <c r="BC179" s="37">
        <f t="shared" si="291"/>
        <v>683100</v>
      </c>
      <c r="BD179" s="37">
        <f t="shared" si="291"/>
        <v>1348500</v>
      </c>
      <c r="BE179" s="37">
        <f t="shared" si="291"/>
        <v>390420</v>
      </c>
      <c r="BF179" s="37">
        <f t="shared" si="291"/>
        <v>532320</v>
      </c>
      <c r="BG179" s="37">
        <f t="shared" si="291"/>
        <v>749625</v>
      </c>
      <c r="BH179" s="37">
        <f t="shared" si="291"/>
        <v>685380</v>
      </c>
      <c r="BI179" s="37">
        <f t="shared" si="291"/>
        <v>588075</v>
      </c>
      <c r="BJ179" s="37">
        <f t="shared" ref="BJ179:CS179" si="292">SUM(BJ154:BJ178)</f>
        <v>2707206</v>
      </c>
      <c r="BK179" s="37">
        <f t="shared" si="292"/>
        <v>2452595.4</v>
      </c>
      <c r="BL179" s="37">
        <f t="shared" si="292"/>
        <v>564300</v>
      </c>
      <c r="BM179" s="37">
        <f t="shared" si="292"/>
        <v>836062.5</v>
      </c>
      <c r="BN179" s="37">
        <f t="shared" si="292"/>
        <v>1763497.8</v>
      </c>
      <c r="BO179" s="37">
        <f t="shared" si="292"/>
        <v>2014740</v>
      </c>
      <c r="BP179" s="37">
        <f t="shared" si="292"/>
        <v>4440534</v>
      </c>
      <c r="BQ179" s="37">
        <f t="shared" si="292"/>
        <v>1197162</v>
      </c>
      <c r="BR179" s="37">
        <f t="shared" si="292"/>
        <v>1627922.4</v>
      </c>
      <c r="BS179" s="37">
        <f t="shared" si="292"/>
        <v>1849462.5</v>
      </c>
      <c r="BT179" s="37">
        <f t="shared" si="292"/>
        <v>2337642</v>
      </c>
      <c r="BU179" s="37">
        <f t="shared" si="292"/>
        <v>1815306</v>
      </c>
      <c r="BV179" s="37">
        <f t="shared" si="292"/>
        <v>5784307.5</v>
      </c>
      <c r="BW179" s="37">
        <f t="shared" si="292"/>
        <v>5091702.75</v>
      </c>
      <c r="BX179" s="37">
        <f t="shared" si="292"/>
        <v>936225</v>
      </c>
      <c r="BY179" s="37">
        <f t="shared" si="292"/>
        <v>1262109.375</v>
      </c>
      <c r="BZ179" s="37">
        <f t="shared" si="292"/>
        <v>3667938.75</v>
      </c>
      <c r="CA179" s="37">
        <f t="shared" si="292"/>
        <v>3866265</v>
      </c>
      <c r="CB179" s="37">
        <f t="shared" si="292"/>
        <v>10627267.5</v>
      </c>
      <c r="CC179" s="37">
        <f t="shared" si="292"/>
        <v>2050105.5</v>
      </c>
      <c r="CD179" s="37">
        <f t="shared" si="292"/>
        <v>3353481</v>
      </c>
      <c r="CE179" s="37">
        <f t="shared" si="292"/>
        <v>2782209.375</v>
      </c>
      <c r="CF179" s="37">
        <f t="shared" si="292"/>
        <v>5139949.5</v>
      </c>
      <c r="CG179" s="37">
        <f t="shared" si="292"/>
        <v>3779190</v>
      </c>
      <c r="CH179" s="37">
        <f t="shared" si="292"/>
        <v>10726983.75</v>
      </c>
      <c r="CI179" s="37">
        <f t="shared" si="292"/>
        <v>8372094.5250000004</v>
      </c>
      <c r="CJ179" s="37">
        <f t="shared" si="292"/>
        <v>1342777.5</v>
      </c>
      <c r="CK179" s="37">
        <f t="shared" si="292"/>
        <v>1651964.0625</v>
      </c>
      <c r="CL179" s="37">
        <f t="shared" si="292"/>
        <v>5970282.5250000004</v>
      </c>
      <c r="CM179" s="37">
        <f t="shared" si="292"/>
        <v>6172807.5</v>
      </c>
      <c r="CN179" s="37">
        <f t="shared" si="292"/>
        <v>20685273.75</v>
      </c>
      <c r="CO179" s="37">
        <f t="shared" si="292"/>
        <v>3021244.65</v>
      </c>
      <c r="CP179" s="37">
        <f t="shared" si="292"/>
        <v>5572975.5</v>
      </c>
      <c r="CQ179" s="37">
        <f t="shared" si="292"/>
        <v>3628094.0625</v>
      </c>
      <c r="CR179" s="37">
        <f t="shared" si="292"/>
        <v>8578096.6500000004</v>
      </c>
      <c r="CS179" s="37">
        <f t="shared" si="292"/>
        <v>6289110</v>
      </c>
      <c r="CT179" s="37">
        <f t="shared" si="291"/>
        <v>0</v>
      </c>
      <c r="CU179" s="37">
        <f t="shared" si="291"/>
        <v>0</v>
      </c>
      <c r="CV179" s="37">
        <f t="shared" si="291"/>
        <v>0</v>
      </c>
      <c r="CW179" s="21"/>
    </row>
    <row r="183" spans="3:101" x14ac:dyDescent="0.25">
      <c r="C183" s="50" t="s">
        <v>164</v>
      </c>
      <c r="D183" s="52" t="s">
        <v>162</v>
      </c>
      <c r="F183" s="47" t="s">
        <v>163</v>
      </c>
      <c r="G183" s="21"/>
      <c r="H183" s="21"/>
      <c r="I183" s="21"/>
      <c r="J183" s="21"/>
      <c r="K183" s="21"/>
      <c r="L183" s="21"/>
      <c r="M183" s="21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21"/>
      <c r="CU183" s="21"/>
      <c r="CV183" s="21"/>
      <c r="CW183" s="21"/>
    </row>
    <row r="184" spans="3:101" x14ac:dyDescent="0.25">
      <c r="C184" s="49" t="str">
        <f>CONCATENATE(D184,E184)</f>
        <v>BARIWholesale</v>
      </c>
      <c r="D184" s="35" t="str">
        <f>[1]Key!C$12</f>
        <v>BARI</v>
      </c>
      <c r="E184" s="35" t="str">
        <f>[1]Key!D$12</f>
        <v>Wholesale</v>
      </c>
      <c r="F184" s="23">
        <f>[1]Key!$R$12</f>
        <v>60</v>
      </c>
      <c r="H184" s="21"/>
      <c r="I184" s="21"/>
      <c r="J184" s="21"/>
      <c r="K184" s="21"/>
      <c r="L184" s="21"/>
      <c r="M184" s="21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36">
        <f t="shared" ref="Z184:AI193" ca="1" si="293">IF($F184&lt;=0,OFFSET(INDEX($Z$124:$CV$148,MATCH($C184,$C$124:$C$148,0),MATCH(Z$11,$Z$11:$CV$11,0)),0,-ROUNDUP($F184/30,0)),OFFSET(INDEX($Z$124:$CV$148,MATCH($C184,$C$124:$C$148,0),MATCH(Z$11,$Z$11:$CV$11,0)),0,-ROUNDUP($F184/30,0)))</f>
        <v>0</v>
      </c>
      <c r="AA184" s="36">
        <f t="shared" ca="1" si="293"/>
        <v>0</v>
      </c>
      <c r="AB184" s="36">
        <f t="shared" ca="1" si="293"/>
        <v>0</v>
      </c>
      <c r="AC184" s="36">
        <f t="shared" ca="1" si="293"/>
        <v>0</v>
      </c>
      <c r="AD184" s="36">
        <f t="shared" ca="1" si="293"/>
        <v>0</v>
      </c>
      <c r="AE184" s="36">
        <f t="shared" ca="1" si="293"/>
        <v>0</v>
      </c>
      <c r="AF184" s="36">
        <f t="shared" ca="1" si="293"/>
        <v>0</v>
      </c>
      <c r="AG184" s="36">
        <f t="shared" ca="1" si="293"/>
        <v>0</v>
      </c>
      <c r="AH184" s="36">
        <f t="shared" ca="1" si="293"/>
        <v>0</v>
      </c>
      <c r="AI184" s="36">
        <f t="shared" ca="1" si="293"/>
        <v>0</v>
      </c>
      <c r="AJ184" s="36">
        <f t="shared" ref="AJ184:AS193" ca="1" si="294">IF($F184&lt;=0,OFFSET(INDEX($Z$124:$CV$148,MATCH($C184,$C$124:$C$148,0),MATCH(AJ$11,$Z$11:$CV$11,0)),0,-ROUNDUP($F184/30,0)),OFFSET(INDEX($Z$124:$CV$148,MATCH($C184,$C$124:$C$148,0),MATCH(AJ$11,$Z$11:$CV$11,0)),0,-ROUNDUP($F184/30,0)))</f>
        <v>0</v>
      </c>
      <c r="AK184" s="36">
        <f t="shared" ca="1" si="294"/>
        <v>0</v>
      </c>
      <c r="AL184" s="36">
        <f t="shared" ca="1" si="294"/>
        <v>0</v>
      </c>
      <c r="AM184" s="36">
        <f t="shared" ca="1" si="294"/>
        <v>0</v>
      </c>
      <c r="AN184" s="36">
        <f t="shared" ca="1" si="294"/>
        <v>33000</v>
      </c>
      <c r="AO184" s="36">
        <f t="shared" ca="1" si="294"/>
        <v>0</v>
      </c>
      <c r="AP184" s="36">
        <f t="shared" ca="1" si="294"/>
        <v>33000</v>
      </c>
      <c r="AQ184" s="36">
        <f t="shared" ca="1" si="294"/>
        <v>0</v>
      </c>
      <c r="AR184" s="36">
        <f t="shared" ca="1" si="294"/>
        <v>0</v>
      </c>
      <c r="AS184" s="36">
        <f t="shared" ca="1" si="294"/>
        <v>66000</v>
      </c>
      <c r="AT184" s="36">
        <f t="shared" ref="AT184:BC193" ca="1" si="295">IF($F184&lt;=0,OFFSET(INDEX($Z$124:$CV$148,MATCH($C184,$C$124:$C$148,0),MATCH(AT$11,$Z$11:$CV$11,0)),0,-ROUNDUP($F184/30,0)),OFFSET(INDEX($Z$124:$CV$148,MATCH($C184,$C$124:$C$148,0),MATCH(AT$11,$Z$11:$CV$11,0)),0,-ROUNDUP($F184/30,0)))</f>
        <v>0</v>
      </c>
      <c r="AU184" s="36">
        <f t="shared" ca="1" si="295"/>
        <v>33000</v>
      </c>
      <c r="AV184" s="36">
        <f t="shared" ca="1" si="295"/>
        <v>66000</v>
      </c>
      <c r="AW184" s="36">
        <f t="shared" ca="1" si="295"/>
        <v>66000</v>
      </c>
      <c r="AX184" s="36">
        <f t="shared" ca="1" si="295"/>
        <v>13750</v>
      </c>
      <c r="AY184" s="36">
        <f t="shared" ca="1" si="295"/>
        <v>66000</v>
      </c>
      <c r="AZ184" s="36">
        <f t="shared" ca="1" si="295"/>
        <v>99000</v>
      </c>
      <c r="BA184" s="36">
        <f t="shared" ca="1" si="295"/>
        <v>0</v>
      </c>
      <c r="BB184" s="36">
        <f t="shared" ca="1" si="295"/>
        <v>66000</v>
      </c>
      <c r="BC184" s="36">
        <f t="shared" ca="1" si="295"/>
        <v>0</v>
      </c>
      <c r="BD184" s="36">
        <f t="shared" ref="BD184:BM193" ca="1" si="296">IF($F184&lt;=0,OFFSET(INDEX($Z$124:$CV$148,MATCH($C184,$C$124:$C$148,0),MATCH(BD$11,$Z$11:$CV$11,0)),0,-ROUNDUP($F184/30,0)),OFFSET(INDEX($Z$124:$CV$148,MATCH($C184,$C$124:$C$148,0),MATCH(BD$11,$Z$11:$CV$11,0)),0,-ROUNDUP($F184/30,0)))</f>
        <v>0</v>
      </c>
      <c r="BE184" s="36">
        <f t="shared" ca="1" si="296"/>
        <v>165000</v>
      </c>
      <c r="BF184" s="36">
        <f t="shared" ca="1" si="296"/>
        <v>0</v>
      </c>
      <c r="BG184" s="36">
        <f t="shared" ca="1" si="296"/>
        <v>0</v>
      </c>
      <c r="BH184" s="36">
        <f t="shared" ca="1" si="296"/>
        <v>66000</v>
      </c>
      <c r="BI184" s="36">
        <f t="shared" ca="1" si="296"/>
        <v>132000</v>
      </c>
      <c r="BJ184" s="36">
        <f t="shared" ca="1" si="296"/>
        <v>0</v>
      </c>
      <c r="BK184" s="36">
        <f t="shared" ca="1" si="296"/>
        <v>79750</v>
      </c>
      <c r="BL184" s="36">
        <f t="shared" ca="1" si="296"/>
        <v>198000</v>
      </c>
      <c r="BM184" s="36">
        <f t="shared" ca="1" si="296"/>
        <v>0</v>
      </c>
      <c r="BN184" s="36">
        <f t="shared" ref="BN184:BW193" ca="1" si="297">IF($F184&lt;=0,OFFSET(INDEX($Z$124:$CV$148,MATCH($C184,$C$124:$C$148,0),MATCH(BN$11,$Z$11:$CV$11,0)),0,-ROUNDUP($F184/30,0)),OFFSET(INDEX($Z$124:$CV$148,MATCH($C184,$C$124:$C$148,0),MATCH(BN$11,$Z$11:$CV$11,0)),0,-ROUNDUP($F184/30,0)))</f>
        <v>132000</v>
      </c>
      <c r="BO184" s="36">
        <f t="shared" ca="1" si="297"/>
        <v>0</v>
      </c>
      <c r="BP184" s="36">
        <f t="shared" ca="1" si="297"/>
        <v>0</v>
      </c>
      <c r="BQ184" s="36">
        <f t="shared" ca="1" si="297"/>
        <v>330000</v>
      </c>
      <c r="BR184" s="36">
        <f t="shared" ca="1" si="297"/>
        <v>0</v>
      </c>
      <c r="BS184" s="36">
        <f t="shared" ca="1" si="297"/>
        <v>0</v>
      </c>
      <c r="BT184" s="36">
        <f t="shared" ca="1" si="297"/>
        <v>132000</v>
      </c>
      <c r="BU184" s="36">
        <f t="shared" ca="1" si="297"/>
        <v>264000</v>
      </c>
      <c r="BV184" s="36">
        <f t="shared" ca="1" si="297"/>
        <v>0</v>
      </c>
      <c r="BW184" s="36">
        <f t="shared" ca="1" si="297"/>
        <v>159500</v>
      </c>
      <c r="BX184" s="36">
        <f t="shared" ref="BX184:CG193" ca="1" si="298">IF($F184&lt;=0,OFFSET(INDEX($Z$124:$CV$148,MATCH($C184,$C$124:$C$148,0),MATCH(BX$11,$Z$11:$CV$11,0)),0,-ROUNDUP($F184/30,0)),OFFSET(INDEX($Z$124:$CV$148,MATCH($C184,$C$124:$C$148,0),MATCH(BX$11,$Z$11:$CV$11,0)),0,-ROUNDUP($F184/30,0)))</f>
        <v>297000</v>
      </c>
      <c r="BY184" s="36">
        <f t="shared" ca="1" si="298"/>
        <v>0</v>
      </c>
      <c r="BZ184" s="36">
        <f t="shared" ca="1" si="298"/>
        <v>198000</v>
      </c>
      <c r="CA184" s="36">
        <f t="shared" ca="1" si="298"/>
        <v>0</v>
      </c>
      <c r="CB184" s="36">
        <f t="shared" ca="1" si="298"/>
        <v>0</v>
      </c>
      <c r="CC184" s="36">
        <f t="shared" ca="1" si="298"/>
        <v>495000</v>
      </c>
      <c r="CD184" s="36">
        <f t="shared" ca="1" si="298"/>
        <v>0</v>
      </c>
      <c r="CE184" s="36">
        <f t="shared" ca="1" si="298"/>
        <v>0</v>
      </c>
      <c r="CF184" s="36">
        <f t="shared" ca="1" si="298"/>
        <v>198000</v>
      </c>
      <c r="CG184" s="36">
        <f t="shared" ca="1" si="298"/>
        <v>396000</v>
      </c>
      <c r="CH184" s="36">
        <f t="shared" ref="CH184:CV193" ca="1" si="299">IF($F184&lt;=0,OFFSET(INDEX($Z$124:$CV$148,MATCH($C184,$C$124:$C$148,0),MATCH(CH$11,$Z$11:$CV$11,0)),0,-ROUNDUP($F184/30,0)),OFFSET(INDEX($Z$124:$CV$148,MATCH($C184,$C$124:$C$148,0),MATCH(CH$11,$Z$11:$CV$11,0)),0,-ROUNDUP($F184/30,0)))</f>
        <v>0</v>
      </c>
      <c r="CI184" s="36">
        <f t="shared" ca="1" si="299"/>
        <v>239250</v>
      </c>
      <c r="CJ184" s="36">
        <f t="shared" ca="1" si="299"/>
        <v>386100</v>
      </c>
      <c r="CK184" s="36">
        <f t="shared" ca="1" si="299"/>
        <v>0</v>
      </c>
      <c r="CL184" s="36">
        <f t="shared" ca="1" si="299"/>
        <v>257400</v>
      </c>
      <c r="CM184" s="36">
        <f t="shared" ca="1" si="299"/>
        <v>0</v>
      </c>
      <c r="CN184" s="36">
        <f t="shared" ca="1" si="299"/>
        <v>0</v>
      </c>
      <c r="CO184" s="36">
        <f t="shared" ca="1" si="299"/>
        <v>643500</v>
      </c>
      <c r="CP184" s="36">
        <f t="shared" ca="1" si="299"/>
        <v>0</v>
      </c>
      <c r="CQ184" s="36">
        <f t="shared" ca="1" si="299"/>
        <v>0</v>
      </c>
      <c r="CR184" s="36">
        <f t="shared" ca="1" si="299"/>
        <v>257400</v>
      </c>
      <c r="CS184" s="36">
        <f t="shared" ca="1" si="299"/>
        <v>514800</v>
      </c>
      <c r="CT184" s="36">
        <f t="shared" ca="1" si="299"/>
        <v>0</v>
      </c>
      <c r="CU184" s="36">
        <f t="shared" ca="1" si="299"/>
        <v>311025</v>
      </c>
      <c r="CV184" s="36">
        <f t="shared" ca="1" si="299"/>
        <v>0</v>
      </c>
      <c r="CW184" s="21"/>
    </row>
    <row r="185" spans="3:101" x14ac:dyDescent="0.25">
      <c r="C185" s="49" t="str">
        <f t="shared" ref="C185:C205" si="300">CONCATENATE(D185,E185)</f>
        <v>BRAIN DEAD OAKLEYWholesale</v>
      </c>
      <c r="D185" s="35" t="str">
        <f>[1]Key!C$13</f>
        <v>BRAIN DEAD OAKLEY</v>
      </c>
      <c r="E185" s="35" t="str">
        <f>[1]Key!D$13</f>
        <v>Wholesale</v>
      </c>
      <c r="F185" s="23">
        <f>[1]Key!$R$13</f>
        <v>60</v>
      </c>
      <c r="G185" s="21"/>
      <c r="H185" s="21"/>
      <c r="I185" s="21"/>
      <c r="J185" s="21"/>
      <c r="K185" s="21"/>
      <c r="L185" s="21"/>
      <c r="M185" s="21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36">
        <f t="shared" ca="1" si="293"/>
        <v>0</v>
      </c>
      <c r="AA185" s="36">
        <f t="shared" ca="1" si="293"/>
        <v>0</v>
      </c>
      <c r="AB185" s="36">
        <f t="shared" ca="1" si="293"/>
        <v>0</v>
      </c>
      <c r="AC185" s="36">
        <f t="shared" ca="1" si="293"/>
        <v>0</v>
      </c>
      <c r="AD185" s="36">
        <f t="shared" ca="1" si="293"/>
        <v>0</v>
      </c>
      <c r="AE185" s="36">
        <f t="shared" ca="1" si="293"/>
        <v>0</v>
      </c>
      <c r="AF185" s="36">
        <f t="shared" ca="1" si="293"/>
        <v>0</v>
      </c>
      <c r="AG185" s="36">
        <f t="shared" ca="1" si="293"/>
        <v>0</v>
      </c>
      <c r="AH185" s="36">
        <f t="shared" ca="1" si="293"/>
        <v>0</v>
      </c>
      <c r="AI185" s="36">
        <f t="shared" ca="1" si="293"/>
        <v>0</v>
      </c>
      <c r="AJ185" s="36">
        <f t="shared" ca="1" si="294"/>
        <v>0</v>
      </c>
      <c r="AK185" s="36">
        <f t="shared" ca="1" si="294"/>
        <v>0</v>
      </c>
      <c r="AL185" s="36">
        <f t="shared" ca="1" si="294"/>
        <v>49600</v>
      </c>
      <c r="AM185" s="36">
        <f t="shared" ca="1" si="294"/>
        <v>0</v>
      </c>
      <c r="AN185" s="36">
        <f t="shared" ca="1" si="294"/>
        <v>0</v>
      </c>
      <c r="AO185" s="36">
        <f t="shared" ca="1" si="294"/>
        <v>148800</v>
      </c>
      <c r="AP185" s="36">
        <f t="shared" ca="1" si="294"/>
        <v>37200</v>
      </c>
      <c r="AQ185" s="36">
        <f t="shared" ca="1" si="294"/>
        <v>0</v>
      </c>
      <c r="AR185" s="36">
        <f t="shared" ca="1" si="294"/>
        <v>0</v>
      </c>
      <c r="AS185" s="36">
        <f t="shared" ca="1" si="294"/>
        <v>0</v>
      </c>
      <c r="AT185" s="36">
        <f t="shared" ca="1" si="295"/>
        <v>74400</v>
      </c>
      <c r="AU185" s="36">
        <f t="shared" ca="1" si="295"/>
        <v>0</v>
      </c>
      <c r="AV185" s="36">
        <f t="shared" ca="1" si="295"/>
        <v>297600</v>
      </c>
      <c r="AW185" s="36">
        <f t="shared" ca="1" si="295"/>
        <v>0</v>
      </c>
      <c r="AX185" s="36">
        <f t="shared" ca="1" si="295"/>
        <v>0</v>
      </c>
      <c r="AY185" s="36">
        <f t="shared" ca="1" si="295"/>
        <v>0</v>
      </c>
      <c r="AZ185" s="36">
        <f t="shared" ca="1" si="295"/>
        <v>0</v>
      </c>
      <c r="BA185" s="36">
        <f t="shared" ca="1" si="295"/>
        <v>279000</v>
      </c>
      <c r="BB185" s="36">
        <f t="shared" ca="1" si="295"/>
        <v>0</v>
      </c>
      <c r="BC185" s="36">
        <f t="shared" ca="1" si="295"/>
        <v>0</v>
      </c>
      <c r="BD185" s="36">
        <f t="shared" ca="1" si="296"/>
        <v>0</v>
      </c>
      <c r="BE185" s="36">
        <f t="shared" ca="1" si="296"/>
        <v>0</v>
      </c>
      <c r="BF185" s="36">
        <f t="shared" ca="1" si="296"/>
        <v>0</v>
      </c>
      <c r="BG185" s="36">
        <f t="shared" ca="1" si="296"/>
        <v>0</v>
      </c>
      <c r="BH185" s="36">
        <f t="shared" ca="1" si="296"/>
        <v>613800</v>
      </c>
      <c r="BI185" s="36">
        <f t="shared" ca="1" si="296"/>
        <v>0</v>
      </c>
      <c r="BJ185" s="36">
        <f t="shared" ca="1" si="296"/>
        <v>0</v>
      </c>
      <c r="BK185" s="36">
        <f t="shared" ca="1" si="296"/>
        <v>0</v>
      </c>
      <c r="BL185" s="36">
        <f t="shared" ca="1" si="296"/>
        <v>0</v>
      </c>
      <c r="BM185" s="36">
        <f t="shared" ca="1" si="296"/>
        <v>558000</v>
      </c>
      <c r="BN185" s="36">
        <f t="shared" ca="1" si="297"/>
        <v>0</v>
      </c>
      <c r="BO185" s="36">
        <f t="shared" ca="1" si="297"/>
        <v>0</v>
      </c>
      <c r="BP185" s="36">
        <f t="shared" ca="1" si="297"/>
        <v>0</v>
      </c>
      <c r="BQ185" s="36">
        <f t="shared" ca="1" si="297"/>
        <v>0</v>
      </c>
      <c r="BR185" s="36">
        <f t="shared" ca="1" si="297"/>
        <v>0</v>
      </c>
      <c r="BS185" s="36">
        <f t="shared" ca="1" si="297"/>
        <v>0</v>
      </c>
      <c r="BT185" s="36">
        <f t="shared" ca="1" si="297"/>
        <v>1227600</v>
      </c>
      <c r="BU185" s="36">
        <f t="shared" ca="1" si="297"/>
        <v>0</v>
      </c>
      <c r="BV185" s="36">
        <f t="shared" ca="1" si="297"/>
        <v>0</v>
      </c>
      <c r="BW185" s="36">
        <f t="shared" ca="1" si="297"/>
        <v>0</v>
      </c>
      <c r="BX185" s="36">
        <f t="shared" ca="1" si="298"/>
        <v>0</v>
      </c>
      <c r="BY185" s="36">
        <f t="shared" ca="1" si="298"/>
        <v>837000</v>
      </c>
      <c r="BZ185" s="36">
        <f t="shared" ca="1" si="298"/>
        <v>0</v>
      </c>
      <c r="CA185" s="36">
        <f t="shared" ca="1" si="298"/>
        <v>0</v>
      </c>
      <c r="CB185" s="36">
        <f t="shared" ca="1" si="298"/>
        <v>0</v>
      </c>
      <c r="CC185" s="36">
        <f t="shared" ca="1" si="298"/>
        <v>0</v>
      </c>
      <c r="CD185" s="36">
        <f t="shared" ca="1" si="298"/>
        <v>0</v>
      </c>
      <c r="CE185" s="36">
        <f t="shared" ca="1" si="298"/>
        <v>0</v>
      </c>
      <c r="CF185" s="36">
        <f t="shared" ca="1" si="298"/>
        <v>1841400</v>
      </c>
      <c r="CG185" s="36">
        <f t="shared" ca="1" si="298"/>
        <v>0</v>
      </c>
      <c r="CH185" s="36">
        <f t="shared" ca="1" si="299"/>
        <v>0</v>
      </c>
      <c r="CI185" s="36">
        <f t="shared" ca="1" si="299"/>
        <v>0</v>
      </c>
      <c r="CJ185" s="36">
        <f t="shared" ca="1" si="299"/>
        <v>0</v>
      </c>
      <c r="CK185" s="36">
        <f t="shared" ca="1" si="299"/>
        <v>1088100</v>
      </c>
      <c r="CL185" s="36">
        <f t="shared" ca="1" si="299"/>
        <v>0</v>
      </c>
      <c r="CM185" s="36">
        <f t="shared" ca="1" si="299"/>
        <v>0</v>
      </c>
      <c r="CN185" s="36">
        <f t="shared" ca="1" si="299"/>
        <v>0</v>
      </c>
      <c r="CO185" s="36">
        <f t="shared" ca="1" si="299"/>
        <v>0</v>
      </c>
      <c r="CP185" s="36">
        <f t="shared" ca="1" si="299"/>
        <v>0</v>
      </c>
      <c r="CQ185" s="36">
        <f t="shared" ca="1" si="299"/>
        <v>0</v>
      </c>
      <c r="CR185" s="36">
        <f t="shared" ca="1" si="299"/>
        <v>2393820</v>
      </c>
      <c r="CS185" s="36">
        <f t="shared" ca="1" si="299"/>
        <v>0</v>
      </c>
      <c r="CT185" s="36">
        <f t="shared" ca="1" si="299"/>
        <v>0</v>
      </c>
      <c r="CU185" s="36">
        <f t="shared" ca="1" si="299"/>
        <v>0</v>
      </c>
      <c r="CV185" s="36">
        <f t="shared" ca="1" si="299"/>
        <v>0</v>
      </c>
      <c r="CW185" s="21"/>
    </row>
    <row r="186" spans="3:101" x14ac:dyDescent="0.25">
      <c r="C186" s="49" t="str">
        <f t="shared" si="300"/>
        <v>GROWTH "HIT" PHWholesale</v>
      </c>
      <c r="D186" s="35" t="str">
        <f>[1]Key!C$14</f>
        <v>GROWTH "HIT" PH</v>
      </c>
      <c r="E186" s="35" t="str">
        <f>[1]Key!D$14</f>
        <v>Wholesale</v>
      </c>
      <c r="F186" s="23">
        <f>[1]Key!$R$14</f>
        <v>60</v>
      </c>
      <c r="G186" s="21"/>
      <c r="H186" s="21"/>
      <c r="I186" s="21"/>
      <c r="J186" s="21"/>
      <c r="K186" s="21"/>
      <c r="L186" s="21"/>
      <c r="M186" s="21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36">
        <f t="shared" ca="1" si="293"/>
        <v>0</v>
      </c>
      <c r="AA186" s="36">
        <f t="shared" ca="1" si="293"/>
        <v>0</v>
      </c>
      <c r="AB186" s="36">
        <f t="shared" ca="1" si="293"/>
        <v>0</v>
      </c>
      <c r="AC186" s="36">
        <f t="shared" ca="1" si="293"/>
        <v>0</v>
      </c>
      <c r="AD186" s="36">
        <f t="shared" ca="1" si="293"/>
        <v>0</v>
      </c>
      <c r="AE186" s="36">
        <f t="shared" ca="1" si="293"/>
        <v>0</v>
      </c>
      <c r="AF186" s="36">
        <f t="shared" ca="1" si="293"/>
        <v>0</v>
      </c>
      <c r="AG186" s="36">
        <f t="shared" ca="1" si="293"/>
        <v>0</v>
      </c>
      <c r="AH186" s="36">
        <f t="shared" ca="1" si="293"/>
        <v>0</v>
      </c>
      <c r="AI186" s="36">
        <f t="shared" ca="1" si="293"/>
        <v>0</v>
      </c>
      <c r="AJ186" s="36">
        <f t="shared" ca="1" si="294"/>
        <v>0</v>
      </c>
      <c r="AK186" s="36">
        <f t="shared" ca="1" si="294"/>
        <v>0</v>
      </c>
      <c r="AL186" s="36">
        <f t="shared" ca="1" si="294"/>
        <v>0</v>
      </c>
      <c r="AM186" s="36">
        <f t="shared" ca="1" si="294"/>
        <v>0</v>
      </c>
      <c r="AN186" s="36">
        <f t="shared" ca="1" si="294"/>
        <v>0</v>
      </c>
      <c r="AO186" s="36">
        <f t="shared" ca="1" si="294"/>
        <v>0</v>
      </c>
      <c r="AP186" s="36">
        <f t="shared" ca="1" si="294"/>
        <v>0</v>
      </c>
      <c r="AQ186" s="36">
        <f t="shared" ca="1" si="294"/>
        <v>0</v>
      </c>
      <c r="AR186" s="36">
        <f t="shared" ca="1" si="294"/>
        <v>0</v>
      </c>
      <c r="AS186" s="36">
        <f t="shared" ca="1" si="294"/>
        <v>0</v>
      </c>
      <c r="AT186" s="36">
        <f t="shared" ca="1" si="295"/>
        <v>0</v>
      </c>
      <c r="AU186" s="36">
        <f t="shared" ca="1" si="295"/>
        <v>0</v>
      </c>
      <c r="AV186" s="36">
        <f t="shared" ca="1" si="295"/>
        <v>0</v>
      </c>
      <c r="AW186" s="36">
        <f t="shared" ca="1" si="295"/>
        <v>308000</v>
      </c>
      <c r="AX186" s="36">
        <f t="shared" ca="1" si="295"/>
        <v>0</v>
      </c>
      <c r="AY186" s="36">
        <f t="shared" ca="1" si="295"/>
        <v>0</v>
      </c>
      <c r="AZ186" s="36">
        <f t="shared" ca="1" si="295"/>
        <v>660000</v>
      </c>
      <c r="BA186" s="36">
        <f t="shared" ca="1" si="295"/>
        <v>0</v>
      </c>
      <c r="BB186" s="36">
        <f t="shared" ca="1" si="295"/>
        <v>0</v>
      </c>
      <c r="BC186" s="36">
        <f t="shared" ca="1" si="295"/>
        <v>660000</v>
      </c>
      <c r="BD186" s="36">
        <f t="shared" ca="1" si="296"/>
        <v>0</v>
      </c>
      <c r="BE186" s="36">
        <f t="shared" ca="1" si="296"/>
        <v>0</v>
      </c>
      <c r="BF186" s="36">
        <f t="shared" ca="1" si="296"/>
        <v>825000</v>
      </c>
      <c r="BG186" s="36">
        <f t="shared" ca="1" si="296"/>
        <v>0</v>
      </c>
      <c r="BH186" s="36">
        <f t="shared" ca="1" si="296"/>
        <v>0</v>
      </c>
      <c r="BI186" s="36">
        <f t="shared" ca="1" si="296"/>
        <v>1155000</v>
      </c>
      <c r="BJ186" s="36">
        <f t="shared" ca="1" si="296"/>
        <v>0</v>
      </c>
      <c r="BK186" s="36">
        <f t="shared" ca="1" si="296"/>
        <v>0</v>
      </c>
      <c r="BL186" s="36">
        <f t="shared" ca="1" si="296"/>
        <v>1320000</v>
      </c>
      <c r="BM186" s="36">
        <f t="shared" ca="1" si="296"/>
        <v>0</v>
      </c>
      <c r="BN186" s="36">
        <f t="shared" ca="1" si="297"/>
        <v>0</v>
      </c>
      <c r="BO186" s="36">
        <f t="shared" ca="1" si="297"/>
        <v>1320000</v>
      </c>
      <c r="BP186" s="36">
        <f t="shared" ca="1" si="297"/>
        <v>0</v>
      </c>
      <c r="BQ186" s="36">
        <f t="shared" ca="1" si="297"/>
        <v>0</v>
      </c>
      <c r="BR186" s="36">
        <f t="shared" ca="1" si="297"/>
        <v>1650000</v>
      </c>
      <c r="BS186" s="36">
        <f t="shared" ca="1" si="297"/>
        <v>0</v>
      </c>
      <c r="BT186" s="36">
        <f t="shared" ca="1" si="297"/>
        <v>0</v>
      </c>
      <c r="BU186" s="36">
        <f t="shared" ca="1" si="297"/>
        <v>2310000</v>
      </c>
      <c r="BV186" s="36">
        <f t="shared" ca="1" si="297"/>
        <v>0</v>
      </c>
      <c r="BW186" s="36">
        <f t="shared" ca="1" si="297"/>
        <v>0</v>
      </c>
      <c r="BX186" s="36">
        <f t="shared" ca="1" si="298"/>
        <v>1980000</v>
      </c>
      <c r="BY186" s="36">
        <f t="shared" ca="1" si="298"/>
        <v>0</v>
      </c>
      <c r="BZ186" s="36">
        <f t="shared" ca="1" si="298"/>
        <v>0</v>
      </c>
      <c r="CA186" s="36">
        <f t="shared" ca="1" si="298"/>
        <v>1980000</v>
      </c>
      <c r="CB186" s="36">
        <f t="shared" ca="1" si="298"/>
        <v>0</v>
      </c>
      <c r="CC186" s="36">
        <f t="shared" ca="1" si="298"/>
        <v>0</v>
      </c>
      <c r="CD186" s="36">
        <f t="shared" ca="1" si="298"/>
        <v>2475000</v>
      </c>
      <c r="CE186" s="36">
        <f t="shared" ca="1" si="298"/>
        <v>0</v>
      </c>
      <c r="CF186" s="36">
        <f t="shared" ca="1" si="298"/>
        <v>0</v>
      </c>
      <c r="CG186" s="36">
        <f t="shared" ca="1" si="298"/>
        <v>3465000</v>
      </c>
      <c r="CH186" s="36">
        <f t="shared" ca="1" si="299"/>
        <v>0</v>
      </c>
      <c r="CI186" s="36">
        <f t="shared" ca="1" si="299"/>
        <v>0</v>
      </c>
      <c r="CJ186" s="36">
        <f t="shared" ca="1" si="299"/>
        <v>2574000</v>
      </c>
      <c r="CK186" s="36">
        <f t="shared" ca="1" si="299"/>
        <v>0</v>
      </c>
      <c r="CL186" s="36">
        <f t="shared" ca="1" si="299"/>
        <v>0</v>
      </c>
      <c r="CM186" s="36">
        <f t="shared" ca="1" si="299"/>
        <v>2574000</v>
      </c>
      <c r="CN186" s="36">
        <f t="shared" ca="1" si="299"/>
        <v>0</v>
      </c>
      <c r="CO186" s="36">
        <f t="shared" ca="1" si="299"/>
        <v>0</v>
      </c>
      <c r="CP186" s="36">
        <f t="shared" ca="1" si="299"/>
        <v>3217500</v>
      </c>
      <c r="CQ186" s="36">
        <f t="shared" ca="1" si="299"/>
        <v>0</v>
      </c>
      <c r="CR186" s="36">
        <f t="shared" ca="1" si="299"/>
        <v>0</v>
      </c>
      <c r="CS186" s="36">
        <f t="shared" ca="1" si="299"/>
        <v>4504500</v>
      </c>
      <c r="CT186" s="36">
        <f t="shared" ca="1" si="299"/>
        <v>0</v>
      </c>
      <c r="CU186" s="36">
        <f t="shared" ca="1" si="299"/>
        <v>0</v>
      </c>
      <c r="CV186" s="36">
        <f t="shared" ca="1" si="299"/>
        <v>0</v>
      </c>
      <c r="CW186" s="21"/>
    </row>
    <row r="187" spans="3:101" x14ac:dyDescent="0.25">
      <c r="C187" s="49" t="str">
        <f t="shared" si="300"/>
        <v>ICE STUDIOSWholesale</v>
      </c>
      <c r="D187" s="35" t="str">
        <f>[1]Key!C$15</f>
        <v>ICE STUDIOS</v>
      </c>
      <c r="E187" s="35" t="str">
        <f>[1]Key!D$15</f>
        <v>Wholesale</v>
      </c>
      <c r="F187" s="23">
        <f>[1]Key!$R$15</f>
        <v>60</v>
      </c>
      <c r="G187" s="21"/>
      <c r="H187" s="21"/>
      <c r="I187" s="21"/>
      <c r="J187" s="21"/>
      <c r="K187" s="21"/>
      <c r="L187" s="21"/>
      <c r="M187" s="21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36">
        <f t="shared" ca="1" si="293"/>
        <v>0</v>
      </c>
      <c r="AA187" s="36">
        <f t="shared" ca="1" si="293"/>
        <v>0</v>
      </c>
      <c r="AB187" s="36">
        <f t="shared" ca="1" si="293"/>
        <v>0</v>
      </c>
      <c r="AC187" s="36">
        <f t="shared" ca="1" si="293"/>
        <v>0</v>
      </c>
      <c r="AD187" s="36">
        <f t="shared" ca="1" si="293"/>
        <v>0</v>
      </c>
      <c r="AE187" s="36">
        <f t="shared" ca="1" si="293"/>
        <v>0</v>
      </c>
      <c r="AF187" s="36">
        <f t="shared" ca="1" si="293"/>
        <v>0</v>
      </c>
      <c r="AG187" s="36">
        <f t="shared" ca="1" si="293"/>
        <v>0</v>
      </c>
      <c r="AH187" s="36">
        <f t="shared" ca="1" si="293"/>
        <v>0</v>
      </c>
      <c r="AI187" s="36">
        <f t="shared" ca="1" si="293"/>
        <v>0</v>
      </c>
      <c r="AJ187" s="36">
        <f t="shared" ca="1" si="294"/>
        <v>0</v>
      </c>
      <c r="AK187" s="36">
        <f t="shared" ca="1" si="294"/>
        <v>0</v>
      </c>
      <c r="AL187" s="36">
        <f t="shared" ca="1" si="294"/>
        <v>0</v>
      </c>
      <c r="AM187" s="36">
        <f t="shared" ca="1" si="294"/>
        <v>9900</v>
      </c>
      <c r="AN187" s="36">
        <f t="shared" ca="1" si="294"/>
        <v>0</v>
      </c>
      <c r="AO187" s="36">
        <f t="shared" ca="1" si="294"/>
        <v>83160</v>
      </c>
      <c r="AP187" s="36">
        <f t="shared" ca="1" si="294"/>
        <v>0</v>
      </c>
      <c r="AQ187" s="36">
        <f t="shared" ca="1" si="294"/>
        <v>0</v>
      </c>
      <c r="AR187" s="36">
        <f t="shared" ca="1" si="294"/>
        <v>0</v>
      </c>
      <c r="AS187" s="36">
        <f t="shared" ca="1" si="294"/>
        <v>138600</v>
      </c>
      <c r="AT187" s="36">
        <f t="shared" ca="1" si="295"/>
        <v>0</v>
      </c>
      <c r="AU187" s="36">
        <f t="shared" ca="1" si="295"/>
        <v>0</v>
      </c>
      <c r="AV187" s="36">
        <f t="shared" ca="1" si="295"/>
        <v>224400</v>
      </c>
      <c r="AW187" s="36">
        <f t="shared" ca="1" si="295"/>
        <v>0</v>
      </c>
      <c r="AX187" s="36">
        <f t="shared" ca="1" si="295"/>
        <v>0</v>
      </c>
      <c r="AY187" s="36">
        <f t="shared" ca="1" si="295"/>
        <v>270160</v>
      </c>
      <c r="AZ187" s="36">
        <f t="shared" ca="1" si="295"/>
        <v>168960</v>
      </c>
      <c r="BA187" s="36">
        <f t="shared" ca="1" si="295"/>
        <v>274560</v>
      </c>
      <c r="BB187" s="36">
        <f t="shared" ca="1" si="295"/>
        <v>0</v>
      </c>
      <c r="BC187" s="36">
        <f t="shared" ca="1" si="295"/>
        <v>0</v>
      </c>
      <c r="BD187" s="36">
        <f t="shared" ca="1" si="296"/>
        <v>0</v>
      </c>
      <c r="BE187" s="36">
        <f t="shared" ca="1" si="296"/>
        <v>443520</v>
      </c>
      <c r="BF187" s="36">
        <f t="shared" ca="1" si="296"/>
        <v>0</v>
      </c>
      <c r="BG187" s="36">
        <f t="shared" ca="1" si="296"/>
        <v>0</v>
      </c>
      <c r="BH187" s="36">
        <f t="shared" ca="1" si="296"/>
        <v>457600</v>
      </c>
      <c r="BI187" s="36">
        <f t="shared" ca="1" si="296"/>
        <v>0</v>
      </c>
      <c r="BJ187" s="36">
        <f t="shared" ca="1" si="296"/>
        <v>33792</v>
      </c>
      <c r="BK187" s="36">
        <f t="shared" ca="1" si="296"/>
        <v>457600</v>
      </c>
      <c r="BL187" s="36">
        <f t="shared" ca="1" si="296"/>
        <v>422400</v>
      </c>
      <c r="BM187" s="36">
        <f t="shared" ca="1" si="296"/>
        <v>686400</v>
      </c>
      <c r="BN187" s="36">
        <f t="shared" ca="1" si="297"/>
        <v>0</v>
      </c>
      <c r="BO187" s="36">
        <f t="shared" ca="1" si="297"/>
        <v>0</v>
      </c>
      <c r="BP187" s="36">
        <f t="shared" ca="1" si="297"/>
        <v>0</v>
      </c>
      <c r="BQ187" s="36">
        <f t="shared" ca="1" si="297"/>
        <v>1108800</v>
      </c>
      <c r="BR187" s="36">
        <f t="shared" ca="1" si="297"/>
        <v>0</v>
      </c>
      <c r="BS187" s="36">
        <f t="shared" ca="1" si="297"/>
        <v>0</v>
      </c>
      <c r="BT187" s="36">
        <f t="shared" ca="1" si="297"/>
        <v>1144000</v>
      </c>
      <c r="BU187" s="36">
        <f t="shared" ca="1" si="297"/>
        <v>0</v>
      </c>
      <c r="BV187" s="36">
        <f t="shared" ca="1" si="297"/>
        <v>84480</v>
      </c>
      <c r="BW187" s="36">
        <f t="shared" ca="1" si="297"/>
        <v>1144000</v>
      </c>
      <c r="BX187" s="36">
        <f t="shared" ca="1" si="298"/>
        <v>950400</v>
      </c>
      <c r="BY187" s="36">
        <f t="shared" ca="1" si="298"/>
        <v>1544400</v>
      </c>
      <c r="BZ187" s="36">
        <f t="shared" ca="1" si="298"/>
        <v>0</v>
      </c>
      <c r="CA187" s="36">
        <f t="shared" ca="1" si="298"/>
        <v>0</v>
      </c>
      <c r="CB187" s="36">
        <f t="shared" ca="1" si="298"/>
        <v>0</v>
      </c>
      <c r="CC187" s="36">
        <f t="shared" ca="1" si="298"/>
        <v>2494800</v>
      </c>
      <c r="CD187" s="36">
        <f t="shared" ca="1" si="298"/>
        <v>0</v>
      </c>
      <c r="CE187" s="36">
        <f t="shared" ca="1" si="298"/>
        <v>0</v>
      </c>
      <c r="CF187" s="36">
        <f t="shared" ca="1" si="298"/>
        <v>2574000</v>
      </c>
      <c r="CG187" s="36">
        <f t="shared" ca="1" si="298"/>
        <v>0</v>
      </c>
      <c r="CH187" s="36">
        <f t="shared" ca="1" si="299"/>
        <v>190080</v>
      </c>
      <c r="CI187" s="36">
        <f t="shared" ca="1" si="299"/>
        <v>2574000</v>
      </c>
      <c r="CJ187" s="36">
        <f t="shared" ca="1" si="299"/>
        <v>1663200</v>
      </c>
      <c r="CK187" s="36">
        <f t="shared" ca="1" si="299"/>
        <v>2702700</v>
      </c>
      <c r="CL187" s="36">
        <f t="shared" ca="1" si="299"/>
        <v>0</v>
      </c>
      <c r="CM187" s="36">
        <f t="shared" ca="1" si="299"/>
        <v>0</v>
      </c>
      <c r="CN187" s="36">
        <f t="shared" ca="1" si="299"/>
        <v>0</v>
      </c>
      <c r="CO187" s="36">
        <f t="shared" ca="1" si="299"/>
        <v>4365900</v>
      </c>
      <c r="CP187" s="36">
        <f t="shared" ca="1" si="299"/>
        <v>0</v>
      </c>
      <c r="CQ187" s="36">
        <f t="shared" ca="1" si="299"/>
        <v>0</v>
      </c>
      <c r="CR187" s="36">
        <f t="shared" ca="1" si="299"/>
        <v>4504500</v>
      </c>
      <c r="CS187" s="36">
        <f t="shared" ca="1" si="299"/>
        <v>0</v>
      </c>
      <c r="CT187" s="36">
        <f t="shared" ca="1" si="299"/>
        <v>332640</v>
      </c>
      <c r="CU187" s="36">
        <f t="shared" ca="1" si="299"/>
        <v>4504500</v>
      </c>
      <c r="CV187" s="36">
        <f t="shared" ca="1" si="299"/>
        <v>0</v>
      </c>
      <c r="CW187" s="21"/>
    </row>
    <row r="188" spans="3:101" x14ac:dyDescent="0.25">
      <c r="C188" s="49" t="str">
        <f t="shared" si="300"/>
        <v>MURAKAMI / TORITONWholesale</v>
      </c>
      <c r="D188" s="35" t="str">
        <f>[1]Key!C$16</f>
        <v>MURAKAMI / TORITON</v>
      </c>
      <c r="E188" s="35" t="str">
        <f>[1]Key!D$16</f>
        <v>Wholesale</v>
      </c>
      <c r="F188" s="23">
        <f>[1]Key!$R$16</f>
        <v>60</v>
      </c>
      <c r="G188" s="21"/>
      <c r="H188" s="21"/>
      <c r="I188" s="21"/>
      <c r="J188" s="21"/>
      <c r="K188" s="21"/>
      <c r="L188" s="21"/>
      <c r="M188" s="21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36">
        <f t="shared" ca="1" si="293"/>
        <v>0</v>
      </c>
      <c r="AA188" s="36">
        <f t="shared" ca="1" si="293"/>
        <v>0</v>
      </c>
      <c r="AB188" s="36">
        <f t="shared" ca="1" si="293"/>
        <v>0</v>
      </c>
      <c r="AC188" s="36">
        <f t="shared" ca="1" si="293"/>
        <v>0</v>
      </c>
      <c r="AD188" s="36">
        <f t="shared" ca="1" si="293"/>
        <v>316800</v>
      </c>
      <c r="AE188" s="36">
        <f t="shared" ca="1" si="293"/>
        <v>33000</v>
      </c>
      <c r="AF188" s="36">
        <f t="shared" ca="1" si="293"/>
        <v>0</v>
      </c>
      <c r="AG188" s="36">
        <f t="shared" ca="1" si="293"/>
        <v>0</v>
      </c>
      <c r="AH188" s="36">
        <f t="shared" ca="1" si="293"/>
        <v>0</v>
      </c>
      <c r="AI188" s="36">
        <f t="shared" ca="1" si="293"/>
        <v>0</v>
      </c>
      <c r="AJ188" s="36">
        <f t="shared" ca="1" si="294"/>
        <v>0</v>
      </c>
      <c r="AK188" s="36">
        <f t="shared" ca="1" si="294"/>
        <v>0</v>
      </c>
      <c r="AL188" s="36">
        <f t="shared" ca="1" si="294"/>
        <v>33000</v>
      </c>
      <c r="AM188" s="36">
        <f t="shared" ca="1" si="294"/>
        <v>49500</v>
      </c>
      <c r="AN188" s="36">
        <f t="shared" ca="1" si="294"/>
        <v>0</v>
      </c>
      <c r="AO188" s="36">
        <f t="shared" ca="1" si="294"/>
        <v>110000</v>
      </c>
      <c r="AP188" s="36">
        <f t="shared" ca="1" si="294"/>
        <v>33000</v>
      </c>
      <c r="AQ188" s="36">
        <f t="shared" ca="1" si="294"/>
        <v>0</v>
      </c>
      <c r="AR188" s="36">
        <f t="shared" ca="1" si="294"/>
        <v>137500</v>
      </c>
      <c r="AS188" s="36">
        <f t="shared" ca="1" si="294"/>
        <v>74250</v>
      </c>
      <c r="AT188" s="36">
        <f t="shared" ca="1" si="295"/>
        <v>42900</v>
      </c>
      <c r="AU188" s="36">
        <f t="shared" ca="1" si="295"/>
        <v>162800</v>
      </c>
      <c r="AV188" s="36">
        <f t="shared" ca="1" si="295"/>
        <v>0</v>
      </c>
      <c r="AW188" s="36">
        <f t="shared" ca="1" si="295"/>
        <v>22000</v>
      </c>
      <c r="AX188" s="36">
        <f t="shared" ca="1" si="295"/>
        <v>178200</v>
      </c>
      <c r="AY188" s="36">
        <f t="shared" ca="1" si="295"/>
        <v>100650</v>
      </c>
      <c r="AZ188" s="36">
        <f t="shared" ca="1" si="295"/>
        <v>33000</v>
      </c>
      <c r="BA188" s="36">
        <f t="shared" ca="1" si="295"/>
        <v>245300</v>
      </c>
      <c r="BB188" s="36">
        <f t="shared" ca="1" si="295"/>
        <v>92400</v>
      </c>
      <c r="BC188" s="36">
        <f t="shared" ca="1" si="295"/>
        <v>8250</v>
      </c>
      <c r="BD188" s="36">
        <f t="shared" ca="1" si="296"/>
        <v>192500</v>
      </c>
      <c r="BE188" s="36">
        <f t="shared" ca="1" si="296"/>
        <v>145200</v>
      </c>
      <c r="BF188" s="36">
        <f t="shared" ca="1" si="296"/>
        <v>33000</v>
      </c>
      <c r="BG188" s="36">
        <f t="shared" ca="1" si="296"/>
        <v>261800</v>
      </c>
      <c r="BH188" s="36">
        <f t="shared" ca="1" si="296"/>
        <v>92400</v>
      </c>
      <c r="BI188" s="36">
        <f t="shared" ca="1" si="296"/>
        <v>8250</v>
      </c>
      <c r="BJ188" s="36">
        <f t="shared" ca="1" si="296"/>
        <v>173800</v>
      </c>
      <c r="BK188" s="36">
        <f t="shared" ca="1" si="296"/>
        <v>92400</v>
      </c>
      <c r="BL188" s="36">
        <f t="shared" ca="1" si="296"/>
        <v>82500</v>
      </c>
      <c r="BM188" s="36">
        <f t="shared" ca="1" si="296"/>
        <v>613250</v>
      </c>
      <c r="BN188" s="36">
        <f t="shared" ca="1" si="297"/>
        <v>231000</v>
      </c>
      <c r="BO188" s="36">
        <f t="shared" ca="1" si="297"/>
        <v>20625</v>
      </c>
      <c r="BP188" s="36">
        <f t="shared" ca="1" si="297"/>
        <v>481250</v>
      </c>
      <c r="BQ188" s="36">
        <f t="shared" ca="1" si="297"/>
        <v>363000</v>
      </c>
      <c r="BR188" s="36">
        <f t="shared" ca="1" si="297"/>
        <v>82500</v>
      </c>
      <c r="BS188" s="36">
        <f t="shared" ca="1" si="297"/>
        <v>654500</v>
      </c>
      <c r="BT188" s="36">
        <f t="shared" ca="1" si="297"/>
        <v>231000</v>
      </c>
      <c r="BU188" s="36">
        <f t="shared" ca="1" si="297"/>
        <v>20625</v>
      </c>
      <c r="BV188" s="36">
        <f t="shared" ca="1" si="297"/>
        <v>434500</v>
      </c>
      <c r="BW188" s="36">
        <f t="shared" ca="1" si="297"/>
        <v>231000</v>
      </c>
      <c r="BX188" s="36">
        <f t="shared" ca="1" si="298"/>
        <v>144375</v>
      </c>
      <c r="BY188" s="36">
        <f t="shared" ca="1" si="298"/>
        <v>1073187.5</v>
      </c>
      <c r="BZ188" s="36">
        <f t="shared" ca="1" si="298"/>
        <v>404250</v>
      </c>
      <c r="CA188" s="36">
        <f t="shared" ca="1" si="298"/>
        <v>36093.75</v>
      </c>
      <c r="CB188" s="36">
        <f t="shared" ca="1" si="298"/>
        <v>842187.5</v>
      </c>
      <c r="CC188" s="36">
        <f t="shared" ca="1" si="298"/>
        <v>635250</v>
      </c>
      <c r="CD188" s="36">
        <f t="shared" ca="1" si="298"/>
        <v>144375</v>
      </c>
      <c r="CE188" s="36">
        <f t="shared" ca="1" si="298"/>
        <v>1145375</v>
      </c>
      <c r="CF188" s="36">
        <f t="shared" ca="1" si="298"/>
        <v>404250</v>
      </c>
      <c r="CG188" s="36">
        <f t="shared" ca="1" si="298"/>
        <v>36093.75</v>
      </c>
      <c r="CH188" s="36">
        <f t="shared" ca="1" si="299"/>
        <v>760375</v>
      </c>
      <c r="CI188" s="36">
        <f t="shared" ca="1" si="299"/>
        <v>404250</v>
      </c>
      <c r="CJ188" s="36">
        <f t="shared" ca="1" si="299"/>
        <v>216562.5</v>
      </c>
      <c r="CK188" s="36">
        <f t="shared" ca="1" si="299"/>
        <v>1609781.25</v>
      </c>
      <c r="CL188" s="36">
        <f t="shared" ca="1" si="299"/>
        <v>606375</v>
      </c>
      <c r="CM188" s="36">
        <f t="shared" ca="1" si="299"/>
        <v>54140.625</v>
      </c>
      <c r="CN188" s="36">
        <f t="shared" ca="1" si="299"/>
        <v>1263281.25</v>
      </c>
      <c r="CO188" s="36">
        <f t="shared" ca="1" si="299"/>
        <v>952875</v>
      </c>
      <c r="CP188" s="36">
        <f t="shared" ca="1" si="299"/>
        <v>216562.5</v>
      </c>
      <c r="CQ188" s="36">
        <f t="shared" ca="1" si="299"/>
        <v>1718062.5</v>
      </c>
      <c r="CR188" s="36">
        <f t="shared" ca="1" si="299"/>
        <v>606375</v>
      </c>
      <c r="CS188" s="36">
        <f t="shared" ca="1" si="299"/>
        <v>54140.625</v>
      </c>
      <c r="CT188" s="36">
        <f t="shared" ca="1" si="299"/>
        <v>1140562.5</v>
      </c>
      <c r="CU188" s="36">
        <f t="shared" ca="1" si="299"/>
        <v>606375</v>
      </c>
      <c r="CV188" s="36">
        <f t="shared" ca="1" si="299"/>
        <v>0</v>
      </c>
      <c r="CW188" s="21"/>
    </row>
    <row r="189" spans="3:101" x14ac:dyDescent="0.25">
      <c r="C189" s="49" t="str">
        <f t="shared" si="300"/>
        <v>NEW PARTNER 1Wholesale</v>
      </c>
      <c r="D189" s="35" t="str">
        <f>[1]Key!C$17</f>
        <v>NEW PARTNER 1</v>
      </c>
      <c r="E189" s="35" t="str">
        <f>[1]Key!D$17</f>
        <v>Wholesale</v>
      </c>
      <c r="F189" s="23">
        <f>[1]Key!$R$17</f>
        <v>60</v>
      </c>
      <c r="G189" s="21"/>
      <c r="H189" s="21"/>
      <c r="I189" s="21"/>
      <c r="J189" s="21"/>
      <c r="K189" s="21"/>
      <c r="L189" s="21"/>
      <c r="M189" s="21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36">
        <f t="shared" ca="1" si="293"/>
        <v>0</v>
      </c>
      <c r="AA189" s="36">
        <f t="shared" ca="1" si="293"/>
        <v>0</v>
      </c>
      <c r="AB189" s="36">
        <f t="shared" ca="1" si="293"/>
        <v>0</v>
      </c>
      <c r="AC189" s="36">
        <f t="shared" ca="1" si="293"/>
        <v>0</v>
      </c>
      <c r="AD189" s="36">
        <f t="shared" ca="1" si="293"/>
        <v>0</v>
      </c>
      <c r="AE189" s="36">
        <f t="shared" ca="1" si="293"/>
        <v>0</v>
      </c>
      <c r="AF189" s="36">
        <f t="shared" ca="1" si="293"/>
        <v>0</v>
      </c>
      <c r="AG189" s="36">
        <f t="shared" ca="1" si="293"/>
        <v>0</v>
      </c>
      <c r="AH189" s="36">
        <f t="shared" ca="1" si="293"/>
        <v>0</v>
      </c>
      <c r="AI189" s="36">
        <f t="shared" ca="1" si="293"/>
        <v>0</v>
      </c>
      <c r="AJ189" s="36">
        <f t="shared" ca="1" si="294"/>
        <v>0</v>
      </c>
      <c r="AK189" s="36">
        <f t="shared" ca="1" si="294"/>
        <v>0</v>
      </c>
      <c r="AL189" s="36">
        <f t="shared" ca="1" si="294"/>
        <v>0</v>
      </c>
      <c r="AM189" s="36">
        <f t="shared" ca="1" si="294"/>
        <v>0</v>
      </c>
      <c r="AN189" s="36">
        <f t="shared" ca="1" si="294"/>
        <v>0</v>
      </c>
      <c r="AO189" s="36">
        <f t="shared" ca="1" si="294"/>
        <v>0</v>
      </c>
      <c r="AP189" s="36">
        <f t="shared" ca="1" si="294"/>
        <v>0</v>
      </c>
      <c r="AQ189" s="36">
        <f t="shared" ca="1" si="294"/>
        <v>0</v>
      </c>
      <c r="AR189" s="36">
        <f t="shared" ca="1" si="294"/>
        <v>0</v>
      </c>
      <c r="AS189" s="36">
        <f t="shared" ca="1" si="294"/>
        <v>0</v>
      </c>
      <c r="AT189" s="36">
        <f t="shared" ca="1" si="295"/>
        <v>0</v>
      </c>
      <c r="AU189" s="36">
        <f t="shared" ca="1" si="295"/>
        <v>0</v>
      </c>
      <c r="AV189" s="36">
        <f t="shared" ca="1" si="295"/>
        <v>0</v>
      </c>
      <c r="AW189" s="36">
        <f t="shared" ca="1" si="295"/>
        <v>0</v>
      </c>
      <c r="AX189" s="36">
        <f t="shared" ca="1" si="295"/>
        <v>0</v>
      </c>
      <c r="AY189" s="36">
        <f t="shared" ca="1" si="295"/>
        <v>0</v>
      </c>
      <c r="AZ189" s="36">
        <f t="shared" ca="1" si="295"/>
        <v>47520</v>
      </c>
      <c r="BA189" s="36">
        <f t="shared" ca="1" si="295"/>
        <v>0</v>
      </c>
      <c r="BB189" s="36">
        <f t="shared" ca="1" si="295"/>
        <v>0</v>
      </c>
      <c r="BC189" s="36">
        <f t="shared" ca="1" si="295"/>
        <v>0</v>
      </c>
      <c r="BD189" s="36">
        <f t="shared" ca="1" si="296"/>
        <v>0</v>
      </c>
      <c r="BE189" s="36">
        <f t="shared" ca="1" si="296"/>
        <v>0</v>
      </c>
      <c r="BF189" s="36">
        <f t="shared" ca="1" si="296"/>
        <v>99000</v>
      </c>
      <c r="BG189" s="36">
        <f t="shared" ca="1" si="296"/>
        <v>0</v>
      </c>
      <c r="BH189" s="36">
        <f t="shared" ca="1" si="296"/>
        <v>0</v>
      </c>
      <c r="BI189" s="36">
        <f t="shared" ca="1" si="296"/>
        <v>0</v>
      </c>
      <c r="BJ189" s="36">
        <f t="shared" ca="1" si="296"/>
        <v>0</v>
      </c>
      <c r="BK189" s="36">
        <f t="shared" ca="1" si="296"/>
        <v>0</v>
      </c>
      <c r="BL189" s="36">
        <f t="shared" ca="1" si="296"/>
        <v>142560</v>
      </c>
      <c r="BM189" s="36">
        <f t="shared" ca="1" si="296"/>
        <v>0</v>
      </c>
      <c r="BN189" s="36">
        <f t="shared" ca="1" si="297"/>
        <v>0</v>
      </c>
      <c r="BO189" s="36">
        <f t="shared" ca="1" si="297"/>
        <v>0</v>
      </c>
      <c r="BP189" s="36">
        <f t="shared" ca="1" si="297"/>
        <v>0</v>
      </c>
      <c r="BQ189" s="36">
        <f t="shared" ca="1" si="297"/>
        <v>0</v>
      </c>
      <c r="BR189" s="36">
        <f t="shared" ca="1" si="297"/>
        <v>297000</v>
      </c>
      <c r="BS189" s="36">
        <f t="shared" ca="1" si="297"/>
        <v>0</v>
      </c>
      <c r="BT189" s="36">
        <f t="shared" ca="1" si="297"/>
        <v>0</v>
      </c>
      <c r="BU189" s="36">
        <f t="shared" ca="1" si="297"/>
        <v>0</v>
      </c>
      <c r="BV189" s="36">
        <f t="shared" ca="1" si="297"/>
        <v>0</v>
      </c>
      <c r="BW189" s="36">
        <f t="shared" ca="1" si="297"/>
        <v>0</v>
      </c>
      <c r="BX189" s="36">
        <f t="shared" ca="1" si="298"/>
        <v>356400</v>
      </c>
      <c r="BY189" s="36">
        <f t="shared" ca="1" si="298"/>
        <v>0</v>
      </c>
      <c r="BZ189" s="36">
        <f t="shared" ca="1" si="298"/>
        <v>0</v>
      </c>
      <c r="CA189" s="36">
        <f t="shared" ca="1" si="298"/>
        <v>0</v>
      </c>
      <c r="CB189" s="36">
        <f t="shared" ca="1" si="298"/>
        <v>0</v>
      </c>
      <c r="CC189" s="36">
        <f t="shared" ca="1" si="298"/>
        <v>0</v>
      </c>
      <c r="CD189" s="36">
        <f t="shared" ca="1" si="298"/>
        <v>742500</v>
      </c>
      <c r="CE189" s="36">
        <f t="shared" ca="1" si="298"/>
        <v>0</v>
      </c>
      <c r="CF189" s="36">
        <f t="shared" ca="1" si="298"/>
        <v>0</v>
      </c>
      <c r="CG189" s="36">
        <f t="shared" ca="1" si="298"/>
        <v>0</v>
      </c>
      <c r="CH189" s="36">
        <f t="shared" ca="1" si="299"/>
        <v>0</v>
      </c>
      <c r="CI189" s="36">
        <f t="shared" ca="1" si="299"/>
        <v>0</v>
      </c>
      <c r="CJ189" s="36">
        <f t="shared" ca="1" si="299"/>
        <v>623700</v>
      </c>
      <c r="CK189" s="36">
        <f t="shared" ca="1" si="299"/>
        <v>0</v>
      </c>
      <c r="CL189" s="36">
        <f t="shared" ca="1" si="299"/>
        <v>0</v>
      </c>
      <c r="CM189" s="36">
        <f t="shared" ca="1" si="299"/>
        <v>0</v>
      </c>
      <c r="CN189" s="36">
        <f t="shared" ca="1" si="299"/>
        <v>0</v>
      </c>
      <c r="CO189" s="36">
        <f t="shared" ca="1" si="299"/>
        <v>0</v>
      </c>
      <c r="CP189" s="36">
        <f t="shared" ca="1" si="299"/>
        <v>1299375</v>
      </c>
      <c r="CQ189" s="36">
        <f t="shared" ca="1" si="299"/>
        <v>0</v>
      </c>
      <c r="CR189" s="36">
        <f t="shared" ca="1" si="299"/>
        <v>0</v>
      </c>
      <c r="CS189" s="36">
        <f t="shared" ca="1" si="299"/>
        <v>0</v>
      </c>
      <c r="CT189" s="36">
        <f t="shared" ca="1" si="299"/>
        <v>0</v>
      </c>
      <c r="CU189" s="36">
        <f t="shared" ca="1" si="299"/>
        <v>0</v>
      </c>
      <c r="CV189" s="36">
        <f t="shared" ca="1" si="299"/>
        <v>0</v>
      </c>
      <c r="CW189" s="21"/>
    </row>
    <row r="190" spans="3:101" x14ac:dyDescent="0.25">
      <c r="C190" s="49" t="str">
        <f t="shared" si="300"/>
        <v>NEW PARTNER 2Wholesale</v>
      </c>
      <c r="D190" s="35" t="str">
        <f>[1]Key!C$18</f>
        <v>NEW PARTNER 2</v>
      </c>
      <c r="E190" s="35" t="str">
        <f>[1]Key!D$18</f>
        <v>Wholesale</v>
      </c>
      <c r="F190" s="23">
        <f>[1]Key!$R$18</f>
        <v>60</v>
      </c>
      <c r="G190" s="21"/>
      <c r="H190" s="21"/>
      <c r="I190" s="21"/>
      <c r="J190" s="21"/>
      <c r="K190" s="21"/>
      <c r="L190" s="21"/>
      <c r="M190" s="21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36">
        <f t="shared" ca="1" si="293"/>
        <v>0</v>
      </c>
      <c r="AA190" s="36">
        <f t="shared" ca="1" si="293"/>
        <v>0</v>
      </c>
      <c r="AB190" s="36">
        <f t="shared" ca="1" si="293"/>
        <v>0</v>
      </c>
      <c r="AC190" s="36">
        <f t="shared" ca="1" si="293"/>
        <v>0</v>
      </c>
      <c r="AD190" s="36">
        <f t="shared" ca="1" si="293"/>
        <v>0</v>
      </c>
      <c r="AE190" s="36">
        <f t="shared" ca="1" si="293"/>
        <v>0</v>
      </c>
      <c r="AF190" s="36">
        <f t="shared" ca="1" si="293"/>
        <v>0</v>
      </c>
      <c r="AG190" s="36">
        <f t="shared" ca="1" si="293"/>
        <v>0</v>
      </c>
      <c r="AH190" s="36">
        <f t="shared" ca="1" si="293"/>
        <v>0</v>
      </c>
      <c r="AI190" s="36">
        <f t="shared" ca="1" si="293"/>
        <v>0</v>
      </c>
      <c r="AJ190" s="36">
        <f t="shared" ca="1" si="294"/>
        <v>0</v>
      </c>
      <c r="AK190" s="36">
        <f t="shared" ca="1" si="294"/>
        <v>0</v>
      </c>
      <c r="AL190" s="36">
        <f t="shared" ca="1" si="294"/>
        <v>0</v>
      </c>
      <c r="AM190" s="36">
        <f t="shared" ca="1" si="294"/>
        <v>0</v>
      </c>
      <c r="AN190" s="36">
        <f t="shared" ca="1" si="294"/>
        <v>0</v>
      </c>
      <c r="AO190" s="36">
        <f t="shared" ca="1" si="294"/>
        <v>0</v>
      </c>
      <c r="AP190" s="36">
        <f t="shared" ca="1" si="294"/>
        <v>0</v>
      </c>
      <c r="AQ190" s="36">
        <f t="shared" ca="1" si="294"/>
        <v>0</v>
      </c>
      <c r="AR190" s="36">
        <f t="shared" ca="1" si="294"/>
        <v>0</v>
      </c>
      <c r="AS190" s="36">
        <f t="shared" ca="1" si="294"/>
        <v>0</v>
      </c>
      <c r="AT190" s="36">
        <f t="shared" ca="1" si="295"/>
        <v>0</v>
      </c>
      <c r="AU190" s="36">
        <f t="shared" ca="1" si="295"/>
        <v>0</v>
      </c>
      <c r="AV190" s="36">
        <f t="shared" ca="1" si="295"/>
        <v>0</v>
      </c>
      <c r="AW190" s="36">
        <f t="shared" ca="1" si="295"/>
        <v>0</v>
      </c>
      <c r="AX190" s="36">
        <f t="shared" ca="1" si="295"/>
        <v>0</v>
      </c>
      <c r="AY190" s="36">
        <f t="shared" ca="1" si="295"/>
        <v>0</v>
      </c>
      <c r="AZ190" s="36">
        <f t="shared" ca="1" si="295"/>
        <v>143000</v>
      </c>
      <c r="BA190" s="36">
        <f t="shared" ca="1" si="295"/>
        <v>0</v>
      </c>
      <c r="BB190" s="36">
        <f t="shared" ca="1" si="295"/>
        <v>0</v>
      </c>
      <c r="BC190" s="36">
        <f t="shared" ca="1" si="295"/>
        <v>0</v>
      </c>
      <c r="BD190" s="36">
        <f t="shared" ca="1" si="296"/>
        <v>0</v>
      </c>
      <c r="BE190" s="36">
        <f t="shared" ca="1" si="296"/>
        <v>0</v>
      </c>
      <c r="BF190" s="36">
        <f t="shared" ca="1" si="296"/>
        <v>343200</v>
      </c>
      <c r="BG190" s="36">
        <f t="shared" ca="1" si="296"/>
        <v>0</v>
      </c>
      <c r="BH190" s="36">
        <f t="shared" ca="1" si="296"/>
        <v>0</v>
      </c>
      <c r="BI190" s="36">
        <f t="shared" ca="1" si="296"/>
        <v>0</v>
      </c>
      <c r="BJ190" s="36">
        <f t="shared" ca="1" si="296"/>
        <v>68640</v>
      </c>
      <c r="BK190" s="36">
        <f t="shared" ca="1" si="296"/>
        <v>0</v>
      </c>
      <c r="BL190" s="36">
        <f t="shared" ca="1" si="296"/>
        <v>429000</v>
      </c>
      <c r="BM190" s="36">
        <f t="shared" ca="1" si="296"/>
        <v>0</v>
      </c>
      <c r="BN190" s="36">
        <f t="shared" ca="1" si="297"/>
        <v>0</v>
      </c>
      <c r="BO190" s="36">
        <f t="shared" ca="1" si="297"/>
        <v>0</v>
      </c>
      <c r="BP190" s="36">
        <f t="shared" ca="1" si="297"/>
        <v>0</v>
      </c>
      <c r="BQ190" s="36">
        <f t="shared" ca="1" si="297"/>
        <v>0</v>
      </c>
      <c r="BR190" s="36">
        <f t="shared" ca="1" si="297"/>
        <v>1029600</v>
      </c>
      <c r="BS190" s="36">
        <f t="shared" ca="1" si="297"/>
        <v>0</v>
      </c>
      <c r="BT190" s="36">
        <f t="shared" ca="1" si="297"/>
        <v>0</v>
      </c>
      <c r="BU190" s="36">
        <f t="shared" ca="1" si="297"/>
        <v>0</v>
      </c>
      <c r="BV190" s="36">
        <f t="shared" ca="1" si="297"/>
        <v>205920</v>
      </c>
      <c r="BW190" s="36">
        <f t="shared" ca="1" si="297"/>
        <v>0</v>
      </c>
      <c r="BX190" s="36">
        <f t="shared" ca="1" si="298"/>
        <v>1072500</v>
      </c>
      <c r="BY190" s="36">
        <f t="shared" ca="1" si="298"/>
        <v>0</v>
      </c>
      <c r="BZ190" s="36">
        <f t="shared" ca="1" si="298"/>
        <v>0</v>
      </c>
      <c r="CA190" s="36">
        <f t="shared" ca="1" si="298"/>
        <v>0</v>
      </c>
      <c r="CB190" s="36">
        <f t="shared" ca="1" si="298"/>
        <v>0</v>
      </c>
      <c r="CC190" s="36">
        <f t="shared" ca="1" si="298"/>
        <v>0</v>
      </c>
      <c r="CD190" s="36">
        <f t="shared" ca="1" si="298"/>
        <v>2574000</v>
      </c>
      <c r="CE190" s="36">
        <f t="shared" ca="1" si="298"/>
        <v>0</v>
      </c>
      <c r="CF190" s="36">
        <f t="shared" ca="1" si="298"/>
        <v>0</v>
      </c>
      <c r="CG190" s="36">
        <f t="shared" ca="1" si="298"/>
        <v>0</v>
      </c>
      <c r="CH190" s="36">
        <f t="shared" ca="1" si="299"/>
        <v>514800</v>
      </c>
      <c r="CI190" s="36">
        <f t="shared" ca="1" si="299"/>
        <v>0</v>
      </c>
      <c r="CJ190" s="36">
        <f t="shared" ca="1" si="299"/>
        <v>1876875</v>
      </c>
      <c r="CK190" s="36">
        <f t="shared" ca="1" si="299"/>
        <v>0</v>
      </c>
      <c r="CL190" s="36">
        <f t="shared" ca="1" si="299"/>
        <v>0</v>
      </c>
      <c r="CM190" s="36">
        <f t="shared" ca="1" si="299"/>
        <v>0</v>
      </c>
      <c r="CN190" s="36">
        <f t="shared" ca="1" si="299"/>
        <v>0</v>
      </c>
      <c r="CO190" s="36">
        <f t="shared" ca="1" si="299"/>
        <v>0</v>
      </c>
      <c r="CP190" s="36">
        <f t="shared" ca="1" si="299"/>
        <v>4504500</v>
      </c>
      <c r="CQ190" s="36">
        <f t="shared" ca="1" si="299"/>
        <v>0</v>
      </c>
      <c r="CR190" s="36">
        <f t="shared" ca="1" si="299"/>
        <v>0</v>
      </c>
      <c r="CS190" s="36">
        <f t="shared" ca="1" si="299"/>
        <v>0</v>
      </c>
      <c r="CT190" s="36">
        <f t="shared" ca="1" si="299"/>
        <v>900900</v>
      </c>
      <c r="CU190" s="36">
        <f t="shared" ca="1" si="299"/>
        <v>0</v>
      </c>
      <c r="CV190" s="36">
        <f t="shared" ca="1" si="299"/>
        <v>0</v>
      </c>
      <c r="CW190" s="21"/>
    </row>
    <row r="191" spans="3:101" x14ac:dyDescent="0.25">
      <c r="C191" s="49" t="str">
        <f t="shared" si="300"/>
        <v>PIGALLEWholesale</v>
      </c>
      <c r="D191" s="35" t="str">
        <f>[1]Key!C$19</f>
        <v>PIGALLE</v>
      </c>
      <c r="E191" s="35" t="str">
        <f>[1]Key!D$19</f>
        <v>Wholesale</v>
      </c>
      <c r="F191" s="23">
        <f>[1]Key!$R$19</f>
        <v>60</v>
      </c>
      <c r="G191" s="21"/>
      <c r="H191" s="21"/>
      <c r="I191" s="21"/>
      <c r="J191" s="21"/>
      <c r="K191" s="21"/>
      <c r="L191" s="21"/>
      <c r="M191" s="21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36">
        <f t="shared" ca="1" si="293"/>
        <v>0</v>
      </c>
      <c r="AA191" s="36">
        <f t="shared" ca="1" si="293"/>
        <v>0</v>
      </c>
      <c r="AB191" s="36">
        <f t="shared" ca="1" si="293"/>
        <v>0</v>
      </c>
      <c r="AC191" s="36">
        <f t="shared" ca="1" si="293"/>
        <v>0</v>
      </c>
      <c r="AD191" s="36">
        <f t="shared" ca="1" si="293"/>
        <v>0</v>
      </c>
      <c r="AE191" s="36">
        <f t="shared" ca="1" si="293"/>
        <v>0</v>
      </c>
      <c r="AF191" s="36">
        <f t="shared" ca="1" si="293"/>
        <v>0</v>
      </c>
      <c r="AG191" s="36">
        <f t="shared" ca="1" si="293"/>
        <v>0</v>
      </c>
      <c r="AH191" s="36">
        <f t="shared" ca="1" si="293"/>
        <v>0</v>
      </c>
      <c r="AI191" s="36">
        <f t="shared" ca="1" si="293"/>
        <v>0</v>
      </c>
      <c r="AJ191" s="36">
        <f t="shared" ca="1" si="294"/>
        <v>0</v>
      </c>
      <c r="AK191" s="36">
        <f t="shared" ca="1" si="294"/>
        <v>0</v>
      </c>
      <c r="AL191" s="36">
        <f t="shared" ca="1" si="294"/>
        <v>0</v>
      </c>
      <c r="AM191" s="36">
        <f t="shared" ca="1" si="294"/>
        <v>0</v>
      </c>
      <c r="AN191" s="36">
        <f t="shared" ca="1" si="294"/>
        <v>0</v>
      </c>
      <c r="AO191" s="36">
        <f t="shared" ca="1" si="294"/>
        <v>0</v>
      </c>
      <c r="AP191" s="36">
        <f t="shared" ca="1" si="294"/>
        <v>0</v>
      </c>
      <c r="AQ191" s="36">
        <f t="shared" ca="1" si="294"/>
        <v>0</v>
      </c>
      <c r="AR191" s="36">
        <f t="shared" ca="1" si="294"/>
        <v>0</v>
      </c>
      <c r="AS191" s="36">
        <f t="shared" ca="1" si="294"/>
        <v>0</v>
      </c>
      <c r="AT191" s="36">
        <f t="shared" ca="1" si="295"/>
        <v>0</v>
      </c>
      <c r="AU191" s="36">
        <f t="shared" ca="1" si="295"/>
        <v>0</v>
      </c>
      <c r="AV191" s="36">
        <f t="shared" ca="1" si="295"/>
        <v>0</v>
      </c>
      <c r="AW191" s="36">
        <f t="shared" ca="1" si="295"/>
        <v>0</v>
      </c>
      <c r="AX191" s="36">
        <f t="shared" ca="1" si="295"/>
        <v>47520</v>
      </c>
      <c r="AY191" s="36">
        <f t="shared" ca="1" si="295"/>
        <v>0</v>
      </c>
      <c r="AZ191" s="36">
        <f t="shared" ca="1" si="295"/>
        <v>0</v>
      </c>
      <c r="BA191" s="36">
        <f t="shared" ca="1" si="295"/>
        <v>0</v>
      </c>
      <c r="BB191" s="36">
        <f t="shared" ca="1" si="295"/>
        <v>0</v>
      </c>
      <c r="BC191" s="36">
        <f t="shared" ca="1" si="295"/>
        <v>0</v>
      </c>
      <c r="BD191" s="36">
        <f t="shared" ca="1" si="296"/>
        <v>0</v>
      </c>
      <c r="BE191" s="36">
        <f t="shared" ca="1" si="296"/>
        <v>0</v>
      </c>
      <c r="BF191" s="36">
        <f t="shared" ca="1" si="296"/>
        <v>0</v>
      </c>
      <c r="BG191" s="36">
        <f t="shared" ca="1" si="296"/>
        <v>0</v>
      </c>
      <c r="BH191" s="36">
        <f t="shared" ca="1" si="296"/>
        <v>0</v>
      </c>
      <c r="BI191" s="36">
        <f t="shared" ca="1" si="296"/>
        <v>0</v>
      </c>
      <c r="BJ191" s="36">
        <f t="shared" ca="1" si="296"/>
        <v>0</v>
      </c>
      <c r="BK191" s="36">
        <f t="shared" ca="1" si="296"/>
        <v>0</v>
      </c>
      <c r="BL191" s="36">
        <f t="shared" ca="1" si="296"/>
        <v>0</v>
      </c>
      <c r="BM191" s="36">
        <f t="shared" ca="1" si="296"/>
        <v>0</v>
      </c>
      <c r="BN191" s="36">
        <f t="shared" ca="1" si="297"/>
        <v>0</v>
      </c>
      <c r="BO191" s="36">
        <f t="shared" ca="1" si="297"/>
        <v>0</v>
      </c>
      <c r="BP191" s="36">
        <f t="shared" ca="1" si="297"/>
        <v>0</v>
      </c>
      <c r="BQ191" s="36">
        <f t="shared" ca="1" si="297"/>
        <v>0</v>
      </c>
      <c r="BR191" s="36">
        <f t="shared" ca="1" si="297"/>
        <v>0</v>
      </c>
      <c r="BS191" s="36">
        <f t="shared" ca="1" si="297"/>
        <v>0</v>
      </c>
      <c r="BT191" s="36">
        <f t="shared" ca="1" si="297"/>
        <v>0</v>
      </c>
      <c r="BU191" s="36">
        <f t="shared" ca="1" si="297"/>
        <v>0</v>
      </c>
      <c r="BV191" s="36">
        <f t="shared" ca="1" si="297"/>
        <v>0</v>
      </c>
      <c r="BW191" s="36">
        <f t="shared" ca="1" si="297"/>
        <v>0</v>
      </c>
      <c r="BX191" s="36">
        <f t="shared" ca="1" si="298"/>
        <v>0</v>
      </c>
      <c r="BY191" s="36">
        <f t="shared" ca="1" si="298"/>
        <v>0</v>
      </c>
      <c r="BZ191" s="36">
        <f t="shared" ca="1" si="298"/>
        <v>0</v>
      </c>
      <c r="CA191" s="36">
        <f t="shared" ca="1" si="298"/>
        <v>0</v>
      </c>
      <c r="CB191" s="36">
        <f t="shared" ca="1" si="298"/>
        <v>0</v>
      </c>
      <c r="CC191" s="36">
        <f t="shared" ca="1" si="298"/>
        <v>0</v>
      </c>
      <c r="CD191" s="36">
        <f t="shared" ca="1" si="298"/>
        <v>0</v>
      </c>
      <c r="CE191" s="36">
        <f t="shared" ca="1" si="298"/>
        <v>0</v>
      </c>
      <c r="CF191" s="36">
        <f t="shared" ca="1" si="298"/>
        <v>0</v>
      </c>
      <c r="CG191" s="36">
        <f t="shared" ca="1" si="298"/>
        <v>0</v>
      </c>
      <c r="CH191" s="36">
        <f t="shared" ca="1" si="299"/>
        <v>0</v>
      </c>
      <c r="CI191" s="36">
        <f t="shared" ca="1" si="299"/>
        <v>0</v>
      </c>
      <c r="CJ191" s="36">
        <f t="shared" ca="1" si="299"/>
        <v>0</v>
      </c>
      <c r="CK191" s="36">
        <f t="shared" ca="1" si="299"/>
        <v>0</v>
      </c>
      <c r="CL191" s="36">
        <f t="shared" ca="1" si="299"/>
        <v>0</v>
      </c>
      <c r="CM191" s="36">
        <f t="shared" ca="1" si="299"/>
        <v>0</v>
      </c>
      <c r="CN191" s="36">
        <f t="shared" ca="1" si="299"/>
        <v>0</v>
      </c>
      <c r="CO191" s="36">
        <f t="shared" ca="1" si="299"/>
        <v>0</v>
      </c>
      <c r="CP191" s="36">
        <f t="shared" ca="1" si="299"/>
        <v>0</v>
      </c>
      <c r="CQ191" s="36">
        <f t="shared" ca="1" si="299"/>
        <v>0</v>
      </c>
      <c r="CR191" s="36">
        <f t="shared" ca="1" si="299"/>
        <v>0</v>
      </c>
      <c r="CS191" s="36">
        <f t="shared" ca="1" si="299"/>
        <v>0</v>
      </c>
      <c r="CT191" s="36">
        <f t="shared" ca="1" si="299"/>
        <v>0</v>
      </c>
      <c r="CU191" s="36">
        <f t="shared" ca="1" si="299"/>
        <v>0</v>
      </c>
      <c r="CV191" s="36">
        <f t="shared" ca="1" si="299"/>
        <v>0</v>
      </c>
      <c r="CW191" s="21"/>
    </row>
    <row r="192" spans="3:101" x14ac:dyDescent="0.25">
      <c r="C192" s="49" t="str">
        <f t="shared" si="300"/>
        <v>SPORT PLACEHOLDERWholesale</v>
      </c>
      <c r="D192" s="35" t="str">
        <f>[1]Key!C$20</f>
        <v>SPORT PLACEHOLDER</v>
      </c>
      <c r="E192" s="35" t="str">
        <f>[1]Key!D$20</f>
        <v>Wholesale</v>
      </c>
      <c r="F192" s="23">
        <f>[1]Key!$R$20</f>
        <v>60</v>
      </c>
      <c r="G192" s="21"/>
      <c r="H192" s="21"/>
      <c r="I192" s="21"/>
      <c r="J192" s="21"/>
      <c r="K192" s="21"/>
      <c r="L192" s="21"/>
      <c r="M192" s="21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36">
        <f t="shared" ca="1" si="293"/>
        <v>0</v>
      </c>
      <c r="AA192" s="36">
        <f t="shared" ca="1" si="293"/>
        <v>0</v>
      </c>
      <c r="AB192" s="36">
        <f t="shared" ca="1" si="293"/>
        <v>0</v>
      </c>
      <c r="AC192" s="36">
        <f t="shared" ca="1" si="293"/>
        <v>0</v>
      </c>
      <c r="AD192" s="36">
        <f t="shared" ca="1" si="293"/>
        <v>0</v>
      </c>
      <c r="AE192" s="36">
        <f t="shared" ca="1" si="293"/>
        <v>0</v>
      </c>
      <c r="AF192" s="36">
        <f t="shared" ca="1" si="293"/>
        <v>0</v>
      </c>
      <c r="AG192" s="36">
        <f t="shared" ca="1" si="293"/>
        <v>0</v>
      </c>
      <c r="AH192" s="36">
        <f t="shared" ca="1" si="293"/>
        <v>0</v>
      </c>
      <c r="AI192" s="36">
        <f t="shared" ca="1" si="293"/>
        <v>0</v>
      </c>
      <c r="AJ192" s="36">
        <f t="shared" ca="1" si="294"/>
        <v>0</v>
      </c>
      <c r="AK192" s="36">
        <f t="shared" ca="1" si="294"/>
        <v>0</v>
      </c>
      <c r="AL192" s="36">
        <f t="shared" ca="1" si="294"/>
        <v>0</v>
      </c>
      <c r="AM192" s="36">
        <f t="shared" ca="1" si="294"/>
        <v>0</v>
      </c>
      <c r="AN192" s="36">
        <f t="shared" ca="1" si="294"/>
        <v>0</v>
      </c>
      <c r="AO192" s="36">
        <f t="shared" ca="1" si="294"/>
        <v>0</v>
      </c>
      <c r="AP192" s="36">
        <f t="shared" ca="1" si="294"/>
        <v>0</v>
      </c>
      <c r="AQ192" s="36">
        <f t="shared" ca="1" si="294"/>
        <v>0</v>
      </c>
      <c r="AR192" s="36">
        <f t="shared" ca="1" si="294"/>
        <v>0</v>
      </c>
      <c r="AS192" s="36">
        <f t="shared" ca="1" si="294"/>
        <v>0</v>
      </c>
      <c r="AT192" s="36">
        <f t="shared" ca="1" si="295"/>
        <v>0</v>
      </c>
      <c r="AU192" s="36">
        <f t="shared" ca="1" si="295"/>
        <v>0</v>
      </c>
      <c r="AV192" s="36">
        <f t="shared" ca="1" si="295"/>
        <v>0</v>
      </c>
      <c r="AW192" s="36">
        <f t="shared" ca="1" si="295"/>
        <v>0</v>
      </c>
      <c r="AX192" s="36">
        <f t="shared" ca="1" si="295"/>
        <v>0</v>
      </c>
      <c r="AY192" s="36">
        <f t="shared" ca="1" si="295"/>
        <v>0</v>
      </c>
      <c r="AZ192" s="36">
        <f t="shared" ca="1" si="295"/>
        <v>343200</v>
      </c>
      <c r="BA192" s="36">
        <f t="shared" ca="1" si="295"/>
        <v>0</v>
      </c>
      <c r="BB192" s="36">
        <f t="shared" ca="1" si="295"/>
        <v>0</v>
      </c>
      <c r="BC192" s="36">
        <f t="shared" ca="1" si="295"/>
        <v>0</v>
      </c>
      <c r="BD192" s="36">
        <f t="shared" ca="1" si="296"/>
        <v>0</v>
      </c>
      <c r="BE192" s="36">
        <f t="shared" ca="1" si="296"/>
        <v>0</v>
      </c>
      <c r="BF192" s="36">
        <f t="shared" ca="1" si="296"/>
        <v>686400</v>
      </c>
      <c r="BG192" s="36">
        <f t="shared" ca="1" si="296"/>
        <v>0</v>
      </c>
      <c r="BH192" s="36">
        <f t="shared" ca="1" si="296"/>
        <v>0</v>
      </c>
      <c r="BI192" s="36">
        <f t="shared" ca="1" si="296"/>
        <v>0</v>
      </c>
      <c r="BJ192" s="36">
        <f t="shared" ca="1" si="296"/>
        <v>0</v>
      </c>
      <c r="BK192" s="36">
        <f t="shared" ca="1" si="296"/>
        <v>0</v>
      </c>
      <c r="BL192" s="36">
        <f t="shared" ca="1" si="296"/>
        <v>1029600</v>
      </c>
      <c r="BM192" s="36">
        <f t="shared" ca="1" si="296"/>
        <v>0</v>
      </c>
      <c r="BN192" s="36">
        <f t="shared" ca="1" si="297"/>
        <v>0</v>
      </c>
      <c r="BO192" s="36">
        <f t="shared" ca="1" si="297"/>
        <v>0</v>
      </c>
      <c r="BP192" s="36">
        <f t="shared" ca="1" si="297"/>
        <v>0</v>
      </c>
      <c r="BQ192" s="36">
        <f t="shared" ca="1" si="297"/>
        <v>0</v>
      </c>
      <c r="BR192" s="36">
        <f t="shared" ca="1" si="297"/>
        <v>2059200</v>
      </c>
      <c r="BS192" s="36">
        <f t="shared" ca="1" si="297"/>
        <v>0</v>
      </c>
      <c r="BT192" s="36">
        <f t="shared" ca="1" si="297"/>
        <v>0</v>
      </c>
      <c r="BU192" s="36">
        <f t="shared" ca="1" si="297"/>
        <v>0</v>
      </c>
      <c r="BV192" s="36">
        <f t="shared" ca="1" si="297"/>
        <v>0</v>
      </c>
      <c r="BW192" s="36">
        <f t="shared" ca="1" si="297"/>
        <v>0</v>
      </c>
      <c r="BX192" s="36">
        <f t="shared" ca="1" si="298"/>
        <v>3088800</v>
      </c>
      <c r="BY192" s="36">
        <f t="shared" ca="1" si="298"/>
        <v>0</v>
      </c>
      <c r="BZ192" s="36">
        <f t="shared" ca="1" si="298"/>
        <v>0</v>
      </c>
      <c r="CA192" s="36">
        <f t="shared" ca="1" si="298"/>
        <v>0</v>
      </c>
      <c r="CB192" s="36">
        <f t="shared" ca="1" si="298"/>
        <v>0</v>
      </c>
      <c r="CC192" s="36">
        <f t="shared" ca="1" si="298"/>
        <v>0</v>
      </c>
      <c r="CD192" s="36">
        <f t="shared" ca="1" si="298"/>
        <v>6177600</v>
      </c>
      <c r="CE192" s="36">
        <f t="shared" ca="1" si="298"/>
        <v>0</v>
      </c>
      <c r="CF192" s="36">
        <f t="shared" ca="1" si="298"/>
        <v>0</v>
      </c>
      <c r="CG192" s="36">
        <f t="shared" ca="1" si="298"/>
        <v>0</v>
      </c>
      <c r="CH192" s="36">
        <f t="shared" ca="1" si="299"/>
        <v>0</v>
      </c>
      <c r="CI192" s="36">
        <f t="shared" ca="1" si="299"/>
        <v>0</v>
      </c>
      <c r="CJ192" s="36">
        <f t="shared" ca="1" si="299"/>
        <v>7722000</v>
      </c>
      <c r="CK192" s="36">
        <f t="shared" ca="1" si="299"/>
        <v>0</v>
      </c>
      <c r="CL192" s="36">
        <f t="shared" ca="1" si="299"/>
        <v>0</v>
      </c>
      <c r="CM192" s="36">
        <f t="shared" ca="1" si="299"/>
        <v>0</v>
      </c>
      <c r="CN192" s="36">
        <f t="shared" ca="1" si="299"/>
        <v>0</v>
      </c>
      <c r="CO192" s="36">
        <f t="shared" ca="1" si="299"/>
        <v>0</v>
      </c>
      <c r="CP192" s="36">
        <f t="shared" ca="1" si="299"/>
        <v>15444000</v>
      </c>
      <c r="CQ192" s="36">
        <f t="shared" ca="1" si="299"/>
        <v>0</v>
      </c>
      <c r="CR192" s="36">
        <f t="shared" ca="1" si="299"/>
        <v>0</v>
      </c>
      <c r="CS192" s="36">
        <f t="shared" ca="1" si="299"/>
        <v>0</v>
      </c>
      <c r="CT192" s="36">
        <f t="shared" ca="1" si="299"/>
        <v>0</v>
      </c>
      <c r="CU192" s="36">
        <f t="shared" ca="1" si="299"/>
        <v>0</v>
      </c>
      <c r="CV192" s="36">
        <f t="shared" ca="1" si="299"/>
        <v>0</v>
      </c>
      <c r="CW192" s="21"/>
    </row>
    <row r="193" spans="3:101" x14ac:dyDescent="0.25">
      <c r="C193" s="49" t="str">
        <f t="shared" si="300"/>
        <v>SPUNGEWholesale</v>
      </c>
      <c r="D193" s="35" t="str">
        <f>[1]Key!C$21</f>
        <v>SPUNGE</v>
      </c>
      <c r="E193" s="35" t="str">
        <f>[1]Key!D$21</f>
        <v>Wholesale</v>
      </c>
      <c r="F193" s="23">
        <f>[1]Key!$R$21</f>
        <v>60</v>
      </c>
      <c r="G193" s="21"/>
      <c r="H193" s="21"/>
      <c r="I193" s="21"/>
      <c r="J193" s="21"/>
      <c r="K193" s="21"/>
      <c r="L193" s="21"/>
      <c r="M193" s="21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36">
        <f t="shared" ca="1" si="293"/>
        <v>0</v>
      </c>
      <c r="AA193" s="36">
        <f t="shared" ca="1" si="293"/>
        <v>0</v>
      </c>
      <c r="AB193" s="36">
        <f t="shared" ca="1" si="293"/>
        <v>0</v>
      </c>
      <c r="AC193" s="36">
        <f t="shared" ca="1" si="293"/>
        <v>0</v>
      </c>
      <c r="AD193" s="36">
        <f t="shared" ca="1" si="293"/>
        <v>0</v>
      </c>
      <c r="AE193" s="36">
        <f t="shared" ca="1" si="293"/>
        <v>0</v>
      </c>
      <c r="AF193" s="36">
        <f t="shared" ca="1" si="293"/>
        <v>0</v>
      </c>
      <c r="AG193" s="36">
        <f t="shared" ca="1" si="293"/>
        <v>0</v>
      </c>
      <c r="AH193" s="36">
        <f t="shared" ca="1" si="293"/>
        <v>0</v>
      </c>
      <c r="AI193" s="36">
        <f t="shared" ca="1" si="293"/>
        <v>0</v>
      </c>
      <c r="AJ193" s="36">
        <f t="shared" ca="1" si="294"/>
        <v>0</v>
      </c>
      <c r="AK193" s="36">
        <f t="shared" ca="1" si="294"/>
        <v>0</v>
      </c>
      <c r="AL193" s="36">
        <f t="shared" ca="1" si="294"/>
        <v>0</v>
      </c>
      <c r="AM193" s="36">
        <f t="shared" ca="1" si="294"/>
        <v>0</v>
      </c>
      <c r="AN193" s="36">
        <f t="shared" ca="1" si="294"/>
        <v>0</v>
      </c>
      <c r="AO193" s="36">
        <f t="shared" ca="1" si="294"/>
        <v>0</v>
      </c>
      <c r="AP193" s="36">
        <f t="shared" ca="1" si="294"/>
        <v>0</v>
      </c>
      <c r="AQ193" s="36">
        <f t="shared" ca="1" si="294"/>
        <v>0</v>
      </c>
      <c r="AR193" s="36">
        <f t="shared" ca="1" si="294"/>
        <v>0</v>
      </c>
      <c r="AS193" s="36">
        <f t="shared" ca="1" si="294"/>
        <v>0</v>
      </c>
      <c r="AT193" s="36">
        <f t="shared" ca="1" si="295"/>
        <v>0</v>
      </c>
      <c r="AU193" s="36">
        <f t="shared" ca="1" si="295"/>
        <v>0</v>
      </c>
      <c r="AV193" s="36">
        <f t="shared" ca="1" si="295"/>
        <v>0</v>
      </c>
      <c r="AW193" s="36">
        <f t="shared" ca="1" si="295"/>
        <v>0</v>
      </c>
      <c r="AX193" s="36">
        <f t="shared" ca="1" si="295"/>
        <v>23760</v>
      </c>
      <c r="AY193" s="36">
        <f t="shared" ca="1" si="295"/>
        <v>59400</v>
      </c>
      <c r="AZ193" s="36">
        <f t="shared" ca="1" si="295"/>
        <v>0</v>
      </c>
      <c r="BA193" s="36">
        <f t="shared" ca="1" si="295"/>
        <v>291456</v>
      </c>
      <c r="BB193" s="36">
        <f t="shared" ca="1" si="295"/>
        <v>0</v>
      </c>
      <c r="BC193" s="36">
        <f t="shared" ca="1" si="295"/>
        <v>0</v>
      </c>
      <c r="BD193" s="36">
        <f t="shared" ca="1" si="296"/>
        <v>329472</v>
      </c>
      <c r="BE193" s="36">
        <f t="shared" ca="1" si="296"/>
        <v>0</v>
      </c>
      <c r="BF193" s="36">
        <f t="shared" ca="1" si="296"/>
        <v>380160</v>
      </c>
      <c r="BG193" s="36">
        <f t="shared" ca="1" si="296"/>
        <v>0</v>
      </c>
      <c r="BH193" s="36">
        <f t="shared" ca="1" si="296"/>
        <v>38016</v>
      </c>
      <c r="BI193" s="36">
        <f t="shared" ca="1" si="296"/>
        <v>0</v>
      </c>
      <c r="BJ193" s="36">
        <f t="shared" ca="1" si="296"/>
        <v>506880</v>
      </c>
      <c r="BK193" s="36">
        <f t="shared" ca="1" si="296"/>
        <v>95040</v>
      </c>
      <c r="BL193" s="36">
        <f t="shared" ca="1" si="296"/>
        <v>0</v>
      </c>
      <c r="BM193" s="36">
        <f t="shared" ca="1" si="296"/>
        <v>874368</v>
      </c>
      <c r="BN193" s="36">
        <f t="shared" ca="1" si="297"/>
        <v>0</v>
      </c>
      <c r="BO193" s="36">
        <f t="shared" ca="1" si="297"/>
        <v>0</v>
      </c>
      <c r="BP193" s="36">
        <f t="shared" ca="1" si="297"/>
        <v>988416</v>
      </c>
      <c r="BQ193" s="36">
        <f t="shared" ca="1" si="297"/>
        <v>0</v>
      </c>
      <c r="BR193" s="36">
        <f t="shared" ca="1" si="297"/>
        <v>1140480</v>
      </c>
      <c r="BS193" s="36">
        <f t="shared" ca="1" si="297"/>
        <v>0</v>
      </c>
      <c r="BT193" s="36">
        <f t="shared" ca="1" si="297"/>
        <v>114048</v>
      </c>
      <c r="BU193" s="36">
        <f t="shared" ca="1" si="297"/>
        <v>0</v>
      </c>
      <c r="BV193" s="36">
        <f t="shared" ca="1" si="297"/>
        <v>1520640</v>
      </c>
      <c r="BW193" s="36">
        <f t="shared" ca="1" si="297"/>
        <v>285120</v>
      </c>
      <c r="BX193" s="36">
        <f t="shared" ca="1" si="298"/>
        <v>0</v>
      </c>
      <c r="BY193" s="36">
        <f t="shared" ca="1" si="298"/>
        <v>2185920</v>
      </c>
      <c r="BZ193" s="36">
        <f t="shared" ca="1" si="298"/>
        <v>0</v>
      </c>
      <c r="CA193" s="36">
        <f t="shared" ca="1" si="298"/>
        <v>0</v>
      </c>
      <c r="CB193" s="36">
        <f t="shared" ca="1" si="298"/>
        <v>2471040</v>
      </c>
      <c r="CC193" s="36">
        <f t="shared" ca="1" si="298"/>
        <v>0</v>
      </c>
      <c r="CD193" s="36">
        <f t="shared" ca="1" si="298"/>
        <v>2851200</v>
      </c>
      <c r="CE193" s="36">
        <f t="shared" ca="1" si="298"/>
        <v>0</v>
      </c>
      <c r="CF193" s="36">
        <f t="shared" ca="1" si="298"/>
        <v>285120</v>
      </c>
      <c r="CG193" s="36">
        <f t="shared" ca="1" si="298"/>
        <v>0</v>
      </c>
      <c r="CH193" s="36">
        <f t="shared" ca="1" si="299"/>
        <v>3801600</v>
      </c>
      <c r="CI193" s="36">
        <f t="shared" ca="1" si="299"/>
        <v>712800</v>
      </c>
      <c r="CJ193" s="36">
        <f t="shared" ca="1" si="299"/>
        <v>0</v>
      </c>
      <c r="CK193" s="36">
        <f t="shared" ca="1" si="299"/>
        <v>3825360</v>
      </c>
      <c r="CL193" s="36">
        <f t="shared" ca="1" si="299"/>
        <v>0</v>
      </c>
      <c r="CM193" s="36">
        <f t="shared" ca="1" si="299"/>
        <v>0</v>
      </c>
      <c r="CN193" s="36">
        <f t="shared" ca="1" si="299"/>
        <v>4324320</v>
      </c>
      <c r="CO193" s="36">
        <f t="shared" ca="1" si="299"/>
        <v>0</v>
      </c>
      <c r="CP193" s="36">
        <f t="shared" ca="1" si="299"/>
        <v>4989600</v>
      </c>
      <c r="CQ193" s="36">
        <f t="shared" ca="1" si="299"/>
        <v>0</v>
      </c>
      <c r="CR193" s="36">
        <f t="shared" ca="1" si="299"/>
        <v>498960</v>
      </c>
      <c r="CS193" s="36">
        <f t="shared" ca="1" si="299"/>
        <v>0</v>
      </c>
      <c r="CT193" s="36">
        <f t="shared" ca="1" si="299"/>
        <v>6652800</v>
      </c>
      <c r="CU193" s="36">
        <f t="shared" ca="1" si="299"/>
        <v>1247400</v>
      </c>
      <c r="CV193" s="36">
        <f t="shared" ca="1" si="299"/>
        <v>0</v>
      </c>
      <c r="CW193" s="21"/>
    </row>
    <row r="194" spans="3:101" x14ac:dyDescent="0.25">
      <c r="C194" s="49" t="str">
        <f t="shared" si="300"/>
        <v>SUNFLOWERWholesale</v>
      </c>
      <c r="D194" s="35" t="str">
        <f>[1]Key!C$22</f>
        <v>SUNFLOWER</v>
      </c>
      <c r="E194" s="35" t="str">
        <f>[1]Key!D$22</f>
        <v>Wholesale</v>
      </c>
      <c r="F194" s="23">
        <f>[1]Key!$R$22</f>
        <v>60</v>
      </c>
      <c r="G194" s="21"/>
      <c r="H194" s="21"/>
      <c r="I194" s="21"/>
      <c r="J194" s="21"/>
      <c r="K194" s="21"/>
      <c r="L194" s="21"/>
      <c r="M194" s="21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36">
        <f t="shared" ref="Z194:AI207" ca="1" si="301">IF($F194&lt;=0,OFFSET(INDEX($Z$124:$CV$148,MATCH($C194,$C$124:$C$148,0),MATCH(Z$11,$Z$11:$CV$11,0)),0,-ROUNDUP($F194/30,0)),OFFSET(INDEX($Z$124:$CV$148,MATCH($C194,$C$124:$C$148,0),MATCH(Z$11,$Z$11:$CV$11,0)),0,-ROUNDUP($F194/30,0)))</f>
        <v>0</v>
      </c>
      <c r="AA194" s="36">
        <f t="shared" ca="1" si="301"/>
        <v>0</v>
      </c>
      <c r="AB194" s="36">
        <f t="shared" ca="1" si="301"/>
        <v>0</v>
      </c>
      <c r="AC194" s="36">
        <f t="shared" ca="1" si="301"/>
        <v>0</v>
      </c>
      <c r="AD194" s="36">
        <f t="shared" ca="1" si="301"/>
        <v>0</v>
      </c>
      <c r="AE194" s="36">
        <f t="shared" ca="1" si="301"/>
        <v>0</v>
      </c>
      <c r="AF194" s="36">
        <f t="shared" ca="1" si="301"/>
        <v>0</v>
      </c>
      <c r="AG194" s="36">
        <f t="shared" ca="1" si="301"/>
        <v>0</v>
      </c>
      <c r="AH194" s="36">
        <f t="shared" ca="1" si="301"/>
        <v>0</v>
      </c>
      <c r="AI194" s="36">
        <f t="shared" ca="1" si="301"/>
        <v>0</v>
      </c>
      <c r="AJ194" s="36">
        <f t="shared" ref="AJ194:AS207" ca="1" si="302">IF($F194&lt;=0,OFFSET(INDEX($Z$124:$CV$148,MATCH($C194,$C$124:$C$148,0),MATCH(AJ$11,$Z$11:$CV$11,0)),0,-ROUNDUP($F194/30,0)),OFFSET(INDEX($Z$124:$CV$148,MATCH($C194,$C$124:$C$148,0),MATCH(AJ$11,$Z$11:$CV$11,0)),0,-ROUNDUP($F194/30,0)))</f>
        <v>0</v>
      </c>
      <c r="AK194" s="36">
        <f t="shared" ca="1" si="302"/>
        <v>0</v>
      </c>
      <c r="AL194" s="36">
        <f t="shared" ca="1" si="302"/>
        <v>0</v>
      </c>
      <c r="AM194" s="36">
        <f t="shared" ca="1" si="302"/>
        <v>0</v>
      </c>
      <c r="AN194" s="36">
        <f t="shared" ca="1" si="302"/>
        <v>0</v>
      </c>
      <c r="AO194" s="36">
        <f t="shared" ca="1" si="302"/>
        <v>487500</v>
      </c>
      <c r="AP194" s="36">
        <f t="shared" ca="1" si="302"/>
        <v>0</v>
      </c>
      <c r="AQ194" s="36">
        <f t="shared" ca="1" si="302"/>
        <v>0</v>
      </c>
      <c r="AR194" s="36">
        <f t="shared" ca="1" si="302"/>
        <v>0</v>
      </c>
      <c r="AS194" s="36">
        <f t="shared" ca="1" si="302"/>
        <v>0</v>
      </c>
      <c r="AT194" s="36">
        <f t="shared" ref="AT194:BC207" ca="1" si="303">IF($F194&lt;=0,OFFSET(INDEX($Z$124:$CV$148,MATCH($C194,$C$124:$C$148,0),MATCH(AT$11,$Z$11:$CV$11,0)),0,-ROUNDUP($F194/30,0)),OFFSET(INDEX($Z$124:$CV$148,MATCH($C194,$C$124:$C$148,0),MATCH(AT$11,$Z$11:$CV$11,0)),0,-ROUNDUP($F194/30,0)))</f>
        <v>0</v>
      </c>
      <c r="AU194" s="36">
        <f t="shared" ca="1" si="303"/>
        <v>975000</v>
      </c>
      <c r="AV194" s="36">
        <f t="shared" ca="1" si="303"/>
        <v>0</v>
      </c>
      <c r="AW194" s="36">
        <f t="shared" ca="1" si="303"/>
        <v>0</v>
      </c>
      <c r="AX194" s="36">
        <f t="shared" ca="1" si="303"/>
        <v>0</v>
      </c>
      <c r="AY194" s="36">
        <f t="shared" ca="1" si="303"/>
        <v>0</v>
      </c>
      <c r="AZ194" s="36">
        <f t="shared" ca="1" si="303"/>
        <v>0</v>
      </c>
      <c r="BA194" s="36">
        <f t="shared" ca="1" si="303"/>
        <v>975000</v>
      </c>
      <c r="BB194" s="36">
        <f t="shared" ca="1" si="303"/>
        <v>0</v>
      </c>
      <c r="BC194" s="36">
        <f t="shared" ca="1" si="303"/>
        <v>0</v>
      </c>
      <c r="BD194" s="36">
        <f t="shared" ref="BD194:BM207" ca="1" si="304">IF($F194&lt;=0,OFFSET(INDEX($Z$124:$CV$148,MATCH($C194,$C$124:$C$148,0),MATCH(BD$11,$Z$11:$CV$11,0)),0,-ROUNDUP($F194/30,0)),OFFSET(INDEX($Z$124:$CV$148,MATCH($C194,$C$124:$C$148,0),MATCH(BD$11,$Z$11:$CV$11,0)),0,-ROUNDUP($F194/30,0)))</f>
        <v>0</v>
      </c>
      <c r="BE194" s="36">
        <f t="shared" ca="1" si="304"/>
        <v>0</v>
      </c>
      <c r="BF194" s="36">
        <f t="shared" ca="1" si="304"/>
        <v>0</v>
      </c>
      <c r="BG194" s="36">
        <f t="shared" ca="1" si="304"/>
        <v>1300000</v>
      </c>
      <c r="BH194" s="36">
        <f t="shared" ca="1" si="304"/>
        <v>0</v>
      </c>
      <c r="BI194" s="36">
        <f t="shared" ca="1" si="304"/>
        <v>0</v>
      </c>
      <c r="BJ194" s="36">
        <f t="shared" ca="1" si="304"/>
        <v>0</v>
      </c>
      <c r="BK194" s="36">
        <f t="shared" ca="1" si="304"/>
        <v>0</v>
      </c>
      <c r="BL194" s="36">
        <f t="shared" ca="1" si="304"/>
        <v>0</v>
      </c>
      <c r="BM194" s="36">
        <f t="shared" ca="1" si="304"/>
        <v>1950000</v>
      </c>
      <c r="BN194" s="36">
        <f t="shared" ref="BN194:BW207" ca="1" si="305">IF($F194&lt;=0,OFFSET(INDEX($Z$124:$CV$148,MATCH($C194,$C$124:$C$148,0),MATCH(BN$11,$Z$11:$CV$11,0)),0,-ROUNDUP($F194/30,0)),OFFSET(INDEX($Z$124:$CV$148,MATCH($C194,$C$124:$C$148,0),MATCH(BN$11,$Z$11:$CV$11,0)),0,-ROUNDUP($F194/30,0)))</f>
        <v>0</v>
      </c>
      <c r="BO194" s="36">
        <f t="shared" ca="1" si="305"/>
        <v>0</v>
      </c>
      <c r="BP194" s="36">
        <f t="shared" ca="1" si="305"/>
        <v>0</v>
      </c>
      <c r="BQ194" s="36">
        <f t="shared" ca="1" si="305"/>
        <v>0</v>
      </c>
      <c r="BR194" s="36">
        <f t="shared" ca="1" si="305"/>
        <v>0</v>
      </c>
      <c r="BS194" s="36">
        <f t="shared" ca="1" si="305"/>
        <v>2600000</v>
      </c>
      <c r="BT194" s="36">
        <f t="shared" ca="1" si="305"/>
        <v>0</v>
      </c>
      <c r="BU194" s="36">
        <f t="shared" ca="1" si="305"/>
        <v>0</v>
      </c>
      <c r="BV194" s="36">
        <f t="shared" ca="1" si="305"/>
        <v>0</v>
      </c>
      <c r="BW194" s="36">
        <f t="shared" ca="1" si="305"/>
        <v>0</v>
      </c>
      <c r="BX194" s="36">
        <f t="shared" ref="BX194:CG207" ca="1" si="306">IF($F194&lt;=0,OFFSET(INDEX($Z$124:$CV$148,MATCH($C194,$C$124:$C$148,0),MATCH(BX$11,$Z$11:$CV$11,0)),0,-ROUNDUP($F194/30,0)),OFFSET(INDEX($Z$124:$CV$148,MATCH($C194,$C$124:$C$148,0),MATCH(BX$11,$Z$11:$CV$11,0)),0,-ROUNDUP($F194/30,0)))</f>
        <v>0</v>
      </c>
      <c r="BY194" s="36">
        <f t="shared" ca="1" si="306"/>
        <v>2925000</v>
      </c>
      <c r="BZ194" s="36">
        <f t="shared" ca="1" si="306"/>
        <v>0</v>
      </c>
      <c r="CA194" s="36">
        <f t="shared" ca="1" si="306"/>
        <v>0</v>
      </c>
      <c r="CB194" s="36">
        <f t="shared" ca="1" si="306"/>
        <v>0</v>
      </c>
      <c r="CC194" s="36">
        <f t="shared" ca="1" si="306"/>
        <v>0</v>
      </c>
      <c r="CD194" s="36">
        <f t="shared" ca="1" si="306"/>
        <v>0</v>
      </c>
      <c r="CE194" s="36">
        <f t="shared" ca="1" si="306"/>
        <v>3900000</v>
      </c>
      <c r="CF194" s="36">
        <f t="shared" ca="1" si="306"/>
        <v>0</v>
      </c>
      <c r="CG194" s="36">
        <f t="shared" ca="1" si="306"/>
        <v>0</v>
      </c>
      <c r="CH194" s="36">
        <f t="shared" ref="CH194:CV207" ca="1" si="307">IF($F194&lt;=0,OFFSET(INDEX($Z$124:$CV$148,MATCH($C194,$C$124:$C$148,0),MATCH(CH$11,$Z$11:$CV$11,0)),0,-ROUNDUP($F194/30,0)),OFFSET(INDEX($Z$124:$CV$148,MATCH($C194,$C$124:$C$148,0),MATCH(CH$11,$Z$11:$CV$11,0)),0,-ROUNDUP($F194/30,0)))</f>
        <v>0</v>
      </c>
      <c r="CI194" s="36">
        <f t="shared" ca="1" si="307"/>
        <v>0</v>
      </c>
      <c r="CJ194" s="36">
        <f t="shared" ca="1" si="307"/>
        <v>0</v>
      </c>
      <c r="CK194" s="36">
        <f t="shared" ca="1" si="307"/>
        <v>3802500</v>
      </c>
      <c r="CL194" s="36">
        <f t="shared" ca="1" si="307"/>
        <v>0</v>
      </c>
      <c r="CM194" s="36">
        <f t="shared" ca="1" si="307"/>
        <v>0</v>
      </c>
      <c r="CN194" s="36">
        <f t="shared" ca="1" si="307"/>
        <v>0</v>
      </c>
      <c r="CO194" s="36">
        <f t="shared" ca="1" si="307"/>
        <v>0</v>
      </c>
      <c r="CP194" s="36">
        <f t="shared" ca="1" si="307"/>
        <v>0</v>
      </c>
      <c r="CQ194" s="36">
        <f t="shared" ca="1" si="307"/>
        <v>5070000</v>
      </c>
      <c r="CR194" s="36">
        <f t="shared" ca="1" si="307"/>
        <v>0</v>
      </c>
      <c r="CS194" s="36">
        <f t="shared" ca="1" si="307"/>
        <v>0</v>
      </c>
      <c r="CT194" s="36">
        <f t="shared" ca="1" si="307"/>
        <v>0</v>
      </c>
      <c r="CU194" s="36">
        <f t="shared" ca="1" si="307"/>
        <v>0</v>
      </c>
      <c r="CV194" s="36">
        <f t="shared" ca="1" si="307"/>
        <v>0</v>
      </c>
      <c r="CW194" s="21"/>
    </row>
    <row r="195" spans="3:101" x14ac:dyDescent="0.25">
      <c r="C195" s="49" t="str">
        <f t="shared" si="300"/>
        <v>BARIDTC</v>
      </c>
      <c r="D195" s="35" t="str">
        <f>[1]Key!C$23</f>
        <v>BARI</v>
      </c>
      <c r="E195" s="35" t="str">
        <f>[1]Key!D$23</f>
        <v>DTC</v>
      </c>
      <c r="F195" s="23">
        <f>[1]Key!$R$23</f>
        <v>0</v>
      </c>
      <c r="G195" s="21"/>
      <c r="H195" s="21"/>
      <c r="I195" s="21"/>
      <c r="J195" s="21"/>
      <c r="K195" s="21"/>
      <c r="L195" s="21"/>
      <c r="M195" s="21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36">
        <f t="shared" ca="1" si="301"/>
        <v>0</v>
      </c>
      <c r="AA195" s="36">
        <f t="shared" ca="1" si="301"/>
        <v>0</v>
      </c>
      <c r="AB195" s="36">
        <f t="shared" ca="1" si="301"/>
        <v>0</v>
      </c>
      <c r="AC195" s="36">
        <f t="shared" ca="1" si="301"/>
        <v>0</v>
      </c>
      <c r="AD195" s="36">
        <f t="shared" ca="1" si="301"/>
        <v>0</v>
      </c>
      <c r="AE195" s="36">
        <f t="shared" ca="1" si="301"/>
        <v>0</v>
      </c>
      <c r="AF195" s="36">
        <f t="shared" ca="1" si="301"/>
        <v>0</v>
      </c>
      <c r="AG195" s="36">
        <f t="shared" ca="1" si="301"/>
        <v>0</v>
      </c>
      <c r="AH195" s="36">
        <f t="shared" ca="1" si="301"/>
        <v>0</v>
      </c>
      <c r="AI195" s="36">
        <f t="shared" ca="1" si="301"/>
        <v>105000</v>
      </c>
      <c r="AJ195" s="36">
        <f t="shared" ca="1" si="302"/>
        <v>105000</v>
      </c>
      <c r="AK195" s="36">
        <f t="shared" ca="1" si="302"/>
        <v>252000</v>
      </c>
      <c r="AL195" s="36">
        <f t="shared" ca="1" si="302"/>
        <v>189000</v>
      </c>
      <c r="AM195" s="36">
        <f t="shared" ca="1" si="302"/>
        <v>0</v>
      </c>
      <c r="AN195" s="36">
        <f t="shared" ca="1" si="302"/>
        <v>189000</v>
      </c>
      <c r="AO195" s="36">
        <f t="shared" ca="1" si="302"/>
        <v>0</v>
      </c>
      <c r="AP195" s="36">
        <f t="shared" ca="1" si="302"/>
        <v>0</v>
      </c>
      <c r="AQ195" s="36">
        <f t="shared" ca="1" si="302"/>
        <v>378000</v>
      </c>
      <c r="AR195" s="36">
        <f t="shared" ca="1" si="302"/>
        <v>0</v>
      </c>
      <c r="AS195" s="36">
        <f t="shared" ca="1" si="302"/>
        <v>189000</v>
      </c>
      <c r="AT195" s="36">
        <f t="shared" ca="1" si="303"/>
        <v>378000</v>
      </c>
      <c r="AU195" s="36">
        <f t="shared" ca="1" si="303"/>
        <v>378000</v>
      </c>
      <c r="AV195" s="36">
        <f t="shared" ca="1" si="303"/>
        <v>78750</v>
      </c>
      <c r="AW195" s="36">
        <f t="shared" ca="1" si="303"/>
        <v>378000</v>
      </c>
      <c r="AX195" s="36">
        <f t="shared" ca="1" si="303"/>
        <v>567000</v>
      </c>
      <c r="AY195" s="36">
        <f t="shared" ca="1" si="303"/>
        <v>0</v>
      </c>
      <c r="AZ195" s="36">
        <f t="shared" ca="1" si="303"/>
        <v>378000</v>
      </c>
      <c r="BA195" s="36">
        <f t="shared" ca="1" si="303"/>
        <v>0</v>
      </c>
      <c r="BB195" s="36">
        <f t="shared" ca="1" si="303"/>
        <v>0</v>
      </c>
      <c r="BC195" s="36">
        <f t="shared" ca="1" si="303"/>
        <v>945000</v>
      </c>
      <c r="BD195" s="36">
        <f t="shared" ca="1" si="304"/>
        <v>0</v>
      </c>
      <c r="BE195" s="36">
        <f t="shared" ca="1" si="304"/>
        <v>0</v>
      </c>
      <c r="BF195" s="36">
        <f t="shared" ca="1" si="304"/>
        <v>378000</v>
      </c>
      <c r="BG195" s="36">
        <f t="shared" ca="1" si="304"/>
        <v>756000</v>
      </c>
      <c r="BH195" s="36">
        <f t="shared" ca="1" si="304"/>
        <v>0</v>
      </c>
      <c r="BI195" s="36">
        <f t="shared" ca="1" si="304"/>
        <v>456750</v>
      </c>
      <c r="BJ195" s="36">
        <f t="shared" ca="1" si="304"/>
        <v>1069200</v>
      </c>
      <c r="BK195" s="36">
        <f t="shared" ca="1" si="304"/>
        <v>0</v>
      </c>
      <c r="BL195" s="36">
        <f t="shared" ca="1" si="304"/>
        <v>712800</v>
      </c>
      <c r="BM195" s="36">
        <f t="shared" ca="1" si="304"/>
        <v>0</v>
      </c>
      <c r="BN195" s="36">
        <f t="shared" ca="1" si="305"/>
        <v>0</v>
      </c>
      <c r="BO195" s="36">
        <f t="shared" ca="1" si="305"/>
        <v>1782000</v>
      </c>
      <c r="BP195" s="36">
        <f t="shared" ca="1" si="305"/>
        <v>0</v>
      </c>
      <c r="BQ195" s="36">
        <f t="shared" ca="1" si="305"/>
        <v>0</v>
      </c>
      <c r="BR195" s="36">
        <f t="shared" ca="1" si="305"/>
        <v>712800</v>
      </c>
      <c r="BS195" s="36">
        <f t="shared" ca="1" si="305"/>
        <v>1425600</v>
      </c>
      <c r="BT195" s="36">
        <f t="shared" ca="1" si="305"/>
        <v>0</v>
      </c>
      <c r="BU195" s="36">
        <f t="shared" ca="1" si="305"/>
        <v>861300</v>
      </c>
      <c r="BV195" s="36">
        <f t="shared" ca="1" si="305"/>
        <v>1603800</v>
      </c>
      <c r="BW195" s="36">
        <f t="shared" ca="1" si="305"/>
        <v>0</v>
      </c>
      <c r="BX195" s="36">
        <f t="shared" ca="1" si="306"/>
        <v>1069200</v>
      </c>
      <c r="BY195" s="36">
        <f t="shared" ca="1" si="306"/>
        <v>0</v>
      </c>
      <c r="BZ195" s="36">
        <f t="shared" ca="1" si="306"/>
        <v>0</v>
      </c>
      <c r="CA195" s="36">
        <f t="shared" ca="1" si="306"/>
        <v>2673000</v>
      </c>
      <c r="CB195" s="36">
        <f t="shared" ca="1" si="306"/>
        <v>0</v>
      </c>
      <c r="CC195" s="36">
        <f t="shared" ca="1" si="306"/>
        <v>0</v>
      </c>
      <c r="CD195" s="36">
        <f t="shared" ca="1" si="306"/>
        <v>1069200</v>
      </c>
      <c r="CE195" s="36">
        <f t="shared" ca="1" si="306"/>
        <v>2138400</v>
      </c>
      <c r="CF195" s="36">
        <f t="shared" ca="1" si="306"/>
        <v>0</v>
      </c>
      <c r="CG195" s="36">
        <f t="shared" ca="1" si="306"/>
        <v>1291950</v>
      </c>
      <c r="CH195" s="36">
        <f t="shared" ca="1" si="307"/>
        <v>2084940</v>
      </c>
      <c r="CI195" s="36">
        <f t="shared" ca="1" si="307"/>
        <v>0</v>
      </c>
      <c r="CJ195" s="36">
        <f t="shared" ca="1" si="307"/>
        <v>1389960</v>
      </c>
      <c r="CK195" s="36">
        <f t="shared" ca="1" si="307"/>
        <v>0</v>
      </c>
      <c r="CL195" s="36">
        <f t="shared" ca="1" si="307"/>
        <v>0</v>
      </c>
      <c r="CM195" s="36">
        <f t="shared" ca="1" si="307"/>
        <v>3474900</v>
      </c>
      <c r="CN195" s="36">
        <f t="shared" ca="1" si="307"/>
        <v>0</v>
      </c>
      <c r="CO195" s="36">
        <f t="shared" ca="1" si="307"/>
        <v>0</v>
      </c>
      <c r="CP195" s="36">
        <f t="shared" ca="1" si="307"/>
        <v>1389960</v>
      </c>
      <c r="CQ195" s="36">
        <f t="shared" ca="1" si="307"/>
        <v>2779920</v>
      </c>
      <c r="CR195" s="36">
        <f t="shared" ca="1" si="307"/>
        <v>0</v>
      </c>
      <c r="CS195" s="36">
        <f t="shared" ca="1" si="307"/>
        <v>1679535</v>
      </c>
      <c r="CT195" s="36">
        <f t="shared" ca="1" si="307"/>
        <v>0</v>
      </c>
      <c r="CU195" s="36">
        <f t="shared" ca="1" si="307"/>
        <v>0</v>
      </c>
      <c r="CV195" s="36">
        <f t="shared" ca="1" si="307"/>
        <v>0</v>
      </c>
      <c r="CW195" s="21"/>
    </row>
    <row r="196" spans="3:101" x14ac:dyDescent="0.25">
      <c r="C196" s="49" t="str">
        <f t="shared" si="300"/>
        <v>BRAIN DEAD OAKLEYDTC</v>
      </c>
      <c r="D196" s="35" t="str">
        <f>[1]Key!C$24</f>
        <v>BRAIN DEAD OAKLEY</v>
      </c>
      <c r="E196" s="35" t="str">
        <f>[1]Key!D$24</f>
        <v>DTC</v>
      </c>
      <c r="F196" s="23">
        <f>[1]Key!$R$24</f>
        <v>0</v>
      </c>
      <c r="G196" s="21"/>
      <c r="H196" s="21"/>
      <c r="I196" s="21"/>
      <c r="J196" s="21"/>
      <c r="K196" s="21"/>
      <c r="L196" s="21"/>
      <c r="M196" s="21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36">
        <f t="shared" ca="1" si="301"/>
        <v>0</v>
      </c>
      <c r="AA196" s="36">
        <f t="shared" ca="1" si="301"/>
        <v>0</v>
      </c>
      <c r="AB196" s="36">
        <f t="shared" ca="1" si="301"/>
        <v>0</v>
      </c>
      <c r="AC196" s="36">
        <f t="shared" ca="1" si="301"/>
        <v>0</v>
      </c>
      <c r="AD196" s="36">
        <f t="shared" ca="1" si="301"/>
        <v>0</v>
      </c>
      <c r="AE196" s="36">
        <f t="shared" ca="1" si="301"/>
        <v>0</v>
      </c>
      <c r="AF196" s="36">
        <f t="shared" ca="1" si="301"/>
        <v>0</v>
      </c>
      <c r="AG196" s="36">
        <f t="shared" ca="1" si="301"/>
        <v>0</v>
      </c>
      <c r="AH196" s="36">
        <f t="shared" ca="1" si="301"/>
        <v>0</v>
      </c>
      <c r="AI196" s="36">
        <f t="shared" ca="1" si="301"/>
        <v>0</v>
      </c>
      <c r="AJ196" s="36">
        <f t="shared" ca="1" si="302"/>
        <v>0</v>
      </c>
      <c r="AK196" s="36">
        <f t="shared" ca="1" si="302"/>
        <v>0</v>
      </c>
      <c r="AL196" s="36">
        <f t="shared" ca="1" si="302"/>
        <v>0</v>
      </c>
      <c r="AM196" s="36">
        <f t="shared" ca="1" si="302"/>
        <v>0</v>
      </c>
      <c r="AN196" s="36">
        <f t="shared" ca="1" si="302"/>
        <v>0</v>
      </c>
      <c r="AO196" s="36">
        <f t="shared" ca="1" si="302"/>
        <v>0</v>
      </c>
      <c r="AP196" s="36">
        <f t="shared" ca="1" si="302"/>
        <v>0</v>
      </c>
      <c r="AQ196" s="36">
        <f t="shared" ca="1" si="302"/>
        <v>0</v>
      </c>
      <c r="AR196" s="36">
        <f t="shared" ca="1" si="302"/>
        <v>0</v>
      </c>
      <c r="AS196" s="36">
        <f t="shared" ca="1" si="302"/>
        <v>0</v>
      </c>
      <c r="AT196" s="36">
        <f t="shared" ca="1" si="303"/>
        <v>0</v>
      </c>
      <c r="AU196" s="36">
        <f t="shared" ca="1" si="303"/>
        <v>0</v>
      </c>
      <c r="AV196" s="36">
        <f t="shared" ca="1" si="303"/>
        <v>0</v>
      </c>
      <c r="AW196" s="36">
        <f t="shared" ca="1" si="303"/>
        <v>0</v>
      </c>
      <c r="AX196" s="36">
        <f t="shared" ca="1" si="303"/>
        <v>0</v>
      </c>
      <c r="AY196" s="36">
        <f t="shared" ca="1" si="303"/>
        <v>0</v>
      </c>
      <c r="AZ196" s="36">
        <f t="shared" ca="1" si="303"/>
        <v>0</v>
      </c>
      <c r="BA196" s="36">
        <f t="shared" ca="1" si="303"/>
        <v>0</v>
      </c>
      <c r="BB196" s="36">
        <f t="shared" ca="1" si="303"/>
        <v>0</v>
      </c>
      <c r="BC196" s="36">
        <f t="shared" ca="1" si="303"/>
        <v>0</v>
      </c>
      <c r="BD196" s="36">
        <f t="shared" ca="1" si="304"/>
        <v>0</v>
      </c>
      <c r="BE196" s="36">
        <f t="shared" ca="1" si="304"/>
        <v>0</v>
      </c>
      <c r="BF196" s="36">
        <f t="shared" ca="1" si="304"/>
        <v>0</v>
      </c>
      <c r="BG196" s="36">
        <f t="shared" ca="1" si="304"/>
        <v>0</v>
      </c>
      <c r="BH196" s="36">
        <f t="shared" ca="1" si="304"/>
        <v>0</v>
      </c>
      <c r="BI196" s="36">
        <f t="shared" ca="1" si="304"/>
        <v>0</v>
      </c>
      <c r="BJ196" s="36">
        <f t="shared" ca="1" si="304"/>
        <v>0</v>
      </c>
      <c r="BK196" s="36">
        <f t="shared" ca="1" si="304"/>
        <v>0</v>
      </c>
      <c r="BL196" s="36">
        <f t="shared" ca="1" si="304"/>
        <v>0</v>
      </c>
      <c r="BM196" s="36">
        <f t="shared" ca="1" si="304"/>
        <v>0</v>
      </c>
      <c r="BN196" s="36">
        <f t="shared" ca="1" si="305"/>
        <v>0</v>
      </c>
      <c r="BO196" s="36">
        <f t="shared" ca="1" si="305"/>
        <v>0</v>
      </c>
      <c r="BP196" s="36">
        <f t="shared" ca="1" si="305"/>
        <v>0</v>
      </c>
      <c r="BQ196" s="36">
        <f t="shared" ca="1" si="305"/>
        <v>0</v>
      </c>
      <c r="BR196" s="36">
        <f t="shared" ca="1" si="305"/>
        <v>0</v>
      </c>
      <c r="BS196" s="36">
        <f t="shared" ca="1" si="305"/>
        <v>0</v>
      </c>
      <c r="BT196" s="36">
        <f t="shared" ca="1" si="305"/>
        <v>0</v>
      </c>
      <c r="BU196" s="36">
        <f t="shared" ca="1" si="305"/>
        <v>0</v>
      </c>
      <c r="BV196" s="36">
        <f t="shared" ca="1" si="305"/>
        <v>0</v>
      </c>
      <c r="BW196" s="36">
        <f t="shared" ca="1" si="305"/>
        <v>0</v>
      </c>
      <c r="BX196" s="36">
        <f t="shared" ca="1" si="306"/>
        <v>0</v>
      </c>
      <c r="BY196" s="36">
        <f t="shared" ca="1" si="306"/>
        <v>0</v>
      </c>
      <c r="BZ196" s="36">
        <f t="shared" ca="1" si="306"/>
        <v>0</v>
      </c>
      <c r="CA196" s="36">
        <f t="shared" ca="1" si="306"/>
        <v>0</v>
      </c>
      <c r="CB196" s="36">
        <f t="shared" ca="1" si="306"/>
        <v>0</v>
      </c>
      <c r="CC196" s="36">
        <f t="shared" ca="1" si="306"/>
        <v>0</v>
      </c>
      <c r="CD196" s="36">
        <f t="shared" ca="1" si="306"/>
        <v>0</v>
      </c>
      <c r="CE196" s="36">
        <f t="shared" ca="1" si="306"/>
        <v>0</v>
      </c>
      <c r="CF196" s="36">
        <f t="shared" ca="1" si="306"/>
        <v>0</v>
      </c>
      <c r="CG196" s="36">
        <f t="shared" ca="1" si="306"/>
        <v>0</v>
      </c>
      <c r="CH196" s="36">
        <f t="shared" ca="1" si="307"/>
        <v>0</v>
      </c>
      <c r="CI196" s="36">
        <f t="shared" ca="1" si="307"/>
        <v>0</v>
      </c>
      <c r="CJ196" s="36">
        <f t="shared" ca="1" si="307"/>
        <v>0</v>
      </c>
      <c r="CK196" s="36">
        <f t="shared" ca="1" si="307"/>
        <v>0</v>
      </c>
      <c r="CL196" s="36">
        <f t="shared" ca="1" si="307"/>
        <v>0</v>
      </c>
      <c r="CM196" s="36">
        <f t="shared" ca="1" si="307"/>
        <v>0</v>
      </c>
      <c r="CN196" s="36">
        <f t="shared" ca="1" si="307"/>
        <v>0</v>
      </c>
      <c r="CO196" s="36">
        <f t="shared" ca="1" si="307"/>
        <v>0</v>
      </c>
      <c r="CP196" s="36">
        <f t="shared" ca="1" si="307"/>
        <v>0</v>
      </c>
      <c r="CQ196" s="36">
        <f t="shared" ca="1" si="307"/>
        <v>0</v>
      </c>
      <c r="CR196" s="36">
        <f t="shared" ca="1" si="307"/>
        <v>0</v>
      </c>
      <c r="CS196" s="36">
        <f t="shared" ca="1" si="307"/>
        <v>0</v>
      </c>
      <c r="CT196" s="36">
        <f t="shared" ca="1" si="307"/>
        <v>0</v>
      </c>
      <c r="CU196" s="36">
        <f t="shared" ca="1" si="307"/>
        <v>0</v>
      </c>
      <c r="CV196" s="36">
        <f t="shared" ca="1" si="307"/>
        <v>0</v>
      </c>
      <c r="CW196" s="21"/>
    </row>
    <row r="197" spans="3:101" x14ac:dyDescent="0.25">
      <c r="C197" s="49" t="str">
        <f t="shared" si="300"/>
        <v>GROWTH "HIT" PHDTC</v>
      </c>
      <c r="D197" s="35" t="str">
        <f>[1]Key!C$25</f>
        <v>GROWTH "HIT" PH</v>
      </c>
      <c r="E197" s="35" t="str">
        <f>[1]Key!D$25</f>
        <v>DTC</v>
      </c>
      <c r="F197" s="23">
        <f>[1]Key!$R$25</f>
        <v>0</v>
      </c>
      <c r="G197" s="21"/>
      <c r="H197" s="21"/>
      <c r="I197" s="21"/>
      <c r="J197" s="21"/>
      <c r="K197" s="21"/>
      <c r="L197" s="21"/>
      <c r="M197" s="21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36">
        <f t="shared" ca="1" si="301"/>
        <v>0</v>
      </c>
      <c r="AA197" s="36">
        <f t="shared" ca="1" si="301"/>
        <v>0</v>
      </c>
      <c r="AB197" s="36">
        <f t="shared" ca="1" si="301"/>
        <v>0</v>
      </c>
      <c r="AC197" s="36">
        <f t="shared" ca="1" si="301"/>
        <v>0</v>
      </c>
      <c r="AD197" s="36">
        <f t="shared" ca="1" si="301"/>
        <v>0</v>
      </c>
      <c r="AE197" s="36">
        <f t="shared" ca="1" si="301"/>
        <v>0</v>
      </c>
      <c r="AF197" s="36">
        <f t="shared" ca="1" si="301"/>
        <v>0</v>
      </c>
      <c r="AG197" s="36">
        <f t="shared" ca="1" si="301"/>
        <v>0</v>
      </c>
      <c r="AH197" s="36">
        <f t="shared" ca="1" si="301"/>
        <v>0</v>
      </c>
      <c r="AI197" s="36">
        <f t="shared" ca="1" si="301"/>
        <v>0</v>
      </c>
      <c r="AJ197" s="36">
        <f t="shared" ca="1" si="302"/>
        <v>0</v>
      </c>
      <c r="AK197" s="36">
        <f t="shared" ca="1" si="302"/>
        <v>0</v>
      </c>
      <c r="AL197" s="36">
        <f t="shared" ca="1" si="302"/>
        <v>0</v>
      </c>
      <c r="AM197" s="36">
        <f t="shared" ca="1" si="302"/>
        <v>0</v>
      </c>
      <c r="AN197" s="36">
        <f t="shared" ca="1" si="302"/>
        <v>0</v>
      </c>
      <c r="AO197" s="36">
        <f t="shared" ca="1" si="302"/>
        <v>0</v>
      </c>
      <c r="AP197" s="36">
        <f t="shared" ca="1" si="302"/>
        <v>0</v>
      </c>
      <c r="AQ197" s="36">
        <f t="shared" ca="1" si="302"/>
        <v>0</v>
      </c>
      <c r="AR197" s="36">
        <f t="shared" ca="1" si="302"/>
        <v>0</v>
      </c>
      <c r="AS197" s="36">
        <f t="shared" ca="1" si="302"/>
        <v>0</v>
      </c>
      <c r="AT197" s="36">
        <f t="shared" ca="1" si="303"/>
        <v>0</v>
      </c>
      <c r="AU197" s="36">
        <f t="shared" ca="1" si="303"/>
        <v>588000</v>
      </c>
      <c r="AV197" s="36">
        <f t="shared" ca="1" si="303"/>
        <v>0</v>
      </c>
      <c r="AW197" s="36">
        <f t="shared" ca="1" si="303"/>
        <v>0</v>
      </c>
      <c r="AX197" s="36">
        <f t="shared" ca="1" si="303"/>
        <v>1260000</v>
      </c>
      <c r="AY197" s="36">
        <f t="shared" ca="1" si="303"/>
        <v>0</v>
      </c>
      <c r="AZ197" s="36">
        <f t="shared" ca="1" si="303"/>
        <v>0</v>
      </c>
      <c r="BA197" s="36">
        <f t="shared" ca="1" si="303"/>
        <v>1260000</v>
      </c>
      <c r="BB197" s="36">
        <f t="shared" ca="1" si="303"/>
        <v>0</v>
      </c>
      <c r="BC197" s="36">
        <f t="shared" ca="1" si="303"/>
        <v>0</v>
      </c>
      <c r="BD197" s="36">
        <f t="shared" ca="1" si="304"/>
        <v>1575000</v>
      </c>
      <c r="BE197" s="36">
        <f t="shared" ca="1" si="304"/>
        <v>0</v>
      </c>
      <c r="BF197" s="36">
        <f t="shared" ca="1" si="304"/>
        <v>0</v>
      </c>
      <c r="BG197" s="36">
        <f t="shared" ca="1" si="304"/>
        <v>2205000</v>
      </c>
      <c r="BH197" s="36">
        <f t="shared" ca="1" si="304"/>
        <v>0</v>
      </c>
      <c r="BI197" s="36">
        <f t="shared" ca="1" si="304"/>
        <v>0</v>
      </c>
      <c r="BJ197" s="36">
        <f t="shared" ca="1" si="304"/>
        <v>2376000</v>
      </c>
      <c r="BK197" s="36">
        <f t="shared" ca="1" si="304"/>
        <v>0</v>
      </c>
      <c r="BL197" s="36">
        <f t="shared" ca="1" si="304"/>
        <v>0</v>
      </c>
      <c r="BM197" s="36">
        <f t="shared" ca="1" si="304"/>
        <v>2376000</v>
      </c>
      <c r="BN197" s="36">
        <f t="shared" ca="1" si="305"/>
        <v>0</v>
      </c>
      <c r="BO197" s="36">
        <f t="shared" ca="1" si="305"/>
        <v>0</v>
      </c>
      <c r="BP197" s="36">
        <f t="shared" ca="1" si="305"/>
        <v>2970000</v>
      </c>
      <c r="BQ197" s="36">
        <f t="shared" ca="1" si="305"/>
        <v>0</v>
      </c>
      <c r="BR197" s="36">
        <f t="shared" ca="1" si="305"/>
        <v>0</v>
      </c>
      <c r="BS197" s="36">
        <f t="shared" ca="1" si="305"/>
        <v>4158000</v>
      </c>
      <c r="BT197" s="36">
        <f t="shared" ca="1" si="305"/>
        <v>0</v>
      </c>
      <c r="BU197" s="36">
        <f t="shared" ca="1" si="305"/>
        <v>0</v>
      </c>
      <c r="BV197" s="36">
        <f t="shared" ca="1" si="305"/>
        <v>3564000</v>
      </c>
      <c r="BW197" s="36">
        <f t="shared" ca="1" si="305"/>
        <v>0</v>
      </c>
      <c r="BX197" s="36">
        <f t="shared" ca="1" si="306"/>
        <v>0</v>
      </c>
      <c r="BY197" s="36">
        <f t="shared" ca="1" si="306"/>
        <v>3564000</v>
      </c>
      <c r="BZ197" s="36">
        <f t="shared" ca="1" si="306"/>
        <v>0</v>
      </c>
      <c r="CA197" s="36">
        <f t="shared" ca="1" si="306"/>
        <v>0</v>
      </c>
      <c r="CB197" s="36">
        <f t="shared" ca="1" si="306"/>
        <v>4455000</v>
      </c>
      <c r="CC197" s="36">
        <f t="shared" ca="1" si="306"/>
        <v>0</v>
      </c>
      <c r="CD197" s="36">
        <f t="shared" ca="1" si="306"/>
        <v>0</v>
      </c>
      <c r="CE197" s="36">
        <f t="shared" ca="1" si="306"/>
        <v>6237000</v>
      </c>
      <c r="CF197" s="36">
        <f t="shared" ca="1" si="306"/>
        <v>0</v>
      </c>
      <c r="CG197" s="36">
        <f t="shared" ca="1" si="306"/>
        <v>0</v>
      </c>
      <c r="CH197" s="36">
        <f t="shared" ca="1" si="307"/>
        <v>4633200</v>
      </c>
      <c r="CI197" s="36">
        <f t="shared" ca="1" si="307"/>
        <v>0</v>
      </c>
      <c r="CJ197" s="36">
        <f t="shared" ca="1" si="307"/>
        <v>0</v>
      </c>
      <c r="CK197" s="36">
        <f t="shared" ca="1" si="307"/>
        <v>4633200</v>
      </c>
      <c r="CL197" s="36">
        <f t="shared" ca="1" si="307"/>
        <v>0</v>
      </c>
      <c r="CM197" s="36">
        <f t="shared" ca="1" si="307"/>
        <v>0</v>
      </c>
      <c r="CN197" s="36">
        <f t="shared" ca="1" si="307"/>
        <v>5791500</v>
      </c>
      <c r="CO197" s="36">
        <f t="shared" ca="1" si="307"/>
        <v>0</v>
      </c>
      <c r="CP197" s="36">
        <f t="shared" ca="1" si="307"/>
        <v>0</v>
      </c>
      <c r="CQ197" s="36">
        <f t="shared" ca="1" si="307"/>
        <v>8108100</v>
      </c>
      <c r="CR197" s="36">
        <f t="shared" ca="1" si="307"/>
        <v>0</v>
      </c>
      <c r="CS197" s="36">
        <f t="shared" ca="1" si="307"/>
        <v>0</v>
      </c>
      <c r="CT197" s="36">
        <f t="shared" ca="1" si="307"/>
        <v>0</v>
      </c>
      <c r="CU197" s="36">
        <f t="shared" ca="1" si="307"/>
        <v>0</v>
      </c>
      <c r="CV197" s="36">
        <f t="shared" ca="1" si="307"/>
        <v>0</v>
      </c>
      <c r="CW197" s="21"/>
    </row>
    <row r="198" spans="3:101" x14ac:dyDescent="0.25">
      <c r="C198" s="49" t="str">
        <f t="shared" si="300"/>
        <v>ICE STUDIOSDTC</v>
      </c>
      <c r="D198" s="35" t="str">
        <f>[1]Key!C$26</f>
        <v>ICE STUDIOS</v>
      </c>
      <c r="E198" s="35" t="str">
        <f>[1]Key!D$26</f>
        <v>DTC</v>
      </c>
      <c r="F198" s="23">
        <f>[1]Key!$R$26</f>
        <v>0</v>
      </c>
      <c r="G198" s="21"/>
      <c r="H198" s="21"/>
      <c r="I198" s="21"/>
      <c r="J198" s="21"/>
      <c r="K198" s="21"/>
      <c r="L198" s="21"/>
      <c r="M198" s="21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36">
        <f t="shared" ca="1" si="301"/>
        <v>0</v>
      </c>
      <c r="AA198" s="36">
        <f t="shared" ca="1" si="301"/>
        <v>0</v>
      </c>
      <c r="AB198" s="36">
        <f t="shared" ca="1" si="301"/>
        <v>0</v>
      </c>
      <c r="AC198" s="36">
        <f t="shared" ca="1" si="301"/>
        <v>0</v>
      </c>
      <c r="AD198" s="36">
        <f t="shared" ca="1" si="301"/>
        <v>0</v>
      </c>
      <c r="AE198" s="36">
        <f t="shared" ca="1" si="301"/>
        <v>0</v>
      </c>
      <c r="AF198" s="36">
        <f t="shared" ca="1" si="301"/>
        <v>0</v>
      </c>
      <c r="AG198" s="36">
        <f t="shared" ca="1" si="301"/>
        <v>0</v>
      </c>
      <c r="AH198" s="36">
        <f t="shared" ca="1" si="301"/>
        <v>0</v>
      </c>
      <c r="AI198" s="36">
        <f t="shared" ca="1" si="301"/>
        <v>0</v>
      </c>
      <c r="AJ198" s="36">
        <f t="shared" ca="1" si="302"/>
        <v>0</v>
      </c>
      <c r="AK198" s="36">
        <f t="shared" ca="1" si="302"/>
        <v>308700</v>
      </c>
      <c r="AL198" s="36">
        <f t="shared" ca="1" si="302"/>
        <v>0</v>
      </c>
      <c r="AM198" s="36">
        <f t="shared" ca="1" si="302"/>
        <v>476280</v>
      </c>
      <c r="AN198" s="36">
        <f t="shared" ca="1" si="302"/>
        <v>0</v>
      </c>
      <c r="AO198" s="36">
        <f t="shared" ca="1" si="302"/>
        <v>0</v>
      </c>
      <c r="AP198" s="36">
        <f t="shared" ca="1" si="302"/>
        <v>0</v>
      </c>
      <c r="AQ198" s="36">
        <f t="shared" ca="1" si="302"/>
        <v>793800</v>
      </c>
      <c r="AR198" s="36">
        <f t="shared" ca="1" si="302"/>
        <v>0</v>
      </c>
      <c r="AS198" s="36">
        <f t="shared" ca="1" si="302"/>
        <v>0</v>
      </c>
      <c r="AT198" s="36">
        <f t="shared" ca="1" si="303"/>
        <v>1285200</v>
      </c>
      <c r="AU198" s="36">
        <f t="shared" ca="1" si="303"/>
        <v>0</v>
      </c>
      <c r="AV198" s="36">
        <f t="shared" ca="1" si="303"/>
        <v>0</v>
      </c>
      <c r="AW198" s="36">
        <f t="shared" ca="1" si="303"/>
        <v>1547280</v>
      </c>
      <c r="AX198" s="36">
        <f t="shared" ca="1" si="303"/>
        <v>483840</v>
      </c>
      <c r="AY198" s="36">
        <f t="shared" ca="1" si="303"/>
        <v>786240</v>
      </c>
      <c r="AZ198" s="36">
        <f t="shared" ca="1" si="303"/>
        <v>0</v>
      </c>
      <c r="BA198" s="36">
        <f t="shared" ca="1" si="303"/>
        <v>0</v>
      </c>
      <c r="BB198" s="36">
        <f t="shared" ca="1" si="303"/>
        <v>0</v>
      </c>
      <c r="BC198" s="36">
        <f t="shared" ca="1" si="303"/>
        <v>1270080</v>
      </c>
      <c r="BD198" s="36">
        <f t="shared" ca="1" si="304"/>
        <v>0</v>
      </c>
      <c r="BE198" s="36">
        <f t="shared" ca="1" si="304"/>
        <v>0</v>
      </c>
      <c r="BF198" s="36">
        <f t="shared" ca="1" si="304"/>
        <v>1310400</v>
      </c>
      <c r="BG198" s="36">
        <f t="shared" ca="1" si="304"/>
        <v>0</v>
      </c>
      <c r="BH198" s="36">
        <f t="shared" ca="1" si="304"/>
        <v>96768</v>
      </c>
      <c r="BI198" s="36">
        <f t="shared" ca="1" si="304"/>
        <v>1310400</v>
      </c>
      <c r="BJ198" s="36">
        <f t="shared" ca="1" si="304"/>
        <v>1140480</v>
      </c>
      <c r="BK198" s="36">
        <f t="shared" ca="1" si="304"/>
        <v>1853280</v>
      </c>
      <c r="BL198" s="36">
        <f t="shared" ca="1" si="304"/>
        <v>0</v>
      </c>
      <c r="BM198" s="36">
        <f t="shared" ca="1" si="304"/>
        <v>0</v>
      </c>
      <c r="BN198" s="36">
        <f t="shared" ca="1" si="305"/>
        <v>0</v>
      </c>
      <c r="BO198" s="36">
        <f t="shared" ca="1" si="305"/>
        <v>2993760</v>
      </c>
      <c r="BP198" s="36">
        <f t="shared" ca="1" si="305"/>
        <v>0</v>
      </c>
      <c r="BQ198" s="36">
        <f t="shared" ca="1" si="305"/>
        <v>0</v>
      </c>
      <c r="BR198" s="36">
        <f t="shared" ca="1" si="305"/>
        <v>3088800</v>
      </c>
      <c r="BS198" s="36">
        <f t="shared" ca="1" si="305"/>
        <v>0</v>
      </c>
      <c r="BT198" s="36">
        <f t="shared" ca="1" si="305"/>
        <v>228096</v>
      </c>
      <c r="BU198" s="36">
        <f t="shared" ca="1" si="305"/>
        <v>3088800</v>
      </c>
      <c r="BV198" s="36">
        <f t="shared" ca="1" si="305"/>
        <v>2566080</v>
      </c>
      <c r="BW198" s="36">
        <f t="shared" ca="1" si="305"/>
        <v>4169880</v>
      </c>
      <c r="BX198" s="36">
        <f t="shared" ca="1" si="306"/>
        <v>0</v>
      </c>
      <c r="BY198" s="36">
        <f t="shared" ca="1" si="306"/>
        <v>0</v>
      </c>
      <c r="BZ198" s="36">
        <f t="shared" ca="1" si="306"/>
        <v>0</v>
      </c>
      <c r="CA198" s="36">
        <f t="shared" ca="1" si="306"/>
        <v>6735960</v>
      </c>
      <c r="CB198" s="36">
        <f t="shared" ca="1" si="306"/>
        <v>0</v>
      </c>
      <c r="CC198" s="36">
        <f t="shared" ca="1" si="306"/>
        <v>0</v>
      </c>
      <c r="CD198" s="36">
        <f t="shared" ca="1" si="306"/>
        <v>6949800</v>
      </c>
      <c r="CE198" s="36">
        <f t="shared" ca="1" si="306"/>
        <v>0</v>
      </c>
      <c r="CF198" s="36">
        <f t="shared" ca="1" si="306"/>
        <v>513216</v>
      </c>
      <c r="CG198" s="36">
        <f t="shared" ca="1" si="306"/>
        <v>6949800</v>
      </c>
      <c r="CH198" s="36">
        <f t="shared" ca="1" si="307"/>
        <v>4490640</v>
      </c>
      <c r="CI198" s="36">
        <f t="shared" ca="1" si="307"/>
        <v>7297290</v>
      </c>
      <c r="CJ198" s="36">
        <f t="shared" ca="1" si="307"/>
        <v>0</v>
      </c>
      <c r="CK198" s="36">
        <f t="shared" ca="1" si="307"/>
        <v>0</v>
      </c>
      <c r="CL198" s="36">
        <f t="shared" ca="1" si="307"/>
        <v>0</v>
      </c>
      <c r="CM198" s="36">
        <f t="shared" ca="1" si="307"/>
        <v>11787930</v>
      </c>
      <c r="CN198" s="36">
        <f t="shared" ca="1" si="307"/>
        <v>0</v>
      </c>
      <c r="CO198" s="36">
        <f t="shared" ca="1" si="307"/>
        <v>0</v>
      </c>
      <c r="CP198" s="36">
        <f t="shared" ca="1" si="307"/>
        <v>12162150</v>
      </c>
      <c r="CQ198" s="36">
        <f t="shared" ca="1" si="307"/>
        <v>0</v>
      </c>
      <c r="CR198" s="36">
        <f t="shared" ca="1" si="307"/>
        <v>898128</v>
      </c>
      <c r="CS198" s="36">
        <f t="shared" ca="1" si="307"/>
        <v>12162150</v>
      </c>
      <c r="CT198" s="36">
        <f t="shared" ca="1" si="307"/>
        <v>0</v>
      </c>
      <c r="CU198" s="36">
        <f t="shared" ca="1" si="307"/>
        <v>0</v>
      </c>
      <c r="CV198" s="36">
        <f t="shared" ca="1" si="307"/>
        <v>0</v>
      </c>
      <c r="CW198" s="21"/>
    </row>
    <row r="199" spans="3:101" x14ac:dyDescent="0.25">
      <c r="C199" s="49" t="str">
        <f t="shared" si="300"/>
        <v>MURAKAMI / TORITONDTC</v>
      </c>
      <c r="D199" s="35" t="str">
        <f>[1]Key!C$27</f>
        <v>MURAKAMI / TORITON</v>
      </c>
      <c r="E199" s="35" t="str">
        <f>[1]Key!D$27</f>
        <v>DTC</v>
      </c>
      <c r="F199" s="23">
        <f>[1]Key!$R$27</f>
        <v>0</v>
      </c>
      <c r="G199" s="21"/>
      <c r="H199" s="21"/>
      <c r="I199" s="21"/>
      <c r="J199" s="21"/>
      <c r="K199" s="21"/>
      <c r="L199" s="21"/>
      <c r="M199" s="21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36">
        <f t="shared" ca="1" si="301"/>
        <v>0</v>
      </c>
      <c r="AA199" s="36">
        <f t="shared" ca="1" si="301"/>
        <v>0</v>
      </c>
      <c r="AB199" s="36">
        <f t="shared" ca="1" si="301"/>
        <v>0</v>
      </c>
      <c r="AC199" s="36">
        <f t="shared" ca="1" si="301"/>
        <v>0</v>
      </c>
      <c r="AD199" s="36">
        <f t="shared" ca="1" si="301"/>
        <v>0</v>
      </c>
      <c r="AE199" s="36">
        <f t="shared" ca="1" si="301"/>
        <v>63000</v>
      </c>
      <c r="AF199" s="36">
        <f t="shared" ca="1" si="301"/>
        <v>1512000</v>
      </c>
      <c r="AG199" s="36">
        <f t="shared" ca="1" si="301"/>
        <v>0</v>
      </c>
      <c r="AH199" s="36">
        <f t="shared" ca="1" si="301"/>
        <v>126000</v>
      </c>
      <c r="AI199" s="36">
        <f t="shared" ca="1" si="301"/>
        <v>0</v>
      </c>
      <c r="AJ199" s="36">
        <f t="shared" ca="1" si="302"/>
        <v>189000</v>
      </c>
      <c r="AK199" s="36">
        <f t="shared" ca="1" si="302"/>
        <v>283500</v>
      </c>
      <c r="AL199" s="36">
        <f t="shared" ca="1" si="302"/>
        <v>0</v>
      </c>
      <c r="AM199" s="36">
        <f t="shared" ca="1" si="302"/>
        <v>630000</v>
      </c>
      <c r="AN199" s="36">
        <f t="shared" ca="1" si="302"/>
        <v>189000</v>
      </c>
      <c r="AO199" s="36">
        <f t="shared" ca="1" si="302"/>
        <v>0</v>
      </c>
      <c r="AP199" s="36">
        <f t="shared" ca="1" si="302"/>
        <v>787500</v>
      </c>
      <c r="AQ199" s="36">
        <f t="shared" ca="1" si="302"/>
        <v>425250</v>
      </c>
      <c r="AR199" s="36">
        <f t="shared" ca="1" si="302"/>
        <v>245700</v>
      </c>
      <c r="AS199" s="36">
        <f t="shared" ca="1" si="302"/>
        <v>932400</v>
      </c>
      <c r="AT199" s="36">
        <f t="shared" ca="1" si="303"/>
        <v>0</v>
      </c>
      <c r="AU199" s="36">
        <f t="shared" ca="1" si="303"/>
        <v>126000</v>
      </c>
      <c r="AV199" s="36">
        <f t="shared" ca="1" si="303"/>
        <v>1020600</v>
      </c>
      <c r="AW199" s="36">
        <f t="shared" ca="1" si="303"/>
        <v>576450</v>
      </c>
      <c r="AX199" s="36">
        <f t="shared" ca="1" si="303"/>
        <v>189000</v>
      </c>
      <c r="AY199" s="36">
        <f t="shared" ca="1" si="303"/>
        <v>1404900</v>
      </c>
      <c r="AZ199" s="36">
        <f t="shared" ca="1" si="303"/>
        <v>529200</v>
      </c>
      <c r="BA199" s="36">
        <f t="shared" ca="1" si="303"/>
        <v>47250</v>
      </c>
      <c r="BB199" s="36">
        <f t="shared" ca="1" si="303"/>
        <v>1102500</v>
      </c>
      <c r="BC199" s="36">
        <f t="shared" ca="1" si="303"/>
        <v>831600</v>
      </c>
      <c r="BD199" s="36">
        <f t="shared" ca="1" si="304"/>
        <v>189000</v>
      </c>
      <c r="BE199" s="36">
        <f t="shared" ca="1" si="304"/>
        <v>1499400</v>
      </c>
      <c r="BF199" s="36">
        <f t="shared" ca="1" si="304"/>
        <v>529200</v>
      </c>
      <c r="BG199" s="36">
        <f t="shared" ca="1" si="304"/>
        <v>47250</v>
      </c>
      <c r="BH199" s="36">
        <f t="shared" ca="1" si="304"/>
        <v>995400</v>
      </c>
      <c r="BI199" s="36">
        <f t="shared" ca="1" si="304"/>
        <v>529200</v>
      </c>
      <c r="BJ199" s="36">
        <f t="shared" ca="1" si="304"/>
        <v>445500</v>
      </c>
      <c r="BK199" s="36">
        <f t="shared" ca="1" si="304"/>
        <v>3311550</v>
      </c>
      <c r="BL199" s="36">
        <f t="shared" ca="1" si="304"/>
        <v>1247400</v>
      </c>
      <c r="BM199" s="36">
        <f t="shared" ca="1" si="304"/>
        <v>111375</v>
      </c>
      <c r="BN199" s="36">
        <f t="shared" ca="1" si="305"/>
        <v>2598750</v>
      </c>
      <c r="BO199" s="36">
        <f t="shared" ca="1" si="305"/>
        <v>1960200</v>
      </c>
      <c r="BP199" s="36">
        <f t="shared" ca="1" si="305"/>
        <v>445500</v>
      </c>
      <c r="BQ199" s="36">
        <f t="shared" ca="1" si="305"/>
        <v>3534300</v>
      </c>
      <c r="BR199" s="36">
        <f t="shared" ca="1" si="305"/>
        <v>1247400</v>
      </c>
      <c r="BS199" s="36">
        <f t="shared" ca="1" si="305"/>
        <v>111375</v>
      </c>
      <c r="BT199" s="36">
        <f t="shared" ca="1" si="305"/>
        <v>2346300</v>
      </c>
      <c r="BU199" s="36">
        <f t="shared" ca="1" si="305"/>
        <v>1247400</v>
      </c>
      <c r="BV199" s="36">
        <f t="shared" ca="1" si="305"/>
        <v>779625</v>
      </c>
      <c r="BW199" s="36">
        <f t="shared" ca="1" si="305"/>
        <v>5795212.5</v>
      </c>
      <c r="BX199" s="36">
        <f t="shared" ca="1" si="306"/>
        <v>2182950</v>
      </c>
      <c r="BY199" s="36">
        <f t="shared" ca="1" si="306"/>
        <v>194906.25</v>
      </c>
      <c r="BZ199" s="36">
        <f t="shared" ca="1" si="306"/>
        <v>4547812.5</v>
      </c>
      <c r="CA199" s="36">
        <f t="shared" ca="1" si="306"/>
        <v>3430350</v>
      </c>
      <c r="CB199" s="36">
        <f t="shared" ca="1" si="306"/>
        <v>779625</v>
      </c>
      <c r="CC199" s="36">
        <f t="shared" ca="1" si="306"/>
        <v>6185025</v>
      </c>
      <c r="CD199" s="36">
        <f t="shared" ca="1" si="306"/>
        <v>2182950</v>
      </c>
      <c r="CE199" s="36">
        <f t="shared" ca="1" si="306"/>
        <v>194906.25</v>
      </c>
      <c r="CF199" s="36">
        <f t="shared" ca="1" si="306"/>
        <v>4106025</v>
      </c>
      <c r="CG199" s="36">
        <f t="shared" ca="1" si="306"/>
        <v>2182950</v>
      </c>
      <c r="CH199" s="36">
        <f t="shared" ca="1" si="307"/>
        <v>1169437.5</v>
      </c>
      <c r="CI199" s="36">
        <f t="shared" ca="1" si="307"/>
        <v>8692818.75</v>
      </c>
      <c r="CJ199" s="36">
        <f t="shared" ca="1" si="307"/>
        <v>3274425</v>
      </c>
      <c r="CK199" s="36">
        <f t="shared" ca="1" si="307"/>
        <v>292359.375</v>
      </c>
      <c r="CL199" s="36">
        <f t="shared" ca="1" si="307"/>
        <v>6821718.75</v>
      </c>
      <c r="CM199" s="36">
        <f t="shared" ca="1" si="307"/>
        <v>5145525</v>
      </c>
      <c r="CN199" s="36">
        <f t="shared" ca="1" si="307"/>
        <v>1169437.5</v>
      </c>
      <c r="CO199" s="36">
        <f t="shared" ca="1" si="307"/>
        <v>9277537.5</v>
      </c>
      <c r="CP199" s="36">
        <f t="shared" ca="1" si="307"/>
        <v>3274425</v>
      </c>
      <c r="CQ199" s="36">
        <f t="shared" ca="1" si="307"/>
        <v>292359.375</v>
      </c>
      <c r="CR199" s="36">
        <f t="shared" ca="1" si="307"/>
        <v>6159037.5</v>
      </c>
      <c r="CS199" s="36">
        <f t="shared" ca="1" si="307"/>
        <v>3274425</v>
      </c>
      <c r="CT199" s="36">
        <f t="shared" ca="1" si="307"/>
        <v>0</v>
      </c>
      <c r="CU199" s="36">
        <f t="shared" ca="1" si="307"/>
        <v>0</v>
      </c>
      <c r="CV199" s="36">
        <f t="shared" ca="1" si="307"/>
        <v>0</v>
      </c>
      <c r="CW199" s="21"/>
    </row>
    <row r="200" spans="3:101" x14ac:dyDescent="0.25">
      <c r="C200" s="49" t="str">
        <f t="shared" si="300"/>
        <v>NEW PARTNER 1DTC</v>
      </c>
      <c r="D200" s="35" t="str">
        <f>[1]Key!C$28</f>
        <v>NEW PARTNER 1</v>
      </c>
      <c r="E200" s="35" t="str">
        <f>[1]Key!D$28</f>
        <v>DTC</v>
      </c>
      <c r="F200" s="23">
        <f>[1]Key!$R$28</f>
        <v>0</v>
      </c>
      <c r="G200" s="21"/>
      <c r="H200" s="21"/>
      <c r="I200" s="21"/>
      <c r="J200" s="21"/>
      <c r="K200" s="21"/>
      <c r="L200" s="21"/>
      <c r="M200" s="21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36">
        <f t="shared" ca="1" si="301"/>
        <v>0</v>
      </c>
      <c r="AA200" s="36">
        <f t="shared" ca="1" si="301"/>
        <v>0</v>
      </c>
      <c r="AB200" s="36">
        <f t="shared" ca="1" si="301"/>
        <v>0</v>
      </c>
      <c r="AC200" s="36">
        <f t="shared" ca="1" si="301"/>
        <v>0</v>
      </c>
      <c r="AD200" s="36">
        <f t="shared" ca="1" si="301"/>
        <v>0</v>
      </c>
      <c r="AE200" s="36">
        <f t="shared" ca="1" si="301"/>
        <v>0</v>
      </c>
      <c r="AF200" s="36">
        <f t="shared" ca="1" si="301"/>
        <v>0</v>
      </c>
      <c r="AG200" s="36">
        <f t="shared" ca="1" si="301"/>
        <v>0</v>
      </c>
      <c r="AH200" s="36">
        <f t="shared" ca="1" si="301"/>
        <v>0</v>
      </c>
      <c r="AI200" s="36">
        <f t="shared" ca="1" si="301"/>
        <v>0</v>
      </c>
      <c r="AJ200" s="36">
        <f t="shared" ca="1" si="302"/>
        <v>0</v>
      </c>
      <c r="AK200" s="36">
        <f t="shared" ca="1" si="302"/>
        <v>0</v>
      </c>
      <c r="AL200" s="36">
        <f t="shared" ca="1" si="302"/>
        <v>0</v>
      </c>
      <c r="AM200" s="36">
        <f t="shared" ca="1" si="302"/>
        <v>0</v>
      </c>
      <c r="AN200" s="36">
        <f t="shared" ca="1" si="302"/>
        <v>0</v>
      </c>
      <c r="AO200" s="36">
        <f t="shared" ca="1" si="302"/>
        <v>0</v>
      </c>
      <c r="AP200" s="36">
        <f t="shared" ca="1" si="302"/>
        <v>0</v>
      </c>
      <c r="AQ200" s="36">
        <f t="shared" ca="1" si="302"/>
        <v>0</v>
      </c>
      <c r="AR200" s="36">
        <f t="shared" ca="1" si="302"/>
        <v>0</v>
      </c>
      <c r="AS200" s="36">
        <f t="shared" ca="1" si="302"/>
        <v>0</v>
      </c>
      <c r="AT200" s="36">
        <f t="shared" ca="1" si="303"/>
        <v>0</v>
      </c>
      <c r="AU200" s="36">
        <f t="shared" ca="1" si="303"/>
        <v>0</v>
      </c>
      <c r="AV200" s="36">
        <f t="shared" ca="1" si="303"/>
        <v>0</v>
      </c>
      <c r="AW200" s="36">
        <f t="shared" ca="1" si="303"/>
        <v>0</v>
      </c>
      <c r="AX200" s="36">
        <f t="shared" ca="1" si="303"/>
        <v>272160</v>
      </c>
      <c r="AY200" s="36">
        <f t="shared" ca="1" si="303"/>
        <v>0</v>
      </c>
      <c r="AZ200" s="36">
        <f t="shared" ca="1" si="303"/>
        <v>0</v>
      </c>
      <c r="BA200" s="36">
        <f t="shared" ca="1" si="303"/>
        <v>0</v>
      </c>
      <c r="BB200" s="36">
        <f t="shared" ca="1" si="303"/>
        <v>0</v>
      </c>
      <c r="BC200" s="36">
        <f t="shared" ca="1" si="303"/>
        <v>0</v>
      </c>
      <c r="BD200" s="36">
        <f t="shared" ca="1" si="304"/>
        <v>567000</v>
      </c>
      <c r="BE200" s="36">
        <f t="shared" ca="1" si="304"/>
        <v>0</v>
      </c>
      <c r="BF200" s="36">
        <f t="shared" ca="1" si="304"/>
        <v>0</v>
      </c>
      <c r="BG200" s="36">
        <f t="shared" ca="1" si="304"/>
        <v>0</v>
      </c>
      <c r="BH200" s="36">
        <f t="shared" ca="1" si="304"/>
        <v>0</v>
      </c>
      <c r="BI200" s="36">
        <f t="shared" ca="1" si="304"/>
        <v>0</v>
      </c>
      <c r="BJ200" s="36">
        <f t="shared" ca="1" si="304"/>
        <v>769824</v>
      </c>
      <c r="BK200" s="36">
        <f t="shared" ca="1" si="304"/>
        <v>0</v>
      </c>
      <c r="BL200" s="36">
        <f t="shared" ca="1" si="304"/>
        <v>0</v>
      </c>
      <c r="BM200" s="36">
        <f t="shared" ca="1" si="304"/>
        <v>0</v>
      </c>
      <c r="BN200" s="36">
        <f t="shared" ca="1" si="305"/>
        <v>0</v>
      </c>
      <c r="BO200" s="36">
        <f t="shared" ca="1" si="305"/>
        <v>0</v>
      </c>
      <c r="BP200" s="36">
        <f t="shared" ca="1" si="305"/>
        <v>1603800</v>
      </c>
      <c r="BQ200" s="36">
        <f t="shared" ca="1" si="305"/>
        <v>0</v>
      </c>
      <c r="BR200" s="36">
        <f t="shared" ca="1" si="305"/>
        <v>0</v>
      </c>
      <c r="BS200" s="36">
        <f t="shared" ca="1" si="305"/>
        <v>0</v>
      </c>
      <c r="BT200" s="36">
        <f t="shared" ca="1" si="305"/>
        <v>0</v>
      </c>
      <c r="BU200" s="36">
        <f t="shared" ca="1" si="305"/>
        <v>0</v>
      </c>
      <c r="BV200" s="36">
        <f t="shared" ca="1" si="305"/>
        <v>1924560</v>
      </c>
      <c r="BW200" s="36">
        <f t="shared" ca="1" si="305"/>
        <v>0</v>
      </c>
      <c r="BX200" s="36">
        <f t="shared" ca="1" si="306"/>
        <v>0</v>
      </c>
      <c r="BY200" s="36">
        <f t="shared" ca="1" si="306"/>
        <v>0</v>
      </c>
      <c r="BZ200" s="36">
        <f t="shared" ca="1" si="306"/>
        <v>0</v>
      </c>
      <c r="CA200" s="36">
        <f t="shared" ca="1" si="306"/>
        <v>0</v>
      </c>
      <c r="CB200" s="36">
        <f t="shared" ca="1" si="306"/>
        <v>4009500</v>
      </c>
      <c r="CC200" s="36">
        <f t="shared" ca="1" si="306"/>
        <v>0</v>
      </c>
      <c r="CD200" s="36">
        <f t="shared" ca="1" si="306"/>
        <v>0</v>
      </c>
      <c r="CE200" s="36">
        <f t="shared" ca="1" si="306"/>
        <v>0</v>
      </c>
      <c r="CF200" s="36">
        <f t="shared" ca="1" si="306"/>
        <v>0</v>
      </c>
      <c r="CG200" s="36">
        <f t="shared" ca="1" si="306"/>
        <v>0</v>
      </c>
      <c r="CH200" s="36">
        <f t="shared" ca="1" si="307"/>
        <v>3367980</v>
      </c>
      <c r="CI200" s="36">
        <f t="shared" ca="1" si="307"/>
        <v>0</v>
      </c>
      <c r="CJ200" s="36">
        <f t="shared" ca="1" si="307"/>
        <v>0</v>
      </c>
      <c r="CK200" s="36">
        <f t="shared" ca="1" si="307"/>
        <v>0</v>
      </c>
      <c r="CL200" s="36">
        <f t="shared" ca="1" si="307"/>
        <v>0</v>
      </c>
      <c r="CM200" s="36">
        <f t="shared" ca="1" si="307"/>
        <v>0</v>
      </c>
      <c r="CN200" s="36">
        <f t="shared" ca="1" si="307"/>
        <v>7016625</v>
      </c>
      <c r="CO200" s="36">
        <f t="shared" ca="1" si="307"/>
        <v>0</v>
      </c>
      <c r="CP200" s="36">
        <f t="shared" ca="1" si="307"/>
        <v>0</v>
      </c>
      <c r="CQ200" s="36">
        <f t="shared" ca="1" si="307"/>
        <v>0</v>
      </c>
      <c r="CR200" s="36">
        <f t="shared" ca="1" si="307"/>
        <v>0</v>
      </c>
      <c r="CS200" s="36">
        <f t="shared" ca="1" si="307"/>
        <v>0</v>
      </c>
      <c r="CT200" s="36">
        <f t="shared" ca="1" si="307"/>
        <v>0</v>
      </c>
      <c r="CU200" s="36">
        <f t="shared" ca="1" si="307"/>
        <v>0</v>
      </c>
      <c r="CV200" s="36">
        <f t="shared" ca="1" si="307"/>
        <v>0</v>
      </c>
      <c r="CW200" s="21"/>
    </row>
    <row r="201" spans="3:101" x14ac:dyDescent="0.25">
      <c r="C201" s="49" t="str">
        <f t="shared" si="300"/>
        <v>NEW PARTNER 2DTC</v>
      </c>
      <c r="D201" s="35" t="str">
        <f>[1]Key!C$29</f>
        <v>NEW PARTNER 2</v>
      </c>
      <c r="E201" s="35" t="str">
        <f>[1]Key!D$29</f>
        <v>DTC</v>
      </c>
      <c r="F201" s="23">
        <f>[1]Key!$R$29</f>
        <v>0</v>
      </c>
      <c r="G201" s="21"/>
      <c r="H201" s="21"/>
      <c r="I201" s="21"/>
      <c r="J201" s="21"/>
      <c r="K201" s="21"/>
      <c r="L201" s="21"/>
      <c r="M201" s="21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36">
        <f t="shared" ca="1" si="301"/>
        <v>0</v>
      </c>
      <c r="AA201" s="36">
        <f t="shared" ca="1" si="301"/>
        <v>0</v>
      </c>
      <c r="AB201" s="36">
        <f t="shared" ca="1" si="301"/>
        <v>0</v>
      </c>
      <c r="AC201" s="36">
        <f t="shared" ca="1" si="301"/>
        <v>0</v>
      </c>
      <c r="AD201" s="36">
        <f t="shared" ca="1" si="301"/>
        <v>0</v>
      </c>
      <c r="AE201" s="36">
        <f t="shared" ca="1" si="301"/>
        <v>0</v>
      </c>
      <c r="AF201" s="36">
        <f t="shared" ca="1" si="301"/>
        <v>0</v>
      </c>
      <c r="AG201" s="36">
        <f t="shared" ca="1" si="301"/>
        <v>0</v>
      </c>
      <c r="AH201" s="36">
        <f t="shared" ca="1" si="301"/>
        <v>0</v>
      </c>
      <c r="AI201" s="36">
        <f t="shared" ca="1" si="301"/>
        <v>0</v>
      </c>
      <c r="AJ201" s="36">
        <f t="shared" ca="1" si="302"/>
        <v>0</v>
      </c>
      <c r="AK201" s="36">
        <f t="shared" ca="1" si="302"/>
        <v>0</v>
      </c>
      <c r="AL201" s="36">
        <f t="shared" ca="1" si="302"/>
        <v>0</v>
      </c>
      <c r="AM201" s="36">
        <f t="shared" ca="1" si="302"/>
        <v>0</v>
      </c>
      <c r="AN201" s="36">
        <f t="shared" ca="1" si="302"/>
        <v>0</v>
      </c>
      <c r="AO201" s="36">
        <f t="shared" ca="1" si="302"/>
        <v>0</v>
      </c>
      <c r="AP201" s="36">
        <f t="shared" ca="1" si="302"/>
        <v>0</v>
      </c>
      <c r="AQ201" s="36">
        <f t="shared" ca="1" si="302"/>
        <v>0</v>
      </c>
      <c r="AR201" s="36">
        <f t="shared" ca="1" si="302"/>
        <v>0</v>
      </c>
      <c r="AS201" s="36">
        <f t="shared" ca="1" si="302"/>
        <v>0</v>
      </c>
      <c r="AT201" s="36">
        <f t="shared" ca="1" si="303"/>
        <v>0</v>
      </c>
      <c r="AU201" s="36">
        <f t="shared" ca="1" si="303"/>
        <v>0</v>
      </c>
      <c r="AV201" s="36">
        <f t="shared" ca="1" si="303"/>
        <v>0</v>
      </c>
      <c r="AW201" s="36">
        <f t="shared" ca="1" si="303"/>
        <v>0</v>
      </c>
      <c r="AX201" s="36">
        <f t="shared" ca="1" si="303"/>
        <v>273000</v>
      </c>
      <c r="AY201" s="36">
        <f t="shared" ca="1" si="303"/>
        <v>0</v>
      </c>
      <c r="AZ201" s="36">
        <f t="shared" ca="1" si="303"/>
        <v>0</v>
      </c>
      <c r="BA201" s="36">
        <f t="shared" ca="1" si="303"/>
        <v>0</v>
      </c>
      <c r="BB201" s="36">
        <f t="shared" ca="1" si="303"/>
        <v>0</v>
      </c>
      <c r="BC201" s="36">
        <f t="shared" ca="1" si="303"/>
        <v>0</v>
      </c>
      <c r="BD201" s="36">
        <f t="shared" ca="1" si="304"/>
        <v>655200</v>
      </c>
      <c r="BE201" s="36">
        <f t="shared" ca="1" si="304"/>
        <v>0</v>
      </c>
      <c r="BF201" s="36">
        <f t="shared" ca="1" si="304"/>
        <v>0</v>
      </c>
      <c r="BG201" s="36">
        <f t="shared" ca="1" si="304"/>
        <v>0</v>
      </c>
      <c r="BH201" s="36">
        <f t="shared" ca="1" si="304"/>
        <v>131040</v>
      </c>
      <c r="BI201" s="36">
        <f t="shared" ca="1" si="304"/>
        <v>0</v>
      </c>
      <c r="BJ201" s="36">
        <f t="shared" ca="1" si="304"/>
        <v>772200</v>
      </c>
      <c r="BK201" s="36">
        <f t="shared" ca="1" si="304"/>
        <v>0</v>
      </c>
      <c r="BL201" s="36">
        <f t="shared" ca="1" si="304"/>
        <v>0</v>
      </c>
      <c r="BM201" s="36">
        <f t="shared" ca="1" si="304"/>
        <v>0</v>
      </c>
      <c r="BN201" s="36">
        <f t="shared" ca="1" si="305"/>
        <v>0</v>
      </c>
      <c r="BO201" s="36">
        <f t="shared" ca="1" si="305"/>
        <v>0</v>
      </c>
      <c r="BP201" s="36">
        <f t="shared" ca="1" si="305"/>
        <v>1853280</v>
      </c>
      <c r="BQ201" s="36">
        <f t="shared" ca="1" si="305"/>
        <v>0</v>
      </c>
      <c r="BR201" s="36">
        <f t="shared" ca="1" si="305"/>
        <v>0</v>
      </c>
      <c r="BS201" s="36">
        <f t="shared" ca="1" si="305"/>
        <v>0</v>
      </c>
      <c r="BT201" s="36">
        <f t="shared" ca="1" si="305"/>
        <v>370656</v>
      </c>
      <c r="BU201" s="36">
        <f t="shared" ca="1" si="305"/>
        <v>0</v>
      </c>
      <c r="BV201" s="36">
        <f t="shared" ca="1" si="305"/>
        <v>1930500</v>
      </c>
      <c r="BW201" s="36">
        <f t="shared" ca="1" si="305"/>
        <v>0</v>
      </c>
      <c r="BX201" s="36">
        <f t="shared" ca="1" si="306"/>
        <v>0</v>
      </c>
      <c r="BY201" s="36">
        <f t="shared" ca="1" si="306"/>
        <v>0</v>
      </c>
      <c r="BZ201" s="36">
        <f t="shared" ca="1" si="306"/>
        <v>0</v>
      </c>
      <c r="CA201" s="36">
        <f t="shared" ca="1" si="306"/>
        <v>0</v>
      </c>
      <c r="CB201" s="36">
        <f t="shared" ca="1" si="306"/>
        <v>4633200</v>
      </c>
      <c r="CC201" s="36">
        <f t="shared" ca="1" si="306"/>
        <v>0</v>
      </c>
      <c r="CD201" s="36">
        <f t="shared" ca="1" si="306"/>
        <v>0</v>
      </c>
      <c r="CE201" s="36">
        <f t="shared" ca="1" si="306"/>
        <v>0</v>
      </c>
      <c r="CF201" s="36">
        <f t="shared" ca="1" si="306"/>
        <v>926640</v>
      </c>
      <c r="CG201" s="36">
        <f t="shared" ca="1" si="306"/>
        <v>0</v>
      </c>
      <c r="CH201" s="36">
        <f t="shared" ca="1" si="307"/>
        <v>3378375</v>
      </c>
      <c r="CI201" s="36">
        <f t="shared" ca="1" si="307"/>
        <v>0</v>
      </c>
      <c r="CJ201" s="36">
        <f t="shared" ca="1" si="307"/>
        <v>0</v>
      </c>
      <c r="CK201" s="36">
        <f t="shared" ca="1" si="307"/>
        <v>0</v>
      </c>
      <c r="CL201" s="36">
        <f t="shared" ca="1" si="307"/>
        <v>0</v>
      </c>
      <c r="CM201" s="36">
        <f t="shared" ca="1" si="307"/>
        <v>0</v>
      </c>
      <c r="CN201" s="36">
        <f t="shared" ca="1" si="307"/>
        <v>8108100</v>
      </c>
      <c r="CO201" s="36">
        <f t="shared" ca="1" si="307"/>
        <v>0</v>
      </c>
      <c r="CP201" s="36">
        <f t="shared" ca="1" si="307"/>
        <v>0</v>
      </c>
      <c r="CQ201" s="36">
        <f t="shared" ca="1" si="307"/>
        <v>0</v>
      </c>
      <c r="CR201" s="36">
        <f t="shared" ca="1" si="307"/>
        <v>1621620</v>
      </c>
      <c r="CS201" s="36">
        <f t="shared" ca="1" si="307"/>
        <v>0</v>
      </c>
      <c r="CT201" s="36">
        <f t="shared" ca="1" si="307"/>
        <v>0</v>
      </c>
      <c r="CU201" s="36">
        <f t="shared" ca="1" si="307"/>
        <v>0</v>
      </c>
      <c r="CV201" s="36">
        <f t="shared" ca="1" si="307"/>
        <v>0</v>
      </c>
      <c r="CW201" s="21"/>
    </row>
    <row r="202" spans="3:101" x14ac:dyDescent="0.25">
      <c r="C202" s="49" t="str">
        <f t="shared" si="300"/>
        <v>PIGALLEDTC</v>
      </c>
      <c r="D202" s="35" t="str">
        <f>[1]Key!C$30</f>
        <v>PIGALLE</v>
      </c>
      <c r="E202" s="35" t="str">
        <f>[1]Key!D$30</f>
        <v>DTC</v>
      </c>
      <c r="F202" s="23">
        <f>[1]Key!$R$30</f>
        <v>0</v>
      </c>
      <c r="G202" s="21"/>
      <c r="H202" s="21"/>
      <c r="I202" s="21"/>
      <c r="J202" s="21"/>
      <c r="K202" s="21"/>
      <c r="L202" s="21"/>
      <c r="M202" s="21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36">
        <f t="shared" ca="1" si="301"/>
        <v>0</v>
      </c>
      <c r="AA202" s="36">
        <f t="shared" ca="1" si="301"/>
        <v>0</v>
      </c>
      <c r="AB202" s="36">
        <f t="shared" ca="1" si="301"/>
        <v>0</v>
      </c>
      <c r="AC202" s="36">
        <f t="shared" ca="1" si="301"/>
        <v>0</v>
      </c>
      <c r="AD202" s="36">
        <f t="shared" ca="1" si="301"/>
        <v>0</v>
      </c>
      <c r="AE202" s="36">
        <f t="shared" ca="1" si="301"/>
        <v>0</v>
      </c>
      <c r="AF202" s="36">
        <f t="shared" ca="1" si="301"/>
        <v>0</v>
      </c>
      <c r="AG202" s="36">
        <f t="shared" ca="1" si="301"/>
        <v>0</v>
      </c>
      <c r="AH202" s="36">
        <f t="shared" ca="1" si="301"/>
        <v>0</v>
      </c>
      <c r="AI202" s="36">
        <f t="shared" ca="1" si="301"/>
        <v>0</v>
      </c>
      <c r="AJ202" s="36">
        <f t="shared" ca="1" si="302"/>
        <v>0</v>
      </c>
      <c r="AK202" s="36">
        <f t="shared" ca="1" si="302"/>
        <v>0</v>
      </c>
      <c r="AL202" s="36">
        <f t="shared" ca="1" si="302"/>
        <v>0</v>
      </c>
      <c r="AM202" s="36">
        <f t="shared" ca="1" si="302"/>
        <v>0</v>
      </c>
      <c r="AN202" s="36">
        <f t="shared" ca="1" si="302"/>
        <v>0</v>
      </c>
      <c r="AO202" s="36">
        <f t="shared" ca="1" si="302"/>
        <v>0</v>
      </c>
      <c r="AP202" s="36">
        <f t="shared" ca="1" si="302"/>
        <v>90720</v>
      </c>
      <c r="AQ202" s="36">
        <f t="shared" ca="1" si="302"/>
        <v>0</v>
      </c>
      <c r="AR202" s="36">
        <f t="shared" ca="1" si="302"/>
        <v>181440</v>
      </c>
      <c r="AS202" s="36">
        <f t="shared" ca="1" si="302"/>
        <v>0</v>
      </c>
      <c r="AT202" s="36">
        <f t="shared" ca="1" si="303"/>
        <v>0</v>
      </c>
      <c r="AU202" s="36">
        <f t="shared" ca="1" si="303"/>
        <v>0</v>
      </c>
      <c r="AV202" s="36">
        <f t="shared" ca="1" si="303"/>
        <v>272160</v>
      </c>
      <c r="AW202" s="36">
        <f t="shared" ca="1" si="303"/>
        <v>0</v>
      </c>
      <c r="AX202" s="36">
        <f t="shared" ca="1" si="303"/>
        <v>0</v>
      </c>
      <c r="AY202" s="36">
        <f t="shared" ca="1" si="303"/>
        <v>362880</v>
      </c>
      <c r="AZ202" s="36">
        <f t="shared" ca="1" si="303"/>
        <v>0</v>
      </c>
      <c r="BA202" s="36">
        <f t="shared" ca="1" si="303"/>
        <v>0</v>
      </c>
      <c r="BB202" s="36">
        <f t="shared" ca="1" si="303"/>
        <v>362880</v>
      </c>
      <c r="BC202" s="36">
        <f t="shared" ca="1" si="303"/>
        <v>0</v>
      </c>
      <c r="BD202" s="36">
        <f t="shared" ca="1" si="304"/>
        <v>0</v>
      </c>
      <c r="BE202" s="36">
        <f t="shared" ca="1" si="304"/>
        <v>362880</v>
      </c>
      <c r="BF202" s="36">
        <f t="shared" ca="1" si="304"/>
        <v>0</v>
      </c>
      <c r="BG202" s="36">
        <f t="shared" ca="1" si="304"/>
        <v>0</v>
      </c>
      <c r="BH202" s="36">
        <f t="shared" ca="1" si="304"/>
        <v>362880</v>
      </c>
      <c r="BI202" s="36">
        <f t="shared" ca="1" si="304"/>
        <v>0</v>
      </c>
      <c r="BJ202" s="36">
        <f t="shared" ca="1" si="304"/>
        <v>0</v>
      </c>
      <c r="BK202" s="36">
        <f t="shared" ca="1" si="304"/>
        <v>684288</v>
      </c>
      <c r="BL202" s="36">
        <f t="shared" ca="1" si="304"/>
        <v>0</v>
      </c>
      <c r="BM202" s="36">
        <f t="shared" ca="1" si="304"/>
        <v>0</v>
      </c>
      <c r="BN202" s="36">
        <f t="shared" ca="1" si="305"/>
        <v>684288</v>
      </c>
      <c r="BO202" s="36">
        <f t="shared" ca="1" si="305"/>
        <v>0</v>
      </c>
      <c r="BP202" s="36">
        <f t="shared" ca="1" si="305"/>
        <v>0</v>
      </c>
      <c r="BQ202" s="36">
        <f t="shared" ca="1" si="305"/>
        <v>684288</v>
      </c>
      <c r="BR202" s="36">
        <f t="shared" ca="1" si="305"/>
        <v>0</v>
      </c>
      <c r="BS202" s="36">
        <f t="shared" ca="1" si="305"/>
        <v>0</v>
      </c>
      <c r="BT202" s="36">
        <f t="shared" ca="1" si="305"/>
        <v>684288</v>
      </c>
      <c r="BU202" s="36">
        <f t="shared" ca="1" si="305"/>
        <v>0</v>
      </c>
      <c r="BV202" s="36">
        <f t="shared" ca="1" si="305"/>
        <v>0</v>
      </c>
      <c r="BW202" s="36">
        <f t="shared" ca="1" si="305"/>
        <v>1026432</v>
      </c>
      <c r="BX202" s="36">
        <f t="shared" ca="1" si="306"/>
        <v>0</v>
      </c>
      <c r="BY202" s="36">
        <f t="shared" ca="1" si="306"/>
        <v>0</v>
      </c>
      <c r="BZ202" s="36">
        <f t="shared" ca="1" si="306"/>
        <v>1026432</v>
      </c>
      <c r="CA202" s="36">
        <f t="shared" ca="1" si="306"/>
        <v>0</v>
      </c>
      <c r="CB202" s="36">
        <f t="shared" ca="1" si="306"/>
        <v>0</v>
      </c>
      <c r="CC202" s="36">
        <f t="shared" ca="1" si="306"/>
        <v>1026432</v>
      </c>
      <c r="CD202" s="36">
        <f t="shared" ca="1" si="306"/>
        <v>0</v>
      </c>
      <c r="CE202" s="36">
        <f t="shared" ca="1" si="306"/>
        <v>0</v>
      </c>
      <c r="CF202" s="36">
        <f t="shared" ca="1" si="306"/>
        <v>1026432</v>
      </c>
      <c r="CG202" s="36">
        <f t="shared" ca="1" si="306"/>
        <v>0</v>
      </c>
      <c r="CH202" s="36">
        <f t="shared" ca="1" si="307"/>
        <v>0</v>
      </c>
      <c r="CI202" s="36">
        <f t="shared" ca="1" si="307"/>
        <v>1334361.6000000001</v>
      </c>
      <c r="CJ202" s="36">
        <f t="shared" ca="1" si="307"/>
        <v>0</v>
      </c>
      <c r="CK202" s="36">
        <f t="shared" ca="1" si="307"/>
        <v>0</v>
      </c>
      <c r="CL202" s="36">
        <f t="shared" ca="1" si="307"/>
        <v>1334361.6000000001</v>
      </c>
      <c r="CM202" s="36">
        <f t="shared" ca="1" si="307"/>
        <v>0</v>
      </c>
      <c r="CN202" s="36">
        <f t="shared" ca="1" si="307"/>
        <v>0</v>
      </c>
      <c r="CO202" s="36">
        <f t="shared" ca="1" si="307"/>
        <v>1334361.6000000001</v>
      </c>
      <c r="CP202" s="36">
        <f t="shared" ca="1" si="307"/>
        <v>0</v>
      </c>
      <c r="CQ202" s="36">
        <f t="shared" ca="1" si="307"/>
        <v>0</v>
      </c>
      <c r="CR202" s="36">
        <f t="shared" ca="1" si="307"/>
        <v>1334361.6000000001</v>
      </c>
      <c r="CS202" s="36">
        <f t="shared" ca="1" si="307"/>
        <v>0</v>
      </c>
      <c r="CT202" s="36">
        <f t="shared" ca="1" si="307"/>
        <v>0</v>
      </c>
      <c r="CU202" s="36">
        <f t="shared" ca="1" si="307"/>
        <v>0</v>
      </c>
      <c r="CV202" s="36">
        <f t="shared" ca="1" si="307"/>
        <v>0</v>
      </c>
      <c r="CW202" s="21"/>
    </row>
    <row r="203" spans="3:101" x14ac:dyDescent="0.25">
      <c r="C203" s="49" t="str">
        <f t="shared" si="300"/>
        <v>SPORT PLACEHOLDERDTC</v>
      </c>
      <c r="D203" s="35" t="str">
        <f>[1]Key!C$31</f>
        <v>SPORT PLACEHOLDER</v>
      </c>
      <c r="E203" s="35" t="str">
        <f>[1]Key!D$31</f>
        <v>DTC</v>
      </c>
      <c r="F203" s="23">
        <f>[1]Key!$R$31</f>
        <v>0</v>
      </c>
      <c r="G203" s="21"/>
      <c r="H203" s="21"/>
      <c r="I203" s="21"/>
      <c r="J203" s="21"/>
      <c r="K203" s="21"/>
      <c r="L203" s="21"/>
      <c r="M203" s="21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36">
        <f t="shared" ca="1" si="301"/>
        <v>0</v>
      </c>
      <c r="AA203" s="36">
        <f t="shared" ca="1" si="301"/>
        <v>0</v>
      </c>
      <c r="AB203" s="36">
        <f t="shared" ca="1" si="301"/>
        <v>0</v>
      </c>
      <c r="AC203" s="36">
        <f t="shared" ca="1" si="301"/>
        <v>0</v>
      </c>
      <c r="AD203" s="36">
        <f t="shared" ca="1" si="301"/>
        <v>0</v>
      </c>
      <c r="AE203" s="36">
        <f t="shared" ca="1" si="301"/>
        <v>0</v>
      </c>
      <c r="AF203" s="36">
        <f t="shared" ca="1" si="301"/>
        <v>0</v>
      </c>
      <c r="AG203" s="36">
        <f t="shared" ca="1" si="301"/>
        <v>0</v>
      </c>
      <c r="AH203" s="36">
        <f t="shared" ca="1" si="301"/>
        <v>0</v>
      </c>
      <c r="AI203" s="36">
        <f t="shared" ca="1" si="301"/>
        <v>0</v>
      </c>
      <c r="AJ203" s="36">
        <f t="shared" ca="1" si="302"/>
        <v>0</v>
      </c>
      <c r="AK203" s="36">
        <f t="shared" ca="1" si="302"/>
        <v>0</v>
      </c>
      <c r="AL203" s="36">
        <f t="shared" ca="1" si="302"/>
        <v>0</v>
      </c>
      <c r="AM203" s="36">
        <f t="shared" ca="1" si="302"/>
        <v>0</v>
      </c>
      <c r="AN203" s="36">
        <f t="shared" ca="1" si="302"/>
        <v>0</v>
      </c>
      <c r="AO203" s="36">
        <f t="shared" ca="1" si="302"/>
        <v>0</v>
      </c>
      <c r="AP203" s="36">
        <f t="shared" ca="1" si="302"/>
        <v>0</v>
      </c>
      <c r="AQ203" s="36">
        <f t="shared" ca="1" si="302"/>
        <v>0</v>
      </c>
      <c r="AR203" s="36">
        <f t="shared" ca="1" si="302"/>
        <v>0</v>
      </c>
      <c r="AS203" s="36">
        <f t="shared" ca="1" si="302"/>
        <v>0</v>
      </c>
      <c r="AT203" s="36">
        <f t="shared" ca="1" si="303"/>
        <v>0</v>
      </c>
      <c r="AU203" s="36">
        <f t="shared" ca="1" si="303"/>
        <v>0</v>
      </c>
      <c r="AV203" s="36">
        <f t="shared" ca="1" si="303"/>
        <v>0</v>
      </c>
      <c r="AW203" s="36">
        <f t="shared" ca="1" si="303"/>
        <v>0</v>
      </c>
      <c r="AX203" s="36">
        <f t="shared" ca="1" si="303"/>
        <v>655200</v>
      </c>
      <c r="AY203" s="36">
        <f t="shared" ca="1" si="303"/>
        <v>0</v>
      </c>
      <c r="AZ203" s="36">
        <f t="shared" ca="1" si="303"/>
        <v>0</v>
      </c>
      <c r="BA203" s="36">
        <f t="shared" ca="1" si="303"/>
        <v>0</v>
      </c>
      <c r="BB203" s="36">
        <f t="shared" ca="1" si="303"/>
        <v>0</v>
      </c>
      <c r="BC203" s="36">
        <f t="shared" ca="1" si="303"/>
        <v>0</v>
      </c>
      <c r="BD203" s="36">
        <f t="shared" ca="1" si="304"/>
        <v>1310400</v>
      </c>
      <c r="BE203" s="36">
        <f t="shared" ca="1" si="304"/>
        <v>0</v>
      </c>
      <c r="BF203" s="36">
        <f t="shared" ca="1" si="304"/>
        <v>0</v>
      </c>
      <c r="BG203" s="36">
        <f t="shared" ca="1" si="304"/>
        <v>0</v>
      </c>
      <c r="BH203" s="36">
        <f t="shared" ca="1" si="304"/>
        <v>0</v>
      </c>
      <c r="BI203" s="36">
        <f t="shared" ca="1" si="304"/>
        <v>0</v>
      </c>
      <c r="BJ203" s="36">
        <f t="shared" ca="1" si="304"/>
        <v>1853280</v>
      </c>
      <c r="BK203" s="36">
        <f t="shared" ca="1" si="304"/>
        <v>0</v>
      </c>
      <c r="BL203" s="36">
        <f t="shared" ca="1" si="304"/>
        <v>0</v>
      </c>
      <c r="BM203" s="36">
        <f t="shared" ca="1" si="304"/>
        <v>0</v>
      </c>
      <c r="BN203" s="36">
        <f t="shared" ca="1" si="305"/>
        <v>0</v>
      </c>
      <c r="BO203" s="36">
        <f t="shared" ca="1" si="305"/>
        <v>0</v>
      </c>
      <c r="BP203" s="36">
        <f t="shared" ca="1" si="305"/>
        <v>3706560</v>
      </c>
      <c r="BQ203" s="36">
        <f t="shared" ca="1" si="305"/>
        <v>0</v>
      </c>
      <c r="BR203" s="36">
        <f t="shared" ca="1" si="305"/>
        <v>0</v>
      </c>
      <c r="BS203" s="36">
        <f t="shared" ca="1" si="305"/>
        <v>0</v>
      </c>
      <c r="BT203" s="36">
        <f t="shared" ca="1" si="305"/>
        <v>0</v>
      </c>
      <c r="BU203" s="36">
        <f t="shared" ca="1" si="305"/>
        <v>0</v>
      </c>
      <c r="BV203" s="36">
        <f t="shared" ca="1" si="305"/>
        <v>5559840</v>
      </c>
      <c r="BW203" s="36">
        <f t="shared" ca="1" si="305"/>
        <v>0</v>
      </c>
      <c r="BX203" s="36">
        <f t="shared" ca="1" si="306"/>
        <v>0</v>
      </c>
      <c r="BY203" s="36">
        <f t="shared" ca="1" si="306"/>
        <v>0</v>
      </c>
      <c r="BZ203" s="36">
        <f t="shared" ca="1" si="306"/>
        <v>0</v>
      </c>
      <c r="CA203" s="36">
        <f t="shared" ca="1" si="306"/>
        <v>0</v>
      </c>
      <c r="CB203" s="36">
        <f t="shared" ca="1" si="306"/>
        <v>11119680</v>
      </c>
      <c r="CC203" s="36">
        <f t="shared" ca="1" si="306"/>
        <v>0</v>
      </c>
      <c r="CD203" s="36">
        <f t="shared" ca="1" si="306"/>
        <v>0</v>
      </c>
      <c r="CE203" s="36">
        <f t="shared" ca="1" si="306"/>
        <v>0</v>
      </c>
      <c r="CF203" s="36">
        <f t="shared" ca="1" si="306"/>
        <v>0</v>
      </c>
      <c r="CG203" s="36">
        <f t="shared" ca="1" si="306"/>
        <v>0</v>
      </c>
      <c r="CH203" s="36">
        <f t="shared" ca="1" si="307"/>
        <v>13899600</v>
      </c>
      <c r="CI203" s="36">
        <f t="shared" ca="1" si="307"/>
        <v>0</v>
      </c>
      <c r="CJ203" s="36">
        <f t="shared" ca="1" si="307"/>
        <v>0</v>
      </c>
      <c r="CK203" s="36">
        <f t="shared" ca="1" si="307"/>
        <v>0</v>
      </c>
      <c r="CL203" s="36">
        <f t="shared" ca="1" si="307"/>
        <v>0</v>
      </c>
      <c r="CM203" s="36">
        <f t="shared" ca="1" si="307"/>
        <v>0</v>
      </c>
      <c r="CN203" s="36">
        <f t="shared" ca="1" si="307"/>
        <v>27799200</v>
      </c>
      <c r="CO203" s="36">
        <f t="shared" ca="1" si="307"/>
        <v>0</v>
      </c>
      <c r="CP203" s="36">
        <f t="shared" ca="1" si="307"/>
        <v>0</v>
      </c>
      <c r="CQ203" s="36">
        <f t="shared" ca="1" si="307"/>
        <v>0</v>
      </c>
      <c r="CR203" s="36">
        <f t="shared" ca="1" si="307"/>
        <v>0</v>
      </c>
      <c r="CS203" s="36">
        <f t="shared" ca="1" si="307"/>
        <v>0</v>
      </c>
      <c r="CT203" s="36">
        <f t="shared" ca="1" si="307"/>
        <v>0</v>
      </c>
      <c r="CU203" s="36">
        <f t="shared" ca="1" si="307"/>
        <v>0</v>
      </c>
      <c r="CV203" s="36">
        <f t="shared" ca="1" si="307"/>
        <v>0</v>
      </c>
      <c r="CW203" s="21"/>
    </row>
    <row r="204" spans="3:101" x14ac:dyDescent="0.25">
      <c r="C204" s="49" t="str">
        <f t="shared" si="300"/>
        <v>SPUNGEDTC</v>
      </c>
      <c r="D204" s="35" t="str">
        <f>[1]Key!C$32</f>
        <v>SPUNGE</v>
      </c>
      <c r="E204" s="35" t="str">
        <f>[1]Key!D$32</f>
        <v>DTC</v>
      </c>
      <c r="F204" s="23">
        <f>[1]Key!$R$32</f>
        <v>0</v>
      </c>
      <c r="G204" s="21"/>
      <c r="H204" s="21"/>
      <c r="I204" s="21"/>
      <c r="J204" s="21"/>
      <c r="K204" s="21"/>
      <c r="L204" s="21"/>
      <c r="M204" s="21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36">
        <f t="shared" ca="1" si="301"/>
        <v>0</v>
      </c>
      <c r="AA204" s="36">
        <f t="shared" ca="1" si="301"/>
        <v>0</v>
      </c>
      <c r="AB204" s="36">
        <f t="shared" ca="1" si="301"/>
        <v>0</v>
      </c>
      <c r="AC204" s="36">
        <f t="shared" ca="1" si="301"/>
        <v>0</v>
      </c>
      <c r="AD204" s="36">
        <f t="shared" ca="1" si="301"/>
        <v>0</v>
      </c>
      <c r="AE204" s="36">
        <f t="shared" ca="1" si="301"/>
        <v>0</v>
      </c>
      <c r="AF204" s="36">
        <f t="shared" ca="1" si="301"/>
        <v>0</v>
      </c>
      <c r="AG204" s="36">
        <f t="shared" ca="1" si="301"/>
        <v>0</v>
      </c>
      <c r="AH204" s="36">
        <f t="shared" ca="1" si="301"/>
        <v>0</v>
      </c>
      <c r="AI204" s="36">
        <f t="shared" ca="1" si="301"/>
        <v>0</v>
      </c>
      <c r="AJ204" s="36">
        <f t="shared" ca="1" si="302"/>
        <v>0</v>
      </c>
      <c r="AK204" s="36">
        <f t="shared" ca="1" si="302"/>
        <v>0</v>
      </c>
      <c r="AL204" s="36">
        <f t="shared" ca="1" si="302"/>
        <v>0</v>
      </c>
      <c r="AM204" s="36">
        <f t="shared" ca="1" si="302"/>
        <v>0</v>
      </c>
      <c r="AN204" s="36">
        <f t="shared" ca="1" si="302"/>
        <v>0</v>
      </c>
      <c r="AO204" s="36">
        <f t="shared" ca="1" si="302"/>
        <v>0</v>
      </c>
      <c r="AP204" s="36">
        <f t="shared" ca="1" si="302"/>
        <v>0</v>
      </c>
      <c r="AQ204" s="36">
        <f t="shared" ca="1" si="302"/>
        <v>0</v>
      </c>
      <c r="AR204" s="36">
        <f t="shared" ca="1" si="302"/>
        <v>0</v>
      </c>
      <c r="AS204" s="36">
        <f t="shared" ca="1" si="302"/>
        <v>0</v>
      </c>
      <c r="AT204" s="36">
        <f t="shared" ca="1" si="303"/>
        <v>181440</v>
      </c>
      <c r="AU204" s="36">
        <f t="shared" ca="1" si="303"/>
        <v>0</v>
      </c>
      <c r="AV204" s="36">
        <f t="shared" ca="1" si="303"/>
        <v>136080</v>
      </c>
      <c r="AW204" s="36">
        <f t="shared" ca="1" si="303"/>
        <v>340200</v>
      </c>
      <c r="AX204" s="36">
        <f t="shared" ca="1" si="303"/>
        <v>0</v>
      </c>
      <c r="AY204" s="36">
        <f t="shared" ca="1" si="303"/>
        <v>834624</v>
      </c>
      <c r="AZ204" s="36">
        <f t="shared" ca="1" si="303"/>
        <v>0</v>
      </c>
      <c r="BA204" s="36">
        <f t="shared" ca="1" si="303"/>
        <v>0</v>
      </c>
      <c r="BB204" s="36">
        <f t="shared" ca="1" si="303"/>
        <v>943488</v>
      </c>
      <c r="BC204" s="36">
        <f t="shared" ca="1" si="303"/>
        <v>0</v>
      </c>
      <c r="BD204" s="36">
        <f t="shared" ca="1" si="304"/>
        <v>1088640</v>
      </c>
      <c r="BE204" s="36">
        <f t="shared" ca="1" si="304"/>
        <v>0</v>
      </c>
      <c r="BF204" s="36">
        <f t="shared" ca="1" si="304"/>
        <v>108864</v>
      </c>
      <c r="BG204" s="36">
        <f t="shared" ca="1" si="304"/>
        <v>0</v>
      </c>
      <c r="BH204" s="36">
        <f t="shared" ca="1" si="304"/>
        <v>1451520</v>
      </c>
      <c r="BI204" s="36">
        <f t="shared" ca="1" si="304"/>
        <v>272160</v>
      </c>
      <c r="BJ204" s="36">
        <f t="shared" ca="1" si="304"/>
        <v>0</v>
      </c>
      <c r="BK204" s="36">
        <f t="shared" ca="1" si="304"/>
        <v>2360793.6</v>
      </c>
      <c r="BL204" s="36">
        <f t="shared" ca="1" si="304"/>
        <v>0</v>
      </c>
      <c r="BM204" s="36">
        <f t="shared" ca="1" si="304"/>
        <v>0</v>
      </c>
      <c r="BN204" s="36">
        <f t="shared" ca="1" si="305"/>
        <v>2668723.2000000002</v>
      </c>
      <c r="BO204" s="36">
        <f t="shared" ca="1" si="305"/>
        <v>0</v>
      </c>
      <c r="BP204" s="36">
        <f t="shared" ca="1" si="305"/>
        <v>3079296</v>
      </c>
      <c r="BQ204" s="36">
        <f t="shared" ca="1" si="305"/>
        <v>0</v>
      </c>
      <c r="BR204" s="36">
        <f t="shared" ca="1" si="305"/>
        <v>307929.59999999998</v>
      </c>
      <c r="BS204" s="36">
        <f t="shared" ca="1" si="305"/>
        <v>0</v>
      </c>
      <c r="BT204" s="36">
        <f t="shared" ca="1" si="305"/>
        <v>4105728</v>
      </c>
      <c r="BU204" s="36">
        <f t="shared" ca="1" si="305"/>
        <v>769824</v>
      </c>
      <c r="BV204" s="36">
        <f t="shared" ca="1" si="305"/>
        <v>0</v>
      </c>
      <c r="BW204" s="36">
        <f t="shared" ca="1" si="305"/>
        <v>5901984</v>
      </c>
      <c r="BX204" s="36">
        <f t="shared" ca="1" si="306"/>
        <v>0</v>
      </c>
      <c r="BY204" s="36">
        <f t="shared" ca="1" si="306"/>
        <v>0</v>
      </c>
      <c r="BZ204" s="36">
        <f t="shared" ca="1" si="306"/>
        <v>6671808</v>
      </c>
      <c r="CA204" s="36">
        <f t="shared" ca="1" si="306"/>
        <v>0</v>
      </c>
      <c r="CB204" s="36">
        <f t="shared" ca="1" si="306"/>
        <v>7698240</v>
      </c>
      <c r="CC204" s="36">
        <f t="shared" ca="1" si="306"/>
        <v>0</v>
      </c>
      <c r="CD204" s="36">
        <f t="shared" ca="1" si="306"/>
        <v>769824</v>
      </c>
      <c r="CE204" s="36">
        <f t="shared" ca="1" si="306"/>
        <v>0</v>
      </c>
      <c r="CF204" s="36">
        <f t="shared" ca="1" si="306"/>
        <v>10264320</v>
      </c>
      <c r="CG204" s="36">
        <f t="shared" ca="1" si="306"/>
        <v>1924560</v>
      </c>
      <c r="CH204" s="36">
        <f t="shared" ca="1" si="307"/>
        <v>0</v>
      </c>
      <c r="CI204" s="36">
        <f t="shared" ca="1" si="307"/>
        <v>10328472</v>
      </c>
      <c r="CJ204" s="36">
        <f t="shared" ca="1" si="307"/>
        <v>0</v>
      </c>
      <c r="CK204" s="36">
        <f t="shared" ca="1" si="307"/>
        <v>0</v>
      </c>
      <c r="CL204" s="36">
        <f t="shared" ca="1" si="307"/>
        <v>11675664</v>
      </c>
      <c r="CM204" s="36">
        <f t="shared" ca="1" si="307"/>
        <v>0</v>
      </c>
      <c r="CN204" s="36">
        <f t="shared" ca="1" si="307"/>
        <v>13471920</v>
      </c>
      <c r="CO204" s="36">
        <f t="shared" ca="1" si="307"/>
        <v>0</v>
      </c>
      <c r="CP204" s="36">
        <f t="shared" ca="1" si="307"/>
        <v>1347192</v>
      </c>
      <c r="CQ204" s="36">
        <f t="shared" ca="1" si="307"/>
        <v>0</v>
      </c>
      <c r="CR204" s="36">
        <f t="shared" ca="1" si="307"/>
        <v>17962560</v>
      </c>
      <c r="CS204" s="36">
        <f t="shared" ca="1" si="307"/>
        <v>3367980</v>
      </c>
      <c r="CT204" s="36">
        <f t="shared" ca="1" si="307"/>
        <v>0</v>
      </c>
      <c r="CU204" s="36">
        <f t="shared" ca="1" si="307"/>
        <v>0</v>
      </c>
      <c r="CV204" s="36">
        <f t="shared" ca="1" si="307"/>
        <v>0</v>
      </c>
      <c r="CW204" s="21"/>
    </row>
    <row r="205" spans="3:101" x14ac:dyDescent="0.25">
      <c r="C205" s="49" t="str">
        <f t="shared" si="300"/>
        <v>SUNFLOWERDTC</v>
      </c>
      <c r="D205" s="35" t="str">
        <f>[1]Key!C$33</f>
        <v>SUNFLOWER</v>
      </c>
      <c r="E205" s="35" t="str">
        <f>[1]Key!D$33</f>
        <v>DTC</v>
      </c>
      <c r="F205" s="23">
        <f>[1]Key!$R$33</f>
        <v>0</v>
      </c>
      <c r="G205" s="21"/>
      <c r="H205" s="21"/>
      <c r="I205" s="21"/>
      <c r="J205" s="21"/>
      <c r="K205" s="21"/>
      <c r="L205" s="21"/>
      <c r="M205" s="21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36">
        <f t="shared" ca="1" si="301"/>
        <v>0</v>
      </c>
      <c r="AA205" s="36">
        <f t="shared" ca="1" si="301"/>
        <v>0</v>
      </c>
      <c r="AB205" s="36">
        <f t="shared" ca="1" si="301"/>
        <v>0</v>
      </c>
      <c r="AC205" s="36">
        <f t="shared" ca="1" si="301"/>
        <v>0</v>
      </c>
      <c r="AD205" s="36">
        <f t="shared" ca="1" si="301"/>
        <v>0</v>
      </c>
      <c r="AE205" s="36">
        <f t="shared" ca="1" si="301"/>
        <v>0</v>
      </c>
      <c r="AF205" s="36">
        <f t="shared" ca="1" si="301"/>
        <v>0</v>
      </c>
      <c r="AG205" s="36">
        <f t="shared" ca="1" si="301"/>
        <v>0</v>
      </c>
      <c r="AH205" s="36">
        <f t="shared" ca="1" si="301"/>
        <v>0</v>
      </c>
      <c r="AI205" s="36">
        <f t="shared" ca="1" si="301"/>
        <v>0</v>
      </c>
      <c r="AJ205" s="36">
        <f t="shared" ca="1" si="302"/>
        <v>0</v>
      </c>
      <c r="AK205" s="36">
        <f t="shared" ca="1" si="302"/>
        <v>0</v>
      </c>
      <c r="AL205" s="36">
        <f t="shared" ca="1" si="302"/>
        <v>0</v>
      </c>
      <c r="AM205" s="36">
        <f t="shared" ca="1" si="302"/>
        <v>0</v>
      </c>
      <c r="AN205" s="36">
        <f t="shared" ca="1" si="302"/>
        <v>0</v>
      </c>
      <c r="AO205" s="36">
        <f t="shared" ca="1" si="302"/>
        <v>0</v>
      </c>
      <c r="AP205" s="36">
        <f t="shared" ca="1" si="302"/>
        <v>0</v>
      </c>
      <c r="AQ205" s="36">
        <f t="shared" ca="1" si="302"/>
        <v>0</v>
      </c>
      <c r="AR205" s="36">
        <f t="shared" ca="1" si="302"/>
        <v>0</v>
      </c>
      <c r="AS205" s="36">
        <f t="shared" ca="1" si="302"/>
        <v>0</v>
      </c>
      <c r="AT205" s="36">
        <f t="shared" ca="1" si="303"/>
        <v>0</v>
      </c>
      <c r="AU205" s="36">
        <f t="shared" ca="1" si="303"/>
        <v>0</v>
      </c>
      <c r="AV205" s="36">
        <f t="shared" ca="1" si="303"/>
        <v>0</v>
      </c>
      <c r="AW205" s="36">
        <f t="shared" ca="1" si="303"/>
        <v>0</v>
      </c>
      <c r="AX205" s="36">
        <f t="shared" ca="1" si="303"/>
        <v>0</v>
      </c>
      <c r="AY205" s="36">
        <f t="shared" ca="1" si="303"/>
        <v>0</v>
      </c>
      <c r="AZ205" s="36">
        <f t="shared" ca="1" si="303"/>
        <v>0</v>
      </c>
      <c r="BA205" s="36">
        <f t="shared" ca="1" si="303"/>
        <v>0</v>
      </c>
      <c r="BB205" s="36">
        <f t="shared" ca="1" si="303"/>
        <v>0</v>
      </c>
      <c r="BC205" s="36">
        <f t="shared" ca="1" si="303"/>
        <v>0</v>
      </c>
      <c r="BD205" s="36">
        <f t="shared" ca="1" si="304"/>
        <v>0</v>
      </c>
      <c r="BE205" s="36">
        <f t="shared" ca="1" si="304"/>
        <v>0</v>
      </c>
      <c r="BF205" s="36">
        <f t="shared" ca="1" si="304"/>
        <v>0</v>
      </c>
      <c r="BG205" s="36">
        <f t="shared" ca="1" si="304"/>
        <v>0</v>
      </c>
      <c r="BH205" s="36">
        <f t="shared" ca="1" si="304"/>
        <v>0</v>
      </c>
      <c r="BI205" s="36">
        <f t="shared" ca="1" si="304"/>
        <v>0</v>
      </c>
      <c r="BJ205" s="36">
        <f t="shared" ca="1" si="304"/>
        <v>0</v>
      </c>
      <c r="BK205" s="36">
        <f t="shared" ca="1" si="304"/>
        <v>0</v>
      </c>
      <c r="BL205" s="36">
        <f t="shared" ca="1" si="304"/>
        <v>0</v>
      </c>
      <c r="BM205" s="36">
        <f t="shared" ca="1" si="304"/>
        <v>0</v>
      </c>
      <c r="BN205" s="36">
        <f t="shared" ca="1" si="305"/>
        <v>0</v>
      </c>
      <c r="BO205" s="36">
        <f t="shared" ca="1" si="305"/>
        <v>0</v>
      </c>
      <c r="BP205" s="36">
        <f t="shared" ca="1" si="305"/>
        <v>0</v>
      </c>
      <c r="BQ205" s="36">
        <f t="shared" ca="1" si="305"/>
        <v>0</v>
      </c>
      <c r="BR205" s="36">
        <f t="shared" ca="1" si="305"/>
        <v>0</v>
      </c>
      <c r="BS205" s="36">
        <f t="shared" ca="1" si="305"/>
        <v>0</v>
      </c>
      <c r="BT205" s="36">
        <f t="shared" ca="1" si="305"/>
        <v>0</v>
      </c>
      <c r="BU205" s="36">
        <f t="shared" ca="1" si="305"/>
        <v>0</v>
      </c>
      <c r="BV205" s="36">
        <f t="shared" ca="1" si="305"/>
        <v>0</v>
      </c>
      <c r="BW205" s="36">
        <f t="shared" ca="1" si="305"/>
        <v>0</v>
      </c>
      <c r="BX205" s="36">
        <f t="shared" ca="1" si="306"/>
        <v>0</v>
      </c>
      <c r="BY205" s="36">
        <f t="shared" ca="1" si="306"/>
        <v>0</v>
      </c>
      <c r="BZ205" s="36">
        <f t="shared" ca="1" si="306"/>
        <v>0</v>
      </c>
      <c r="CA205" s="36">
        <f t="shared" ca="1" si="306"/>
        <v>0</v>
      </c>
      <c r="CB205" s="36">
        <f t="shared" ca="1" si="306"/>
        <v>0</v>
      </c>
      <c r="CC205" s="36">
        <f t="shared" ca="1" si="306"/>
        <v>0</v>
      </c>
      <c r="CD205" s="36">
        <f t="shared" ca="1" si="306"/>
        <v>0</v>
      </c>
      <c r="CE205" s="36">
        <f t="shared" ca="1" si="306"/>
        <v>0</v>
      </c>
      <c r="CF205" s="36">
        <f t="shared" ca="1" si="306"/>
        <v>0</v>
      </c>
      <c r="CG205" s="36">
        <f t="shared" ca="1" si="306"/>
        <v>0</v>
      </c>
      <c r="CH205" s="36">
        <f t="shared" ca="1" si="307"/>
        <v>0</v>
      </c>
      <c r="CI205" s="36">
        <f t="shared" ca="1" si="307"/>
        <v>0</v>
      </c>
      <c r="CJ205" s="36">
        <f t="shared" ca="1" si="307"/>
        <v>0</v>
      </c>
      <c r="CK205" s="36">
        <f t="shared" ca="1" si="307"/>
        <v>0</v>
      </c>
      <c r="CL205" s="36">
        <f t="shared" ca="1" si="307"/>
        <v>0</v>
      </c>
      <c r="CM205" s="36">
        <f t="shared" ca="1" si="307"/>
        <v>0</v>
      </c>
      <c r="CN205" s="36">
        <f t="shared" ca="1" si="307"/>
        <v>0</v>
      </c>
      <c r="CO205" s="36">
        <f t="shared" ca="1" si="307"/>
        <v>0</v>
      </c>
      <c r="CP205" s="36">
        <f t="shared" ca="1" si="307"/>
        <v>0</v>
      </c>
      <c r="CQ205" s="36">
        <f t="shared" ca="1" si="307"/>
        <v>0</v>
      </c>
      <c r="CR205" s="36">
        <f t="shared" ca="1" si="307"/>
        <v>0</v>
      </c>
      <c r="CS205" s="36">
        <f t="shared" ca="1" si="307"/>
        <v>0</v>
      </c>
      <c r="CT205" s="36">
        <f t="shared" ca="1" si="307"/>
        <v>0</v>
      </c>
      <c r="CU205" s="36">
        <f t="shared" ca="1" si="307"/>
        <v>0</v>
      </c>
      <c r="CV205" s="36">
        <f t="shared" ca="1" si="307"/>
        <v>0</v>
      </c>
      <c r="CW205" s="21"/>
    </row>
    <row r="206" spans="3:101" x14ac:dyDescent="0.25">
      <c r="C206" s="49" t="str">
        <f t="shared" ref="C206" si="308">CONCATENATE(D206,E206)</f>
        <v>CorporateN/A</v>
      </c>
      <c r="D206" s="35" t="str">
        <f>[1]Key!C$34</f>
        <v>Corporate</v>
      </c>
      <c r="E206" s="35" t="str">
        <f>[1]Key!D$34</f>
        <v>N/A</v>
      </c>
      <c r="F206" s="23">
        <f>[1]Key!$R$34</f>
        <v>30</v>
      </c>
      <c r="G206" s="21"/>
      <c r="H206" s="21"/>
      <c r="I206" s="21"/>
      <c r="J206" s="21"/>
      <c r="K206" s="21"/>
      <c r="L206" s="21"/>
      <c r="M206" s="21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36">
        <f t="shared" ca="1" si="301"/>
        <v>146754.85999999999</v>
      </c>
      <c r="AA206" s="36">
        <f t="shared" ca="1" si="301"/>
        <v>0</v>
      </c>
      <c r="AB206" s="36">
        <f t="shared" ca="1" si="301"/>
        <v>0</v>
      </c>
      <c r="AC206" s="36">
        <f t="shared" ca="1" si="301"/>
        <v>0</v>
      </c>
      <c r="AD206" s="36">
        <f t="shared" ca="1" si="301"/>
        <v>0</v>
      </c>
      <c r="AE206" s="36">
        <f t="shared" ca="1" si="301"/>
        <v>0</v>
      </c>
      <c r="AF206" s="36">
        <f t="shared" ca="1" si="301"/>
        <v>0</v>
      </c>
      <c r="AG206" s="36">
        <f t="shared" ca="1" si="301"/>
        <v>0</v>
      </c>
      <c r="AH206" s="36">
        <f t="shared" ca="1" si="301"/>
        <v>0</v>
      </c>
      <c r="AI206" s="36">
        <f t="shared" ca="1" si="301"/>
        <v>0</v>
      </c>
      <c r="AJ206" s="36">
        <f t="shared" ca="1" si="302"/>
        <v>0</v>
      </c>
      <c r="AK206" s="36">
        <f t="shared" ca="1" si="302"/>
        <v>0</v>
      </c>
      <c r="AL206" s="36">
        <f t="shared" ca="1" si="302"/>
        <v>0</v>
      </c>
      <c r="AM206" s="36">
        <f t="shared" ca="1" si="302"/>
        <v>0</v>
      </c>
      <c r="AN206" s="36">
        <f t="shared" ca="1" si="302"/>
        <v>0</v>
      </c>
      <c r="AO206" s="36">
        <f t="shared" ca="1" si="302"/>
        <v>0</v>
      </c>
      <c r="AP206" s="36">
        <f t="shared" ca="1" si="302"/>
        <v>0</v>
      </c>
      <c r="AQ206" s="36">
        <f t="shared" ca="1" si="302"/>
        <v>0</v>
      </c>
      <c r="AR206" s="36">
        <f t="shared" ca="1" si="302"/>
        <v>0</v>
      </c>
      <c r="AS206" s="36">
        <f t="shared" ca="1" si="302"/>
        <v>0</v>
      </c>
      <c r="AT206" s="36">
        <f t="shared" ca="1" si="303"/>
        <v>0</v>
      </c>
      <c r="AU206" s="36">
        <f t="shared" ca="1" si="303"/>
        <v>0</v>
      </c>
      <c r="AV206" s="36">
        <f t="shared" ca="1" si="303"/>
        <v>0</v>
      </c>
      <c r="AW206" s="36">
        <f t="shared" ca="1" si="303"/>
        <v>0</v>
      </c>
      <c r="AX206" s="36">
        <f t="shared" ca="1" si="303"/>
        <v>0</v>
      </c>
      <c r="AY206" s="36">
        <f t="shared" ca="1" si="303"/>
        <v>0</v>
      </c>
      <c r="AZ206" s="36">
        <f t="shared" ca="1" si="303"/>
        <v>0</v>
      </c>
      <c r="BA206" s="36">
        <f t="shared" ca="1" si="303"/>
        <v>0</v>
      </c>
      <c r="BB206" s="36">
        <f t="shared" ca="1" si="303"/>
        <v>0</v>
      </c>
      <c r="BC206" s="36">
        <f t="shared" ca="1" si="303"/>
        <v>0</v>
      </c>
      <c r="BD206" s="36">
        <f t="shared" ca="1" si="304"/>
        <v>0</v>
      </c>
      <c r="BE206" s="36">
        <f t="shared" ca="1" si="304"/>
        <v>0</v>
      </c>
      <c r="BF206" s="36">
        <f t="shared" ca="1" si="304"/>
        <v>0</v>
      </c>
      <c r="BG206" s="36">
        <f t="shared" ca="1" si="304"/>
        <v>0</v>
      </c>
      <c r="BH206" s="36">
        <f t="shared" ca="1" si="304"/>
        <v>0</v>
      </c>
      <c r="BI206" s="36">
        <f t="shared" ca="1" si="304"/>
        <v>0</v>
      </c>
      <c r="BJ206" s="36">
        <f t="shared" ca="1" si="304"/>
        <v>0</v>
      </c>
      <c r="BK206" s="36">
        <f t="shared" ca="1" si="304"/>
        <v>0</v>
      </c>
      <c r="BL206" s="36">
        <f t="shared" ca="1" si="304"/>
        <v>0</v>
      </c>
      <c r="BM206" s="36">
        <f t="shared" ca="1" si="304"/>
        <v>0</v>
      </c>
      <c r="BN206" s="36">
        <f t="shared" ca="1" si="305"/>
        <v>0</v>
      </c>
      <c r="BO206" s="36">
        <f t="shared" ca="1" si="305"/>
        <v>0</v>
      </c>
      <c r="BP206" s="36">
        <f t="shared" ca="1" si="305"/>
        <v>0</v>
      </c>
      <c r="BQ206" s="36">
        <f t="shared" ca="1" si="305"/>
        <v>0</v>
      </c>
      <c r="BR206" s="36">
        <f t="shared" ca="1" si="305"/>
        <v>0</v>
      </c>
      <c r="BS206" s="36">
        <f t="shared" ca="1" si="305"/>
        <v>0</v>
      </c>
      <c r="BT206" s="36">
        <f t="shared" ca="1" si="305"/>
        <v>0</v>
      </c>
      <c r="BU206" s="36">
        <f t="shared" ca="1" si="305"/>
        <v>0</v>
      </c>
      <c r="BV206" s="36">
        <f t="shared" ca="1" si="305"/>
        <v>0</v>
      </c>
      <c r="BW206" s="36">
        <f t="shared" ca="1" si="305"/>
        <v>0</v>
      </c>
      <c r="BX206" s="36">
        <f t="shared" ca="1" si="306"/>
        <v>0</v>
      </c>
      <c r="BY206" s="36">
        <f t="shared" ca="1" si="306"/>
        <v>0</v>
      </c>
      <c r="BZ206" s="36">
        <f t="shared" ca="1" si="306"/>
        <v>0</v>
      </c>
      <c r="CA206" s="36">
        <f t="shared" ca="1" si="306"/>
        <v>0</v>
      </c>
      <c r="CB206" s="36">
        <f t="shared" ca="1" si="306"/>
        <v>0</v>
      </c>
      <c r="CC206" s="36">
        <f t="shared" ca="1" si="306"/>
        <v>0</v>
      </c>
      <c r="CD206" s="36">
        <f t="shared" ca="1" si="306"/>
        <v>0</v>
      </c>
      <c r="CE206" s="36">
        <f t="shared" ca="1" si="306"/>
        <v>0</v>
      </c>
      <c r="CF206" s="36">
        <f t="shared" ca="1" si="306"/>
        <v>0</v>
      </c>
      <c r="CG206" s="36">
        <f t="shared" ca="1" si="306"/>
        <v>0</v>
      </c>
      <c r="CH206" s="36">
        <f t="shared" ca="1" si="307"/>
        <v>0</v>
      </c>
      <c r="CI206" s="36">
        <f t="shared" ca="1" si="307"/>
        <v>0</v>
      </c>
      <c r="CJ206" s="36">
        <f t="shared" ca="1" si="307"/>
        <v>0</v>
      </c>
      <c r="CK206" s="36">
        <f t="shared" ca="1" si="307"/>
        <v>0</v>
      </c>
      <c r="CL206" s="36">
        <f t="shared" ca="1" si="307"/>
        <v>0</v>
      </c>
      <c r="CM206" s="36">
        <f t="shared" ca="1" si="307"/>
        <v>0</v>
      </c>
      <c r="CN206" s="36">
        <f t="shared" ca="1" si="307"/>
        <v>0</v>
      </c>
      <c r="CO206" s="36">
        <f t="shared" ca="1" si="307"/>
        <v>0</v>
      </c>
      <c r="CP206" s="36">
        <f t="shared" ca="1" si="307"/>
        <v>0</v>
      </c>
      <c r="CQ206" s="36">
        <f t="shared" ca="1" si="307"/>
        <v>0</v>
      </c>
      <c r="CR206" s="36">
        <f t="shared" ca="1" si="307"/>
        <v>0</v>
      </c>
      <c r="CS206" s="36">
        <f t="shared" ca="1" si="307"/>
        <v>0</v>
      </c>
      <c r="CT206" s="36">
        <f t="shared" ca="1" si="307"/>
        <v>0</v>
      </c>
      <c r="CU206" s="36">
        <f t="shared" ca="1" si="307"/>
        <v>0</v>
      </c>
      <c r="CV206" s="36">
        <f t="shared" ca="1" si="307"/>
        <v>0</v>
      </c>
      <c r="CW206" s="21"/>
    </row>
    <row r="207" spans="3:101" x14ac:dyDescent="0.25">
      <c r="C207" s="49" t="str">
        <f t="shared" ref="C207" si="309">CONCATENATE(D207,E207)</f>
        <v>Other RevenueN/A</v>
      </c>
      <c r="D207" s="35" t="str">
        <f>[1]Key!C$35</f>
        <v>Other Revenue</v>
      </c>
      <c r="E207" s="35" t="str">
        <f>[1]Key!D$35</f>
        <v>N/A</v>
      </c>
      <c r="F207" s="23">
        <f>[1]Key!$R$35</f>
        <v>30</v>
      </c>
      <c r="G207" s="21"/>
      <c r="H207" s="21"/>
      <c r="I207" s="21"/>
      <c r="J207" s="21"/>
      <c r="K207" s="21"/>
      <c r="L207" s="21"/>
      <c r="M207" s="21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36">
        <f t="shared" ca="1" si="301"/>
        <v>0</v>
      </c>
      <c r="AA207" s="36">
        <f t="shared" ca="1" si="301"/>
        <v>42000</v>
      </c>
      <c r="AB207" s="36">
        <f t="shared" ca="1" si="301"/>
        <v>42000</v>
      </c>
      <c r="AC207" s="36">
        <f t="shared" ca="1" si="301"/>
        <v>42000</v>
      </c>
      <c r="AD207" s="36">
        <f t="shared" ca="1" si="301"/>
        <v>42000</v>
      </c>
      <c r="AE207" s="36">
        <f t="shared" ca="1" si="301"/>
        <v>42000</v>
      </c>
      <c r="AF207" s="36">
        <f t="shared" ca="1" si="301"/>
        <v>42000</v>
      </c>
      <c r="AG207" s="36">
        <f t="shared" ca="1" si="301"/>
        <v>42000</v>
      </c>
      <c r="AH207" s="36">
        <f t="shared" ca="1" si="301"/>
        <v>42000</v>
      </c>
      <c r="AI207" s="36">
        <f t="shared" ca="1" si="301"/>
        <v>42000</v>
      </c>
      <c r="AJ207" s="36">
        <f t="shared" ca="1" si="302"/>
        <v>42000</v>
      </c>
      <c r="AK207" s="36">
        <f t="shared" ca="1" si="302"/>
        <v>42000</v>
      </c>
      <c r="AL207" s="36">
        <f t="shared" ca="1" si="302"/>
        <v>42000</v>
      </c>
      <c r="AM207" s="36">
        <f t="shared" ca="1" si="302"/>
        <v>0</v>
      </c>
      <c r="AN207" s="36">
        <f t="shared" ca="1" si="302"/>
        <v>0</v>
      </c>
      <c r="AO207" s="36">
        <f t="shared" ca="1" si="302"/>
        <v>0</v>
      </c>
      <c r="AP207" s="36">
        <f t="shared" ca="1" si="302"/>
        <v>0</v>
      </c>
      <c r="AQ207" s="36">
        <f t="shared" ca="1" si="302"/>
        <v>0</v>
      </c>
      <c r="AR207" s="36">
        <f t="shared" ca="1" si="302"/>
        <v>0</v>
      </c>
      <c r="AS207" s="36">
        <f t="shared" ca="1" si="302"/>
        <v>0</v>
      </c>
      <c r="AT207" s="36">
        <f t="shared" ca="1" si="303"/>
        <v>0</v>
      </c>
      <c r="AU207" s="36">
        <f t="shared" ca="1" si="303"/>
        <v>0</v>
      </c>
      <c r="AV207" s="36">
        <f t="shared" ca="1" si="303"/>
        <v>0</v>
      </c>
      <c r="AW207" s="36">
        <f t="shared" ca="1" si="303"/>
        <v>0</v>
      </c>
      <c r="AX207" s="36">
        <f t="shared" ca="1" si="303"/>
        <v>0</v>
      </c>
      <c r="AY207" s="36">
        <f t="shared" ca="1" si="303"/>
        <v>0</v>
      </c>
      <c r="AZ207" s="36">
        <f t="shared" ca="1" si="303"/>
        <v>0</v>
      </c>
      <c r="BA207" s="36">
        <f t="shared" ca="1" si="303"/>
        <v>0</v>
      </c>
      <c r="BB207" s="36">
        <f t="shared" ca="1" si="303"/>
        <v>0</v>
      </c>
      <c r="BC207" s="36">
        <f t="shared" ca="1" si="303"/>
        <v>0</v>
      </c>
      <c r="BD207" s="36">
        <f t="shared" ca="1" si="304"/>
        <v>0</v>
      </c>
      <c r="BE207" s="36">
        <f t="shared" ca="1" si="304"/>
        <v>0</v>
      </c>
      <c r="BF207" s="36">
        <f t="shared" ca="1" si="304"/>
        <v>0</v>
      </c>
      <c r="BG207" s="36">
        <f t="shared" ca="1" si="304"/>
        <v>0</v>
      </c>
      <c r="BH207" s="36">
        <f t="shared" ca="1" si="304"/>
        <v>0</v>
      </c>
      <c r="BI207" s="36">
        <f t="shared" ca="1" si="304"/>
        <v>0</v>
      </c>
      <c r="BJ207" s="36">
        <f t="shared" ca="1" si="304"/>
        <v>0</v>
      </c>
      <c r="BK207" s="36">
        <f t="shared" ca="1" si="304"/>
        <v>0</v>
      </c>
      <c r="BL207" s="36">
        <f t="shared" ca="1" si="304"/>
        <v>0</v>
      </c>
      <c r="BM207" s="36">
        <f t="shared" ca="1" si="304"/>
        <v>0</v>
      </c>
      <c r="BN207" s="36">
        <f t="shared" ca="1" si="305"/>
        <v>0</v>
      </c>
      <c r="BO207" s="36">
        <f t="shared" ca="1" si="305"/>
        <v>0</v>
      </c>
      <c r="BP207" s="36">
        <f t="shared" ca="1" si="305"/>
        <v>0</v>
      </c>
      <c r="BQ207" s="36">
        <f t="shared" ca="1" si="305"/>
        <v>0</v>
      </c>
      <c r="BR207" s="36">
        <f t="shared" ca="1" si="305"/>
        <v>0</v>
      </c>
      <c r="BS207" s="36">
        <f t="shared" ca="1" si="305"/>
        <v>0</v>
      </c>
      <c r="BT207" s="36">
        <f t="shared" ca="1" si="305"/>
        <v>0</v>
      </c>
      <c r="BU207" s="36">
        <f t="shared" ca="1" si="305"/>
        <v>0</v>
      </c>
      <c r="BV207" s="36">
        <f t="shared" ca="1" si="305"/>
        <v>0</v>
      </c>
      <c r="BW207" s="36">
        <f t="shared" ca="1" si="305"/>
        <v>0</v>
      </c>
      <c r="BX207" s="36">
        <f t="shared" ca="1" si="306"/>
        <v>0</v>
      </c>
      <c r="BY207" s="36">
        <f t="shared" ca="1" si="306"/>
        <v>0</v>
      </c>
      <c r="BZ207" s="36">
        <f t="shared" ca="1" si="306"/>
        <v>0</v>
      </c>
      <c r="CA207" s="36">
        <f t="shared" ca="1" si="306"/>
        <v>0</v>
      </c>
      <c r="CB207" s="36">
        <f t="shared" ca="1" si="306"/>
        <v>0</v>
      </c>
      <c r="CC207" s="36">
        <f t="shared" ca="1" si="306"/>
        <v>0</v>
      </c>
      <c r="CD207" s="36">
        <f t="shared" ca="1" si="306"/>
        <v>0</v>
      </c>
      <c r="CE207" s="36">
        <f t="shared" ca="1" si="306"/>
        <v>0</v>
      </c>
      <c r="CF207" s="36">
        <f t="shared" ca="1" si="306"/>
        <v>0</v>
      </c>
      <c r="CG207" s="36">
        <f t="shared" ca="1" si="306"/>
        <v>0</v>
      </c>
      <c r="CH207" s="36">
        <f t="shared" ca="1" si="307"/>
        <v>0</v>
      </c>
      <c r="CI207" s="36">
        <f t="shared" ca="1" si="307"/>
        <v>0</v>
      </c>
      <c r="CJ207" s="36">
        <f t="shared" ca="1" si="307"/>
        <v>0</v>
      </c>
      <c r="CK207" s="36">
        <f t="shared" ca="1" si="307"/>
        <v>0</v>
      </c>
      <c r="CL207" s="36">
        <f t="shared" ca="1" si="307"/>
        <v>0</v>
      </c>
      <c r="CM207" s="36">
        <f t="shared" ca="1" si="307"/>
        <v>0</v>
      </c>
      <c r="CN207" s="36">
        <f t="shared" ca="1" si="307"/>
        <v>0</v>
      </c>
      <c r="CO207" s="36">
        <f t="shared" ca="1" si="307"/>
        <v>0</v>
      </c>
      <c r="CP207" s="36">
        <f t="shared" ca="1" si="307"/>
        <v>0</v>
      </c>
      <c r="CQ207" s="36">
        <f t="shared" ca="1" si="307"/>
        <v>0</v>
      </c>
      <c r="CR207" s="36">
        <f t="shared" ca="1" si="307"/>
        <v>0</v>
      </c>
      <c r="CS207" s="36">
        <f t="shared" ca="1" si="307"/>
        <v>0</v>
      </c>
      <c r="CT207" s="36">
        <f t="shared" ca="1" si="307"/>
        <v>0</v>
      </c>
      <c r="CU207" s="36">
        <f t="shared" ca="1" si="307"/>
        <v>0</v>
      </c>
      <c r="CV207" s="36">
        <f t="shared" ca="1" si="307"/>
        <v>0</v>
      </c>
      <c r="CW207" s="21"/>
    </row>
    <row r="208" spans="3:101" x14ac:dyDescent="0.25">
      <c r="F208" s="21"/>
      <c r="G208" s="21"/>
      <c r="H208" s="21"/>
      <c r="I208" s="21"/>
      <c r="J208" s="21"/>
      <c r="K208" s="21"/>
      <c r="L208" s="21"/>
      <c r="M208" s="21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21"/>
    </row>
    <row r="209" spans="3:101" x14ac:dyDescent="0.25">
      <c r="D209" s="38" t="s">
        <v>152</v>
      </c>
      <c r="F209" s="21"/>
      <c r="G209" s="21"/>
      <c r="H209" s="21"/>
      <c r="I209" s="21"/>
      <c r="J209" s="21"/>
      <c r="K209" s="21"/>
      <c r="L209" s="21"/>
      <c r="M209" s="21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37">
        <f t="shared" ref="Z209:BI209" ca="1" si="310">SUM(Z184:Z208)</f>
        <v>146754.85999999999</v>
      </c>
      <c r="AA209" s="37">
        <f t="shared" ca="1" si="310"/>
        <v>42000</v>
      </c>
      <c r="AB209" s="37">
        <f t="shared" ca="1" si="310"/>
        <v>42000</v>
      </c>
      <c r="AC209" s="37">
        <f t="shared" ca="1" si="310"/>
        <v>42000</v>
      </c>
      <c r="AD209" s="37">
        <f t="shared" ca="1" si="310"/>
        <v>358800</v>
      </c>
      <c r="AE209" s="37">
        <f t="shared" ca="1" si="310"/>
        <v>138000</v>
      </c>
      <c r="AF209" s="37">
        <f t="shared" ca="1" si="310"/>
        <v>1554000</v>
      </c>
      <c r="AG209" s="37">
        <f t="shared" ca="1" si="310"/>
        <v>42000</v>
      </c>
      <c r="AH209" s="37">
        <f t="shared" ca="1" si="310"/>
        <v>168000</v>
      </c>
      <c r="AI209" s="37">
        <f t="shared" ca="1" si="310"/>
        <v>147000</v>
      </c>
      <c r="AJ209" s="37">
        <f t="shared" ca="1" si="310"/>
        <v>336000</v>
      </c>
      <c r="AK209" s="37">
        <f t="shared" ca="1" si="310"/>
        <v>886200</v>
      </c>
      <c r="AL209" s="37">
        <f t="shared" ca="1" si="310"/>
        <v>313600</v>
      </c>
      <c r="AM209" s="37">
        <f t="shared" ca="1" si="310"/>
        <v>1165680</v>
      </c>
      <c r="AN209" s="37">
        <f t="shared" ca="1" si="310"/>
        <v>411000</v>
      </c>
      <c r="AO209" s="37">
        <f t="shared" ca="1" si="310"/>
        <v>829460</v>
      </c>
      <c r="AP209" s="37">
        <f t="shared" ca="1" si="310"/>
        <v>981420</v>
      </c>
      <c r="AQ209" s="37">
        <f t="shared" ca="1" si="310"/>
        <v>1597050</v>
      </c>
      <c r="AR209" s="37">
        <f t="shared" ca="1" si="310"/>
        <v>564640</v>
      </c>
      <c r="AS209" s="37">
        <f t="shared" ca="1" si="310"/>
        <v>1400250</v>
      </c>
      <c r="AT209" s="37">
        <f t="shared" ca="1" si="310"/>
        <v>1961940</v>
      </c>
      <c r="AU209" s="37">
        <f t="shared" ca="1" si="310"/>
        <v>2262800</v>
      </c>
      <c r="AV209" s="37">
        <f t="shared" ca="1" si="310"/>
        <v>2095590</v>
      </c>
      <c r="AW209" s="37">
        <f t="shared" ca="1" si="310"/>
        <v>3237930</v>
      </c>
      <c r="AX209" s="37">
        <f t="shared" ca="1" si="310"/>
        <v>3963430</v>
      </c>
      <c r="AY209" s="37">
        <f t="shared" ca="1" si="310"/>
        <v>3884854</v>
      </c>
      <c r="AZ209" s="37">
        <f t="shared" ca="1" si="310"/>
        <v>2401880</v>
      </c>
      <c r="BA209" s="37">
        <f t="shared" ca="1" si="310"/>
        <v>3372566</v>
      </c>
      <c r="BB209" s="37">
        <f t="shared" ca="1" si="310"/>
        <v>2567268</v>
      </c>
      <c r="BC209" s="37">
        <f t="shared" ca="1" si="310"/>
        <v>3714930</v>
      </c>
      <c r="BD209" s="37">
        <f t="shared" ca="1" si="310"/>
        <v>5907212</v>
      </c>
      <c r="BE209" s="37">
        <f t="shared" ca="1" si="310"/>
        <v>2616000</v>
      </c>
      <c r="BF209" s="37">
        <f t="shared" ca="1" si="310"/>
        <v>4693224</v>
      </c>
      <c r="BG209" s="37">
        <f t="shared" ca="1" si="310"/>
        <v>4570050</v>
      </c>
      <c r="BH209" s="37">
        <f t="shared" ca="1" si="310"/>
        <v>4305424</v>
      </c>
      <c r="BI209" s="37">
        <f t="shared" ca="1" si="310"/>
        <v>3863760</v>
      </c>
      <c r="BJ209" s="37">
        <f t="shared" ref="BJ209:CS209" ca="1" si="311">SUM(BJ184:BJ208)</f>
        <v>9209596</v>
      </c>
      <c r="BK209" s="37">
        <f t="shared" ca="1" si="311"/>
        <v>8934701.5999999996</v>
      </c>
      <c r="BL209" s="37">
        <f t="shared" ca="1" si="311"/>
        <v>5584260</v>
      </c>
      <c r="BM209" s="37">
        <f t="shared" ca="1" si="311"/>
        <v>7169393</v>
      </c>
      <c r="BN209" s="37">
        <f t="shared" ca="1" si="311"/>
        <v>6314761.2000000002</v>
      </c>
      <c r="BO209" s="37">
        <f t="shared" ca="1" si="311"/>
        <v>8076585</v>
      </c>
      <c r="BP209" s="37">
        <f t="shared" ca="1" si="311"/>
        <v>15128102</v>
      </c>
      <c r="BQ209" s="37">
        <f t="shared" ca="1" si="311"/>
        <v>6020388</v>
      </c>
      <c r="BR209" s="37">
        <f t="shared" ca="1" si="311"/>
        <v>11615709.6</v>
      </c>
      <c r="BS209" s="37">
        <f t="shared" ca="1" si="311"/>
        <v>8949475</v>
      </c>
      <c r="BT209" s="37">
        <f t="shared" ca="1" si="311"/>
        <v>10583716</v>
      </c>
      <c r="BU209" s="37">
        <f t="shared" ca="1" si="311"/>
        <v>8561949</v>
      </c>
      <c r="BV209" s="37">
        <f t="shared" ca="1" si="311"/>
        <v>20173945</v>
      </c>
      <c r="BW209" s="37">
        <f t="shared" ca="1" si="311"/>
        <v>18713128.5</v>
      </c>
      <c r="BX209" s="37">
        <f t="shared" ca="1" si="311"/>
        <v>11141625</v>
      </c>
      <c r="BY209" s="37">
        <f t="shared" ca="1" si="311"/>
        <v>12324413.75</v>
      </c>
      <c r="BZ209" s="37">
        <f t="shared" ca="1" si="311"/>
        <v>12848302.5</v>
      </c>
      <c r="CA209" s="37">
        <f t="shared" ca="1" si="311"/>
        <v>14855403.75</v>
      </c>
      <c r="CB209" s="37">
        <f t="shared" ca="1" si="311"/>
        <v>36008472.5</v>
      </c>
      <c r="CC209" s="37">
        <f t="shared" ca="1" si="311"/>
        <v>10836507</v>
      </c>
      <c r="CD209" s="37">
        <f t="shared" ca="1" si="311"/>
        <v>25936449</v>
      </c>
      <c r="CE209" s="37">
        <f t="shared" ca="1" si="311"/>
        <v>13615681.25</v>
      </c>
      <c r="CF209" s="37">
        <f t="shared" ca="1" si="311"/>
        <v>22139403</v>
      </c>
      <c r="CG209" s="37">
        <f t="shared" ca="1" si="311"/>
        <v>16246353.75</v>
      </c>
      <c r="CH209" s="37">
        <f t="shared" ca="1" si="311"/>
        <v>38291027.5</v>
      </c>
      <c r="CI209" s="37">
        <f t="shared" ca="1" si="311"/>
        <v>31583242.350000001</v>
      </c>
      <c r="CJ209" s="37">
        <f t="shared" ca="1" si="311"/>
        <v>19726822.5</v>
      </c>
      <c r="CK209" s="37">
        <f t="shared" ca="1" si="311"/>
        <v>17954000.625</v>
      </c>
      <c r="CL209" s="37">
        <f t="shared" ca="1" si="311"/>
        <v>20695519.350000001</v>
      </c>
      <c r="CM209" s="37">
        <f t="shared" ca="1" si="311"/>
        <v>23036495.625</v>
      </c>
      <c r="CN209" s="37">
        <f t="shared" ca="1" si="311"/>
        <v>68944383.75</v>
      </c>
      <c r="CO209" s="37">
        <f t="shared" ca="1" si="311"/>
        <v>16574174.1</v>
      </c>
      <c r="CP209" s="37">
        <f t="shared" ca="1" si="311"/>
        <v>47845264.5</v>
      </c>
      <c r="CQ209" s="37">
        <f t="shared" ca="1" si="311"/>
        <v>17968441.875</v>
      </c>
      <c r="CR209" s="37">
        <f t="shared" ca="1" si="311"/>
        <v>36236762.100000001</v>
      </c>
      <c r="CS209" s="37">
        <f t="shared" ca="1" si="311"/>
        <v>25557530.625</v>
      </c>
      <c r="CT209" s="37">
        <f t="shared" ref="CT209" ca="1" si="312">SUM(CT184:CT208)</f>
        <v>9026902.5</v>
      </c>
      <c r="CU209" s="37">
        <f t="shared" ref="CU209" ca="1" si="313">SUM(CU184:CU208)</f>
        <v>6669300</v>
      </c>
      <c r="CV209" s="37">
        <f t="shared" ref="CV209" ca="1" si="314">SUM(CV184:CV208)</f>
        <v>0</v>
      </c>
      <c r="CW209" s="21"/>
    </row>
    <row r="210" spans="3:101" x14ac:dyDescent="0.25">
      <c r="D210" t="s">
        <v>165</v>
      </c>
      <c r="Z210" s="48">
        <f ca="1">SUM(X124:X134,Z135:Z145)-Z239</f>
        <v>0</v>
      </c>
      <c r="AA210" s="48">
        <f t="shared" ref="AA210:CV210" ca="1" si="315">SUM(Y124:Y134,AA135:AA145)-AA239</f>
        <v>0</v>
      </c>
      <c r="AB210" s="48">
        <f t="shared" ca="1" si="315"/>
        <v>0</v>
      </c>
      <c r="AC210" s="48">
        <f t="shared" ca="1" si="315"/>
        <v>0</v>
      </c>
      <c r="AD210" s="48">
        <f t="shared" ca="1" si="315"/>
        <v>273600</v>
      </c>
      <c r="AE210" s="48">
        <f t="shared" ca="1" si="315"/>
        <v>79500</v>
      </c>
      <c r="AF210" s="48">
        <f t="shared" ca="1" si="315"/>
        <v>1224000</v>
      </c>
      <c r="AG210" s="48">
        <f t="shared" ca="1" si="315"/>
        <v>0</v>
      </c>
      <c r="AH210" s="48">
        <f t="shared" ca="1" si="315"/>
        <v>102000</v>
      </c>
      <c r="AI210" s="48">
        <f t="shared" ca="1" si="315"/>
        <v>85000</v>
      </c>
      <c r="AJ210" s="48">
        <f t="shared" ca="1" si="315"/>
        <v>238000</v>
      </c>
      <c r="AK210" s="48">
        <f t="shared" ca="1" si="315"/>
        <v>683400</v>
      </c>
      <c r="AL210" s="48">
        <f t="shared" ca="1" si="315"/>
        <v>231100</v>
      </c>
      <c r="AM210" s="48">
        <f t="shared" ca="1" si="315"/>
        <v>946860</v>
      </c>
      <c r="AN210" s="48">
        <f t="shared" ca="1" si="315"/>
        <v>334500</v>
      </c>
      <c r="AO210" s="48">
        <f t="shared" ca="1" si="315"/>
        <v>803120</v>
      </c>
      <c r="AP210" s="48">
        <f t="shared" ca="1" si="315"/>
        <v>805140</v>
      </c>
      <c r="AQ210" s="48">
        <f t="shared" ca="1" si="315"/>
        <v>1292850</v>
      </c>
      <c r="AR210" s="48">
        <f t="shared" ca="1" si="315"/>
        <v>464530</v>
      </c>
      <c r="AS210" s="48">
        <f t="shared" ca="1" si="315"/>
        <v>1148625</v>
      </c>
      <c r="AT210" s="48">
        <f t="shared" ca="1" si="315"/>
        <v>1604730</v>
      </c>
      <c r="AU210" s="48">
        <f t="shared" ca="1" si="315"/>
        <v>2028100</v>
      </c>
      <c r="AV210" s="48">
        <f t="shared" ca="1" si="315"/>
        <v>1768830</v>
      </c>
      <c r="AW210" s="48">
        <f t="shared" ca="1" si="315"/>
        <v>2642610</v>
      </c>
      <c r="AX210" s="48">
        <f t="shared" ca="1" si="315"/>
        <v>3222735</v>
      </c>
      <c r="AY210" s="48">
        <f t="shared" ca="1" si="315"/>
        <v>3171733</v>
      </c>
      <c r="AZ210" s="48">
        <f t="shared" ca="1" si="315"/>
        <v>2025260</v>
      </c>
      <c r="BA210" s="48">
        <f t="shared" ca="1" si="315"/>
        <v>3012932</v>
      </c>
      <c r="BB210" s="48">
        <f t="shared" ca="1" si="315"/>
        <v>2086836</v>
      </c>
      <c r="BC210" s="48">
        <f t="shared" ca="1" si="315"/>
        <v>3043485</v>
      </c>
      <c r="BD210" s="48">
        <f t="shared" ca="1" si="315"/>
        <v>4810274</v>
      </c>
      <c r="BE210" s="48">
        <f t="shared" ca="1" si="315"/>
        <v>2158500</v>
      </c>
      <c r="BF210" s="48">
        <f t="shared" ca="1" si="315"/>
        <v>3927348</v>
      </c>
      <c r="BG210" s="48">
        <f t="shared" ca="1" si="315"/>
        <v>3961350</v>
      </c>
      <c r="BH210" s="48">
        <f t="shared" ca="1" si="315"/>
        <v>3637648</v>
      </c>
      <c r="BI210" s="48">
        <f t="shared" ca="1" si="315"/>
        <v>3197895</v>
      </c>
      <c r="BJ210" s="48">
        <f t="shared" ref="BJ210" ca="1" si="316">SUM(BH124:BH134,BJ135:BJ145)-BJ239</f>
        <v>6889792</v>
      </c>
      <c r="BK210" s="48">
        <f t="shared" ref="BK210" ca="1" si="317">SUM(BI124:BI134,BK135:BK145)-BK239</f>
        <v>6679728.1999999993</v>
      </c>
      <c r="BL210" s="48">
        <f t="shared" ref="BL210" ca="1" si="318">SUM(BJ124:BJ134,BL135:BL145)-BL239</f>
        <v>4575270</v>
      </c>
      <c r="BM210" s="48">
        <f t="shared" ref="BM210" ca="1" si="319">SUM(BK124:BK134,BM135:BM145)-BM239</f>
        <v>6219686</v>
      </c>
      <c r="BN210" s="48">
        <f t="shared" ref="BN210" ca="1" si="320">SUM(BL124:BL134,BN135:BN145)-BN239</f>
        <v>4702172.4000000004</v>
      </c>
      <c r="BO210" s="48">
        <f t="shared" ref="BO210" ca="1" si="321">SUM(BM124:BM134,BO135:BO145)-BO239</f>
        <v>6124732.5</v>
      </c>
      <c r="BP210" s="48">
        <f t="shared" ref="BP210" ca="1" si="322">SUM(BN124:BN134,BP135:BP145)-BP239</f>
        <v>11340629</v>
      </c>
      <c r="BQ210" s="48">
        <f t="shared" ref="BQ210" ca="1" si="323">SUM(BO124:BO134,BQ135:BQ145)-BQ239</f>
        <v>4666776</v>
      </c>
      <c r="BR210" s="48">
        <f t="shared" ref="BR210" ca="1" si="324">SUM(BP124:BP134,BR135:BR145)-BR239</f>
        <v>9355369.1999999993</v>
      </c>
      <c r="BS210" s="48">
        <f t="shared" ref="BS210" ca="1" si="325">SUM(BQ124:BQ134,BS135:BS145)-BS239</f>
        <v>7364575</v>
      </c>
      <c r="BT210" s="48">
        <f t="shared" ref="BT210" ca="1" si="326">SUM(BR124:BR134,BT135:BT145)-BT239</f>
        <v>8331232</v>
      </c>
      <c r="BU210" s="48">
        <f t="shared" ref="BU210" ca="1" si="327">SUM(BS124:BS134,BU135:BU145)-BU239</f>
        <v>6640960.5</v>
      </c>
      <c r="BV210" s="48">
        <f t="shared" ref="BV210" ca="1" si="328">SUM(BT124:BT134,BV135:BV145)-BV239</f>
        <v>15159265</v>
      </c>
      <c r="BW210" s="48">
        <f t="shared" ref="BW210" ca="1" si="329">SUM(BU124:BU134,BW135:BW145)-BW239</f>
        <v>14028319.5</v>
      </c>
      <c r="BX210" s="48">
        <f t="shared" ref="BX210" ca="1" si="330">SUM(BV124:BV134,BX135:BX145)-BX239</f>
        <v>9211687.5</v>
      </c>
      <c r="BY210" s="48">
        <f t="shared" ref="BY210" ca="1" si="331">SUM(BW124:BW134,BY135:BY145)-BY239</f>
        <v>10682202.5</v>
      </c>
      <c r="BZ210" s="48">
        <f t="shared" ref="BZ210" ca="1" si="332">SUM(BX124:BX134,BZ135:BZ145)-BZ239</f>
        <v>9550042.5</v>
      </c>
      <c r="CA210" s="48">
        <f t="shared" ref="CA210" ca="1" si="333">SUM(BY124:BY134,CA135:CA145)-CA239</f>
        <v>11208541.875</v>
      </c>
      <c r="CB210" s="48">
        <f t="shared" ref="CB210" ca="1" si="334">SUM(BZ124:BZ134,CB135:CB145)-CB239</f>
        <v>26970038.75</v>
      </c>
      <c r="CC210" s="48">
        <f t="shared" ref="CC210" ca="1" si="335">SUM(CA124:CA134,CC135:CC145)-CC239</f>
        <v>8448264</v>
      </c>
      <c r="CD210" s="48">
        <f t="shared" ref="CD210" ca="1" si="336">SUM(CB124:CB134,CD135:CD145)-CD239</f>
        <v>21014335.5</v>
      </c>
      <c r="CE210" s="48">
        <f t="shared" ref="CE210" ca="1" si="337">SUM(CC124:CC134,CE135:CE145)-CE239</f>
        <v>11208706.25</v>
      </c>
      <c r="CF210" s="48">
        <f t="shared" ref="CF210" ca="1" si="338">SUM(CD124:CD134,CF135:CF145)-CF239</f>
        <v>17245656</v>
      </c>
      <c r="CG210" s="48">
        <f t="shared" ref="CG210" ca="1" si="339">SUM(CE124:CE134,CG135:CG145)-CG239</f>
        <v>12471691.875</v>
      </c>
      <c r="CH210" s="48">
        <f t="shared" ref="CH210" ca="1" si="340">SUM(CF124:CF134,CH135:CH145)-CH239</f>
        <v>28899805</v>
      </c>
      <c r="CI210" s="48">
        <f t="shared" ref="CI210" ca="1" si="341">SUM(CG124:CG134,CI135:CI145)-CI239</f>
        <v>23784903.450000003</v>
      </c>
      <c r="CJ210" s="48">
        <f t="shared" ref="CJ210" ca="1" si="342">SUM(CH124:CH134,CJ135:CJ145)-CJ239</f>
        <v>16447863.75</v>
      </c>
      <c r="CK210" s="48">
        <f t="shared" ref="CK210" ca="1" si="343">SUM(CI124:CI134,CK135:CK145)-CK239</f>
        <v>15550713.75</v>
      </c>
      <c r="CL210" s="48">
        <f t="shared" ref="CL210" ca="1" si="344">SUM(CJ124:CJ134,CL135:CL145)-CL239</f>
        <v>15369394.950000001</v>
      </c>
      <c r="CM210" s="48">
        <f t="shared" ref="CM210" ca="1" si="345">SUM(CK124:CK134,CM135:CM145)-CM239</f>
        <v>17318342.8125</v>
      </c>
      <c r="CN210" s="48">
        <f t="shared" ref="CN210" ca="1" si="346">SUM(CL124:CL134,CN135:CN145)-CN239</f>
        <v>51543283.125</v>
      </c>
      <c r="CO210" s="48">
        <f t="shared" ref="CO210" ca="1" si="347">SUM(CM124:CM134,CO135:CO145)-CO239</f>
        <v>12974173.199999999</v>
      </c>
      <c r="CP210" s="48">
        <f t="shared" ref="CP210" ca="1" si="348">SUM(CN124:CN134,CP135:CP145)-CP239</f>
        <v>39026247.75</v>
      </c>
      <c r="CQ210" s="48">
        <f t="shared" ref="CQ210" ca="1" si="349">SUM(CO124:CO134,CQ135:CQ145)-CQ239</f>
        <v>14797899.375</v>
      </c>
      <c r="CR210" s="48">
        <f t="shared" ref="CR210" ca="1" si="350">SUM(CP124:CP134,CR135:CR145)-CR239</f>
        <v>28089529.200000003</v>
      </c>
      <c r="CS210" s="48">
        <f t="shared" ref="CS210" ca="1" si="351">SUM(CQ124:CQ134,CS135:CS145)-CS239</f>
        <v>19486037.8125</v>
      </c>
      <c r="CT210" s="48">
        <f ca="1">SUM(BH124:BH134,CT135:CT145)-CT239</f>
        <v>-447829.25</v>
      </c>
      <c r="CU210" s="48">
        <f ca="1">SUM(BI124:BI134,CU135:CU145)-CU239</f>
        <v>-184660</v>
      </c>
      <c r="CV210" s="48">
        <f t="shared" ca="1" si="315"/>
        <v>0</v>
      </c>
    </row>
    <row r="213" spans="3:101" x14ac:dyDescent="0.25">
      <c r="C213" s="50" t="s">
        <v>164</v>
      </c>
      <c r="D213" s="52" t="s">
        <v>167</v>
      </c>
      <c r="E213" s="51"/>
      <c r="F213" s="47" t="s">
        <v>163</v>
      </c>
      <c r="G213" s="21"/>
      <c r="H213" s="21"/>
      <c r="I213" s="21"/>
      <c r="J213" s="21"/>
      <c r="K213" s="21"/>
      <c r="L213" s="21"/>
      <c r="M213" s="21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21"/>
      <c r="CU213" s="21"/>
      <c r="CV213" s="21"/>
      <c r="CW213" s="21"/>
    </row>
    <row r="214" spans="3:101" x14ac:dyDescent="0.25">
      <c r="C214" s="49" t="str">
        <f>CONCATENATE(D214,E214)</f>
        <v>BARIWholesale</v>
      </c>
      <c r="D214" s="35" t="str">
        <f>[1]Key!C$12</f>
        <v>BARI</v>
      </c>
      <c r="E214" s="35" t="str">
        <f>[1]contras!H96</f>
        <v>Wholesale</v>
      </c>
      <c r="F214" s="23">
        <f>[1]Key!$R$12</f>
        <v>60</v>
      </c>
      <c r="H214" s="21"/>
      <c r="I214" s="21"/>
      <c r="J214" s="21"/>
      <c r="K214" s="21"/>
      <c r="L214" s="21"/>
      <c r="M214" s="21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36">
        <f t="shared" ref="Z214:AI223" ca="1" si="352">IF($F214&lt;=0,OFFSET(INDEX($Z$154:$CV$178,MATCH($C214,$C$154:$C$178,0),MATCH(Z$11,$Z$11:$CV$11,0)),0,-ROUNDUP($F214/30,0)),OFFSET(INDEX($Z$154:$CV$178,MATCH($C214,$C$154:$C$178,0),MATCH(Z$11,$Z$11:$CV$11,0)),0,-ROUNDUP($F214/30,0)))</f>
        <v>0</v>
      </c>
      <c r="AA214" s="36">
        <f t="shared" ca="1" si="352"/>
        <v>0</v>
      </c>
      <c r="AB214" s="36">
        <f t="shared" ca="1" si="352"/>
        <v>0</v>
      </c>
      <c r="AC214" s="36">
        <f t="shared" ca="1" si="352"/>
        <v>0</v>
      </c>
      <c r="AD214" s="36">
        <f t="shared" ca="1" si="352"/>
        <v>0</v>
      </c>
      <c r="AE214" s="36">
        <f t="shared" ca="1" si="352"/>
        <v>0</v>
      </c>
      <c r="AF214" s="36">
        <f t="shared" ca="1" si="352"/>
        <v>0</v>
      </c>
      <c r="AG214" s="36">
        <f t="shared" ca="1" si="352"/>
        <v>0</v>
      </c>
      <c r="AH214" s="36">
        <f t="shared" ca="1" si="352"/>
        <v>0</v>
      </c>
      <c r="AI214" s="36">
        <f t="shared" ca="1" si="352"/>
        <v>0</v>
      </c>
      <c r="AJ214" s="36">
        <f t="shared" ref="AJ214:AS223" ca="1" si="353">IF($F214&lt;=0,OFFSET(INDEX($Z$154:$CV$178,MATCH($C214,$C$154:$C$178,0),MATCH(AJ$11,$Z$11:$CV$11,0)),0,-ROUNDUP($F214/30,0)),OFFSET(INDEX($Z$154:$CV$178,MATCH($C214,$C$154:$C$178,0),MATCH(AJ$11,$Z$11:$CV$11,0)),0,-ROUNDUP($F214/30,0)))</f>
        <v>0</v>
      </c>
      <c r="AK214" s="36">
        <f t="shared" ca="1" si="353"/>
        <v>0</v>
      </c>
      <c r="AL214" s="36">
        <f t="shared" ca="1" si="353"/>
        <v>0</v>
      </c>
      <c r="AM214" s="36">
        <f t="shared" ca="1" si="353"/>
        <v>0</v>
      </c>
      <c r="AN214" s="36">
        <f t="shared" ca="1" si="353"/>
        <v>4500</v>
      </c>
      <c r="AO214" s="36">
        <f t="shared" ca="1" si="353"/>
        <v>0</v>
      </c>
      <c r="AP214" s="36">
        <f t="shared" ca="1" si="353"/>
        <v>4500</v>
      </c>
      <c r="AQ214" s="36">
        <f t="shared" ca="1" si="353"/>
        <v>0</v>
      </c>
      <c r="AR214" s="36">
        <f t="shared" ca="1" si="353"/>
        <v>0</v>
      </c>
      <c r="AS214" s="36">
        <f t="shared" ca="1" si="353"/>
        <v>9000</v>
      </c>
      <c r="AT214" s="36">
        <f t="shared" ref="AT214:BC223" ca="1" si="354">IF($F214&lt;=0,OFFSET(INDEX($Z$154:$CV$178,MATCH($C214,$C$154:$C$178,0),MATCH(AT$11,$Z$11:$CV$11,0)),0,-ROUNDUP($F214/30,0)),OFFSET(INDEX($Z$154:$CV$178,MATCH($C214,$C$154:$C$178,0),MATCH(AT$11,$Z$11:$CV$11,0)),0,-ROUNDUP($F214/30,0)))</f>
        <v>0</v>
      </c>
      <c r="AU214" s="36">
        <f t="shared" ca="1" si="354"/>
        <v>4500</v>
      </c>
      <c r="AV214" s="36">
        <f t="shared" ca="1" si="354"/>
        <v>9000</v>
      </c>
      <c r="AW214" s="36">
        <f t="shared" ca="1" si="354"/>
        <v>9000</v>
      </c>
      <c r="AX214" s="36">
        <f t="shared" ca="1" si="354"/>
        <v>1875</v>
      </c>
      <c r="AY214" s="36">
        <f t="shared" ca="1" si="354"/>
        <v>9000</v>
      </c>
      <c r="AZ214" s="36">
        <f t="shared" ca="1" si="354"/>
        <v>13500</v>
      </c>
      <c r="BA214" s="36">
        <f t="shared" ca="1" si="354"/>
        <v>0</v>
      </c>
      <c r="BB214" s="36">
        <f t="shared" ca="1" si="354"/>
        <v>9000</v>
      </c>
      <c r="BC214" s="36">
        <f t="shared" ca="1" si="354"/>
        <v>0</v>
      </c>
      <c r="BD214" s="36">
        <f t="shared" ref="BD214:BM223" ca="1" si="355">IF($F214&lt;=0,OFFSET(INDEX($Z$154:$CV$178,MATCH($C214,$C$154:$C$178,0),MATCH(BD$11,$Z$11:$CV$11,0)),0,-ROUNDUP($F214/30,0)),OFFSET(INDEX($Z$154:$CV$178,MATCH($C214,$C$154:$C$178,0),MATCH(BD$11,$Z$11:$CV$11,0)),0,-ROUNDUP($F214/30,0)))</f>
        <v>0</v>
      </c>
      <c r="BE214" s="36">
        <f t="shared" ca="1" si="355"/>
        <v>22500</v>
      </c>
      <c r="BF214" s="36">
        <f t="shared" ca="1" si="355"/>
        <v>0</v>
      </c>
      <c r="BG214" s="36">
        <f t="shared" ca="1" si="355"/>
        <v>0</v>
      </c>
      <c r="BH214" s="36">
        <f t="shared" ca="1" si="355"/>
        <v>9000</v>
      </c>
      <c r="BI214" s="36">
        <f t="shared" ca="1" si="355"/>
        <v>18000</v>
      </c>
      <c r="BJ214" s="36">
        <f t="shared" ca="1" si="355"/>
        <v>0</v>
      </c>
      <c r="BK214" s="36">
        <f t="shared" ca="1" si="355"/>
        <v>10875</v>
      </c>
      <c r="BL214" s="36">
        <f t="shared" ca="1" si="355"/>
        <v>27000</v>
      </c>
      <c r="BM214" s="36">
        <f t="shared" ca="1" si="355"/>
        <v>0</v>
      </c>
      <c r="BN214" s="36">
        <f t="shared" ref="BN214:BW223" ca="1" si="356">IF($F214&lt;=0,OFFSET(INDEX($Z$154:$CV$178,MATCH($C214,$C$154:$C$178,0),MATCH(BN$11,$Z$11:$CV$11,0)),0,-ROUNDUP($F214/30,0)),OFFSET(INDEX($Z$154:$CV$178,MATCH($C214,$C$154:$C$178,0),MATCH(BN$11,$Z$11:$CV$11,0)),0,-ROUNDUP($F214/30,0)))</f>
        <v>18000</v>
      </c>
      <c r="BO214" s="36">
        <f t="shared" ca="1" si="356"/>
        <v>0</v>
      </c>
      <c r="BP214" s="36">
        <f t="shared" ca="1" si="356"/>
        <v>0</v>
      </c>
      <c r="BQ214" s="36">
        <f t="shared" ca="1" si="356"/>
        <v>45000</v>
      </c>
      <c r="BR214" s="36">
        <f t="shared" ca="1" si="356"/>
        <v>0</v>
      </c>
      <c r="BS214" s="36">
        <f t="shared" ca="1" si="356"/>
        <v>0</v>
      </c>
      <c r="BT214" s="36">
        <f t="shared" ca="1" si="356"/>
        <v>18000</v>
      </c>
      <c r="BU214" s="36">
        <f t="shared" ca="1" si="356"/>
        <v>36000</v>
      </c>
      <c r="BV214" s="36">
        <f t="shared" ca="1" si="356"/>
        <v>0</v>
      </c>
      <c r="BW214" s="36">
        <f t="shared" ca="1" si="356"/>
        <v>21750</v>
      </c>
      <c r="BX214" s="36">
        <f t="shared" ref="BX214:CG223" ca="1" si="357">IF($F214&lt;=0,OFFSET(INDEX($Z$154:$CV$178,MATCH($C214,$C$154:$C$178,0),MATCH(BX$11,$Z$11:$CV$11,0)),0,-ROUNDUP($F214/30,0)),OFFSET(INDEX($Z$154:$CV$178,MATCH($C214,$C$154:$C$178,0),MATCH(BX$11,$Z$11:$CV$11,0)),0,-ROUNDUP($F214/30,0)))</f>
        <v>40500</v>
      </c>
      <c r="BY214" s="36">
        <f t="shared" ca="1" si="357"/>
        <v>0</v>
      </c>
      <c r="BZ214" s="36">
        <f t="shared" ca="1" si="357"/>
        <v>27000</v>
      </c>
      <c r="CA214" s="36">
        <f t="shared" ca="1" si="357"/>
        <v>0</v>
      </c>
      <c r="CB214" s="36">
        <f t="shared" ca="1" si="357"/>
        <v>0</v>
      </c>
      <c r="CC214" s="36">
        <f t="shared" ca="1" si="357"/>
        <v>67500</v>
      </c>
      <c r="CD214" s="36">
        <f t="shared" ca="1" si="357"/>
        <v>0</v>
      </c>
      <c r="CE214" s="36">
        <f t="shared" ca="1" si="357"/>
        <v>0</v>
      </c>
      <c r="CF214" s="36">
        <f t="shared" ca="1" si="357"/>
        <v>27000</v>
      </c>
      <c r="CG214" s="36">
        <f t="shared" ca="1" si="357"/>
        <v>54000</v>
      </c>
      <c r="CH214" s="36">
        <f t="shared" ref="CH214:CV223" ca="1" si="358">IF($F214&lt;=0,OFFSET(INDEX($Z$154:$CV$178,MATCH($C214,$C$154:$C$178,0),MATCH(CH$11,$Z$11:$CV$11,0)),0,-ROUNDUP($F214/30,0)),OFFSET(INDEX($Z$154:$CV$178,MATCH($C214,$C$154:$C$178,0),MATCH(CH$11,$Z$11:$CV$11,0)),0,-ROUNDUP($F214/30,0)))</f>
        <v>0</v>
      </c>
      <c r="CI214" s="36">
        <f t="shared" ca="1" si="358"/>
        <v>32625</v>
      </c>
      <c r="CJ214" s="36">
        <f t="shared" ca="1" si="358"/>
        <v>52650</v>
      </c>
      <c r="CK214" s="36">
        <f t="shared" ca="1" si="358"/>
        <v>0</v>
      </c>
      <c r="CL214" s="36">
        <f t="shared" ca="1" si="358"/>
        <v>35100</v>
      </c>
      <c r="CM214" s="36">
        <f t="shared" ca="1" si="358"/>
        <v>0</v>
      </c>
      <c r="CN214" s="36">
        <f t="shared" ca="1" si="358"/>
        <v>0</v>
      </c>
      <c r="CO214" s="36">
        <f t="shared" ca="1" si="358"/>
        <v>87750</v>
      </c>
      <c r="CP214" s="36">
        <f t="shared" ca="1" si="358"/>
        <v>0</v>
      </c>
      <c r="CQ214" s="36">
        <f t="shared" ca="1" si="358"/>
        <v>0</v>
      </c>
      <c r="CR214" s="36">
        <f t="shared" ca="1" si="358"/>
        <v>35100</v>
      </c>
      <c r="CS214" s="36">
        <f t="shared" ca="1" si="358"/>
        <v>70200</v>
      </c>
      <c r="CT214" s="36">
        <f t="shared" ca="1" si="358"/>
        <v>0</v>
      </c>
      <c r="CU214" s="36">
        <f t="shared" ca="1" si="358"/>
        <v>42412.5</v>
      </c>
      <c r="CV214" s="36">
        <f t="shared" ca="1" si="358"/>
        <v>0</v>
      </c>
      <c r="CW214" s="21"/>
    </row>
    <row r="215" spans="3:101" x14ac:dyDescent="0.25">
      <c r="C215" s="49" t="str">
        <f t="shared" ref="C215:C235" si="359">CONCATENATE(D215,E215)</f>
        <v>BRAIN DEAD OAKLEYWholesale</v>
      </c>
      <c r="D215" s="35" t="str">
        <f>[1]Key!C$13</f>
        <v>BRAIN DEAD OAKLEY</v>
      </c>
      <c r="E215" s="35" t="str">
        <f>[1]contras!H97</f>
        <v>Wholesale</v>
      </c>
      <c r="F215" s="23">
        <f>[1]Key!$R$13</f>
        <v>60</v>
      </c>
      <c r="G215" s="21"/>
      <c r="H215" s="21"/>
      <c r="I215" s="21"/>
      <c r="J215" s="21"/>
      <c r="K215" s="21"/>
      <c r="L215" s="21"/>
      <c r="M215" s="21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36">
        <f t="shared" ca="1" si="352"/>
        <v>0</v>
      </c>
      <c r="AA215" s="36">
        <f t="shared" ca="1" si="352"/>
        <v>0</v>
      </c>
      <c r="AB215" s="36">
        <f t="shared" ca="1" si="352"/>
        <v>0</v>
      </c>
      <c r="AC215" s="36">
        <f t="shared" ca="1" si="352"/>
        <v>0</v>
      </c>
      <c r="AD215" s="36">
        <f t="shared" ca="1" si="352"/>
        <v>0</v>
      </c>
      <c r="AE215" s="36">
        <f t="shared" ca="1" si="352"/>
        <v>0</v>
      </c>
      <c r="AF215" s="36">
        <f t="shared" ca="1" si="352"/>
        <v>0</v>
      </c>
      <c r="AG215" s="36">
        <f t="shared" ca="1" si="352"/>
        <v>0</v>
      </c>
      <c r="AH215" s="36">
        <f t="shared" ca="1" si="352"/>
        <v>0</v>
      </c>
      <c r="AI215" s="36">
        <f t="shared" ca="1" si="352"/>
        <v>0</v>
      </c>
      <c r="AJ215" s="36">
        <f t="shared" ca="1" si="353"/>
        <v>0</v>
      </c>
      <c r="AK215" s="36">
        <f t="shared" ca="1" si="353"/>
        <v>0</v>
      </c>
      <c r="AL215" s="36">
        <f t="shared" ca="1" si="353"/>
        <v>0</v>
      </c>
      <c r="AM215" s="36">
        <f t="shared" ca="1" si="353"/>
        <v>0</v>
      </c>
      <c r="AN215" s="36">
        <f t="shared" ca="1" si="353"/>
        <v>0</v>
      </c>
      <c r="AO215" s="36">
        <f t="shared" ca="1" si="353"/>
        <v>0</v>
      </c>
      <c r="AP215" s="36">
        <f t="shared" ca="1" si="353"/>
        <v>0</v>
      </c>
      <c r="AQ215" s="36">
        <f t="shared" ca="1" si="353"/>
        <v>0</v>
      </c>
      <c r="AR215" s="36">
        <f t="shared" ca="1" si="353"/>
        <v>0</v>
      </c>
      <c r="AS215" s="36">
        <f t="shared" ca="1" si="353"/>
        <v>0</v>
      </c>
      <c r="AT215" s="36">
        <f t="shared" ca="1" si="354"/>
        <v>0</v>
      </c>
      <c r="AU215" s="36">
        <f t="shared" ca="1" si="354"/>
        <v>0</v>
      </c>
      <c r="AV215" s="36">
        <f t="shared" ca="1" si="354"/>
        <v>0</v>
      </c>
      <c r="AW215" s="36">
        <f t="shared" ca="1" si="354"/>
        <v>0</v>
      </c>
      <c r="AX215" s="36">
        <f t="shared" ca="1" si="354"/>
        <v>0</v>
      </c>
      <c r="AY215" s="36">
        <f t="shared" ca="1" si="354"/>
        <v>0</v>
      </c>
      <c r="AZ215" s="36">
        <f t="shared" ca="1" si="354"/>
        <v>0</v>
      </c>
      <c r="BA215" s="36">
        <f t="shared" ca="1" si="354"/>
        <v>0</v>
      </c>
      <c r="BB215" s="36">
        <f t="shared" ca="1" si="354"/>
        <v>0</v>
      </c>
      <c r="BC215" s="36">
        <f t="shared" ca="1" si="354"/>
        <v>0</v>
      </c>
      <c r="BD215" s="36">
        <f t="shared" ca="1" si="355"/>
        <v>0</v>
      </c>
      <c r="BE215" s="36">
        <f t="shared" ca="1" si="355"/>
        <v>0</v>
      </c>
      <c r="BF215" s="36">
        <f t="shared" ca="1" si="355"/>
        <v>0</v>
      </c>
      <c r="BG215" s="36">
        <f t="shared" ca="1" si="355"/>
        <v>0</v>
      </c>
      <c r="BH215" s="36">
        <f t="shared" ca="1" si="355"/>
        <v>0</v>
      </c>
      <c r="BI215" s="36">
        <f t="shared" ca="1" si="355"/>
        <v>0</v>
      </c>
      <c r="BJ215" s="36">
        <f t="shared" ca="1" si="355"/>
        <v>0</v>
      </c>
      <c r="BK215" s="36">
        <f t="shared" ca="1" si="355"/>
        <v>0</v>
      </c>
      <c r="BL215" s="36">
        <f t="shared" ca="1" si="355"/>
        <v>0</v>
      </c>
      <c r="BM215" s="36">
        <f t="shared" ca="1" si="355"/>
        <v>0</v>
      </c>
      <c r="BN215" s="36">
        <f t="shared" ca="1" si="356"/>
        <v>0</v>
      </c>
      <c r="BO215" s="36">
        <f t="shared" ca="1" si="356"/>
        <v>0</v>
      </c>
      <c r="BP215" s="36">
        <f t="shared" ca="1" si="356"/>
        <v>0</v>
      </c>
      <c r="BQ215" s="36">
        <f t="shared" ca="1" si="356"/>
        <v>0</v>
      </c>
      <c r="BR215" s="36">
        <f t="shared" ca="1" si="356"/>
        <v>0</v>
      </c>
      <c r="BS215" s="36">
        <f t="shared" ca="1" si="356"/>
        <v>0</v>
      </c>
      <c r="BT215" s="36">
        <f t="shared" ca="1" si="356"/>
        <v>0</v>
      </c>
      <c r="BU215" s="36">
        <f t="shared" ca="1" si="356"/>
        <v>0</v>
      </c>
      <c r="BV215" s="36">
        <f t="shared" ca="1" si="356"/>
        <v>0</v>
      </c>
      <c r="BW215" s="36">
        <f t="shared" ca="1" si="356"/>
        <v>0</v>
      </c>
      <c r="BX215" s="36">
        <f t="shared" ca="1" si="357"/>
        <v>0</v>
      </c>
      <c r="BY215" s="36">
        <f t="shared" ca="1" si="357"/>
        <v>0</v>
      </c>
      <c r="BZ215" s="36">
        <f t="shared" ca="1" si="357"/>
        <v>0</v>
      </c>
      <c r="CA215" s="36">
        <f t="shared" ca="1" si="357"/>
        <v>0</v>
      </c>
      <c r="CB215" s="36">
        <f t="shared" ca="1" si="357"/>
        <v>0</v>
      </c>
      <c r="CC215" s="36">
        <f t="shared" ca="1" si="357"/>
        <v>0</v>
      </c>
      <c r="CD215" s="36">
        <f t="shared" ca="1" si="357"/>
        <v>0</v>
      </c>
      <c r="CE215" s="36">
        <f t="shared" ca="1" si="357"/>
        <v>0</v>
      </c>
      <c r="CF215" s="36">
        <f t="shared" ca="1" si="357"/>
        <v>0</v>
      </c>
      <c r="CG215" s="36">
        <f t="shared" ca="1" si="357"/>
        <v>0</v>
      </c>
      <c r="CH215" s="36">
        <f t="shared" ca="1" si="358"/>
        <v>0</v>
      </c>
      <c r="CI215" s="36">
        <f t="shared" ca="1" si="358"/>
        <v>0</v>
      </c>
      <c r="CJ215" s="36">
        <f t="shared" ca="1" si="358"/>
        <v>0</v>
      </c>
      <c r="CK215" s="36">
        <f t="shared" ca="1" si="358"/>
        <v>0</v>
      </c>
      <c r="CL215" s="36">
        <f t="shared" ca="1" si="358"/>
        <v>0</v>
      </c>
      <c r="CM215" s="36">
        <f t="shared" ca="1" si="358"/>
        <v>0</v>
      </c>
      <c r="CN215" s="36">
        <f t="shared" ca="1" si="358"/>
        <v>0</v>
      </c>
      <c r="CO215" s="36">
        <f t="shared" ca="1" si="358"/>
        <v>0</v>
      </c>
      <c r="CP215" s="36">
        <f t="shared" ca="1" si="358"/>
        <v>0</v>
      </c>
      <c r="CQ215" s="36">
        <f t="shared" ca="1" si="358"/>
        <v>0</v>
      </c>
      <c r="CR215" s="36">
        <f t="shared" ca="1" si="358"/>
        <v>0</v>
      </c>
      <c r="CS215" s="36">
        <f t="shared" ca="1" si="358"/>
        <v>0</v>
      </c>
      <c r="CT215" s="36">
        <f t="shared" ca="1" si="358"/>
        <v>0</v>
      </c>
      <c r="CU215" s="36">
        <f t="shared" ca="1" si="358"/>
        <v>0</v>
      </c>
      <c r="CV215" s="36">
        <f t="shared" ca="1" si="358"/>
        <v>0</v>
      </c>
      <c r="CW215" s="21"/>
    </row>
    <row r="216" spans="3:101" x14ac:dyDescent="0.25">
      <c r="C216" s="49" t="str">
        <f t="shared" si="359"/>
        <v>GROWTH "HIT" PHWholesale</v>
      </c>
      <c r="D216" s="35" t="str">
        <f>[1]Key!C$14</f>
        <v>GROWTH "HIT" PH</v>
      </c>
      <c r="E216" s="35" t="str">
        <f>[1]contras!H98</f>
        <v>Wholesale</v>
      </c>
      <c r="F216" s="23">
        <f>[1]Key!$R$14</f>
        <v>60</v>
      </c>
      <c r="G216" s="21"/>
      <c r="H216" s="21"/>
      <c r="I216" s="21"/>
      <c r="J216" s="21"/>
      <c r="K216" s="21"/>
      <c r="L216" s="21"/>
      <c r="M216" s="21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36">
        <f t="shared" ca="1" si="352"/>
        <v>0</v>
      </c>
      <c r="AA216" s="36">
        <f t="shared" ca="1" si="352"/>
        <v>0</v>
      </c>
      <c r="AB216" s="36">
        <f t="shared" ca="1" si="352"/>
        <v>0</v>
      </c>
      <c r="AC216" s="36">
        <f t="shared" ca="1" si="352"/>
        <v>0</v>
      </c>
      <c r="AD216" s="36">
        <f t="shared" ca="1" si="352"/>
        <v>0</v>
      </c>
      <c r="AE216" s="36">
        <f t="shared" ca="1" si="352"/>
        <v>0</v>
      </c>
      <c r="AF216" s="36">
        <f t="shared" ca="1" si="352"/>
        <v>0</v>
      </c>
      <c r="AG216" s="36">
        <f t="shared" ca="1" si="352"/>
        <v>0</v>
      </c>
      <c r="AH216" s="36">
        <f t="shared" ca="1" si="352"/>
        <v>0</v>
      </c>
      <c r="AI216" s="36">
        <f t="shared" ca="1" si="352"/>
        <v>0</v>
      </c>
      <c r="AJ216" s="36">
        <f t="shared" ca="1" si="353"/>
        <v>0</v>
      </c>
      <c r="AK216" s="36">
        <f t="shared" ca="1" si="353"/>
        <v>0</v>
      </c>
      <c r="AL216" s="36">
        <f t="shared" ca="1" si="353"/>
        <v>0</v>
      </c>
      <c r="AM216" s="36">
        <f t="shared" ca="1" si="353"/>
        <v>0</v>
      </c>
      <c r="AN216" s="36">
        <f t="shared" ca="1" si="353"/>
        <v>0</v>
      </c>
      <c r="AO216" s="36">
        <f t="shared" ca="1" si="353"/>
        <v>0</v>
      </c>
      <c r="AP216" s="36">
        <f t="shared" ca="1" si="353"/>
        <v>0</v>
      </c>
      <c r="AQ216" s="36">
        <f t="shared" ca="1" si="353"/>
        <v>0</v>
      </c>
      <c r="AR216" s="36">
        <f t="shared" ca="1" si="353"/>
        <v>0</v>
      </c>
      <c r="AS216" s="36">
        <f t="shared" ca="1" si="353"/>
        <v>0</v>
      </c>
      <c r="AT216" s="36">
        <f t="shared" ca="1" si="354"/>
        <v>0</v>
      </c>
      <c r="AU216" s="36">
        <f t="shared" ca="1" si="354"/>
        <v>0</v>
      </c>
      <c r="AV216" s="36">
        <f t="shared" ca="1" si="354"/>
        <v>0</v>
      </c>
      <c r="AW216" s="36">
        <f t="shared" ca="1" si="354"/>
        <v>42000</v>
      </c>
      <c r="AX216" s="36">
        <f t="shared" ca="1" si="354"/>
        <v>0</v>
      </c>
      <c r="AY216" s="36">
        <f t="shared" ca="1" si="354"/>
        <v>0</v>
      </c>
      <c r="AZ216" s="36">
        <f t="shared" ca="1" si="354"/>
        <v>90000</v>
      </c>
      <c r="BA216" s="36">
        <f t="shared" ca="1" si="354"/>
        <v>0</v>
      </c>
      <c r="BB216" s="36">
        <f t="shared" ca="1" si="354"/>
        <v>0</v>
      </c>
      <c r="BC216" s="36">
        <f t="shared" ca="1" si="354"/>
        <v>90000</v>
      </c>
      <c r="BD216" s="36">
        <f t="shared" ca="1" si="355"/>
        <v>0</v>
      </c>
      <c r="BE216" s="36">
        <f t="shared" ca="1" si="355"/>
        <v>0</v>
      </c>
      <c r="BF216" s="36">
        <f t="shared" ca="1" si="355"/>
        <v>112500</v>
      </c>
      <c r="BG216" s="36">
        <f t="shared" ca="1" si="355"/>
        <v>0</v>
      </c>
      <c r="BH216" s="36">
        <f t="shared" ca="1" si="355"/>
        <v>0</v>
      </c>
      <c r="BI216" s="36">
        <f t="shared" ca="1" si="355"/>
        <v>157500</v>
      </c>
      <c r="BJ216" s="36">
        <f t="shared" ca="1" si="355"/>
        <v>0</v>
      </c>
      <c r="BK216" s="36">
        <f t="shared" ca="1" si="355"/>
        <v>0</v>
      </c>
      <c r="BL216" s="36">
        <f t="shared" ca="1" si="355"/>
        <v>180000</v>
      </c>
      <c r="BM216" s="36">
        <f t="shared" ca="1" si="355"/>
        <v>0</v>
      </c>
      <c r="BN216" s="36">
        <f t="shared" ca="1" si="356"/>
        <v>0</v>
      </c>
      <c r="BO216" s="36">
        <f t="shared" ca="1" si="356"/>
        <v>180000</v>
      </c>
      <c r="BP216" s="36">
        <f t="shared" ca="1" si="356"/>
        <v>0</v>
      </c>
      <c r="BQ216" s="36">
        <f t="shared" ca="1" si="356"/>
        <v>0</v>
      </c>
      <c r="BR216" s="36">
        <f t="shared" ca="1" si="356"/>
        <v>225000</v>
      </c>
      <c r="BS216" s="36">
        <f t="shared" ca="1" si="356"/>
        <v>0</v>
      </c>
      <c r="BT216" s="36">
        <f t="shared" ca="1" si="356"/>
        <v>0</v>
      </c>
      <c r="BU216" s="36">
        <f t="shared" ca="1" si="356"/>
        <v>315000</v>
      </c>
      <c r="BV216" s="36">
        <f t="shared" ca="1" si="356"/>
        <v>0</v>
      </c>
      <c r="BW216" s="36">
        <f t="shared" ca="1" si="356"/>
        <v>0</v>
      </c>
      <c r="BX216" s="36">
        <f t="shared" ca="1" si="357"/>
        <v>270000</v>
      </c>
      <c r="BY216" s="36">
        <f t="shared" ca="1" si="357"/>
        <v>0</v>
      </c>
      <c r="BZ216" s="36">
        <f t="shared" ca="1" si="357"/>
        <v>0</v>
      </c>
      <c r="CA216" s="36">
        <f t="shared" ca="1" si="357"/>
        <v>270000</v>
      </c>
      <c r="CB216" s="36">
        <f t="shared" ca="1" si="357"/>
        <v>0</v>
      </c>
      <c r="CC216" s="36">
        <f t="shared" ca="1" si="357"/>
        <v>0</v>
      </c>
      <c r="CD216" s="36">
        <f t="shared" ca="1" si="357"/>
        <v>337500</v>
      </c>
      <c r="CE216" s="36">
        <f t="shared" ca="1" si="357"/>
        <v>0</v>
      </c>
      <c r="CF216" s="36">
        <f t="shared" ca="1" si="357"/>
        <v>0</v>
      </c>
      <c r="CG216" s="36">
        <f t="shared" ca="1" si="357"/>
        <v>472500</v>
      </c>
      <c r="CH216" s="36">
        <f t="shared" ca="1" si="358"/>
        <v>0</v>
      </c>
      <c r="CI216" s="36">
        <f t="shared" ca="1" si="358"/>
        <v>0</v>
      </c>
      <c r="CJ216" s="36">
        <f t="shared" ca="1" si="358"/>
        <v>351000</v>
      </c>
      <c r="CK216" s="36">
        <f t="shared" ca="1" si="358"/>
        <v>0</v>
      </c>
      <c r="CL216" s="36">
        <f t="shared" ca="1" si="358"/>
        <v>0</v>
      </c>
      <c r="CM216" s="36">
        <f t="shared" ca="1" si="358"/>
        <v>351000</v>
      </c>
      <c r="CN216" s="36">
        <f t="shared" ca="1" si="358"/>
        <v>0</v>
      </c>
      <c r="CO216" s="36">
        <f t="shared" ca="1" si="358"/>
        <v>0</v>
      </c>
      <c r="CP216" s="36">
        <f t="shared" ca="1" si="358"/>
        <v>438750</v>
      </c>
      <c r="CQ216" s="36">
        <f t="shared" ca="1" si="358"/>
        <v>0</v>
      </c>
      <c r="CR216" s="36">
        <f t="shared" ca="1" si="358"/>
        <v>0</v>
      </c>
      <c r="CS216" s="36">
        <f t="shared" ca="1" si="358"/>
        <v>614250</v>
      </c>
      <c r="CT216" s="36">
        <f t="shared" ca="1" si="358"/>
        <v>0</v>
      </c>
      <c r="CU216" s="36">
        <f t="shared" ca="1" si="358"/>
        <v>0</v>
      </c>
      <c r="CV216" s="36">
        <f t="shared" ca="1" si="358"/>
        <v>0</v>
      </c>
      <c r="CW216" s="21"/>
    </row>
    <row r="217" spans="3:101" x14ac:dyDescent="0.25">
      <c r="C217" s="49" t="str">
        <f t="shared" si="359"/>
        <v>ICE STUDIOSWholesale</v>
      </c>
      <c r="D217" s="35" t="str">
        <f>[1]Key!C$15</f>
        <v>ICE STUDIOS</v>
      </c>
      <c r="E217" s="35" t="str">
        <f>[1]contras!H99</f>
        <v>Wholesale</v>
      </c>
      <c r="F217" s="23">
        <f>[1]Key!$R$15</f>
        <v>60</v>
      </c>
      <c r="G217" s="21"/>
      <c r="H217" s="21"/>
      <c r="I217" s="21"/>
      <c r="J217" s="21"/>
      <c r="K217" s="21"/>
      <c r="L217" s="21"/>
      <c r="M217" s="21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36">
        <f t="shared" ca="1" si="352"/>
        <v>0</v>
      </c>
      <c r="AA217" s="36">
        <f t="shared" ca="1" si="352"/>
        <v>0</v>
      </c>
      <c r="AB217" s="36">
        <f t="shared" ca="1" si="352"/>
        <v>0</v>
      </c>
      <c r="AC217" s="36">
        <f t="shared" ca="1" si="352"/>
        <v>0</v>
      </c>
      <c r="AD217" s="36">
        <f t="shared" ca="1" si="352"/>
        <v>0</v>
      </c>
      <c r="AE217" s="36">
        <f t="shared" ca="1" si="352"/>
        <v>0</v>
      </c>
      <c r="AF217" s="36">
        <f t="shared" ca="1" si="352"/>
        <v>0</v>
      </c>
      <c r="AG217" s="36">
        <f t="shared" ca="1" si="352"/>
        <v>0</v>
      </c>
      <c r="AH217" s="36">
        <f t="shared" ca="1" si="352"/>
        <v>0</v>
      </c>
      <c r="AI217" s="36">
        <f t="shared" ca="1" si="352"/>
        <v>0</v>
      </c>
      <c r="AJ217" s="36">
        <f t="shared" ca="1" si="353"/>
        <v>0</v>
      </c>
      <c r="AK217" s="36">
        <f t="shared" ca="1" si="353"/>
        <v>0</v>
      </c>
      <c r="AL217" s="36">
        <f t="shared" ca="1" si="353"/>
        <v>0</v>
      </c>
      <c r="AM217" s="36">
        <f t="shared" ca="1" si="353"/>
        <v>1350</v>
      </c>
      <c r="AN217" s="36">
        <f t="shared" ca="1" si="353"/>
        <v>0</v>
      </c>
      <c r="AO217" s="36">
        <f t="shared" ca="1" si="353"/>
        <v>11340</v>
      </c>
      <c r="AP217" s="36">
        <f t="shared" ca="1" si="353"/>
        <v>0</v>
      </c>
      <c r="AQ217" s="36">
        <f t="shared" ca="1" si="353"/>
        <v>0</v>
      </c>
      <c r="AR217" s="36">
        <f t="shared" ca="1" si="353"/>
        <v>0</v>
      </c>
      <c r="AS217" s="36">
        <f t="shared" ca="1" si="353"/>
        <v>18900</v>
      </c>
      <c r="AT217" s="36">
        <f t="shared" ca="1" si="354"/>
        <v>0</v>
      </c>
      <c r="AU217" s="36">
        <f t="shared" ca="1" si="354"/>
        <v>0</v>
      </c>
      <c r="AV217" s="36">
        <f t="shared" ca="1" si="354"/>
        <v>30600</v>
      </c>
      <c r="AW217" s="36">
        <f t="shared" ca="1" si="354"/>
        <v>0</v>
      </c>
      <c r="AX217" s="36">
        <f t="shared" ca="1" si="354"/>
        <v>0</v>
      </c>
      <c r="AY217" s="36">
        <f t="shared" ca="1" si="354"/>
        <v>36840</v>
      </c>
      <c r="AZ217" s="36">
        <f t="shared" ca="1" si="354"/>
        <v>23040</v>
      </c>
      <c r="BA217" s="36">
        <f t="shared" ca="1" si="354"/>
        <v>37440</v>
      </c>
      <c r="BB217" s="36">
        <f t="shared" ca="1" si="354"/>
        <v>0</v>
      </c>
      <c r="BC217" s="36">
        <f t="shared" ca="1" si="354"/>
        <v>0</v>
      </c>
      <c r="BD217" s="36">
        <f t="shared" ca="1" si="355"/>
        <v>0</v>
      </c>
      <c r="BE217" s="36">
        <f t="shared" ca="1" si="355"/>
        <v>60480</v>
      </c>
      <c r="BF217" s="36">
        <f t="shared" ca="1" si="355"/>
        <v>0</v>
      </c>
      <c r="BG217" s="36">
        <f t="shared" ca="1" si="355"/>
        <v>0</v>
      </c>
      <c r="BH217" s="36">
        <f t="shared" ca="1" si="355"/>
        <v>62400</v>
      </c>
      <c r="BI217" s="36">
        <f t="shared" ca="1" si="355"/>
        <v>0</v>
      </c>
      <c r="BJ217" s="36">
        <f t="shared" ca="1" si="355"/>
        <v>4608</v>
      </c>
      <c r="BK217" s="36">
        <f t="shared" ca="1" si="355"/>
        <v>62400</v>
      </c>
      <c r="BL217" s="36">
        <f t="shared" ca="1" si="355"/>
        <v>57600</v>
      </c>
      <c r="BM217" s="36">
        <f t="shared" ca="1" si="355"/>
        <v>93600</v>
      </c>
      <c r="BN217" s="36">
        <f t="shared" ca="1" si="356"/>
        <v>0</v>
      </c>
      <c r="BO217" s="36">
        <f t="shared" ca="1" si="356"/>
        <v>0</v>
      </c>
      <c r="BP217" s="36">
        <f t="shared" ca="1" si="356"/>
        <v>0</v>
      </c>
      <c r="BQ217" s="36">
        <f t="shared" ca="1" si="356"/>
        <v>151200</v>
      </c>
      <c r="BR217" s="36">
        <f t="shared" ca="1" si="356"/>
        <v>0</v>
      </c>
      <c r="BS217" s="36">
        <f t="shared" ca="1" si="356"/>
        <v>0</v>
      </c>
      <c r="BT217" s="36">
        <f t="shared" ca="1" si="356"/>
        <v>156000</v>
      </c>
      <c r="BU217" s="36">
        <f t="shared" ca="1" si="356"/>
        <v>0</v>
      </c>
      <c r="BV217" s="36">
        <f t="shared" ca="1" si="356"/>
        <v>11520</v>
      </c>
      <c r="BW217" s="36">
        <f t="shared" ca="1" si="356"/>
        <v>156000</v>
      </c>
      <c r="BX217" s="36">
        <f t="shared" ca="1" si="357"/>
        <v>129600</v>
      </c>
      <c r="BY217" s="36">
        <f t="shared" ca="1" si="357"/>
        <v>210600</v>
      </c>
      <c r="BZ217" s="36">
        <f t="shared" ca="1" si="357"/>
        <v>0</v>
      </c>
      <c r="CA217" s="36">
        <f t="shared" ca="1" si="357"/>
        <v>0</v>
      </c>
      <c r="CB217" s="36">
        <f t="shared" ca="1" si="357"/>
        <v>0</v>
      </c>
      <c r="CC217" s="36">
        <f t="shared" ca="1" si="357"/>
        <v>340200</v>
      </c>
      <c r="CD217" s="36">
        <f t="shared" ca="1" si="357"/>
        <v>0</v>
      </c>
      <c r="CE217" s="36">
        <f t="shared" ca="1" si="357"/>
        <v>0</v>
      </c>
      <c r="CF217" s="36">
        <f t="shared" ca="1" si="357"/>
        <v>351000</v>
      </c>
      <c r="CG217" s="36">
        <f t="shared" ca="1" si="357"/>
        <v>0</v>
      </c>
      <c r="CH217" s="36">
        <f t="shared" ca="1" si="358"/>
        <v>25920</v>
      </c>
      <c r="CI217" s="36">
        <f t="shared" ca="1" si="358"/>
        <v>351000</v>
      </c>
      <c r="CJ217" s="36">
        <f t="shared" ca="1" si="358"/>
        <v>226800</v>
      </c>
      <c r="CK217" s="36">
        <f t="shared" ca="1" si="358"/>
        <v>368550</v>
      </c>
      <c r="CL217" s="36">
        <f t="shared" ca="1" si="358"/>
        <v>0</v>
      </c>
      <c r="CM217" s="36">
        <f t="shared" ca="1" si="358"/>
        <v>0</v>
      </c>
      <c r="CN217" s="36">
        <f t="shared" ca="1" si="358"/>
        <v>0</v>
      </c>
      <c r="CO217" s="36">
        <f t="shared" ca="1" si="358"/>
        <v>595350</v>
      </c>
      <c r="CP217" s="36">
        <f t="shared" ca="1" si="358"/>
        <v>0</v>
      </c>
      <c r="CQ217" s="36">
        <f t="shared" ca="1" si="358"/>
        <v>0</v>
      </c>
      <c r="CR217" s="36">
        <f t="shared" ca="1" si="358"/>
        <v>614250</v>
      </c>
      <c r="CS217" s="36">
        <f t="shared" ca="1" si="358"/>
        <v>0</v>
      </c>
      <c r="CT217" s="36">
        <f t="shared" ca="1" si="358"/>
        <v>45360</v>
      </c>
      <c r="CU217" s="36">
        <f t="shared" ca="1" si="358"/>
        <v>614250</v>
      </c>
      <c r="CV217" s="36">
        <f t="shared" ca="1" si="358"/>
        <v>0</v>
      </c>
      <c r="CW217" s="21"/>
    </row>
    <row r="218" spans="3:101" x14ac:dyDescent="0.25">
      <c r="C218" s="49" t="str">
        <f t="shared" si="359"/>
        <v>MURAKAMI / TORITONWholesale</v>
      </c>
      <c r="D218" s="35" t="str">
        <f>[1]Key!C$16</f>
        <v>MURAKAMI / TORITON</v>
      </c>
      <c r="E218" s="35" t="str">
        <f>[1]contras!H100</f>
        <v>Wholesale</v>
      </c>
      <c r="F218" s="23">
        <f>[1]Key!$R$16</f>
        <v>60</v>
      </c>
      <c r="G218" s="21"/>
      <c r="H218" s="21"/>
      <c r="I218" s="21"/>
      <c r="J218" s="21"/>
      <c r="K218" s="21"/>
      <c r="L218" s="21"/>
      <c r="M218" s="21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36">
        <f t="shared" ca="1" si="352"/>
        <v>0</v>
      </c>
      <c r="AA218" s="36">
        <f t="shared" ca="1" si="352"/>
        <v>0</v>
      </c>
      <c r="AB218" s="36">
        <f t="shared" ca="1" si="352"/>
        <v>0</v>
      </c>
      <c r="AC218" s="36">
        <f t="shared" ca="1" si="352"/>
        <v>0</v>
      </c>
      <c r="AD218" s="36">
        <f t="shared" ca="1" si="352"/>
        <v>43200</v>
      </c>
      <c r="AE218" s="36">
        <f t="shared" ca="1" si="352"/>
        <v>4500</v>
      </c>
      <c r="AF218" s="36">
        <f t="shared" ca="1" si="352"/>
        <v>0</v>
      </c>
      <c r="AG218" s="36">
        <f t="shared" ca="1" si="352"/>
        <v>0</v>
      </c>
      <c r="AH218" s="36">
        <f t="shared" ca="1" si="352"/>
        <v>0</v>
      </c>
      <c r="AI218" s="36">
        <f t="shared" ca="1" si="352"/>
        <v>0</v>
      </c>
      <c r="AJ218" s="36">
        <f t="shared" ca="1" si="353"/>
        <v>0</v>
      </c>
      <c r="AK218" s="36">
        <f t="shared" ca="1" si="353"/>
        <v>0</v>
      </c>
      <c r="AL218" s="36">
        <f t="shared" ca="1" si="353"/>
        <v>4500</v>
      </c>
      <c r="AM218" s="36">
        <f t="shared" ca="1" si="353"/>
        <v>6750</v>
      </c>
      <c r="AN218" s="36">
        <f t="shared" ca="1" si="353"/>
        <v>0</v>
      </c>
      <c r="AO218" s="36">
        <f t="shared" ca="1" si="353"/>
        <v>15000</v>
      </c>
      <c r="AP218" s="36">
        <f t="shared" ca="1" si="353"/>
        <v>4500</v>
      </c>
      <c r="AQ218" s="36">
        <f t="shared" ca="1" si="353"/>
        <v>0</v>
      </c>
      <c r="AR218" s="36">
        <f t="shared" ca="1" si="353"/>
        <v>18750</v>
      </c>
      <c r="AS218" s="36">
        <f t="shared" ca="1" si="353"/>
        <v>10125</v>
      </c>
      <c r="AT218" s="36">
        <f t="shared" ca="1" si="354"/>
        <v>5850</v>
      </c>
      <c r="AU218" s="36">
        <f t="shared" ca="1" si="354"/>
        <v>22200</v>
      </c>
      <c r="AV218" s="36">
        <f t="shared" ca="1" si="354"/>
        <v>0</v>
      </c>
      <c r="AW218" s="36">
        <f t="shared" ca="1" si="354"/>
        <v>3000</v>
      </c>
      <c r="AX218" s="36">
        <f t="shared" ca="1" si="354"/>
        <v>24300</v>
      </c>
      <c r="AY218" s="36">
        <f t="shared" ca="1" si="354"/>
        <v>13725</v>
      </c>
      <c r="AZ218" s="36">
        <f t="shared" ca="1" si="354"/>
        <v>4500</v>
      </c>
      <c r="BA218" s="36">
        <f t="shared" ca="1" si="354"/>
        <v>33450</v>
      </c>
      <c r="BB218" s="36">
        <f t="shared" ca="1" si="354"/>
        <v>12600</v>
      </c>
      <c r="BC218" s="36">
        <f t="shared" ca="1" si="354"/>
        <v>1125</v>
      </c>
      <c r="BD218" s="36">
        <f t="shared" ca="1" si="355"/>
        <v>26250</v>
      </c>
      <c r="BE218" s="36">
        <f t="shared" ca="1" si="355"/>
        <v>19800</v>
      </c>
      <c r="BF218" s="36">
        <f t="shared" ca="1" si="355"/>
        <v>4500</v>
      </c>
      <c r="BG218" s="36">
        <f t="shared" ca="1" si="355"/>
        <v>35700</v>
      </c>
      <c r="BH218" s="36">
        <f t="shared" ca="1" si="355"/>
        <v>12600</v>
      </c>
      <c r="BI218" s="36">
        <f t="shared" ca="1" si="355"/>
        <v>1125</v>
      </c>
      <c r="BJ218" s="36">
        <f t="shared" ca="1" si="355"/>
        <v>23700</v>
      </c>
      <c r="BK218" s="36">
        <f t="shared" ca="1" si="355"/>
        <v>12600</v>
      </c>
      <c r="BL218" s="36">
        <f t="shared" ca="1" si="355"/>
        <v>11250</v>
      </c>
      <c r="BM218" s="36">
        <f t="shared" ca="1" si="355"/>
        <v>83625</v>
      </c>
      <c r="BN218" s="36">
        <f t="shared" ca="1" si="356"/>
        <v>31500</v>
      </c>
      <c r="BO218" s="36">
        <f t="shared" ca="1" si="356"/>
        <v>2812.5</v>
      </c>
      <c r="BP218" s="36">
        <f t="shared" ca="1" si="356"/>
        <v>65625</v>
      </c>
      <c r="BQ218" s="36">
        <f t="shared" ca="1" si="356"/>
        <v>49500</v>
      </c>
      <c r="BR218" s="36">
        <f t="shared" ca="1" si="356"/>
        <v>11250</v>
      </c>
      <c r="BS218" s="36">
        <f t="shared" ca="1" si="356"/>
        <v>89250</v>
      </c>
      <c r="BT218" s="36">
        <f t="shared" ca="1" si="356"/>
        <v>31500</v>
      </c>
      <c r="BU218" s="36">
        <f t="shared" ca="1" si="356"/>
        <v>2812.5</v>
      </c>
      <c r="BV218" s="36">
        <f t="shared" ca="1" si="356"/>
        <v>59250</v>
      </c>
      <c r="BW218" s="36">
        <f t="shared" ca="1" si="356"/>
        <v>31500</v>
      </c>
      <c r="BX218" s="36">
        <f t="shared" ca="1" si="357"/>
        <v>19687.5</v>
      </c>
      <c r="BY218" s="36">
        <f t="shared" ca="1" si="357"/>
        <v>146343.75</v>
      </c>
      <c r="BZ218" s="36">
        <f t="shared" ca="1" si="357"/>
        <v>55125</v>
      </c>
      <c r="CA218" s="36">
        <f t="shared" ca="1" si="357"/>
        <v>4921.875</v>
      </c>
      <c r="CB218" s="36">
        <f t="shared" ca="1" si="357"/>
        <v>114843.75</v>
      </c>
      <c r="CC218" s="36">
        <f t="shared" ca="1" si="357"/>
        <v>86625</v>
      </c>
      <c r="CD218" s="36">
        <f t="shared" ca="1" si="357"/>
        <v>19687.5</v>
      </c>
      <c r="CE218" s="36">
        <f t="shared" ca="1" si="357"/>
        <v>156187.5</v>
      </c>
      <c r="CF218" s="36">
        <f t="shared" ca="1" si="357"/>
        <v>55125</v>
      </c>
      <c r="CG218" s="36">
        <f t="shared" ca="1" si="357"/>
        <v>4921.875</v>
      </c>
      <c r="CH218" s="36">
        <f t="shared" ca="1" si="358"/>
        <v>103687.5</v>
      </c>
      <c r="CI218" s="36">
        <f t="shared" ca="1" si="358"/>
        <v>55125</v>
      </c>
      <c r="CJ218" s="36">
        <f t="shared" ca="1" si="358"/>
        <v>29531.25</v>
      </c>
      <c r="CK218" s="36">
        <f t="shared" ca="1" si="358"/>
        <v>219515.625</v>
      </c>
      <c r="CL218" s="36">
        <f t="shared" ca="1" si="358"/>
        <v>82687.5</v>
      </c>
      <c r="CM218" s="36">
        <f t="shared" ca="1" si="358"/>
        <v>7382.8125</v>
      </c>
      <c r="CN218" s="36">
        <f t="shared" ca="1" si="358"/>
        <v>172265.625</v>
      </c>
      <c r="CO218" s="36">
        <f t="shared" ca="1" si="358"/>
        <v>129937.5</v>
      </c>
      <c r="CP218" s="36">
        <f t="shared" ca="1" si="358"/>
        <v>29531.25</v>
      </c>
      <c r="CQ218" s="36">
        <f t="shared" ca="1" si="358"/>
        <v>234281.25</v>
      </c>
      <c r="CR218" s="36">
        <f t="shared" ca="1" si="358"/>
        <v>82687.5</v>
      </c>
      <c r="CS218" s="36">
        <f t="shared" ca="1" si="358"/>
        <v>7382.8125</v>
      </c>
      <c r="CT218" s="36">
        <f t="shared" ca="1" si="358"/>
        <v>155531.25</v>
      </c>
      <c r="CU218" s="36">
        <f t="shared" ca="1" si="358"/>
        <v>82687.5</v>
      </c>
      <c r="CV218" s="36">
        <f t="shared" ca="1" si="358"/>
        <v>0</v>
      </c>
      <c r="CW218" s="21"/>
    </row>
    <row r="219" spans="3:101" x14ac:dyDescent="0.25">
      <c r="C219" s="49" t="str">
        <f t="shared" si="359"/>
        <v>NEW PARTNER 1Wholesale</v>
      </c>
      <c r="D219" s="35" t="str">
        <f>[1]Key!C$17</f>
        <v>NEW PARTNER 1</v>
      </c>
      <c r="E219" s="35" t="str">
        <f>[1]contras!H101</f>
        <v>Wholesale</v>
      </c>
      <c r="F219" s="23">
        <f>[1]Key!$R$17</f>
        <v>60</v>
      </c>
      <c r="G219" s="21"/>
      <c r="H219" s="21"/>
      <c r="I219" s="21"/>
      <c r="J219" s="21"/>
      <c r="K219" s="21"/>
      <c r="L219" s="21"/>
      <c r="M219" s="21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36">
        <f t="shared" ca="1" si="352"/>
        <v>0</v>
      </c>
      <c r="AA219" s="36">
        <f t="shared" ca="1" si="352"/>
        <v>0</v>
      </c>
      <c r="AB219" s="36">
        <f t="shared" ca="1" si="352"/>
        <v>0</v>
      </c>
      <c r="AC219" s="36">
        <f t="shared" ca="1" si="352"/>
        <v>0</v>
      </c>
      <c r="AD219" s="36">
        <f t="shared" ca="1" si="352"/>
        <v>0</v>
      </c>
      <c r="AE219" s="36">
        <f t="shared" ca="1" si="352"/>
        <v>0</v>
      </c>
      <c r="AF219" s="36">
        <f t="shared" ca="1" si="352"/>
        <v>0</v>
      </c>
      <c r="AG219" s="36">
        <f t="shared" ca="1" si="352"/>
        <v>0</v>
      </c>
      <c r="AH219" s="36">
        <f t="shared" ca="1" si="352"/>
        <v>0</v>
      </c>
      <c r="AI219" s="36">
        <f t="shared" ca="1" si="352"/>
        <v>0</v>
      </c>
      <c r="AJ219" s="36">
        <f t="shared" ca="1" si="353"/>
        <v>0</v>
      </c>
      <c r="AK219" s="36">
        <f t="shared" ca="1" si="353"/>
        <v>0</v>
      </c>
      <c r="AL219" s="36">
        <f t="shared" ca="1" si="353"/>
        <v>0</v>
      </c>
      <c r="AM219" s="36">
        <f t="shared" ca="1" si="353"/>
        <v>0</v>
      </c>
      <c r="AN219" s="36">
        <f t="shared" ca="1" si="353"/>
        <v>0</v>
      </c>
      <c r="AO219" s="36">
        <f t="shared" ca="1" si="353"/>
        <v>0</v>
      </c>
      <c r="AP219" s="36">
        <f t="shared" ca="1" si="353"/>
        <v>0</v>
      </c>
      <c r="AQ219" s="36">
        <f t="shared" ca="1" si="353"/>
        <v>0</v>
      </c>
      <c r="AR219" s="36">
        <f t="shared" ca="1" si="353"/>
        <v>0</v>
      </c>
      <c r="AS219" s="36">
        <f t="shared" ca="1" si="353"/>
        <v>0</v>
      </c>
      <c r="AT219" s="36">
        <f t="shared" ca="1" si="354"/>
        <v>0</v>
      </c>
      <c r="AU219" s="36">
        <f t="shared" ca="1" si="354"/>
        <v>0</v>
      </c>
      <c r="AV219" s="36">
        <f t="shared" ca="1" si="354"/>
        <v>0</v>
      </c>
      <c r="AW219" s="36">
        <f t="shared" ca="1" si="354"/>
        <v>0</v>
      </c>
      <c r="AX219" s="36">
        <f t="shared" ca="1" si="354"/>
        <v>0</v>
      </c>
      <c r="AY219" s="36">
        <f t="shared" ca="1" si="354"/>
        <v>0</v>
      </c>
      <c r="AZ219" s="36">
        <f t="shared" ca="1" si="354"/>
        <v>6480</v>
      </c>
      <c r="BA219" s="36">
        <f t="shared" ca="1" si="354"/>
        <v>0</v>
      </c>
      <c r="BB219" s="36">
        <f t="shared" ca="1" si="354"/>
        <v>0</v>
      </c>
      <c r="BC219" s="36">
        <f t="shared" ca="1" si="354"/>
        <v>0</v>
      </c>
      <c r="BD219" s="36">
        <f t="shared" ca="1" si="355"/>
        <v>0</v>
      </c>
      <c r="BE219" s="36">
        <f t="shared" ca="1" si="355"/>
        <v>0</v>
      </c>
      <c r="BF219" s="36">
        <f t="shared" ca="1" si="355"/>
        <v>13500</v>
      </c>
      <c r="BG219" s="36">
        <f t="shared" ca="1" si="355"/>
        <v>0</v>
      </c>
      <c r="BH219" s="36">
        <f t="shared" ca="1" si="355"/>
        <v>0</v>
      </c>
      <c r="BI219" s="36">
        <f t="shared" ca="1" si="355"/>
        <v>0</v>
      </c>
      <c r="BJ219" s="36">
        <f t="shared" ca="1" si="355"/>
        <v>0</v>
      </c>
      <c r="BK219" s="36">
        <f t="shared" ca="1" si="355"/>
        <v>0</v>
      </c>
      <c r="BL219" s="36">
        <f t="shared" ca="1" si="355"/>
        <v>19440</v>
      </c>
      <c r="BM219" s="36">
        <f t="shared" ca="1" si="355"/>
        <v>0</v>
      </c>
      <c r="BN219" s="36">
        <f t="shared" ca="1" si="356"/>
        <v>0</v>
      </c>
      <c r="BO219" s="36">
        <f t="shared" ca="1" si="356"/>
        <v>0</v>
      </c>
      <c r="BP219" s="36">
        <f t="shared" ca="1" si="356"/>
        <v>0</v>
      </c>
      <c r="BQ219" s="36">
        <f t="shared" ca="1" si="356"/>
        <v>0</v>
      </c>
      <c r="BR219" s="36">
        <f t="shared" ca="1" si="356"/>
        <v>40500</v>
      </c>
      <c r="BS219" s="36">
        <f t="shared" ca="1" si="356"/>
        <v>0</v>
      </c>
      <c r="BT219" s="36">
        <f t="shared" ca="1" si="356"/>
        <v>0</v>
      </c>
      <c r="BU219" s="36">
        <f t="shared" ca="1" si="356"/>
        <v>0</v>
      </c>
      <c r="BV219" s="36">
        <f t="shared" ca="1" si="356"/>
        <v>0</v>
      </c>
      <c r="BW219" s="36">
        <f t="shared" ca="1" si="356"/>
        <v>0</v>
      </c>
      <c r="BX219" s="36">
        <f t="shared" ca="1" si="357"/>
        <v>48600</v>
      </c>
      <c r="BY219" s="36">
        <f t="shared" ca="1" si="357"/>
        <v>0</v>
      </c>
      <c r="BZ219" s="36">
        <f t="shared" ca="1" si="357"/>
        <v>0</v>
      </c>
      <c r="CA219" s="36">
        <f t="shared" ca="1" si="357"/>
        <v>0</v>
      </c>
      <c r="CB219" s="36">
        <f t="shared" ca="1" si="357"/>
        <v>0</v>
      </c>
      <c r="CC219" s="36">
        <f t="shared" ca="1" si="357"/>
        <v>0</v>
      </c>
      <c r="CD219" s="36">
        <f t="shared" ca="1" si="357"/>
        <v>101250</v>
      </c>
      <c r="CE219" s="36">
        <f t="shared" ca="1" si="357"/>
        <v>0</v>
      </c>
      <c r="CF219" s="36">
        <f t="shared" ca="1" si="357"/>
        <v>0</v>
      </c>
      <c r="CG219" s="36">
        <f t="shared" ca="1" si="357"/>
        <v>0</v>
      </c>
      <c r="CH219" s="36">
        <f t="shared" ca="1" si="358"/>
        <v>0</v>
      </c>
      <c r="CI219" s="36">
        <f t="shared" ca="1" si="358"/>
        <v>0</v>
      </c>
      <c r="CJ219" s="36">
        <f t="shared" ca="1" si="358"/>
        <v>85050</v>
      </c>
      <c r="CK219" s="36">
        <f t="shared" ca="1" si="358"/>
        <v>0</v>
      </c>
      <c r="CL219" s="36">
        <f t="shared" ca="1" si="358"/>
        <v>0</v>
      </c>
      <c r="CM219" s="36">
        <f t="shared" ca="1" si="358"/>
        <v>0</v>
      </c>
      <c r="CN219" s="36">
        <f t="shared" ca="1" si="358"/>
        <v>0</v>
      </c>
      <c r="CO219" s="36">
        <f t="shared" ca="1" si="358"/>
        <v>0</v>
      </c>
      <c r="CP219" s="36">
        <f t="shared" ca="1" si="358"/>
        <v>177187.5</v>
      </c>
      <c r="CQ219" s="36">
        <f t="shared" ca="1" si="358"/>
        <v>0</v>
      </c>
      <c r="CR219" s="36">
        <f t="shared" ca="1" si="358"/>
        <v>0</v>
      </c>
      <c r="CS219" s="36">
        <f t="shared" ca="1" si="358"/>
        <v>0</v>
      </c>
      <c r="CT219" s="36">
        <f t="shared" ca="1" si="358"/>
        <v>0</v>
      </c>
      <c r="CU219" s="36">
        <f t="shared" ca="1" si="358"/>
        <v>0</v>
      </c>
      <c r="CV219" s="36">
        <f t="shared" ca="1" si="358"/>
        <v>0</v>
      </c>
      <c r="CW219" s="21"/>
    </row>
    <row r="220" spans="3:101" x14ac:dyDescent="0.25">
      <c r="C220" s="49" t="str">
        <f t="shared" si="359"/>
        <v>NEW PARTNER 2Wholesale</v>
      </c>
      <c r="D220" s="35" t="str">
        <f>[1]Key!C$18</f>
        <v>NEW PARTNER 2</v>
      </c>
      <c r="E220" s="35" t="str">
        <f>[1]contras!H102</f>
        <v>Wholesale</v>
      </c>
      <c r="F220" s="23">
        <f>[1]Key!$R$18</f>
        <v>60</v>
      </c>
      <c r="G220" s="21"/>
      <c r="H220" s="21"/>
      <c r="I220" s="21"/>
      <c r="J220" s="21"/>
      <c r="K220" s="21"/>
      <c r="L220" s="21"/>
      <c r="M220" s="21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36">
        <f t="shared" ca="1" si="352"/>
        <v>0</v>
      </c>
      <c r="AA220" s="36">
        <f t="shared" ca="1" si="352"/>
        <v>0</v>
      </c>
      <c r="AB220" s="36">
        <f t="shared" ca="1" si="352"/>
        <v>0</v>
      </c>
      <c r="AC220" s="36">
        <f t="shared" ca="1" si="352"/>
        <v>0</v>
      </c>
      <c r="AD220" s="36">
        <f t="shared" ca="1" si="352"/>
        <v>0</v>
      </c>
      <c r="AE220" s="36">
        <f t="shared" ca="1" si="352"/>
        <v>0</v>
      </c>
      <c r="AF220" s="36">
        <f t="shared" ca="1" si="352"/>
        <v>0</v>
      </c>
      <c r="AG220" s="36">
        <f t="shared" ca="1" si="352"/>
        <v>0</v>
      </c>
      <c r="AH220" s="36">
        <f t="shared" ca="1" si="352"/>
        <v>0</v>
      </c>
      <c r="AI220" s="36">
        <f t="shared" ca="1" si="352"/>
        <v>0</v>
      </c>
      <c r="AJ220" s="36">
        <f t="shared" ca="1" si="353"/>
        <v>0</v>
      </c>
      <c r="AK220" s="36">
        <f t="shared" ca="1" si="353"/>
        <v>0</v>
      </c>
      <c r="AL220" s="36">
        <f t="shared" ca="1" si="353"/>
        <v>0</v>
      </c>
      <c r="AM220" s="36">
        <f t="shared" ca="1" si="353"/>
        <v>0</v>
      </c>
      <c r="AN220" s="36">
        <f t="shared" ca="1" si="353"/>
        <v>0</v>
      </c>
      <c r="AO220" s="36">
        <f t="shared" ca="1" si="353"/>
        <v>0</v>
      </c>
      <c r="AP220" s="36">
        <f t="shared" ca="1" si="353"/>
        <v>0</v>
      </c>
      <c r="AQ220" s="36">
        <f t="shared" ca="1" si="353"/>
        <v>0</v>
      </c>
      <c r="AR220" s="36">
        <f t="shared" ca="1" si="353"/>
        <v>0</v>
      </c>
      <c r="AS220" s="36">
        <f t="shared" ca="1" si="353"/>
        <v>0</v>
      </c>
      <c r="AT220" s="36">
        <f t="shared" ca="1" si="354"/>
        <v>0</v>
      </c>
      <c r="AU220" s="36">
        <f t="shared" ca="1" si="354"/>
        <v>0</v>
      </c>
      <c r="AV220" s="36">
        <f t="shared" ca="1" si="354"/>
        <v>0</v>
      </c>
      <c r="AW220" s="36">
        <f t="shared" ca="1" si="354"/>
        <v>0</v>
      </c>
      <c r="AX220" s="36">
        <f t="shared" ca="1" si="354"/>
        <v>0</v>
      </c>
      <c r="AY220" s="36">
        <f t="shared" ca="1" si="354"/>
        <v>0</v>
      </c>
      <c r="AZ220" s="36">
        <f t="shared" ca="1" si="354"/>
        <v>19500</v>
      </c>
      <c r="BA220" s="36">
        <f t="shared" ca="1" si="354"/>
        <v>0</v>
      </c>
      <c r="BB220" s="36">
        <f t="shared" ca="1" si="354"/>
        <v>0</v>
      </c>
      <c r="BC220" s="36">
        <f t="shared" ca="1" si="354"/>
        <v>0</v>
      </c>
      <c r="BD220" s="36">
        <f t="shared" ca="1" si="355"/>
        <v>0</v>
      </c>
      <c r="BE220" s="36">
        <f t="shared" ca="1" si="355"/>
        <v>0</v>
      </c>
      <c r="BF220" s="36">
        <f t="shared" ca="1" si="355"/>
        <v>46800</v>
      </c>
      <c r="BG220" s="36">
        <f t="shared" ca="1" si="355"/>
        <v>0</v>
      </c>
      <c r="BH220" s="36">
        <f t="shared" ca="1" si="355"/>
        <v>0</v>
      </c>
      <c r="BI220" s="36">
        <f t="shared" ca="1" si="355"/>
        <v>0</v>
      </c>
      <c r="BJ220" s="36">
        <f t="shared" ca="1" si="355"/>
        <v>9360</v>
      </c>
      <c r="BK220" s="36">
        <f t="shared" ca="1" si="355"/>
        <v>0</v>
      </c>
      <c r="BL220" s="36">
        <f t="shared" ca="1" si="355"/>
        <v>58500</v>
      </c>
      <c r="BM220" s="36">
        <f t="shared" ca="1" si="355"/>
        <v>0</v>
      </c>
      <c r="BN220" s="36">
        <f t="shared" ca="1" si="356"/>
        <v>0</v>
      </c>
      <c r="BO220" s="36">
        <f t="shared" ca="1" si="356"/>
        <v>0</v>
      </c>
      <c r="BP220" s="36">
        <f t="shared" ca="1" si="356"/>
        <v>0</v>
      </c>
      <c r="BQ220" s="36">
        <f t="shared" ca="1" si="356"/>
        <v>0</v>
      </c>
      <c r="BR220" s="36">
        <f t="shared" ca="1" si="356"/>
        <v>140400</v>
      </c>
      <c r="BS220" s="36">
        <f t="shared" ca="1" si="356"/>
        <v>0</v>
      </c>
      <c r="BT220" s="36">
        <f t="shared" ca="1" si="356"/>
        <v>0</v>
      </c>
      <c r="BU220" s="36">
        <f t="shared" ca="1" si="356"/>
        <v>0</v>
      </c>
      <c r="BV220" s="36">
        <f t="shared" ca="1" si="356"/>
        <v>28080</v>
      </c>
      <c r="BW220" s="36">
        <f t="shared" ca="1" si="356"/>
        <v>0</v>
      </c>
      <c r="BX220" s="36">
        <f t="shared" ca="1" si="357"/>
        <v>146250</v>
      </c>
      <c r="BY220" s="36">
        <f t="shared" ca="1" si="357"/>
        <v>0</v>
      </c>
      <c r="BZ220" s="36">
        <f t="shared" ca="1" si="357"/>
        <v>0</v>
      </c>
      <c r="CA220" s="36">
        <f t="shared" ca="1" si="357"/>
        <v>0</v>
      </c>
      <c r="CB220" s="36">
        <f t="shared" ca="1" si="357"/>
        <v>0</v>
      </c>
      <c r="CC220" s="36">
        <f t="shared" ca="1" si="357"/>
        <v>0</v>
      </c>
      <c r="CD220" s="36">
        <f t="shared" ca="1" si="357"/>
        <v>351000</v>
      </c>
      <c r="CE220" s="36">
        <f t="shared" ca="1" si="357"/>
        <v>0</v>
      </c>
      <c r="CF220" s="36">
        <f t="shared" ca="1" si="357"/>
        <v>0</v>
      </c>
      <c r="CG220" s="36">
        <f t="shared" ca="1" si="357"/>
        <v>0</v>
      </c>
      <c r="CH220" s="36">
        <f t="shared" ca="1" si="358"/>
        <v>70200</v>
      </c>
      <c r="CI220" s="36">
        <f t="shared" ca="1" si="358"/>
        <v>0</v>
      </c>
      <c r="CJ220" s="36">
        <f t="shared" ca="1" si="358"/>
        <v>255937.5</v>
      </c>
      <c r="CK220" s="36">
        <f t="shared" ca="1" si="358"/>
        <v>0</v>
      </c>
      <c r="CL220" s="36">
        <f t="shared" ca="1" si="358"/>
        <v>0</v>
      </c>
      <c r="CM220" s="36">
        <f t="shared" ca="1" si="358"/>
        <v>0</v>
      </c>
      <c r="CN220" s="36">
        <f t="shared" ca="1" si="358"/>
        <v>0</v>
      </c>
      <c r="CO220" s="36">
        <f t="shared" ca="1" si="358"/>
        <v>0</v>
      </c>
      <c r="CP220" s="36">
        <f t="shared" ca="1" si="358"/>
        <v>614250</v>
      </c>
      <c r="CQ220" s="36">
        <f t="shared" ca="1" si="358"/>
        <v>0</v>
      </c>
      <c r="CR220" s="36">
        <f t="shared" ca="1" si="358"/>
        <v>0</v>
      </c>
      <c r="CS220" s="36">
        <f t="shared" ca="1" si="358"/>
        <v>0</v>
      </c>
      <c r="CT220" s="36">
        <f t="shared" ca="1" si="358"/>
        <v>122850</v>
      </c>
      <c r="CU220" s="36">
        <f t="shared" ca="1" si="358"/>
        <v>0</v>
      </c>
      <c r="CV220" s="36">
        <f t="shared" ca="1" si="358"/>
        <v>0</v>
      </c>
      <c r="CW220" s="21"/>
    </row>
    <row r="221" spans="3:101" x14ac:dyDescent="0.25">
      <c r="C221" s="49" t="str">
        <f t="shared" si="359"/>
        <v>PIGALLEWholesale</v>
      </c>
      <c r="D221" s="35" t="str">
        <f>[1]Key!C$19</f>
        <v>PIGALLE</v>
      </c>
      <c r="E221" s="35" t="str">
        <f>[1]contras!H103</f>
        <v>Wholesale</v>
      </c>
      <c r="F221" s="23">
        <f>[1]Key!$R$19</f>
        <v>60</v>
      </c>
      <c r="G221" s="21"/>
      <c r="H221" s="21"/>
      <c r="I221" s="21"/>
      <c r="J221" s="21"/>
      <c r="K221" s="21"/>
      <c r="L221" s="21"/>
      <c r="M221" s="21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36">
        <f t="shared" ca="1" si="352"/>
        <v>0</v>
      </c>
      <c r="AA221" s="36">
        <f t="shared" ca="1" si="352"/>
        <v>0</v>
      </c>
      <c r="AB221" s="36">
        <f t="shared" ca="1" si="352"/>
        <v>0</v>
      </c>
      <c r="AC221" s="36">
        <f t="shared" ca="1" si="352"/>
        <v>0</v>
      </c>
      <c r="AD221" s="36">
        <f t="shared" ca="1" si="352"/>
        <v>0</v>
      </c>
      <c r="AE221" s="36">
        <f t="shared" ca="1" si="352"/>
        <v>0</v>
      </c>
      <c r="AF221" s="36">
        <f t="shared" ca="1" si="352"/>
        <v>0</v>
      </c>
      <c r="AG221" s="36">
        <f t="shared" ca="1" si="352"/>
        <v>0</v>
      </c>
      <c r="AH221" s="36">
        <f t="shared" ca="1" si="352"/>
        <v>0</v>
      </c>
      <c r="AI221" s="36">
        <f t="shared" ca="1" si="352"/>
        <v>0</v>
      </c>
      <c r="AJ221" s="36">
        <f t="shared" ca="1" si="353"/>
        <v>0</v>
      </c>
      <c r="AK221" s="36">
        <f t="shared" ca="1" si="353"/>
        <v>0</v>
      </c>
      <c r="AL221" s="36">
        <f t="shared" ca="1" si="353"/>
        <v>0</v>
      </c>
      <c r="AM221" s="36">
        <f t="shared" ca="1" si="353"/>
        <v>0</v>
      </c>
      <c r="AN221" s="36">
        <f t="shared" ca="1" si="353"/>
        <v>0</v>
      </c>
      <c r="AO221" s="36">
        <f t="shared" ca="1" si="353"/>
        <v>0</v>
      </c>
      <c r="AP221" s="36">
        <f t="shared" ca="1" si="353"/>
        <v>0</v>
      </c>
      <c r="AQ221" s="36">
        <f t="shared" ca="1" si="353"/>
        <v>0</v>
      </c>
      <c r="AR221" s="36">
        <f t="shared" ca="1" si="353"/>
        <v>0</v>
      </c>
      <c r="AS221" s="36">
        <f t="shared" ca="1" si="353"/>
        <v>0</v>
      </c>
      <c r="AT221" s="36">
        <f t="shared" ca="1" si="354"/>
        <v>0</v>
      </c>
      <c r="AU221" s="36">
        <f t="shared" ca="1" si="354"/>
        <v>0</v>
      </c>
      <c r="AV221" s="36">
        <f t="shared" ca="1" si="354"/>
        <v>0</v>
      </c>
      <c r="AW221" s="36">
        <f t="shared" ca="1" si="354"/>
        <v>0</v>
      </c>
      <c r="AX221" s="36">
        <f t="shared" ca="1" si="354"/>
        <v>6480</v>
      </c>
      <c r="AY221" s="36">
        <f t="shared" ca="1" si="354"/>
        <v>0</v>
      </c>
      <c r="AZ221" s="36">
        <f t="shared" ca="1" si="354"/>
        <v>0</v>
      </c>
      <c r="BA221" s="36">
        <f t="shared" ca="1" si="354"/>
        <v>0</v>
      </c>
      <c r="BB221" s="36">
        <f t="shared" ca="1" si="354"/>
        <v>0</v>
      </c>
      <c r="BC221" s="36">
        <f t="shared" ca="1" si="354"/>
        <v>0</v>
      </c>
      <c r="BD221" s="36">
        <f t="shared" ca="1" si="355"/>
        <v>0</v>
      </c>
      <c r="BE221" s="36">
        <f t="shared" ca="1" si="355"/>
        <v>0</v>
      </c>
      <c r="BF221" s="36">
        <f t="shared" ca="1" si="355"/>
        <v>0</v>
      </c>
      <c r="BG221" s="36">
        <f t="shared" ca="1" si="355"/>
        <v>0</v>
      </c>
      <c r="BH221" s="36">
        <f t="shared" ca="1" si="355"/>
        <v>0</v>
      </c>
      <c r="BI221" s="36">
        <f t="shared" ca="1" si="355"/>
        <v>0</v>
      </c>
      <c r="BJ221" s="36">
        <f t="shared" ca="1" si="355"/>
        <v>0</v>
      </c>
      <c r="BK221" s="36">
        <f t="shared" ca="1" si="355"/>
        <v>0</v>
      </c>
      <c r="BL221" s="36">
        <f t="shared" ca="1" si="355"/>
        <v>0</v>
      </c>
      <c r="BM221" s="36">
        <f t="shared" ca="1" si="355"/>
        <v>0</v>
      </c>
      <c r="BN221" s="36">
        <f t="shared" ca="1" si="356"/>
        <v>0</v>
      </c>
      <c r="BO221" s="36">
        <f t="shared" ca="1" si="356"/>
        <v>0</v>
      </c>
      <c r="BP221" s="36">
        <f t="shared" ca="1" si="356"/>
        <v>0</v>
      </c>
      <c r="BQ221" s="36">
        <f t="shared" ca="1" si="356"/>
        <v>0</v>
      </c>
      <c r="BR221" s="36">
        <f t="shared" ca="1" si="356"/>
        <v>0</v>
      </c>
      <c r="BS221" s="36">
        <f t="shared" ca="1" si="356"/>
        <v>0</v>
      </c>
      <c r="BT221" s="36">
        <f t="shared" ca="1" si="356"/>
        <v>0</v>
      </c>
      <c r="BU221" s="36">
        <f t="shared" ca="1" si="356"/>
        <v>0</v>
      </c>
      <c r="BV221" s="36">
        <f t="shared" ca="1" si="356"/>
        <v>0</v>
      </c>
      <c r="BW221" s="36">
        <f t="shared" ca="1" si="356"/>
        <v>0</v>
      </c>
      <c r="BX221" s="36">
        <f t="shared" ca="1" si="357"/>
        <v>0</v>
      </c>
      <c r="BY221" s="36">
        <f t="shared" ca="1" si="357"/>
        <v>0</v>
      </c>
      <c r="BZ221" s="36">
        <f t="shared" ca="1" si="357"/>
        <v>0</v>
      </c>
      <c r="CA221" s="36">
        <f t="shared" ca="1" si="357"/>
        <v>0</v>
      </c>
      <c r="CB221" s="36">
        <f t="shared" ca="1" si="357"/>
        <v>0</v>
      </c>
      <c r="CC221" s="36">
        <f t="shared" ca="1" si="357"/>
        <v>0</v>
      </c>
      <c r="CD221" s="36">
        <f t="shared" ca="1" si="357"/>
        <v>0</v>
      </c>
      <c r="CE221" s="36">
        <f t="shared" ca="1" si="357"/>
        <v>0</v>
      </c>
      <c r="CF221" s="36">
        <f t="shared" ca="1" si="357"/>
        <v>0</v>
      </c>
      <c r="CG221" s="36">
        <f t="shared" ca="1" si="357"/>
        <v>0</v>
      </c>
      <c r="CH221" s="36">
        <f t="shared" ca="1" si="358"/>
        <v>0</v>
      </c>
      <c r="CI221" s="36">
        <f t="shared" ca="1" si="358"/>
        <v>0</v>
      </c>
      <c r="CJ221" s="36">
        <f t="shared" ca="1" si="358"/>
        <v>0</v>
      </c>
      <c r="CK221" s="36">
        <f t="shared" ca="1" si="358"/>
        <v>0</v>
      </c>
      <c r="CL221" s="36">
        <f t="shared" ca="1" si="358"/>
        <v>0</v>
      </c>
      <c r="CM221" s="36">
        <f t="shared" ca="1" si="358"/>
        <v>0</v>
      </c>
      <c r="CN221" s="36">
        <f t="shared" ca="1" si="358"/>
        <v>0</v>
      </c>
      <c r="CO221" s="36">
        <f t="shared" ca="1" si="358"/>
        <v>0</v>
      </c>
      <c r="CP221" s="36">
        <f t="shared" ca="1" si="358"/>
        <v>0</v>
      </c>
      <c r="CQ221" s="36">
        <f t="shared" ca="1" si="358"/>
        <v>0</v>
      </c>
      <c r="CR221" s="36">
        <f t="shared" ca="1" si="358"/>
        <v>0</v>
      </c>
      <c r="CS221" s="36">
        <f t="shared" ca="1" si="358"/>
        <v>0</v>
      </c>
      <c r="CT221" s="36">
        <f t="shared" ca="1" si="358"/>
        <v>0</v>
      </c>
      <c r="CU221" s="36">
        <f t="shared" ca="1" si="358"/>
        <v>0</v>
      </c>
      <c r="CV221" s="36">
        <f t="shared" ca="1" si="358"/>
        <v>0</v>
      </c>
      <c r="CW221" s="21"/>
    </row>
    <row r="222" spans="3:101" x14ac:dyDescent="0.25">
      <c r="C222" s="49" t="str">
        <f t="shared" si="359"/>
        <v>SPORT PLACEHOLDERWholesale</v>
      </c>
      <c r="D222" s="35" t="str">
        <f>[1]Key!C$20</f>
        <v>SPORT PLACEHOLDER</v>
      </c>
      <c r="E222" s="35" t="str">
        <f>[1]contras!H104</f>
        <v>Wholesale</v>
      </c>
      <c r="F222" s="23">
        <f>[1]Key!$R$20</f>
        <v>60</v>
      </c>
      <c r="G222" s="21"/>
      <c r="H222" s="21"/>
      <c r="I222" s="21"/>
      <c r="J222" s="21"/>
      <c r="K222" s="21"/>
      <c r="L222" s="21"/>
      <c r="M222" s="21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36">
        <f t="shared" ca="1" si="352"/>
        <v>0</v>
      </c>
      <c r="AA222" s="36">
        <f t="shared" ca="1" si="352"/>
        <v>0</v>
      </c>
      <c r="AB222" s="36">
        <f t="shared" ca="1" si="352"/>
        <v>0</v>
      </c>
      <c r="AC222" s="36">
        <f t="shared" ca="1" si="352"/>
        <v>0</v>
      </c>
      <c r="AD222" s="36">
        <f t="shared" ca="1" si="352"/>
        <v>0</v>
      </c>
      <c r="AE222" s="36">
        <f t="shared" ca="1" si="352"/>
        <v>0</v>
      </c>
      <c r="AF222" s="36">
        <f t="shared" ca="1" si="352"/>
        <v>0</v>
      </c>
      <c r="AG222" s="36">
        <f t="shared" ca="1" si="352"/>
        <v>0</v>
      </c>
      <c r="AH222" s="36">
        <f t="shared" ca="1" si="352"/>
        <v>0</v>
      </c>
      <c r="AI222" s="36">
        <f t="shared" ca="1" si="352"/>
        <v>0</v>
      </c>
      <c r="AJ222" s="36">
        <f t="shared" ca="1" si="353"/>
        <v>0</v>
      </c>
      <c r="AK222" s="36">
        <f t="shared" ca="1" si="353"/>
        <v>0</v>
      </c>
      <c r="AL222" s="36">
        <f t="shared" ca="1" si="353"/>
        <v>0</v>
      </c>
      <c r="AM222" s="36">
        <f t="shared" ca="1" si="353"/>
        <v>0</v>
      </c>
      <c r="AN222" s="36">
        <f t="shared" ca="1" si="353"/>
        <v>0</v>
      </c>
      <c r="AO222" s="36">
        <f t="shared" ca="1" si="353"/>
        <v>0</v>
      </c>
      <c r="AP222" s="36">
        <f t="shared" ca="1" si="353"/>
        <v>0</v>
      </c>
      <c r="AQ222" s="36">
        <f t="shared" ca="1" si="353"/>
        <v>0</v>
      </c>
      <c r="AR222" s="36">
        <f t="shared" ca="1" si="353"/>
        <v>0</v>
      </c>
      <c r="AS222" s="36">
        <f t="shared" ca="1" si="353"/>
        <v>0</v>
      </c>
      <c r="AT222" s="36">
        <f t="shared" ca="1" si="354"/>
        <v>0</v>
      </c>
      <c r="AU222" s="36">
        <f t="shared" ca="1" si="354"/>
        <v>0</v>
      </c>
      <c r="AV222" s="36">
        <f t="shared" ca="1" si="354"/>
        <v>0</v>
      </c>
      <c r="AW222" s="36">
        <f t="shared" ca="1" si="354"/>
        <v>0</v>
      </c>
      <c r="AX222" s="36">
        <f t="shared" ca="1" si="354"/>
        <v>0</v>
      </c>
      <c r="AY222" s="36">
        <f t="shared" ca="1" si="354"/>
        <v>0</v>
      </c>
      <c r="AZ222" s="36">
        <f t="shared" ca="1" si="354"/>
        <v>46800</v>
      </c>
      <c r="BA222" s="36">
        <f t="shared" ca="1" si="354"/>
        <v>0</v>
      </c>
      <c r="BB222" s="36">
        <f t="shared" ca="1" si="354"/>
        <v>0</v>
      </c>
      <c r="BC222" s="36">
        <f t="shared" ca="1" si="354"/>
        <v>0</v>
      </c>
      <c r="BD222" s="36">
        <f t="shared" ca="1" si="355"/>
        <v>0</v>
      </c>
      <c r="BE222" s="36">
        <f t="shared" ca="1" si="355"/>
        <v>0</v>
      </c>
      <c r="BF222" s="36">
        <f t="shared" ca="1" si="355"/>
        <v>93600</v>
      </c>
      <c r="BG222" s="36">
        <f t="shared" ca="1" si="355"/>
        <v>0</v>
      </c>
      <c r="BH222" s="36">
        <f t="shared" ca="1" si="355"/>
        <v>0</v>
      </c>
      <c r="BI222" s="36">
        <f t="shared" ca="1" si="355"/>
        <v>0</v>
      </c>
      <c r="BJ222" s="36">
        <f t="shared" ca="1" si="355"/>
        <v>0</v>
      </c>
      <c r="BK222" s="36">
        <f t="shared" ca="1" si="355"/>
        <v>0</v>
      </c>
      <c r="BL222" s="36">
        <f t="shared" ca="1" si="355"/>
        <v>140400</v>
      </c>
      <c r="BM222" s="36">
        <f t="shared" ca="1" si="355"/>
        <v>0</v>
      </c>
      <c r="BN222" s="36">
        <f t="shared" ca="1" si="356"/>
        <v>0</v>
      </c>
      <c r="BO222" s="36">
        <f t="shared" ca="1" si="356"/>
        <v>0</v>
      </c>
      <c r="BP222" s="36">
        <f t="shared" ca="1" si="356"/>
        <v>0</v>
      </c>
      <c r="BQ222" s="36">
        <f t="shared" ca="1" si="356"/>
        <v>0</v>
      </c>
      <c r="BR222" s="36">
        <f t="shared" ca="1" si="356"/>
        <v>280800</v>
      </c>
      <c r="BS222" s="36">
        <f t="shared" ca="1" si="356"/>
        <v>0</v>
      </c>
      <c r="BT222" s="36">
        <f t="shared" ca="1" si="356"/>
        <v>0</v>
      </c>
      <c r="BU222" s="36">
        <f t="shared" ca="1" si="356"/>
        <v>0</v>
      </c>
      <c r="BV222" s="36">
        <f t="shared" ca="1" si="356"/>
        <v>0</v>
      </c>
      <c r="BW222" s="36">
        <f t="shared" ca="1" si="356"/>
        <v>0</v>
      </c>
      <c r="BX222" s="36">
        <f t="shared" ca="1" si="357"/>
        <v>421200</v>
      </c>
      <c r="BY222" s="36">
        <f t="shared" ca="1" si="357"/>
        <v>0</v>
      </c>
      <c r="BZ222" s="36">
        <f t="shared" ca="1" si="357"/>
        <v>0</v>
      </c>
      <c r="CA222" s="36">
        <f t="shared" ca="1" si="357"/>
        <v>0</v>
      </c>
      <c r="CB222" s="36">
        <f t="shared" ca="1" si="357"/>
        <v>0</v>
      </c>
      <c r="CC222" s="36">
        <f t="shared" ca="1" si="357"/>
        <v>0</v>
      </c>
      <c r="CD222" s="36">
        <f t="shared" ca="1" si="357"/>
        <v>842400</v>
      </c>
      <c r="CE222" s="36">
        <f t="shared" ca="1" si="357"/>
        <v>0</v>
      </c>
      <c r="CF222" s="36">
        <f t="shared" ca="1" si="357"/>
        <v>0</v>
      </c>
      <c r="CG222" s="36">
        <f t="shared" ca="1" si="357"/>
        <v>0</v>
      </c>
      <c r="CH222" s="36">
        <f t="shared" ca="1" si="358"/>
        <v>0</v>
      </c>
      <c r="CI222" s="36">
        <f t="shared" ca="1" si="358"/>
        <v>0</v>
      </c>
      <c r="CJ222" s="36">
        <f t="shared" ca="1" si="358"/>
        <v>1053000</v>
      </c>
      <c r="CK222" s="36">
        <f t="shared" ca="1" si="358"/>
        <v>0</v>
      </c>
      <c r="CL222" s="36">
        <f t="shared" ca="1" si="358"/>
        <v>0</v>
      </c>
      <c r="CM222" s="36">
        <f t="shared" ca="1" si="358"/>
        <v>0</v>
      </c>
      <c r="CN222" s="36">
        <f t="shared" ca="1" si="358"/>
        <v>0</v>
      </c>
      <c r="CO222" s="36">
        <f t="shared" ca="1" si="358"/>
        <v>0</v>
      </c>
      <c r="CP222" s="36">
        <f t="shared" ca="1" si="358"/>
        <v>2106000</v>
      </c>
      <c r="CQ222" s="36">
        <f t="shared" ca="1" si="358"/>
        <v>0</v>
      </c>
      <c r="CR222" s="36">
        <f t="shared" ca="1" si="358"/>
        <v>0</v>
      </c>
      <c r="CS222" s="36">
        <f t="shared" ca="1" si="358"/>
        <v>0</v>
      </c>
      <c r="CT222" s="36">
        <f t="shared" ca="1" si="358"/>
        <v>0</v>
      </c>
      <c r="CU222" s="36">
        <f t="shared" ca="1" si="358"/>
        <v>0</v>
      </c>
      <c r="CV222" s="36">
        <f t="shared" ca="1" si="358"/>
        <v>0</v>
      </c>
      <c r="CW222" s="21"/>
    </row>
    <row r="223" spans="3:101" x14ac:dyDescent="0.25">
      <c r="C223" s="49" t="str">
        <f t="shared" si="359"/>
        <v>SPUNGEWholesale</v>
      </c>
      <c r="D223" s="35" t="str">
        <f>[1]Key!C$21</f>
        <v>SPUNGE</v>
      </c>
      <c r="E223" s="35" t="str">
        <f>[1]contras!H105</f>
        <v>Wholesale</v>
      </c>
      <c r="F223" s="23">
        <f>[1]Key!$R$21</f>
        <v>60</v>
      </c>
      <c r="G223" s="21"/>
      <c r="H223" s="21"/>
      <c r="I223" s="21"/>
      <c r="J223" s="21"/>
      <c r="K223" s="21"/>
      <c r="L223" s="21"/>
      <c r="M223" s="21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36">
        <f t="shared" ca="1" si="352"/>
        <v>0</v>
      </c>
      <c r="AA223" s="36">
        <f t="shared" ca="1" si="352"/>
        <v>0</v>
      </c>
      <c r="AB223" s="36">
        <f t="shared" ca="1" si="352"/>
        <v>0</v>
      </c>
      <c r="AC223" s="36">
        <f t="shared" ca="1" si="352"/>
        <v>0</v>
      </c>
      <c r="AD223" s="36">
        <f t="shared" ca="1" si="352"/>
        <v>0</v>
      </c>
      <c r="AE223" s="36">
        <f t="shared" ca="1" si="352"/>
        <v>0</v>
      </c>
      <c r="AF223" s="36">
        <f t="shared" ca="1" si="352"/>
        <v>0</v>
      </c>
      <c r="AG223" s="36">
        <f t="shared" ca="1" si="352"/>
        <v>0</v>
      </c>
      <c r="AH223" s="36">
        <f t="shared" ca="1" si="352"/>
        <v>0</v>
      </c>
      <c r="AI223" s="36">
        <f t="shared" ca="1" si="352"/>
        <v>0</v>
      </c>
      <c r="AJ223" s="36">
        <f t="shared" ca="1" si="353"/>
        <v>0</v>
      </c>
      <c r="AK223" s="36">
        <f t="shared" ca="1" si="353"/>
        <v>0</v>
      </c>
      <c r="AL223" s="36">
        <f t="shared" ca="1" si="353"/>
        <v>0</v>
      </c>
      <c r="AM223" s="36">
        <f t="shared" ca="1" si="353"/>
        <v>0</v>
      </c>
      <c r="AN223" s="36">
        <f t="shared" ca="1" si="353"/>
        <v>0</v>
      </c>
      <c r="AO223" s="36">
        <f t="shared" ca="1" si="353"/>
        <v>0</v>
      </c>
      <c r="AP223" s="36">
        <f t="shared" ca="1" si="353"/>
        <v>0</v>
      </c>
      <c r="AQ223" s="36">
        <f t="shared" ca="1" si="353"/>
        <v>0</v>
      </c>
      <c r="AR223" s="36">
        <f t="shared" ca="1" si="353"/>
        <v>0</v>
      </c>
      <c r="AS223" s="36">
        <f t="shared" ca="1" si="353"/>
        <v>0</v>
      </c>
      <c r="AT223" s="36">
        <f t="shared" ca="1" si="354"/>
        <v>0</v>
      </c>
      <c r="AU223" s="36">
        <f t="shared" ca="1" si="354"/>
        <v>0</v>
      </c>
      <c r="AV223" s="36">
        <f t="shared" ca="1" si="354"/>
        <v>0</v>
      </c>
      <c r="AW223" s="36">
        <f t="shared" ca="1" si="354"/>
        <v>0</v>
      </c>
      <c r="AX223" s="36">
        <f t="shared" ca="1" si="354"/>
        <v>3240</v>
      </c>
      <c r="AY223" s="36">
        <f t="shared" ca="1" si="354"/>
        <v>8100</v>
      </c>
      <c r="AZ223" s="36">
        <f t="shared" ca="1" si="354"/>
        <v>0</v>
      </c>
      <c r="BA223" s="36">
        <f t="shared" ca="1" si="354"/>
        <v>39744</v>
      </c>
      <c r="BB223" s="36">
        <f t="shared" ca="1" si="354"/>
        <v>0</v>
      </c>
      <c r="BC223" s="36">
        <f t="shared" ca="1" si="354"/>
        <v>0</v>
      </c>
      <c r="BD223" s="36">
        <f t="shared" ca="1" si="355"/>
        <v>44928</v>
      </c>
      <c r="BE223" s="36">
        <f t="shared" ca="1" si="355"/>
        <v>0</v>
      </c>
      <c r="BF223" s="36">
        <f t="shared" ca="1" si="355"/>
        <v>51840</v>
      </c>
      <c r="BG223" s="36">
        <f t="shared" ca="1" si="355"/>
        <v>0</v>
      </c>
      <c r="BH223" s="36">
        <f t="shared" ca="1" si="355"/>
        <v>5184</v>
      </c>
      <c r="BI223" s="36">
        <f t="shared" ca="1" si="355"/>
        <v>0</v>
      </c>
      <c r="BJ223" s="36">
        <f t="shared" ca="1" si="355"/>
        <v>69120</v>
      </c>
      <c r="BK223" s="36">
        <f t="shared" ca="1" si="355"/>
        <v>12960</v>
      </c>
      <c r="BL223" s="36">
        <f t="shared" ca="1" si="355"/>
        <v>0</v>
      </c>
      <c r="BM223" s="36">
        <f t="shared" ca="1" si="355"/>
        <v>119232</v>
      </c>
      <c r="BN223" s="36">
        <f t="shared" ca="1" si="356"/>
        <v>0</v>
      </c>
      <c r="BO223" s="36">
        <f t="shared" ca="1" si="356"/>
        <v>0</v>
      </c>
      <c r="BP223" s="36">
        <f t="shared" ca="1" si="356"/>
        <v>134784</v>
      </c>
      <c r="BQ223" s="36">
        <f t="shared" ca="1" si="356"/>
        <v>0</v>
      </c>
      <c r="BR223" s="36">
        <f t="shared" ca="1" si="356"/>
        <v>155520</v>
      </c>
      <c r="BS223" s="36">
        <f t="shared" ca="1" si="356"/>
        <v>0</v>
      </c>
      <c r="BT223" s="36">
        <f t="shared" ca="1" si="356"/>
        <v>15552</v>
      </c>
      <c r="BU223" s="36">
        <f t="shared" ca="1" si="356"/>
        <v>0</v>
      </c>
      <c r="BV223" s="36">
        <f t="shared" ca="1" si="356"/>
        <v>207360</v>
      </c>
      <c r="BW223" s="36">
        <f t="shared" ca="1" si="356"/>
        <v>38880</v>
      </c>
      <c r="BX223" s="36">
        <f t="shared" ca="1" si="357"/>
        <v>0</v>
      </c>
      <c r="BY223" s="36">
        <f t="shared" ca="1" si="357"/>
        <v>298080</v>
      </c>
      <c r="BZ223" s="36">
        <f t="shared" ca="1" si="357"/>
        <v>0</v>
      </c>
      <c r="CA223" s="36">
        <f t="shared" ca="1" si="357"/>
        <v>0</v>
      </c>
      <c r="CB223" s="36">
        <f t="shared" ca="1" si="357"/>
        <v>336960</v>
      </c>
      <c r="CC223" s="36">
        <f t="shared" ca="1" si="357"/>
        <v>0</v>
      </c>
      <c r="CD223" s="36">
        <f t="shared" ca="1" si="357"/>
        <v>388800</v>
      </c>
      <c r="CE223" s="36">
        <f t="shared" ca="1" si="357"/>
        <v>0</v>
      </c>
      <c r="CF223" s="36">
        <f t="shared" ca="1" si="357"/>
        <v>38880</v>
      </c>
      <c r="CG223" s="36">
        <f t="shared" ca="1" si="357"/>
        <v>0</v>
      </c>
      <c r="CH223" s="36">
        <f t="shared" ca="1" si="358"/>
        <v>518400</v>
      </c>
      <c r="CI223" s="36">
        <f t="shared" ca="1" si="358"/>
        <v>97200</v>
      </c>
      <c r="CJ223" s="36">
        <f t="shared" ca="1" si="358"/>
        <v>0</v>
      </c>
      <c r="CK223" s="36">
        <f t="shared" ca="1" si="358"/>
        <v>521640</v>
      </c>
      <c r="CL223" s="36">
        <f t="shared" ca="1" si="358"/>
        <v>0</v>
      </c>
      <c r="CM223" s="36">
        <f t="shared" ca="1" si="358"/>
        <v>0</v>
      </c>
      <c r="CN223" s="36">
        <f t="shared" ca="1" si="358"/>
        <v>589680</v>
      </c>
      <c r="CO223" s="36">
        <f t="shared" ca="1" si="358"/>
        <v>0</v>
      </c>
      <c r="CP223" s="36">
        <f t="shared" ca="1" si="358"/>
        <v>680400</v>
      </c>
      <c r="CQ223" s="36">
        <f t="shared" ca="1" si="358"/>
        <v>0</v>
      </c>
      <c r="CR223" s="36">
        <f t="shared" ca="1" si="358"/>
        <v>68040</v>
      </c>
      <c r="CS223" s="36">
        <f t="shared" ca="1" si="358"/>
        <v>0</v>
      </c>
      <c r="CT223" s="36">
        <f t="shared" ca="1" si="358"/>
        <v>907200</v>
      </c>
      <c r="CU223" s="36">
        <f t="shared" ca="1" si="358"/>
        <v>170100</v>
      </c>
      <c r="CV223" s="36">
        <f t="shared" ca="1" si="358"/>
        <v>0</v>
      </c>
      <c r="CW223" s="21"/>
    </row>
    <row r="224" spans="3:101" x14ac:dyDescent="0.25">
      <c r="C224" s="49" t="str">
        <f t="shared" si="359"/>
        <v>SUNFLOWERWholesale</v>
      </c>
      <c r="D224" s="35" t="str">
        <f>[1]Key!C$22</f>
        <v>SUNFLOWER</v>
      </c>
      <c r="E224" s="35" t="str">
        <f>[1]contras!H106</f>
        <v>Wholesale</v>
      </c>
      <c r="F224" s="23">
        <f>[1]Key!$R$22</f>
        <v>60</v>
      </c>
      <c r="G224" s="21"/>
      <c r="H224" s="21"/>
      <c r="I224" s="21"/>
      <c r="J224" s="21"/>
      <c r="K224" s="21"/>
      <c r="L224" s="21"/>
      <c r="M224" s="21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36">
        <f t="shared" ref="Z224:AI237" ca="1" si="360">IF($F224&lt;=0,OFFSET(INDEX($Z$154:$CV$178,MATCH($C224,$C$154:$C$178,0),MATCH(Z$11,$Z$11:$CV$11,0)),0,-ROUNDUP($F224/30,0)),OFFSET(INDEX($Z$154:$CV$178,MATCH($C224,$C$154:$C$178,0),MATCH(Z$11,$Z$11:$CV$11,0)),0,-ROUNDUP($F224/30,0)))</f>
        <v>0</v>
      </c>
      <c r="AA224" s="36">
        <f t="shared" ca="1" si="360"/>
        <v>0</v>
      </c>
      <c r="AB224" s="36">
        <f t="shared" ca="1" si="360"/>
        <v>0</v>
      </c>
      <c r="AC224" s="36">
        <f t="shared" ca="1" si="360"/>
        <v>0</v>
      </c>
      <c r="AD224" s="36">
        <f t="shared" ca="1" si="360"/>
        <v>0</v>
      </c>
      <c r="AE224" s="36">
        <f t="shared" ca="1" si="360"/>
        <v>0</v>
      </c>
      <c r="AF224" s="36">
        <f t="shared" ca="1" si="360"/>
        <v>0</v>
      </c>
      <c r="AG224" s="36">
        <f t="shared" ca="1" si="360"/>
        <v>0</v>
      </c>
      <c r="AH224" s="36">
        <f t="shared" ca="1" si="360"/>
        <v>0</v>
      </c>
      <c r="AI224" s="36">
        <f t="shared" ca="1" si="360"/>
        <v>0</v>
      </c>
      <c r="AJ224" s="36">
        <f t="shared" ref="AJ224:AS237" ca="1" si="361">IF($F224&lt;=0,OFFSET(INDEX($Z$154:$CV$178,MATCH($C224,$C$154:$C$178,0),MATCH(AJ$11,$Z$11:$CV$11,0)),0,-ROUNDUP($F224/30,0)),OFFSET(INDEX($Z$154:$CV$178,MATCH($C224,$C$154:$C$178,0),MATCH(AJ$11,$Z$11:$CV$11,0)),0,-ROUNDUP($F224/30,0)))</f>
        <v>0</v>
      </c>
      <c r="AK224" s="36">
        <f t="shared" ca="1" si="361"/>
        <v>0</v>
      </c>
      <c r="AL224" s="36">
        <f t="shared" ca="1" si="361"/>
        <v>0</v>
      </c>
      <c r="AM224" s="36">
        <f t="shared" ca="1" si="361"/>
        <v>0</v>
      </c>
      <c r="AN224" s="36">
        <f t="shared" ca="1" si="361"/>
        <v>0</v>
      </c>
      <c r="AO224" s="36">
        <f t="shared" ca="1" si="361"/>
        <v>0</v>
      </c>
      <c r="AP224" s="36">
        <f t="shared" ca="1" si="361"/>
        <v>0</v>
      </c>
      <c r="AQ224" s="36">
        <f t="shared" ca="1" si="361"/>
        <v>0</v>
      </c>
      <c r="AR224" s="36">
        <f t="shared" ca="1" si="361"/>
        <v>0</v>
      </c>
      <c r="AS224" s="36">
        <f t="shared" ca="1" si="361"/>
        <v>0</v>
      </c>
      <c r="AT224" s="36">
        <f t="shared" ref="AT224:BC237" ca="1" si="362">IF($F224&lt;=0,OFFSET(INDEX($Z$154:$CV$178,MATCH($C224,$C$154:$C$178,0),MATCH(AT$11,$Z$11:$CV$11,0)),0,-ROUNDUP($F224/30,0)),OFFSET(INDEX($Z$154:$CV$178,MATCH($C224,$C$154:$C$178,0),MATCH(AT$11,$Z$11:$CV$11,0)),0,-ROUNDUP($F224/30,0)))</f>
        <v>0</v>
      </c>
      <c r="AU224" s="36">
        <f t="shared" ca="1" si="362"/>
        <v>0</v>
      </c>
      <c r="AV224" s="36">
        <f t="shared" ca="1" si="362"/>
        <v>0</v>
      </c>
      <c r="AW224" s="36">
        <f t="shared" ca="1" si="362"/>
        <v>0</v>
      </c>
      <c r="AX224" s="36">
        <f t="shared" ca="1" si="362"/>
        <v>0</v>
      </c>
      <c r="AY224" s="36">
        <f t="shared" ca="1" si="362"/>
        <v>0</v>
      </c>
      <c r="AZ224" s="36">
        <f t="shared" ca="1" si="362"/>
        <v>0</v>
      </c>
      <c r="BA224" s="36">
        <f t="shared" ca="1" si="362"/>
        <v>0</v>
      </c>
      <c r="BB224" s="36">
        <f t="shared" ca="1" si="362"/>
        <v>0</v>
      </c>
      <c r="BC224" s="36">
        <f t="shared" ca="1" si="362"/>
        <v>0</v>
      </c>
      <c r="BD224" s="36">
        <f t="shared" ref="BD224:BM237" ca="1" si="363">IF($F224&lt;=0,OFFSET(INDEX($Z$154:$CV$178,MATCH($C224,$C$154:$C$178,0),MATCH(BD$11,$Z$11:$CV$11,0)),0,-ROUNDUP($F224/30,0)),OFFSET(INDEX($Z$154:$CV$178,MATCH($C224,$C$154:$C$178,0),MATCH(BD$11,$Z$11:$CV$11,0)),0,-ROUNDUP($F224/30,0)))</f>
        <v>0</v>
      </c>
      <c r="BE224" s="36">
        <f t="shared" ca="1" si="363"/>
        <v>0</v>
      </c>
      <c r="BF224" s="36">
        <f t="shared" ca="1" si="363"/>
        <v>0</v>
      </c>
      <c r="BG224" s="36">
        <f t="shared" ca="1" si="363"/>
        <v>0</v>
      </c>
      <c r="BH224" s="36">
        <f t="shared" ca="1" si="363"/>
        <v>0</v>
      </c>
      <c r="BI224" s="36">
        <f t="shared" ca="1" si="363"/>
        <v>0</v>
      </c>
      <c r="BJ224" s="36">
        <f t="shared" ca="1" si="363"/>
        <v>0</v>
      </c>
      <c r="BK224" s="36">
        <f t="shared" ca="1" si="363"/>
        <v>0</v>
      </c>
      <c r="BL224" s="36">
        <f t="shared" ca="1" si="363"/>
        <v>0</v>
      </c>
      <c r="BM224" s="36">
        <f t="shared" ca="1" si="363"/>
        <v>0</v>
      </c>
      <c r="BN224" s="36">
        <f t="shared" ref="BN224:BW237" ca="1" si="364">IF($F224&lt;=0,OFFSET(INDEX($Z$154:$CV$178,MATCH($C224,$C$154:$C$178,0),MATCH(BN$11,$Z$11:$CV$11,0)),0,-ROUNDUP($F224/30,0)),OFFSET(INDEX($Z$154:$CV$178,MATCH($C224,$C$154:$C$178,0),MATCH(BN$11,$Z$11:$CV$11,0)),0,-ROUNDUP($F224/30,0)))</f>
        <v>0</v>
      </c>
      <c r="BO224" s="36">
        <f t="shared" ca="1" si="364"/>
        <v>0</v>
      </c>
      <c r="BP224" s="36">
        <f t="shared" ca="1" si="364"/>
        <v>0</v>
      </c>
      <c r="BQ224" s="36">
        <f t="shared" ca="1" si="364"/>
        <v>0</v>
      </c>
      <c r="BR224" s="36">
        <f t="shared" ca="1" si="364"/>
        <v>0</v>
      </c>
      <c r="BS224" s="36">
        <f t="shared" ca="1" si="364"/>
        <v>0</v>
      </c>
      <c r="BT224" s="36">
        <f t="shared" ca="1" si="364"/>
        <v>0</v>
      </c>
      <c r="BU224" s="36">
        <f t="shared" ca="1" si="364"/>
        <v>0</v>
      </c>
      <c r="BV224" s="36">
        <f t="shared" ca="1" si="364"/>
        <v>0</v>
      </c>
      <c r="BW224" s="36">
        <f t="shared" ca="1" si="364"/>
        <v>0</v>
      </c>
      <c r="BX224" s="36">
        <f t="shared" ref="BX224:CG237" ca="1" si="365">IF($F224&lt;=0,OFFSET(INDEX($Z$154:$CV$178,MATCH($C224,$C$154:$C$178,0),MATCH(BX$11,$Z$11:$CV$11,0)),0,-ROUNDUP($F224/30,0)),OFFSET(INDEX($Z$154:$CV$178,MATCH($C224,$C$154:$C$178,0),MATCH(BX$11,$Z$11:$CV$11,0)),0,-ROUNDUP($F224/30,0)))</f>
        <v>0</v>
      </c>
      <c r="BY224" s="36">
        <f t="shared" ca="1" si="365"/>
        <v>0</v>
      </c>
      <c r="BZ224" s="36">
        <f t="shared" ca="1" si="365"/>
        <v>0</v>
      </c>
      <c r="CA224" s="36">
        <f t="shared" ca="1" si="365"/>
        <v>0</v>
      </c>
      <c r="CB224" s="36">
        <f t="shared" ca="1" si="365"/>
        <v>0</v>
      </c>
      <c r="CC224" s="36">
        <f t="shared" ca="1" si="365"/>
        <v>0</v>
      </c>
      <c r="CD224" s="36">
        <f t="shared" ca="1" si="365"/>
        <v>0</v>
      </c>
      <c r="CE224" s="36">
        <f t="shared" ca="1" si="365"/>
        <v>0</v>
      </c>
      <c r="CF224" s="36">
        <f t="shared" ca="1" si="365"/>
        <v>0</v>
      </c>
      <c r="CG224" s="36">
        <f t="shared" ca="1" si="365"/>
        <v>0</v>
      </c>
      <c r="CH224" s="36">
        <f t="shared" ref="CH224:CV237" ca="1" si="366">IF($F224&lt;=0,OFFSET(INDEX($Z$154:$CV$178,MATCH($C224,$C$154:$C$178,0),MATCH(CH$11,$Z$11:$CV$11,0)),0,-ROUNDUP($F224/30,0)),OFFSET(INDEX($Z$154:$CV$178,MATCH($C224,$C$154:$C$178,0),MATCH(CH$11,$Z$11:$CV$11,0)),0,-ROUNDUP($F224/30,0)))</f>
        <v>0</v>
      </c>
      <c r="CI224" s="36">
        <f t="shared" ca="1" si="366"/>
        <v>0</v>
      </c>
      <c r="CJ224" s="36">
        <f t="shared" ca="1" si="366"/>
        <v>0</v>
      </c>
      <c r="CK224" s="36">
        <f t="shared" ca="1" si="366"/>
        <v>0</v>
      </c>
      <c r="CL224" s="36">
        <f t="shared" ca="1" si="366"/>
        <v>0</v>
      </c>
      <c r="CM224" s="36">
        <f t="shared" ca="1" si="366"/>
        <v>0</v>
      </c>
      <c r="CN224" s="36">
        <f t="shared" ca="1" si="366"/>
        <v>0</v>
      </c>
      <c r="CO224" s="36">
        <f t="shared" ca="1" si="366"/>
        <v>0</v>
      </c>
      <c r="CP224" s="36">
        <f t="shared" ca="1" si="366"/>
        <v>0</v>
      </c>
      <c r="CQ224" s="36">
        <f t="shared" ca="1" si="366"/>
        <v>0</v>
      </c>
      <c r="CR224" s="36">
        <f t="shared" ca="1" si="366"/>
        <v>0</v>
      </c>
      <c r="CS224" s="36">
        <f t="shared" ca="1" si="366"/>
        <v>0</v>
      </c>
      <c r="CT224" s="36">
        <f t="shared" ca="1" si="366"/>
        <v>0</v>
      </c>
      <c r="CU224" s="36">
        <f t="shared" ca="1" si="366"/>
        <v>0</v>
      </c>
      <c r="CV224" s="36">
        <f t="shared" ca="1" si="366"/>
        <v>0</v>
      </c>
      <c r="CW224" s="21"/>
    </row>
    <row r="225" spans="3:101" x14ac:dyDescent="0.25">
      <c r="C225" s="49" t="str">
        <f t="shared" si="359"/>
        <v>BARIDTC</v>
      </c>
      <c r="D225" s="35" t="str">
        <f>[1]Key!C$23</f>
        <v>BARI</v>
      </c>
      <c r="E225" s="35" t="str">
        <f>[1]contras!H107</f>
        <v>DTC</v>
      </c>
      <c r="F225" s="23">
        <f>[1]Key!$R$23</f>
        <v>0</v>
      </c>
      <c r="G225" s="21"/>
      <c r="H225" s="21"/>
      <c r="I225" s="21"/>
      <c r="J225" s="21"/>
      <c r="K225" s="21"/>
      <c r="L225" s="21"/>
      <c r="M225" s="21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36">
        <f t="shared" ca="1" si="360"/>
        <v>0</v>
      </c>
      <c r="AA225" s="36">
        <f t="shared" ca="1" si="360"/>
        <v>0</v>
      </c>
      <c r="AB225" s="36">
        <f t="shared" ca="1" si="360"/>
        <v>0</v>
      </c>
      <c r="AC225" s="36">
        <f t="shared" ca="1" si="360"/>
        <v>0</v>
      </c>
      <c r="AD225" s="36">
        <f t="shared" ca="1" si="360"/>
        <v>0</v>
      </c>
      <c r="AE225" s="36">
        <f t="shared" ca="1" si="360"/>
        <v>0</v>
      </c>
      <c r="AF225" s="36">
        <f t="shared" ca="1" si="360"/>
        <v>0</v>
      </c>
      <c r="AG225" s="36">
        <f t="shared" ca="1" si="360"/>
        <v>0</v>
      </c>
      <c r="AH225" s="36">
        <f t="shared" ca="1" si="360"/>
        <v>0</v>
      </c>
      <c r="AI225" s="36">
        <f t="shared" ca="1" si="360"/>
        <v>20000</v>
      </c>
      <c r="AJ225" s="36">
        <f t="shared" ca="1" si="361"/>
        <v>20000</v>
      </c>
      <c r="AK225" s="36">
        <f t="shared" ca="1" si="361"/>
        <v>48000</v>
      </c>
      <c r="AL225" s="36">
        <f t="shared" ca="1" si="361"/>
        <v>36000</v>
      </c>
      <c r="AM225" s="36">
        <f t="shared" ca="1" si="361"/>
        <v>0</v>
      </c>
      <c r="AN225" s="36">
        <f t="shared" ca="1" si="361"/>
        <v>36000</v>
      </c>
      <c r="AO225" s="36">
        <f t="shared" ca="1" si="361"/>
        <v>0</v>
      </c>
      <c r="AP225" s="36">
        <f t="shared" ca="1" si="361"/>
        <v>0</v>
      </c>
      <c r="AQ225" s="36">
        <f t="shared" ca="1" si="361"/>
        <v>72000</v>
      </c>
      <c r="AR225" s="36">
        <f t="shared" ca="1" si="361"/>
        <v>0</v>
      </c>
      <c r="AS225" s="36">
        <f t="shared" ca="1" si="361"/>
        <v>36000</v>
      </c>
      <c r="AT225" s="36">
        <f t="shared" ca="1" si="362"/>
        <v>72000</v>
      </c>
      <c r="AU225" s="36">
        <f t="shared" ca="1" si="362"/>
        <v>72000</v>
      </c>
      <c r="AV225" s="36">
        <f t="shared" ca="1" si="362"/>
        <v>15000</v>
      </c>
      <c r="AW225" s="36">
        <f t="shared" ca="1" si="362"/>
        <v>72000</v>
      </c>
      <c r="AX225" s="36">
        <f t="shared" ca="1" si="362"/>
        <v>108000</v>
      </c>
      <c r="AY225" s="36">
        <f t="shared" ca="1" si="362"/>
        <v>0</v>
      </c>
      <c r="AZ225" s="36">
        <f t="shared" ca="1" si="362"/>
        <v>72000</v>
      </c>
      <c r="BA225" s="36">
        <f t="shared" ca="1" si="362"/>
        <v>0</v>
      </c>
      <c r="BB225" s="36">
        <f t="shared" ca="1" si="362"/>
        <v>0</v>
      </c>
      <c r="BC225" s="36">
        <f t="shared" ca="1" si="362"/>
        <v>180000</v>
      </c>
      <c r="BD225" s="36">
        <f t="shared" ca="1" si="363"/>
        <v>0</v>
      </c>
      <c r="BE225" s="36">
        <f t="shared" ca="1" si="363"/>
        <v>0</v>
      </c>
      <c r="BF225" s="36">
        <f t="shared" ca="1" si="363"/>
        <v>72000</v>
      </c>
      <c r="BG225" s="36">
        <f t="shared" ca="1" si="363"/>
        <v>144000</v>
      </c>
      <c r="BH225" s="36">
        <f t="shared" ca="1" si="363"/>
        <v>0</v>
      </c>
      <c r="BI225" s="36">
        <f t="shared" ca="1" si="363"/>
        <v>87000</v>
      </c>
      <c r="BJ225" s="36">
        <f t="shared" ca="1" si="363"/>
        <v>280800</v>
      </c>
      <c r="BK225" s="36">
        <f t="shared" ca="1" si="363"/>
        <v>0</v>
      </c>
      <c r="BL225" s="36">
        <f t="shared" ca="1" si="363"/>
        <v>187200</v>
      </c>
      <c r="BM225" s="36">
        <f t="shared" ca="1" si="363"/>
        <v>0</v>
      </c>
      <c r="BN225" s="36">
        <f t="shared" ca="1" si="364"/>
        <v>0</v>
      </c>
      <c r="BO225" s="36">
        <f t="shared" ca="1" si="364"/>
        <v>468000</v>
      </c>
      <c r="BP225" s="36">
        <f t="shared" ca="1" si="364"/>
        <v>0</v>
      </c>
      <c r="BQ225" s="36">
        <f t="shared" ca="1" si="364"/>
        <v>0</v>
      </c>
      <c r="BR225" s="36">
        <f t="shared" ca="1" si="364"/>
        <v>187200</v>
      </c>
      <c r="BS225" s="36">
        <f t="shared" ca="1" si="364"/>
        <v>374400</v>
      </c>
      <c r="BT225" s="36">
        <f t="shared" ca="1" si="364"/>
        <v>0</v>
      </c>
      <c r="BU225" s="36">
        <f t="shared" ca="1" si="364"/>
        <v>226200</v>
      </c>
      <c r="BV225" s="36">
        <f t="shared" ca="1" si="364"/>
        <v>421200</v>
      </c>
      <c r="BW225" s="36">
        <f t="shared" ca="1" si="364"/>
        <v>0</v>
      </c>
      <c r="BX225" s="36">
        <f t="shared" ca="1" si="365"/>
        <v>280800</v>
      </c>
      <c r="BY225" s="36">
        <f t="shared" ca="1" si="365"/>
        <v>0</v>
      </c>
      <c r="BZ225" s="36">
        <f t="shared" ca="1" si="365"/>
        <v>0</v>
      </c>
      <c r="CA225" s="36">
        <f t="shared" ca="1" si="365"/>
        <v>702000</v>
      </c>
      <c r="CB225" s="36">
        <f t="shared" ca="1" si="365"/>
        <v>0</v>
      </c>
      <c r="CC225" s="36">
        <f t="shared" ca="1" si="365"/>
        <v>0</v>
      </c>
      <c r="CD225" s="36">
        <f t="shared" ca="1" si="365"/>
        <v>280800</v>
      </c>
      <c r="CE225" s="36">
        <f t="shared" ca="1" si="365"/>
        <v>561600</v>
      </c>
      <c r="CF225" s="36">
        <f t="shared" ca="1" si="365"/>
        <v>0</v>
      </c>
      <c r="CG225" s="36">
        <f t="shared" ca="1" si="365"/>
        <v>339300</v>
      </c>
      <c r="CH225" s="36">
        <f t="shared" ca="1" si="366"/>
        <v>547560</v>
      </c>
      <c r="CI225" s="36">
        <f t="shared" ca="1" si="366"/>
        <v>0</v>
      </c>
      <c r="CJ225" s="36">
        <f t="shared" ca="1" si="366"/>
        <v>365040</v>
      </c>
      <c r="CK225" s="36">
        <f t="shared" ca="1" si="366"/>
        <v>0</v>
      </c>
      <c r="CL225" s="36">
        <f t="shared" ca="1" si="366"/>
        <v>0</v>
      </c>
      <c r="CM225" s="36">
        <f t="shared" ca="1" si="366"/>
        <v>912600</v>
      </c>
      <c r="CN225" s="36">
        <f t="shared" ca="1" si="366"/>
        <v>0</v>
      </c>
      <c r="CO225" s="36">
        <f t="shared" ca="1" si="366"/>
        <v>0</v>
      </c>
      <c r="CP225" s="36">
        <f t="shared" ca="1" si="366"/>
        <v>365040</v>
      </c>
      <c r="CQ225" s="36">
        <f t="shared" ca="1" si="366"/>
        <v>730080</v>
      </c>
      <c r="CR225" s="36">
        <f t="shared" ca="1" si="366"/>
        <v>0</v>
      </c>
      <c r="CS225" s="36">
        <f t="shared" ca="1" si="366"/>
        <v>441090</v>
      </c>
      <c r="CT225" s="36">
        <f t="shared" ca="1" si="366"/>
        <v>0</v>
      </c>
      <c r="CU225" s="36">
        <f t="shared" ca="1" si="366"/>
        <v>0</v>
      </c>
      <c r="CV225" s="36">
        <f t="shared" ca="1" si="366"/>
        <v>0</v>
      </c>
      <c r="CW225" s="21"/>
    </row>
    <row r="226" spans="3:101" x14ac:dyDescent="0.25">
      <c r="C226" s="49" t="str">
        <f t="shared" si="359"/>
        <v>BRAIN DEAD OAKLEYDTC</v>
      </c>
      <c r="D226" s="35" t="str">
        <f>[1]Key!C$24</f>
        <v>BRAIN DEAD OAKLEY</v>
      </c>
      <c r="E226" s="35" t="str">
        <f>[1]contras!H108</f>
        <v>DTC</v>
      </c>
      <c r="F226" s="23">
        <f>[1]Key!$R$24</f>
        <v>0</v>
      </c>
      <c r="G226" s="21"/>
      <c r="H226" s="21"/>
      <c r="I226" s="21"/>
      <c r="J226" s="21"/>
      <c r="K226" s="21"/>
      <c r="L226" s="21"/>
      <c r="M226" s="21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36">
        <f t="shared" ca="1" si="360"/>
        <v>0</v>
      </c>
      <c r="AA226" s="36">
        <f t="shared" ca="1" si="360"/>
        <v>0</v>
      </c>
      <c r="AB226" s="36">
        <f t="shared" ca="1" si="360"/>
        <v>0</v>
      </c>
      <c r="AC226" s="36">
        <f t="shared" ca="1" si="360"/>
        <v>0</v>
      </c>
      <c r="AD226" s="36">
        <f t="shared" ca="1" si="360"/>
        <v>0</v>
      </c>
      <c r="AE226" s="36">
        <f t="shared" ca="1" si="360"/>
        <v>0</v>
      </c>
      <c r="AF226" s="36">
        <f t="shared" ca="1" si="360"/>
        <v>0</v>
      </c>
      <c r="AG226" s="36">
        <f t="shared" ca="1" si="360"/>
        <v>0</v>
      </c>
      <c r="AH226" s="36">
        <f t="shared" ca="1" si="360"/>
        <v>0</v>
      </c>
      <c r="AI226" s="36">
        <f t="shared" ca="1" si="360"/>
        <v>0</v>
      </c>
      <c r="AJ226" s="36">
        <f t="shared" ca="1" si="361"/>
        <v>0</v>
      </c>
      <c r="AK226" s="36">
        <f t="shared" ca="1" si="361"/>
        <v>0</v>
      </c>
      <c r="AL226" s="36">
        <f t="shared" ca="1" si="361"/>
        <v>0</v>
      </c>
      <c r="AM226" s="36">
        <f t="shared" ca="1" si="361"/>
        <v>0</v>
      </c>
      <c r="AN226" s="36">
        <f t="shared" ca="1" si="361"/>
        <v>0</v>
      </c>
      <c r="AO226" s="36">
        <f t="shared" ca="1" si="361"/>
        <v>0</v>
      </c>
      <c r="AP226" s="36">
        <f t="shared" ca="1" si="361"/>
        <v>0</v>
      </c>
      <c r="AQ226" s="36">
        <f t="shared" ca="1" si="361"/>
        <v>0</v>
      </c>
      <c r="AR226" s="36">
        <f t="shared" ca="1" si="361"/>
        <v>0</v>
      </c>
      <c r="AS226" s="36">
        <f t="shared" ca="1" si="361"/>
        <v>0</v>
      </c>
      <c r="AT226" s="36">
        <f t="shared" ca="1" si="362"/>
        <v>0</v>
      </c>
      <c r="AU226" s="36">
        <f t="shared" ca="1" si="362"/>
        <v>0</v>
      </c>
      <c r="AV226" s="36">
        <f t="shared" ca="1" si="362"/>
        <v>0</v>
      </c>
      <c r="AW226" s="36">
        <f t="shared" ca="1" si="362"/>
        <v>0</v>
      </c>
      <c r="AX226" s="36">
        <f t="shared" ca="1" si="362"/>
        <v>0</v>
      </c>
      <c r="AY226" s="36">
        <f t="shared" ca="1" si="362"/>
        <v>0</v>
      </c>
      <c r="AZ226" s="36">
        <f t="shared" ca="1" si="362"/>
        <v>0</v>
      </c>
      <c r="BA226" s="36">
        <f t="shared" ca="1" si="362"/>
        <v>0</v>
      </c>
      <c r="BB226" s="36">
        <f t="shared" ca="1" si="362"/>
        <v>0</v>
      </c>
      <c r="BC226" s="36">
        <f t="shared" ca="1" si="362"/>
        <v>0</v>
      </c>
      <c r="BD226" s="36">
        <f t="shared" ca="1" si="363"/>
        <v>0</v>
      </c>
      <c r="BE226" s="36">
        <f t="shared" ca="1" si="363"/>
        <v>0</v>
      </c>
      <c r="BF226" s="36">
        <f t="shared" ca="1" si="363"/>
        <v>0</v>
      </c>
      <c r="BG226" s="36">
        <f t="shared" ca="1" si="363"/>
        <v>0</v>
      </c>
      <c r="BH226" s="36">
        <f t="shared" ca="1" si="363"/>
        <v>0</v>
      </c>
      <c r="BI226" s="36">
        <f t="shared" ca="1" si="363"/>
        <v>0</v>
      </c>
      <c r="BJ226" s="36">
        <f t="shared" ca="1" si="363"/>
        <v>0</v>
      </c>
      <c r="BK226" s="36">
        <f t="shared" ca="1" si="363"/>
        <v>0</v>
      </c>
      <c r="BL226" s="36">
        <f t="shared" ca="1" si="363"/>
        <v>0</v>
      </c>
      <c r="BM226" s="36">
        <f t="shared" ca="1" si="363"/>
        <v>0</v>
      </c>
      <c r="BN226" s="36">
        <f t="shared" ca="1" si="364"/>
        <v>0</v>
      </c>
      <c r="BO226" s="36">
        <f t="shared" ca="1" si="364"/>
        <v>0</v>
      </c>
      <c r="BP226" s="36">
        <f t="shared" ca="1" si="364"/>
        <v>0</v>
      </c>
      <c r="BQ226" s="36">
        <f t="shared" ca="1" si="364"/>
        <v>0</v>
      </c>
      <c r="BR226" s="36">
        <f t="shared" ca="1" si="364"/>
        <v>0</v>
      </c>
      <c r="BS226" s="36">
        <f t="shared" ca="1" si="364"/>
        <v>0</v>
      </c>
      <c r="BT226" s="36">
        <f t="shared" ca="1" si="364"/>
        <v>0</v>
      </c>
      <c r="BU226" s="36">
        <f t="shared" ca="1" si="364"/>
        <v>0</v>
      </c>
      <c r="BV226" s="36">
        <f t="shared" ca="1" si="364"/>
        <v>0</v>
      </c>
      <c r="BW226" s="36">
        <f t="shared" ca="1" si="364"/>
        <v>0</v>
      </c>
      <c r="BX226" s="36">
        <f t="shared" ca="1" si="365"/>
        <v>0</v>
      </c>
      <c r="BY226" s="36">
        <f t="shared" ca="1" si="365"/>
        <v>0</v>
      </c>
      <c r="BZ226" s="36">
        <f t="shared" ca="1" si="365"/>
        <v>0</v>
      </c>
      <c r="CA226" s="36">
        <f t="shared" ca="1" si="365"/>
        <v>0</v>
      </c>
      <c r="CB226" s="36">
        <f t="shared" ca="1" si="365"/>
        <v>0</v>
      </c>
      <c r="CC226" s="36">
        <f t="shared" ca="1" si="365"/>
        <v>0</v>
      </c>
      <c r="CD226" s="36">
        <f t="shared" ca="1" si="365"/>
        <v>0</v>
      </c>
      <c r="CE226" s="36">
        <f t="shared" ca="1" si="365"/>
        <v>0</v>
      </c>
      <c r="CF226" s="36">
        <f t="shared" ca="1" si="365"/>
        <v>0</v>
      </c>
      <c r="CG226" s="36">
        <f t="shared" ca="1" si="365"/>
        <v>0</v>
      </c>
      <c r="CH226" s="36">
        <f t="shared" ca="1" si="366"/>
        <v>0</v>
      </c>
      <c r="CI226" s="36">
        <f t="shared" ca="1" si="366"/>
        <v>0</v>
      </c>
      <c r="CJ226" s="36">
        <f t="shared" ca="1" si="366"/>
        <v>0</v>
      </c>
      <c r="CK226" s="36">
        <f t="shared" ca="1" si="366"/>
        <v>0</v>
      </c>
      <c r="CL226" s="36">
        <f t="shared" ca="1" si="366"/>
        <v>0</v>
      </c>
      <c r="CM226" s="36">
        <f t="shared" ca="1" si="366"/>
        <v>0</v>
      </c>
      <c r="CN226" s="36">
        <f t="shared" ca="1" si="366"/>
        <v>0</v>
      </c>
      <c r="CO226" s="36">
        <f t="shared" ca="1" si="366"/>
        <v>0</v>
      </c>
      <c r="CP226" s="36">
        <f t="shared" ca="1" si="366"/>
        <v>0</v>
      </c>
      <c r="CQ226" s="36">
        <f t="shared" ca="1" si="366"/>
        <v>0</v>
      </c>
      <c r="CR226" s="36">
        <f t="shared" ca="1" si="366"/>
        <v>0</v>
      </c>
      <c r="CS226" s="36">
        <f t="shared" ca="1" si="366"/>
        <v>0</v>
      </c>
      <c r="CT226" s="36">
        <f t="shared" ca="1" si="366"/>
        <v>0</v>
      </c>
      <c r="CU226" s="36">
        <f t="shared" ca="1" si="366"/>
        <v>0</v>
      </c>
      <c r="CV226" s="36">
        <f t="shared" ca="1" si="366"/>
        <v>0</v>
      </c>
      <c r="CW226" s="21"/>
    </row>
    <row r="227" spans="3:101" x14ac:dyDescent="0.25">
      <c r="C227" s="49" t="str">
        <f t="shared" si="359"/>
        <v>GROWTH "HIT" PHDTC</v>
      </c>
      <c r="D227" s="35" t="str">
        <f>[1]Key!C$25</f>
        <v>GROWTH "HIT" PH</v>
      </c>
      <c r="E227" s="35" t="str">
        <f>[1]contras!H109</f>
        <v>DTC</v>
      </c>
      <c r="F227" s="23">
        <f>[1]Key!$R$25</f>
        <v>0</v>
      </c>
      <c r="G227" s="21"/>
      <c r="H227" s="21"/>
      <c r="I227" s="21"/>
      <c r="J227" s="21"/>
      <c r="K227" s="21"/>
      <c r="L227" s="21"/>
      <c r="M227" s="21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36">
        <f t="shared" ca="1" si="360"/>
        <v>0</v>
      </c>
      <c r="AA227" s="36">
        <f t="shared" ca="1" si="360"/>
        <v>0</v>
      </c>
      <c r="AB227" s="36">
        <f t="shared" ca="1" si="360"/>
        <v>0</v>
      </c>
      <c r="AC227" s="36">
        <f t="shared" ca="1" si="360"/>
        <v>0</v>
      </c>
      <c r="AD227" s="36">
        <f t="shared" ca="1" si="360"/>
        <v>0</v>
      </c>
      <c r="AE227" s="36">
        <f t="shared" ca="1" si="360"/>
        <v>0</v>
      </c>
      <c r="AF227" s="36">
        <f t="shared" ca="1" si="360"/>
        <v>0</v>
      </c>
      <c r="AG227" s="36">
        <f t="shared" ca="1" si="360"/>
        <v>0</v>
      </c>
      <c r="AH227" s="36">
        <f t="shared" ca="1" si="360"/>
        <v>0</v>
      </c>
      <c r="AI227" s="36">
        <f t="shared" ca="1" si="360"/>
        <v>0</v>
      </c>
      <c r="AJ227" s="36">
        <f t="shared" ca="1" si="361"/>
        <v>0</v>
      </c>
      <c r="AK227" s="36">
        <f t="shared" ca="1" si="361"/>
        <v>0</v>
      </c>
      <c r="AL227" s="36">
        <f t="shared" ca="1" si="361"/>
        <v>0</v>
      </c>
      <c r="AM227" s="36">
        <f t="shared" ca="1" si="361"/>
        <v>0</v>
      </c>
      <c r="AN227" s="36">
        <f t="shared" ca="1" si="361"/>
        <v>0</v>
      </c>
      <c r="AO227" s="36">
        <f t="shared" ca="1" si="361"/>
        <v>0</v>
      </c>
      <c r="AP227" s="36">
        <f t="shared" ca="1" si="361"/>
        <v>0</v>
      </c>
      <c r="AQ227" s="36">
        <f t="shared" ca="1" si="361"/>
        <v>0</v>
      </c>
      <c r="AR227" s="36">
        <f t="shared" ca="1" si="361"/>
        <v>0</v>
      </c>
      <c r="AS227" s="36">
        <f t="shared" ca="1" si="361"/>
        <v>0</v>
      </c>
      <c r="AT227" s="36">
        <f t="shared" ca="1" si="362"/>
        <v>0</v>
      </c>
      <c r="AU227" s="36">
        <f t="shared" ca="1" si="362"/>
        <v>112000</v>
      </c>
      <c r="AV227" s="36">
        <f t="shared" ca="1" si="362"/>
        <v>0</v>
      </c>
      <c r="AW227" s="36">
        <f t="shared" ca="1" si="362"/>
        <v>0</v>
      </c>
      <c r="AX227" s="36">
        <f t="shared" ca="1" si="362"/>
        <v>240000</v>
      </c>
      <c r="AY227" s="36">
        <f t="shared" ca="1" si="362"/>
        <v>0</v>
      </c>
      <c r="AZ227" s="36">
        <f t="shared" ca="1" si="362"/>
        <v>0</v>
      </c>
      <c r="BA227" s="36">
        <f t="shared" ca="1" si="362"/>
        <v>240000</v>
      </c>
      <c r="BB227" s="36">
        <f t="shared" ca="1" si="362"/>
        <v>0</v>
      </c>
      <c r="BC227" s="36">
        <f t="shared" ca="1" si="362"/>
        <v>0</v>
      </c>
      <c r="BD227" s="36">
        <f t="shared" ca="1" si="363"/>
        <v>300000</v>
      </c>
      <c r="BE227" s="36">
        <f t="shared" ca="1" si="363"/>
        <v>0</v>
      </c>
      <c r="BF227" s="36">
        <f t="shared" ca="1" si="363"/>
        <v>0</v>
      </c>
      <c r="BG227" s="36">
        <f t="shared" ca="1" si="363"/>
        <v>420000</v>
      </c>
      <c r="BH227" s="36">
        <f t="shared" ca="1" si="363"/>
        <v>0</v>
      </c>
      <c r="BI227" s="36">
        <f t="shared" ca="1" si="363"/>
        <v>0</v>
      </c>
      <c r="BJ227" s="36">
        <f t="shared" ca="1" si="363"/>
        <v>624000</v>
      </c>
      <c r="BK227" s="36">
        <f t="shared" ca="1" si="363"/>
        <v>0</v>
      </c>
      <c r="BL227" s="36">
        <f t="shared" ca="1" si="363"/>
        <v>0</v>
      </c>
      <c r="BM227" s="36">
        <f t="shared" ca="1" si="363"/>
        <v>624000</v>
      </c>
      <c r="BN227" s="36">
        <f t="shared" ca="1" si="364"/>
        <v>0</v>
      </c>
      <c r="BO227" s="36">
        <f t="shared" ca="1" si="364"/>
        <v>0</v>
      </c>
      <c r="BP227" s="36">
        <f t="shared" ca="1" si="364"/>
        <v>780000</v>
      </c>
      <c r="BQ227" s="36">
        <f t="shared" ca="1" si="364"/>
        <v>0</v>
      </c>
      <c r="BR227" s="36">
        <f t="shared" ca="1" si="364"/>
        <v>0</v>
      </c>
      <c r="BS227" s="36">
        <f t="shared" ca="1" si="364"/>
        <v>1092000</v>
      </c>
      <c r="BT227" s="36">
        <f t="shared" ca="1" si="364"/>
        <v>0</v>
      </c>
      <c r="BU227" s="36">
        <f t="shared" ca="1" si="364"/>
        <v>0</v>
      </c>
      <c r="BV227" s="36">
        <f t="shared" ca="1" si="364"/>
        <v>936000</v>
      </c>
      <c r="BW227" s="36">
        <f t="shared" ca="1" si="364"/>
        <v>0</v>
      </c>
      <c r="BX227" s="36">
        <f t="shared" ca="1" si="365"/>
        <v>0</v>
      </c>
      <c r="BY227" s="36">
        <f t="shared" ca="1" si="365"/>
        <v>936000</v>
      </c>
      <c r="BZ227" s="36">
        <f t="shared" ca="1" si="365"/>
        <v>0</v>
      </c>
      <c r="CA227" s="36">
        <f t="shared" ca="1" si="365"/>
        <v>0</v>
      </c>
      <c r="CB227" s="36">
        <f t="shared" ca="1" si="365"/>
        <v>1170000</v>
      </c>
      <c r="CC227" s="36">
        <f t="shared" ca="1" si="365"/>
        <v>0</v>
      </c>
      <c r="CD227" s="36">
        <f t="shared" ca="1" si="365"/>
        <v>0</v>
      </c>
      <c r="CE227" s="36">
        <f t="shared" ca="1" si="365"/>
        <v>1638000</v>
      </c>
      <c r="CF227" s="36">
        <f t="shared" ca="1" si="365"/>
        <v>0</v>
      </c>
      <c r="CG227" s="36">
        <f t="shared" ca="1" si="365"/>
        <v>0</v>
      </c>
      <c r="CH227" s="36">
        <f t="shared" ca="1" si="366"/>
        <v>1216800</v>
      </c>
      <c r="CI227" s="36">
        <f t="shared" ca="1" si="366"/>
        <v>0</v>
      </c>
      <c r="CJ227" s="36">
        <f t="shared" ca="1" si="366"/>
        <v>0</v>
      </c>
      <c r="CK227" s="36">
        <f t="shared" ca="1" si="366"/>
        <v>1216800</v>
      </c>
      <c r="CL227" s="36">
        <f t="shared" ca="1" si="366"/>
        <v>0</v>
      </c>
      <c r="CM227" s="36">
        <f t="shared" ca="1" si="366"/>
        <v>0</v>
      </c>
      <c r="CN227" s="36">
        <f t="shared" ca="1" si="366"/>
        <v>1521000</v>
      </c>
      <c r="CO227" s="36">
        <f t="shared" ca="1" si="366"/>
        <v>0</v>
      </c>
      <c r="CP227" s="36">
        <f t="shared" ca="1" si="366"/>
        <v>0</v>
      </c>
      <c r="CQ227" s="36">
        <f t="shared" ca="1" si="366"/>
        <v>2129400</v>
      </c>
      <c r="CR227" s="36">
        <f t="shared" ca="1" si="366"/>
        <v>0</v>
      </c>
      <c r="CS227" s="36">
        <f t="shared" ca="1" si="366"/>
        <v>0</v>
      </c>
      <c r="CT227" s="36">
        <f t="shared" ca="1" si="366"/>
        <v>0</v>
      </c>
      <c r="CU227" s="36">
        <f t="shared" ca="1" si="366"/>
        <v>0</v>
      </c>
      <c r="CV227" s="36">
        <f t="shared" ca="1" si="366"/>
        <v>0</v>
      </c>
      <c r="CW227" s="21"/>
    </row>
    <row r="228" spans="3:101" x14ac:dyDescent="0.25">
      <c r="C228" s="49" t="str">
        <f t="shared" si="359"/>
        <v>ICE STUDIOSDTC</v>
      </c>
      <c r="D228" s="35" t="str">
        <f>[1]Key!C$26</f>
        <v>ICE STUDIOS</v>
      </c>
      <c r="E228" s="35" t="str">
        <f>[1]contras!H110</f>
        <v>DTC</v>
      </c>
      <c r="F228" s="23">
        <f>[1]Key!$R$26</f>
        <v>0</v>
      </c>
      <c r="G228" s="21"/>
      <c r="H228" s="21"/>
      <c r="I228" s="21"/>
      <c r="J228" s="21"/>
      <c r="K228" s="21"/>
      <c r="L228" s="21"/>
      <c r="M228" s="21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36">
        <f t="shared" ca="1" si="360"/>
        <v>0</v>
      </c>
      <c r="AA228" s="36">
        <f t="shared" ca="1" si="360"/>
        <v>0</v>
      </c>
      <c r="AB228" s="36">
        <f t="shared" ca="1" si="360"/>
        <v>0</v>
      </c>
      <c r="AC228" s="36">
        <f t="shared" ca="1" si="360"/>
        <v>0</v>
      </c>
      <c r="AD228" s="36">
        <f t="shared" ca="1" si="360"/>
        <v>0</v>
      </c>
      <c r="AE228" s="36">
        <f t="shared" ca="1" si="360"/>
        <v>0</v>
      </c>
      <c r="AF228" s="36">
        <f t="shared" ca="1" si="360"/>
        <v>0</v>
      </c>
      <c r="AG228" s="36">
        <f t="shared" ca="1" si="360"/>
        <v>0</v>
      </c>
      <c r="AH228" s="36">
        <f t="shared" ca="1" si="360"/>
        <v>0</v>
      </c>
      <c r="AI228" s="36">
        <f t="shared" ca="1" si="360"/>
        <v>0</v>
      </c>
      <c r="AJ228" s="36">
        <f t="shared" ca="1" si="361"/>
        <v>0</v>
      </c>
      <c r="AK228" s="36">
        <f t="shared" ca="1" si="361"/>
        <v>58800</v>
      </c>
      <c r="AL228" s="36">
        <f t="shared" ca="1" si="361"/>
        <v>0</v>
      </c>
      <c r="AM228" s="36">
        <f t="shared" ca="1" si="361"/>
        <v>90720</v>
      </c>
      <c r="AN228" s="36">
        <f t="shared" ca="1" si="361"/>
        <v>0</v>
      </c>
      <c r="AO228" s="36">
        <f t="shared" ca="1" si="361"/>
        <v>0</v>
      </c>
      <c r="AP228" s="36">
        <f t="shared" ca="1" si="361"/>
        <v>0</v>
      </c>
      <c r="AQ228" s="36">
        <f t="shared" ca="1" si="361"/>
        <v>151200</v>
      </c>
      <c r="AR228" s="36">
        <f t="shared" ca="1" si="361"/>
        <v>0</v>
      </c>
      <c r="AS228" s="36">
        <f t="shared" ca="1" si="361"/>
        <v>0</v>
      </c>
      <c r="AT228" s="36">
        <f t="shared" ca="1" si="362"/>
        <v>244800</v>
      </c>
      <c r="AU228" s="36">
        <f t="shared" ca="1" si="362"/>
        <v>0</v>
      </c>
      <c r="AV228" s="36">
        <f t="shared" ca="1" si="362"/>
        <v>0</v>
      </c>
      <c r="AW228" s="36">
        <f t="shared" ca="1" si="362"/>
        <v>294720</v>
      </c>
      <c r="AX228" s="36">
        <f t="shared" ca="1" si="362"/>
        <v>92160</v>
      </c>
      <c r="AY228" s="36">
        <f t="shared" ca="1" si="362"/>
        <v>149760</v>
      </c>
      <c r="AZ228" s="36">
        <f t="shared" ca="1" si="362"/>
        <v>0</v>
      </c>
      <c r="BA228" s="36">
        <f t="shared" ca="1" si="362"/>
        <v>0</v>
      </c>
      <c r="BB228" s="36">
        <f t="shared" ca="1" si="362"/>
        <v>0</v>
      </c>
      <c r="BC228" s="36">
        <f t="shared" ca="1" si="362"/>
        <v>241920</v>
      </c>
      <c r="BD228" s="36">
        <f t="shared" ca="1" si="363"/>
        <v>0</v>
      </c>
      <c r="BE228" s="36">
        <f t="shared" ca="1" si="363"/>
        <v>0</v>
      </c>
      <c r="BF228" s="36">
        <f t="shared" ca="1" si="363"/>
        <v>249600</v>
      </c>
      <c r="BG228" s="36">
        <f t="shared" ca="1" si="363"/>
        <v>0</v>
      </c>
      <c r="BH228" s="36">
        <f t="shared" ca="1" si="363"/>
        <v>18432</v>
      </c>
      <c r="BI228" s="36">
        <f t="shared" ca="1" si="363"/>
        <v>249600</v>
      </c>
      <c r="BJ228" s="36">
        <f t="shared" ca="1" si="363"/>
        <v>299520</v>
      </c>
      <c r="BK228" s="36">
        <f t="shared" ca="1" si="363"/>
        <v>486720</v>
      </c>
      <c r="BL228" s="36">
        <f t="shared" ca="1" si="363"/>
        <v>0</v>
      </c>
      <c r="BM228" s="36">
        <f t="shared" ca="1" si="363"/>
        <v>0</v>
      </c>
      <c r="BN228" s="36">
        <f t="shared" ca="1" si="364"/>
        <v>0</v>
      </c>
      <c r="BO228" s="36">
        <f t="shared" ca="1" si="364"/>
        <v>786240</v>
      </c>
      <c r="BP228" s="36">
        <f t="shared" ca="1" si="364"/>
        <v>0</v>
      </c>
      <c r="BQ228" s="36">
        <f t="shared" ca="1" si="364"/>
        <v>0</v>
      </c>
      <c r="BR228" s="36">
        <f t="shared" ca="1" si="364"/>
        <v>811200</v>
      </c>
      <c r="BS228" s="36">
        <f t="shared" ca="1" si="364"/>
        <v>0</v>
      </c>
      <c r="BT228" s="36">
        <f t="shared" ca="1" si="364"/>
        <v>59904</v>
      </c>
      <c r="BU228" s="36">
        <f t="shared" ca="1" si="364"/>
        <v>811200</v>
      </c>
      <c r="BV228" s="36">
        <f t="shared" ca="1" si="364"/>
        <v>673920</v>
      </c>
      <c r="BW228" s="36">
        <f t="shared" ca="1" si="364"/>
        <v>1095120</v>
      </c>
      <c r="BX228" s="36">
        <f t="shared" ca="1" si="365"/>
        <v>0</v>
      </c>
      <c r="BY228" s="36">
        <f t="shared" ca="1" si="365"/>
        <v>0</v>
      </c>
      <c r="BZ228" s="36">
        <f t="shared" ca="1" si="365"/>
        <v>0</v>
      </c>
      <c r="CA228" s="36">
        <f t="shared" ca="1" si="365"/>
        <v>1769040</v>
      </c>
      <c r="CB228" s="36">
        <f t="shared" ca="1" si="365"/>
        <v>0</v>
      </c>
      <c r="CC228" s="36">
        <f t="shared" ca="1" si="365"/>
        <v>0</v>
      </c>
      <c r="CD228" s="36">
        <f t="shared" ca="1" si="365"/>
        <v>1825200</v>
      </c>
      <c r="CE228" s="36">
        <f t="shared" ca="1" si="365"/>
        <v>0</v>
      </c>
      <c r="CF228" s="36">
        <f t="shared" ca="1" si="365"/>
        <v>134784</v>
      </c>
      <c r="CG228" s="36">
        <f t="shared" ca="1" si="365"/>
        <v>1825200</v>
      </c>
      <c r="CH228" s="36">
        <f t="shared" ca="1" si="366"/>
        <v>1179360</v>
      </c>
      <c r="CI228" s="36">
        <f t="shared" ca="1" si="366"/>
        <v>1916460</v>
      </c>
      <c r="CJ228" s="36">
        <f t="shared" ca="1" si="366"/>
        <v>0</v>
      </c>
      <c r="CK228" s="36">
        <f t="shared" ca="1" si="366"/>
        <v>0</v>
      </c>
      <c r="CL228" s="36">
        <f t="shared" ca="1" si="366"/>
        <v>0</v>
      </c>
      <c r="CM228" s="36">
        <f t="shared" ca="1" si="366"/>
        <v>3095820</v>
      </c>
      <c r="CN228" s="36">
        <f t="shared" ca="1" si="366"/>
        <v>0</v>
      </c>
      <c r="CO228" s="36">
        <f t="shared" ca="1" si="366"/>
        <v>0</v>
      </c>
      <c r="CP228" s="36">
        <f t="shared" ca="1" si="366"/>
        <v>3194100</v>
      </c>
      <c r="CQ228" s="36">
        <f t="shared" ca="1" si="366"/>
        <v>0</v>
      </c>
      <c r="CR228" s="36">
        <f t="shared" ca="1" si="366"/>
        <v>235872</v>
      </c>
      <c r="CS228" s="36">
        <f t="shared" ca="1" si="366"/>
        <v>3194100</v>
      </c>
      <c r="CT228" s="36">
        <f t="shared" ca="1" si="366"/>
        <v>0</v>
      </c>
      <c r="CU228" s="36">
        <f t="shared" ca="1" si="366"/>
        <v>0</v>
      </c>
      <c r="CV228" s="36">
        <f t="shared" ca="1" si="366"/>
        <v>0</v>
      </c>
      <c r="CW228" s="21"/>
    </row>
    <row r="229" spans="3:101" x14ac:dyDescent="0.25">
      <c r="C229" s="49" t="str">
        <f t="shared" si="359"/>
        <v>MURAKAMI / TORITONDTC</v>
      </c>
      <c r="D229" s="35" t="str">
        <f>[1]Key!C$27</f>
        <v>MURAKAMI / TORITON</v>
      </c>
      <c r="E229" s="35" t="str">
        <f>[1]contras!H111</f>
        <v>DTC</v>
      </c>
      <c r="F229" s="23">
        <f>[1]Key!$R$27</f>
        <v>0</v>
      </c>
      <c r="G229" s="21"/>
      <c r="H229" s="21"/>
      <c r="I229" s="21"/>
      <c r="J229" s="21"/>
      <c r="K229" s="21"/>
      <c r="L229" s="21"/>
      <c r="M229" s="21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36">
        <f t="shared" ca="1" si="360"/>
        <v>0</v>
      </c>
      <c r="AA229" s="36">
        <f t="shared" ca="1" si="360"/>
        <v>0</v>
      </c>
      <c r="AB229" s="36">
        <f t="shared" ca="1" si="360"/>
        <v>0</v>
      </c>
      <c r="AC229" s="36">
        <f t="shared" ca="1" si="360"/>
        <v>0</v>
      </c>
      <c r="AD229" s="36">
        <f t="shared" ca="1" si="360"/>
        <v>0</v>
      </c>
      <c r="AE229" s="36">
        <f t="shared" ca="1" si="360"/>
        <v>12000</v>
      </c>
      <c r="AF229" s="36">
        <f t="shared" ca="1" si="360"/>
        <v>288000</v>
      </c>
      <c r="AG229" s="36">
        <f t="shared" ca="1" si="360"/>
        <v>0</v>
      </c>
      <c r="AH229" s="36">
        <f t="shared" ca="1" si="360"/>
        <v>24000</v>
      </c>
      <c r="AI229" s="36">
        <f t="shared" ca="1" si="360"/>
        <v>0</v>
      </c>
      <c r="AJ229" s="36">
        <f t="shared" ca="1" si="361"/>
        <v>36000</v>
      </c>
      <c r="AK229" s="36">
        <f t="shared" ca="1" si="361"/>
        <v>54000</v>
      </c>
      <c r="AL229" s="36">
        <f t="shared" ca="1" si="361"/>
        <v>0</v>
      </c>
      <c r="AM229" s="36">
        <f t="shared" ca="1" si="361"/>
        <v>120000</v>
      </c>
      <c r="AN229" s="36">
        <f t="shared" ca="1" si="361"/>
        <v>36000</v>
      </c>
      <c r="AO229" s="36">
        <f t="shared" ca="1" si="361"/>
        <v>0</v>
      </c>
      <c r="AP229" s="36">
        <f t="shared" ca="1" si="361"/>
        <v>150000</v>
      </c>
      <c r="AQ229" s="36">
        <f t="shared" ca="1" si="361"/>
        <v>81000</v>
      </c>
      <c r="AR229" s="36">
        <f t="shared" ca="1" si="361"/>
        <v>46800</v>
      </c>
      <c r="AS229" s="36">
        <f t="shared" ca="1" si="361"/>
        <v>177600</v>
      </c>
      <c r="AT229" s="36">
        <f t="shared" ca="1" si="362"/>
        <v>0</v>
      </c>
      <c r="AU229" s="36">
        <f t="shared" ca="1" si="362"/>
        <v>24000</v>
      </c>
      <c r="AV229" s="36">
        <f t="shared" ca="1" si="362"/>
        <v>194400</v>
      </c>
      <c r="AW229" s="36">
        <f t="shared" ca="1" si="362"/>
        <v>109800</v>
      </c>
      <c r="AX229" s="36">
        <f t="shared" ca="1" si="362"/>
        <v>36000</v>
      </c>
      <c r="AY229" s="36">
        <f t="shared" ca="1" si="362"/>
        <v>267600</v>
      </c>
      <c r="AZ229" s="36">
        <f t="shared" ca="1" si="362"/>
        <v>100800</v>
      </c>
      <c r="BA229" s="36">
        <f t="shared" ca="1" si="362"/>
        <v>9000</v>
      </c>
      <c r="BB229" s="36">
        <f t="shared" ca="1" si="362"/>
        <v>210000</v>
      </c>
      <c r="BC229" s="36">
        <f t="shared" ca="1" si="362"/>
        <v>158400</v>
      </c>
      <c r="BD229" s="36">
        <f t="shared" ca="1" si="363"/>
        <v>36000</v>
      </c>
      <c r="BE229" s="36">
        <f t="shared" ca="1" si="363"/>
        <v>285600</v>
      </c>
      <c r="BF229" s="36">
        <f t="shared" ca="1" si="363"/>
        <v>100800</v>
      </c>
      <c r="BG229" s="36">
        <f t="shared" ca="1" si="363"/>
        <v>9000</v>
      </c>
      <c r="BH229" s="36">
        <f t="shared" ca="1" si="363"/>
        <v>189600</v>
      </c>
      <c r="BI229" s="36">
        <f t="shared" ca="1" si="363"/>
        <v>100800</v>
      </c>
      <c r="BJ229" s="36">
        <f t="shared" ca="1" si="363"/>
        <v>117000</v>
      </c>
      <c r="BK229" s="36">
        <f t="shared" ca="1" si="363"/>
        <v>869700</v>
      </c>
      <c r="BL229" s="36">
        <f t="shared" ca="1" si="363"/>
        <v>327600</v>
      </c>
      <c r="BM229" s="36">
        <f t="shared" ca="1" si="363"/>
        <v>29250</v>
      </c>
      <c r="BN229" s="36">
        <f t="shared" ca="1" si="364"/>
        <v>682500</v>
      </c>
      <c r="BO229" s="36">
        <f t="shared" ca="1" si="364"/>
        <v>514800</v>
      </c>
      <c r="BP229" s="36">
        <f t="shared" ca="1" si="364"/>
        <v>117000</v>
      </c>
      <c r="BQ229" s="36">
        <f t="shared" ca="1" si="364"/>
        <v>928200</v>
      </c>
      <c r="BR229" s="36">
        <f t="shared" ca="1" si="364"/>
        <v>327600</v>
      </c>
      <c r="BS229" s="36">
        <f t="shared" ca="1" si="364"/>
        <v>29250</v>
      </c>
      <c r="BT229" s="36">
        <f t="shared" ca="1" si="364"/>
        <v>616200</v>
      </c>
      <c r="BU229" s="36">
        <f t="shared" ca="1" si="364"/>
        <v>327600</v>
      </c>
      <c r="BV229" s="36">
        <f t="shared" ca="1" si="364"/>
        <v>204750</v>
      </c>
      <c r="BW229" s="36">
        <f t="shared" ca="1" si="364"/>
        <v>1521975</v>
      </c>
      <c r="BX229" s="36">
        <f t="shared" ca="1" si="365"/>
        <v>573300</v>
      </c>
      <c r="BY229" s="36">
        <f t="shared" ca="1" si="365"/>
        <v>51187.5</v>
      </c>
      <c r="BZ229" s="36">
        <f t="shared" ca="1" si="365"/>
        <v>1194375</v>
      </c>
      <c r="CA229" s="36">
        <f t="shared" ca="1" si="365"/>
        <v>900900</v>
      </c>
      <c r="CB229" s="36">
        <f t="shared" ca="1" si="365"/>
        <v>204750</v>
      </c>
      <c r="CC229" s="36">
        <f t="shared" ca="1" si="365"/>
        <v>1624350</v>
      </c>
      <c r="CD229" s="36">
        <f t="shared" ca="1" si="365"/>
        <v>573300</v>
      </c>
      <c r="CE229" s="36">
        <f t="shared" ca="1" si="365"/>
        <v>51187.5</v>
      </c>
      <c r="CF229" s="36">
        <f t="shared" ca="1" si="365"/>
        <v>1078350</v>
      </c>
      <c r="CG229" s="36">
        <f t="shared" ca="1" si="365"/>
        <v>573300</v>
      </c>
      <c r="CH229" s="36">
        <f t="shared" ca="1" si="366"/>
        <v>307125</v>
      </c>
      <c r="CI229" s="36">
        <f t="shared" ca="1" si="366"/>
        <v>2282962.5</v>
      </c>
      <c r="CJ229" s="36">
        <f t="shared" ca="1" si="366"/>
        <v>859950</v>
      </c>
      <c r="CK229" s="36">
        <f t="shared" ca="1" si="366"/>
        <v>76781.25</v>
      </c>
      <c r="CL229" s="36">
        <f t="shared" ca="1" si="366"/>
        <v>1791562.5</v>
      </c>
      <c r="CM229" s="36">
        <f t="shared" ca="1" si="366"/>
        <v>1351350</v>
      </c>
      <c r="CN229" s="36">
        <f t="shared" ca="1" si="366"/>
        <v>307125</v>
      </c>
      <c r="CO229" s="36">
        <f t="shared" ca="1" si="366"/>
        <v>2436525</v>
      </c>
      <c r="CP229" s="36">
        <f t="shared" ca="1" si="366"/>
        <v>859950</v>
      </c>
      <c r="CQ229" s="36">
        <f t="shared" ca="1" si="366"/>
        <v>76781.25</v>
      </c>
      <c r="CR229" s="36">
        <f t="shared" ca="1" si="366"/>
        <v>1617525</v>
      </c>
      <c r="CS229" s="36">
        <f t="shared" ca="1" si="366"/>
        <v>859950</v>
      </c>
      <c r="CT229" s="36">
        <f t="shared" ca="1" si="366"/>
        <v>0</v>
      </c>
      <c r="CU229" s="36">
        <f t="shared" ca="1" si="366"/>
        <v>0</v>
      </c>
      <c r="CV229" s="36">
        <f t="shared" ca="1" si="366"/>
        <v>0</v>
      </c>
      <c r="CW229" s="21"/>
    </row>
    <row r="230" spans="3:101" x14ac:dyDescent="0.25">
      <c r="C230" s="49" t="str">
        <f t="shared" si="359"/>
        <v>NEW PARTNER 1DTC</v>
      </c>
      <c r="D230" s="35" t="str">
        <f>[1]Key!C$28</f>
        <v>NEW PARTNER 1</v>
      </c>
      <c r="E230" s="35" t="str">
        <f>[1]contras!H112</f>
        <v>DTC</v>
      </c>
      <c r="F230" s="23">
        <f>[1]Key!$R$28</f>
        <v>0</v>
      </c>
      <c r="G230" s="21"/>
      <c r="H230" s="21"/>
      <c r="I230" s="21"/>
      <c r="J230" s="21"/>
      <c r="K230" s="21"/>
      <c r="L230" s="21"/>
      <c r="M230" s="21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36">
        <f t="shared" ca="1" si="360"/>
        <v>0</v>
      </c>
      <c r="AA230" s="36">
        <f t="shared" ca="1" si="360"/>
        <v>0</v>
      </c>
      <c r="AB230" s="36">
        <f t="shared" ca="1" si="360"/>
        <v>0</v>
      </c>
      <c r="AC230" s="36">
        <f t="shared" ca="1" si="360"/>
        <v>0</v>
      </c>
      <c r="AD230" s="36">
        <f t="shared" ca="1" si="360"/>
        <v>0</v>
      </c>
      <c r="AE230" s="36">
        <f t="shared" ca="1" si="360"/>
        <v>0</v>
      </c>
      <c r="AF230" s="36">
        <f t="shared" ca="1" si="360"/>
        <v>0</v>
      </c>
      <c r="AG230" s="36">
        <f t="shared" ca="1" si="360"/>
        <v>0</v>
      </c>
      <c r="AH230" s="36">
        <f t="shared" ca="1" si="360"/>
        <v>0</v>
      </c>
      <c r="AI230" s="36">
        <f t="shared" ca="1" si="360"/>
        <v>0</v>
      </c>
      <c r="AJ230" s="36">
        <f t="shared" ca="1" si="361"/>
        <v>0</v>
      </c>
      <c r="AK230" s="36">
        <f t="shared" ca="1" si="361"/>
        <v>0</v>
      </c>
      <c r="AL230" s="36">
        <f t="shared" ca="1" si="361"/>
        <v>0</v>
      </c>
      <c r="AM230" s="36">
        <f t="shared" ca="1" si="361"/>
        <v>0</v>
      </c>
      <c r="AN230" s="36">
        <f t="shared" ca="1" si="361"/>
        <v>0</v>
      </c>
      <c r="AO230" s="36">
        <f t="shared" ca="1" si="361"/>
        <v>0</v>
      </c>
      <c r="AP230" s="36">
        <f t="shared" ca="1" si="361"/>
        <v>0</v>
      </c>
      <c r="AQ230" s="36">
        <f t="shared" ca="1" si="361"/>
        <v>0</v>
      </c>
      <c r="AR230" s="36">
        <f t="shared" ca="1" si="361"/>
        <v>0</v>
      </c>
      <c r="AS230" s="36">
        <f t="shared" ca="1" si="361"/>
        <v>0</v>
      </c>
      <c r="AT230" s="36">
        <f t="shared" ca="1" si="362"/>
        <v>0</v>
      </c>
      <c r="AU230" s="36">
        <f t="shared" ca="1" si="362"/>
        <v>0</v>
      </c>
      <c r="AV230" s="36">
        <f t="shared" ca="1" si="362"/>
        <v>0</v>
      </c>
      <c r="AW230" s="36">
        <f t="shared" ca="1" si="362"/>
        <v>0</v>
      </c>
      <c r="AX230" s="36">
        <f t="shared" ca="1" si="362"/>
        <v>51840</v>
      </c>
      <c r="AY230" s="36">
        <f t="shared" ca="1" si="362"/>
        <v>0</v>
      </c>
      <c r="AZ230" s="36">
        <f t="shared" ca="1" si="362"/>
        <v>0</v>
      </c>
      <c r="BA230" s="36">
        <f t="shared" ca="1" si="362"/>
        <v>0</v>
      </c>
      <c r="BB230" s="36">
        <f t="shared" ca="1" si="362"/>
        <v>0</v>
      </c>
      <c r="BC230" s="36">
        <f t="shared" ca="1" si="362"/>
        <v>0</v>
      </c>
      <c r="BD230" s="36">
        <f t="shared" ca="1" si="363"/>
        <v>108000</v>
      </c>
      <c r="BE230" s="36">
        <f t="shared" ca="1" si="363"/>
        <v>0</v>
      </c>
      <c r="BF230" s="36">
        <f t="shared" ca="1" si="363"/>
        <v>0</v>
      </c>
      <c r="BG230" s="36">
        <f t="shared" ca="1" si="363"/>
        <v>0</v>
      </c>
      <c r="BH230" s="36">
        <f t="shared" ca="1" si="363"/>
        <v>0</v>
      </c>
      <c r="BI230" s="36">
        <f t="shared" ca="1" si="363"/>
        <v>0</v>
      </c>
      <c r="BJ230" s="36">
        <f t="shared" ca="1" si="363"/>
        <v>202176</v>
      </c>
      <c r="BK230" s="36">
        <f t="shared" ca="1" si="363"/>
        <v>0</v>
      </c>
      <c r="BL230" s="36">
        <f t="shared" ca="1" si="363"/>
        <v>0</v>
      </c>
      <c r="BM230" s="36">
        <f t="shared" ca="1" si="363"/>
        <v>0</v>
      </c>
      <c r="BN230" s="36">
        <f t="shared" ca="1" si="364"/>
        <v>0</v>
      </c>
      <c r="BO230" s="36">
        <f t="shared" ca="1" si="364"/>
        <v>0</v>
      </c>
      <c r="BP230" s="36">
        <f t="shared" ca="1" si="364"/>
        <v>421200</v>
      </c>
      <c r="BQ230" s="36">
        <f t="shared" ca="1" si="364"/>
        <v>0</v>
      </c>
      <c r="BR230" s="36">
        <f t="shared" ca="1" si="364"/>
        <v>0</v>
      </c>
      <c r="BS230" s="36">
        <f t="shared" ca="1" si="364"/>
        <v>0</v>
      </c>
      <c r="BT230" s="36">
        <f t="shared" ca="1" si="364"/>
        <v>0</v>
      </c>
      <c r="BU230" s="36">
        <f t="shared" ca="1" si="364"/>
        <v>0</v>
      </c>
      <c r="BV230" s="36">
        <f t="shared" ca="1" si="364"/>
        <v>505440</v>
      </c>
      <c r="BW230" s="36">
        <f t="shared" ca="1" si="364"/>
        <v>0</v>
      </c>
      <c r="BX230" s="36">
        <f t="shared" ca="1" si="365"/>
        <v>0</v>
      </c>
      <c r="BY230" s="36">
        <f t="shared" ca="1" si="365"/>
        <v>0</v>
      </c>
      <c r="BZ230" s="36">
        <f t="shared" ca="1" si="365"/>
        <v>0</v>
      </c>
      <c r="CA230" s="36">
        <f t="shared" ca="1" si="365"/>
        <v>0</v>
      </c>
      <c r="CB230" s="36">
        <f t="shared" ca="1" si="365"/>
        <v>1053000</v>
      </c>
      <c r="CC230" s="36">
        <f t="shared" ca="1" si="365"/>
        <v>0</v>
      </c>
      <c r="CD230" s="36">
        <f t="shared" ca="1" si="365"/>
        <v>0</v>
      </c>
      <c r="CE230" s="36">
        <f t="shared" ca="1" si="365"/>
        <v>0</v>
      </c>
      <c r="CF230" s="36">
        <f t="shared" ca="1" si="365"/>
        <v>0</v>
      </c>
      <c r="CG230" s="36">
        <f t="shared" ca="1" si="365"/>
        <v>0</v>
      </c>
      <c r="CH230" s="36">
        <f t="shared" ca="1" si="366"/>
        <v>884520</v>
      </c>
      <c r="CI230" s="36">
        <f t="shared" ca="1" si="366"/>
        <v>0</v>
      </c>
      <c r="CJ230" s="36">
        <f t="shared" ca="1" si="366"/>
        <v>0</v>
      </c>
      <c r="CK230" s="36">
        <f t="shared" ca="1" si="366"/>
        <v>0</v>
      </c>
      <c r="CL230" s="36">
        <f t="shared" ca="1" si="366"/>
        <v>0</v>
      </c>
      <c r="CM230" s="36">
        <f t="shared" ca="1" si="366"/>
        <v>0</v>
      </c>
      <c r="CN230" s="36">
        <f t="shared" ca="1" si="366"/>
        <v>1842750</v>
      </c>
      <c r="CO230" s="36">
        <f t="shared" ca="1" si="366"/>
        <v>0</v>
      </c>
      <c r="CP230" s="36">
        <f t="shared" ca="1" si="366"/>
        <v>0</v>
      </c>
      <c r="CQ230" s="36">
        <f t="shared" ca="1" si="366"/>
        <v>0</v>
      </c>
      <c r="CR230" s="36">
        <f t="shared" ca="1" si="366"/>
        <v>0</v>
      </c>
      <c r="CS230" s="36">
        <f t="shared" ca="1" si="366"/>
        <v>0</v>
      </c>
      <c r="CT230" s="36">
        <f t="shared" ca="1" si="366"/>
        <v>0</v>
      </c>
      <c r="CU230" s="36">
        <f t="shared" ca="1" si="366"/>
        <v>0</v>
      </c>
      <c r="CV230" s="36">
        <f t="shared" ca="1" si="366"/>
        <v>0</v>
      </c>
      <c r="CW230" s="21"/>
    </row>
    <row r="231" spans="3:101" x14ac:dyDescent="0.25">
      <c r="C231" s="49" t="str">
        <f t="shared" si="359"/>
        <v>NEW PARTNER 2DTC</v>
      </c>
      <c r="D231" s="35" t="str">
        <f>[1]Key!C$29</f>
        <v>NEW PARTNER 2</v>
      </c>
      <c r="E231" s="35" t="str">
        <f>[1]contras!H113</f>
        <v>DTC</v>
      </c>
      <c r="F231" s="23">
        <f>[1]Key!$R$29</f>
        <v>0</v>
      </c>
      <c r="G231" s="21"/>
      <c r="H231" s="21"/>
      <c r="I231" s="21"/>
      <c r="J231" s="21"/>
      <c r="K231" s="21"/>
      <c r="L231" s="21"/>
      <c r="M231" s="21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36">
        <f t="shared" ca="1" si="360"/>
        <v>0</v>
      </c>
      <c r="AA231" s="36">
        <f t="shared" ca="1" si="360"/>
        <v>0</v>
      </c>
      <c r="AB231" s="36">
        <f t="shared" ca="1" si="360"/>
        <v>0</v>
      </c>
      <c r="AC231" s="36">
        <f t="shared" ca="1" si="360"/>
        <v>0</v>
      </c>
      <c r="AD231" s="36">
        <f t="shared" ca="1" si="360"/>
        <v>0</v>
      </c>
      <c r="AE231" s="36">
        <f t="shared" ca="1" si="360"/>
        <v>0</v>
      </c>
      <c r="AF231" s="36">
        <f t="shared" ca="1" si="360"/>
        <v>0</v>
      </c>
      <c r="AG231" s="36">
        <f t="shared" ca="1" si="360"/>
        <v>0</v>
      </c>
      <c r="AH231" s="36">
        <f t="shared" ca="1" si="360"/>
        <v>0</v>
      </c>
      <c r="AI231" s="36">
        <f t="shared" ca="1" si="360"/>
        <v>0</v>
      </c>
      <c r="AJ231" s="36">
        <f t="shared" ca="1" si="361"/>
        <v>0</v>
      </c>
      <c r="AK231" s="36">
        <f t="shared" ca="1" si="361"/>
        <v>0</v>
      </c>
      <c r="AL231" s="36">
        <f t="shared" ca="1" si="361"/>
        <v>0</v>
      </c>
      <c r="AM231" s="36">
        <f t="shared" ca="1" si="361"/>
        <v>0</v>
      </c>
      <c r="AN231" s="36">
        <f t="shared" ca="1" si="361"/>
        <v>0</v>
      </c>
      <c r="AO231" s="36">
        <f t="shared" ca="1" si="361"/>
        <v>0</v>
      </c>
      <c r="AP231" s="36">
        <f t="shared" ca="1" si="361"/>
        <v>0</v>
      </c>
      <c r="AQ231" s="36">
        <f t="shared" ca="1" si="361"/>
        <v>0</v>
      </c>
      <c r="AR231" s="36">
        <f t="shared" ca="1" si="361"/>
        <v>0</v>
      </c>
      <c r="AS231" s="36">
        <f t="shared" ca="1" si="361"/>
        <v>0</v>
      </c>
      <c r="AT231" s="36">
        <f t="shared" ca="1" si="362"/>
        <v>0</v>
      </c>
      <c r="AU231" s="36">
        <f t="shared" ca="1" si="362"/>
        <v>0</v>
      </c>
      <c r="AV231" s="36">
        <f t="shared" ca="1" si="362"/>
        <v>0</v>
      </c>
      <c r="AW231" s="36">
        <f t="shared" ca="1" si="362"/>
        <v>0</v>
      </c>
      <c r="AX231" s="36">
        <f t="shared" ca="1" si="362"/>
        <v>52000</v>
      </c>
      <c r="AY231" s="36">
        <f t="shared" ca="1" si="362"/>
        <v>0</v>
      </c>
      <c r="AZ231" s="36">
        <f t="shared" ca="1" si="362"/>
        <v>0</v>
      </c>
      <c r="BA231" s="36">
        <f t="shared" ca="1" si="362"/>
        <v>0</v>
      </c>
      <c r="BB231" s="36">
        <f t="shared" ca="1" si="362"/>
        <v>0</v>
      </c>
      <c r="BC231" s="36">
        <f t="shared" ca="1" si="362"/>
        <v>0</v>
      </c>
      <c r="BD231" s="36">
        <f t="shared" ca="1" si="363"/>
        <v>124800</v>
      </c>
      <c r="BE231" s="36">
        <f t="shared" ca="1" si="363"/>
        <v>0</v>
      </c>
      <c r="BF231" s="36">
        <f t="shared" ca="1" si="363"/>
        <v>0</v>
      </c>
      <c r="BG231" s="36">
        <f t="shared" ca="1" si="363"/>
        <v>0</v>
      </c>
      <c r="BH231" s="36">
        <f t="shared" ca="1" si="363"/>
        <v>24960</v>
      </c>
      <c r="BI231" s="36">
        <f t="shared" ca="1" si="363"/>
        <v>0</v>
      </c>
      <c r="BJ231" s="36">
        <f t="shared" ca="1" si="363"/>
        <v>202800</v>
      </c>
      <c r="BK231" s="36">
        <f t="shared" ca="1" si="363"/>
        <v>0</v>
      </c>
      <c r="BL231" s="36">
        <f t="shared" ca="1" si="363"/>
        <v>0</v>
      </c>
      <c r="BM231" s="36">
        <f t="shared" ca="1" si="363"/>
        <v>0</v>
      </c>
      <c r="BN231" s="36">
        <f t="shared" ca="1" si="364"/>
        <v>0</v>
      </c>
      <c r="BO231" s="36">
        <f t="shared" ca="1" si="364"/>
        <v>0</v>
      </c>
      <c r="BP231" s="36">
        <f t="shared" ca="1" si="364"/>
        <v>486720</v>
      </c>
      <c r="BQ231" s="36">
        <f t="shared" ca="1" si="364"/>
        <v>0</v>
      </c>
      <c r="BR231" s="36">
        <f t="shared" ca="1" si="364"/>
        <v>0</v>
      </c>
      <c r="BS231" s="36">
        <f t="shared" ca="1" si="364"/>
        <v>0</v>
      </c>
      <c r="BT231" s="36">
        <f t="shared" ca="1" si="364"/>
        <v>97344</v>
      </c>
      <c r="BU231" s="36">
        <f t="shared" ca="1" si="364"/>
        <v>0</v>
      </c>
      <c r="BV231" s="36">
        <f t="shared" ca="1" si="364"/>
        <v>507000</v>
      </c>
      <c r="BW231" s="36">
        <f t="shared" ca="1" si="364"/>
        <v>0</v>
      </c>
      <c r="BX231" s="36">
        <f t="shared" ca="1" si="365"/>
        <v>0</v>
      </c>
      <c r="BY231" s="36">
        <f t="shared" ca="1" si="365"/>
        <v>0</v>
      </c>
      <c r="BZ231" s="36">
        <f t="shared" ca="1" si="365"/>
        <v>0</v>
      </c>
      <c r="CA231" s="36">
        <f t="shared" ca="1" si="365"/>
        <v>0</v>
      </c>
      <c r="CB231" s="36">
        <f t="shared" ca="1" si="365"/>
        <v>1216800</v>
      </c>
      <c r="CC231" s="36">
        <f t="shared" ca="1" si="365"/>
        <v>0</v>
      </c>
      <c r="CD231" s="36">
        <f t="shared" ca="1" si="365"/>
        <v>0</v>
      </c>
      <c r="CE231" s="36">
        <f t="shared" ca="1" si="365"/>
        <v>0</v>
      </c>
      <c r="CF231" s="36">
        <f t="shared" ca="1" si="365"/>
        <v>243360</v>
      </c>
      <c r="CG231" s="36">
        <f t="shared" ca="1" si="365"/>
        <v>0</v>
      </c>
      <c r="CH231" s="36">
        <f t="shared" ca="1" si="366"/>
        <v>887250</v>
      </c>
      <c r="CI231" s="36">
        <f t="shared" ca="1" si="366"/>
        <v>0</v>
      </c>
      <c r="CJ231" s="36">
        <f t="shared" ca="1" si="366"/>
        <v>0</v>
      </c>
      <c r="CK231" s="36">
        <f t="shared" ca="1" si="366"/>
        <v>0</v>
      </c>
      <c r="CL231" s="36">
        <f t="shared" ca="1" si="366"/>
        <v>0</v>
      </c>
      <c r="CM231" s="36">
        <f t="shared" ca="1" si="366"/>
        <v>0</v>
      </c>
      <c r="CN231" s="36">
        <f t="shared" ca="1" si="366"/>
        <v>2129400</v>
      </c>
      <c r="CO231" s="36">
        <f t="shared" ca="1" si="366"/>
        <v>0</v>
      </c>
      <c r="CP231" s="36">
        <f t="shared" ca="1" si="366"/>
        <v>0</v>
      </c>
      <c r="CQ231" s="36">
        <f t="shared" ca="1" si="366"/>
        <v>0</v>
      </c>
      <c r="CR231" s="36">
        <f t="shared" ca="1" si="366"/>
        <v>425880</v>
      </c>
      <c r="CS231" s="36">
        <f t="shared" ca="1" si="366"/>
        <v>0</v>
      </c>
      <c r="CT231" s="36">
        <f t="shared" ca="1" si="366"/>
        <v>0</v>
      </c>
      <c r="CU231" s="36">
        <f t="shared" ca="1" si="366"/>
        <v>0</v>
      </c>
      <c r="CV231" s="36">
        <f t="shared" ca="1" si="366"/>
        <v>0</v>
      </c>
      <c r="CW231" s="21"/>
    </row>
    <row r="232" spans="3:101" x14ac:dyDescent="0.25">
      <c r="C232" s="49" t="str">
        <f t="shared" si="359"/>
        <v>PIGALLEDTC</v>
      </c>
      <c r="D232" s="35" t="str">
        <f>[1]Key!C$30</f>
        <v>PIGALLE</v>
      </c>
      <c r="E232" s="35" t="str">
        <f>[1]contras!H114</f>
        <v>DTC</v>
      </c>
      <c r="F232" s="23">
        <f>[1]Key!$R$30</f>
        <v>0</v>
      </c>
      <c r="G232" s="21"/>
      <c r="H232" s="21"/>
      <c r="I232" s="21"/>
      <c r="J232" s="21"/>
      <c r="K232" s="21"/>
      <c r="L232" s="21"/>
      <c r="M232" s="21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36">
        <f t="shared" ca="1" si="360"/>
        <v>0</v>
      </c>
      <c r="AA232" s="36">
        <f t="shared" ca="1" si="360"/>
        <v>0</v>
      </c>
      <c r="AB232" s="36">
        <f t="shared" ca="1" si="360"/>
        <v>0</v>
      </c>
      <c r="AC232" s="36">
        <f t="shared" ca="1" si="360"/>
        <v>0</v>
      </c>
      <c r="AD232" s="36">
        <f t="shared" ca="1" si="360"/>
        <v>0</v>
      </c>
      <c r="AE232" s="36">
        <f t="shared" ca="1" si="360"/>
        <v>0</v>
      </c>
      <c r="AF232" s="36">
        <f t="shared" ca="1" si="360"/>
        <v>0</v>
      </c>
      <c r="AG232" s="36">
        <f t="shared" ca="1" si="360"/>
        <v>0</v>
      </c>
      <c r="AH232" s="36">
        <f t="shared" ca="1" si="360"/>
        <v>0</v>
      </c>
      <c r="AI232" s="36">
        <f t="shared" ca="1" si="360"/>
        <v>0</v>
      </c>
      <c r="AJ232" s="36">
        <f t="shared" ca="1" si="361"/>
        <v>0</v>
      </c>
      <c r="AK232" s="36">
        <f t="shared" ca="1" si="361"/>
        <v>0</v>
      </c>
      <c r="AL232" s="36">
        <f t="shared" ca="1" si="361"/>
        <v>0</v>
      </c>
      <c r="AM232" s="36">
        <f t="shared" ca="1" si="361"/>
        <v>0</v>
      </c>
      <c r="AN232" s="36">
        <f t="shared" ca="1" si="361"/>
        <v>0</v>
      </c>
      <c r="AO232" s="36">
        <f t="shared" ca="1" si="361"/>
        <v>0</v>
      </c>
      <c r="AP232" s="36">
        <f t="shared" ca="1" si="361"/>
        <v>17280</v>
      </c>
      <c r="AQ232" s="36">
        <f t="shared" ca="1" si="361"/>
        <v>0</v>
      </c>
      <c r="AR232" s="36">
        <f t="shared" ca="1" si="361"/>
        <v>34560</v>
      </c>
      <c r="AS232" s="36">
        <f t="shared" ca="1" si="361"/>
        <v>0</v>
      </c>
      <c r="AT232" s="36">
        <f t="shared" ca="1" si="362"/>
        <v>0</v>
      </c>
      <c r="AU232" s="36">
        <f t="shared" ca="1" si="362"/>
        <v>0</v>
      </c>
      <c r="AV232" s="36">
        <f t="shared" ca="1" si="362"/>
        <v>51840</v>
      </c>
      <c r="AW232" s="36">
        <f t="shared" ca="1" si="362"/>
        <v>0</v>
      </c>
      <c r="AX232" s="36">
        <f t="shared" ca="1" si="362"/>
        <v>0</v>
      </c>
      <c r="AY232" s="36">
        <f t="shared" ca="1" si="362"/>
        <v>69120</v>
      </c>
      <c r="AZ232" s="36">
        <f t="shared" ca="1" si="362"/>
        <v>0</v>
      </c>
      <c r="BA232" s="36">
        <f t="shared" ca="1" si="362"/>
        <v>0</v>
      </c>
      <c r="BB232" s="36">
        <f t="shared" ca="1" si="362"/>
        <v>69120</v>
      </c>
      <c r="BC232" s="36">
        <f t="shared" ca="1" si="362"/>
        <v>0</v>
      </c>
      <c r="BD232" s="36">
        <f t="shared" ca="1" si="363"/>
        <v>0</v>
      </c>
      <c r="BE232" s="36">
        <f t="shared" ca="1" si="363"/>
        <v>69120</v>
      </c>
      <c r="BF232" s="36">
        <f t="shared" ca="1" si="363"/>
        <v>0</v>
      </c>
      <c r="BG232" s="36">
        <f t="shared" ca="1" si="363"/>
        <v>0</v>
      </c>
      <c r="BH232" s="36">
        <f t="shared" ca="1" si="363"/>
        <v>69120</v>
      </c>
      <c r="BI232" s="36">
        <f t="shared" ca="1" si="363"/>
        <v>0</v>
      </c>
      <c r="BJ232" s="36">
        <f t="shared" ca="1" si="363"/>
        <v>0</v>
      </c>
      <c r="BK232" s="36">
        <f t="shared" ca="1" si="363"/>
        <v>179712</v>
      </c>
      <c r="BL232" s="36">
        <f t="shared" ca="1" si="363"/>
        <v>0</v>
      </c>
      <c r="BM232" s="36">
        <f t="shared" ca="1" si="363"/>
        <v>0</v>
      </c>
      <c r="BN232" s="36">
        <f t="shared" ca="1" si="364"/>
        <v>179712</v>
      </c>
      <c r="BO232" s="36">
        <f t="shared" ca="1" si="364"/>
        <v>0</v>
      </c>
      <c r="BP232" s="36">
        <f t="shared" ca="1" si="364"/>
        <v>0</v>
      </c>
      <c r="BQ232" s="36">
        <f t="shared" ca="1" si="364"/>
        <v>179712</v>
      </c>
      <c r="BR232" s="36">
        <f t="shared" ca="1" si="364"/>
        <v>0</v>
      </c>
      <c r="BS232" s="36">
        <f t="shared" ca="1" si="364"/>
        <v>0</v>
      </c>
      <c r="BT232" s="36">
        <f t="shared" ca="1" si="364"/>
        <v>179712</v>
      </c>
      <c r="BU232" s="36">
        <f t="shared" ca="1" si="364"/>
        <v>0</v>
      </c>
      <c r="BV232" s="36">
        <f t="shared" ca="1" si="364"/>
        <v>0</v>
      </c>
      <c r="BW232" s="36">
        <f t="shared" ca="1" si="364"/>
        <v>269568</v>
      </c>
      <c r="BX232" s="36">
        <f t="shared" ca="1" si="365"/>
        <v>0</v>
      </c>
      <c r="BY232" s="36">
        <f t="shared" ca="1" si="365"/>
        <v>0</v>
      </c>
      <c r="BZ232" s="36">
        <f t="shared" ca="1" si="365"/>
        <v>269568</v>
      </c>
      <c r="CA232" s="36">
        <f t="shared" ca="1" si="365"/>
        <v>0</v>
      </c>
      <c r="CB232" s="36">
        <f t="shared" ca="1" si="365"/>
        <v>0</v>
      </c>
      <c r="CC232" s="36">
        <f t="shared" ca="1" si="365"/>
        <v>269568</v>
      </c>
      <c r="CD232" s="36">
        <f t="shared" ca="1" si="365"/>
        <v>0</v>
      </c>
      <c r="CE232" s="36">
        <f t="shared" ca="1" si="365"/>
        <v>0</v>
      </c>
      <c r="CF232" s="36">
        <f t="shared" ca="1" si="365"/>
        <v>269568</v>
      </c>
      <c r="CG232" s="36">
        <f t="shared" ca="1" si="365"/>
        <v>0</v>
      </c>
      <c r="CH232" s="36">
        <f t="shared" ca="1" si="366"/>
        <v>0</v>
      </c>
      <c r="CI232" s="36">
        <f t="shared" ca="1" si="366"/>
        <v>350438.40000000002</v>
      </c>
      <c r="CJ232" s="36">
        <f t="shared" ca="1" si="366"/>
        <v>0</v>
      </c>
      <c r="CK232" s="36">
        <f t="shared" ca="1" si="366"/>
        <v>0</v>
      </c>
      <c r="CL232" s="36">
        <f t="shared" ca="1" si="366"/>
        <v>350438.40000000002</v>
      </c>
      <c r="CM232" s="36">
        <f t="shared" ca="1" si="366"/>
        <v>0</v>
      </c>
      <c r="CN232" s="36">
        <f t="shared" ca="1" si="366"/>
        <v>0</v>
      </c>
      <c r="CO232" s="36">
        <f t="shared" ca="1" si="366"/>
        <v>350438.40000000002</v>
      </c>
      <c r="CP232" s="36">
        <f t="shared" ca="1" si="366"/>
        <v>0</v>
      </c>
      <c r="CQ232" s="36">
        <f t="shared" ca="1" si="366"/>
        <v>0</v>
      </c>
      <c r="CR232" s="36">
        <f t="shared" ca="1" si="366"/>
        <v>350438.40000000002</v>
      </c>
      <c r="CS232" s="36">
        <f t="shared" ca="1" si="366"/>
        <v>0</v>
      </c>
      <c r="CT232" s="36">
        <f t="shared" ca="1" si="366"/>
        <v>0</v>
      </c>
      <c r="CU232" s="36">
        <f t="shared" ca="1" si="366"/>
        <v>0</v>
      </c>
      <c r="CV232" s="36">
        <f t="shared" ca="1" si="366"/>
        <v>0</v>
      </c>
      <c r="CW232" s="21"/>
    </row>
    <row r="233" spans="3:101" x14ac:dyDescent="0.25">
      <c r="C233" s="49" t="str">
        <f t="shared" si="359"/>
        <v>SPORT PLACEHOLDERDTC</v>
      </c>
      <c r="D233" s="35" t="str">
        <f>[1]Key!C$31</f>
        <v>SPORT PLACEHOLDER</v>
      </c>
      <c r="E233" s="35" t="str">
        <f>[1]contras!H115</f>
        <v>DTC</v>
      </c>
      <c r="F233" s="23">
        <f>[1]Key!$R$31</f>
        <v>0</v>
      </c>
      <c r="G233" s="21"/>
      <c r="H233" s="21"/>
      <c r="I233" s="21"/>
      <c r="J233" s="21"/>
      <c r="K233" s="21"/>
      <c r="L233" s="21"/>
      <c r="M233" s="21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36">
        <f t="shared" ca="1" si="360"/>
        <v>0</v>
      </c>
      <c r="AA233" s="36">
        <f t="shared" ca="1" si="360"/>
        <v>0</v>
      </c>
      <c r="AB233" s="36">
        <f t="shared" ca="1" si="360"/>
        <v>0</v>
      </c>
      <c r="AC233" s="36">
        <f t="shared" ca="1" si="360"/>
        <v>0</v>
      </c>
      <c r="AD233" s="36">
        <f t="shared" ca="1" si="360"/>
        <v>0</v>
      </c>
      <c r="AE233" s="36">
        <f t="shared" ca="1" si="360"/>
        <v>0</v>
      </c>
      <c r="AF233" s="36">
        <f t="shared" ca="1" si="360"/>
        <v>0</v>
      </c>
      <c r="AG233" s="36">
        <f t="shared" ca="1" si="360"/>
        <v>0</v>
      </c>
      <c r="AH233" s="36">
        <f t="shared" ca="1" si="360"/>
        <v>0</v>
      </c>
      <c r="AI233" s="36">
        <f t="shared" ca="1" si="360"/>
        <v>0</v>
      </c>
      <c r="AJ233" s="36">
        <f t="shared" ca="1" si="361"/>
        <v>0</v>
      </c>
      <c r="AK233" s="36">
        <f t="shared" ca="1" si="361"/>
        <v>0</v>
      </c>
      <c r="AL233" s="36">
        <f t="shared" ca="1" si="361"/>
        <v>0</v>
      </c>
      <c r="AM233" s="36">
        <f t="shared" ca="1" si="361"/>
        <v>0</v>
      </c>
      <c r="AN233" s="36">
        <f t="shared" ca="1" si="361"/>
        <v>0</v>
      </c>
      <c r="AO233" s="36">
        <f t="shared" ca="1" si="361"/>
        <v>0</v>
      </c>
      <c r="AP233" s="36">
        <f t="shared" ca="1" si="361"/>
        <v>0</v>
      </c>
      <c r="AQ233" s="36">
        <f t="shared" ca="1" si="361"/>
        <v>0</v>
      </c>
      <c r="AR233" s="36">
        <f t="shared" ca="1" si="361"/>
        <v>0</v>
      </c>
      <c r="AS233" s="36">
        <f t="shared" ca="1" si="361"/>
        <v>0</v>
      </c>
      <c r="AT233" s="36">
        <f t="shared" ca="1" si="362"/>
        <v>0</v>
      </c>
      <c r="AU233" s="36">
        <f t="shared" ca="1" si="362"/>
        <v>0</v>
      </c>
      <c r="AV233" s="36">
        <f t="shared" ca="1" si="362"/>
        <v>0</v>
      </c>
      <c r="AW233" s="36">
        <f t="shared" ca="1" si="362"/>
        <v>0</v>
      </c>
      <c r="AX233" s="36">
        <f t="shared" ca="1" si="362"/>
        <v>124800</v>
      </c>
      <c r="AY233" s="36">
        <f t="shared" ca="1" si="362"/>
        <v>0</v>
      </c>
      <c r="AZ233" s="36">
        <f t="shared" ca="1" si="362"/>
        <v>0</v>
      </c>
      <c r="BA233" s="36">
        <f t="shared" ca="1" si="362"/>
        <v>0</v>
      </c>
      <c r="BB233" s="36">
        <f t="shared" ca="1" si="362"/>
        <v>0</v>
      </c>
      <c r="BC233" s="36">
        <f t="shared" ca="1" si="362"/>
        <v>0</v>
      </c>
      <c r="BD233" s="36">
        <f t="shared" ca="1" si="363"/>
        <v>249600</v>
      </c>
      <c r="BE233" s="36">
        <f t="shared" ca="1" si="363"/>
        <v>0</v>
      </c>
      <c r="BF233" s="36">
        <f t="shared" ca="1" si="363"/>
        <v>0</v>
      </c>
      <c r="BG233" s="36">
        <f t="shared" ca="1" si="363"/>
        <v>0</v>
      </c>
      <c r="BH233" s="36">
        <f t="shared" ca="1" si="363"/>
        <v>0</v>
      </c>
      <c r="BI233" s="36">
        <f t="shared" ca="1" si="363"/>
        <v>0</v>
      </c>
      <c r="BJ233" s="36">
        <f t="shared" ca="1" si="363"/>
        <v>486720</v>
      </c>
      <c r="BK233" s="36">
        <f t="shared" ca="1" si="363"/>
        <v>0</v>
      </c>
      <c r="BL233" s="36">
        <f t="shared" ca="1" si="363"/>
        <v>0</v>
      </c>
      <c r="BM233" s="36">
        <f t="shared" ca="1" si="363"/>
        <v>0</v>
      </c>
      <c r="BN233" s="36">
        <f t="shared" ca="1" si="364"/>
        <v>0</v>
      </c>
      <c r="BO233" s="36">
        <f t="shared" ca="1" si="364"/>
        <v>0</v>
      </c>
      <c r="BP233" s="36">
        <f t="shared" ca="1" si="364"/>
        <v>973440</v>
      </c>
      <c r="BQ233" s="36">
        <f t="shared" ca="1" si="364"/>
        <v>0</v>
      </c>
      <c r="BR233" s="36">
        <f t="shared" ca="1" si="364"/>
        <v>0</v>
      </c>
      <c r="BS233" s="36">
        <f t="shared" ca="1" si="364"/>
        <v>0</v>
      </c>
      <c r="BT233" s="36">
        <f t="shared" ca="1" si="364"/>
        <v>0</v>
      </c>
      <c r="BU233" s="36">
        <f t="shared" ca="1" si="364"/>
        <v>0</v>
      </c>
      <c r="BV233" s="36">
        <f t="shared" ca="1" si="364"/>
        <v>1460160</v>
      </c>
      <c r="BW233" s="36">
        <f t="shared" ca="1" si="364"/>
        <v>0</v>
      </c>
      <c r="BX233" s="36">
        <f t="shared" ca="1" si="365"/>
        <v>0</v>
      </c>
      <c r="BY233" s="36">
        <f t="shared" ca="1" si="365"/>
        <v>0</v>
      </c>
      <c r="BZ233" s="36">
        <f t="shared" ca="1" si="365"/>
        <v>0</v>
      </c>
      <c r="CA233" s="36">
        <f t="shared" ca="1" si="365"/>
        <v>0</v>
      </c>
      <c r="CB233" s="36">
        <f t="shared" ca="1" si="365"/>
        <v>2920320</v>
      </c>
      <c r="CC233" s="36">
        <f t="shared" ca="1" si="365"/>
        <v>0</v>
      </c>
      <c r="CD233" s="36">
        <f t="shared" ca="1" si="365"/>
        <v>0</v>
      </c>
      <c r="CE233" s="36">
        <f t="shared" ca="1" si="365"/>
        <v>0</v>
      </c>
      <c r="CF233" s="36">
        <f t="shared" ca="1" si="365"/>
        <v>0</v>
      </c>
      <c r="CG233" s="36">
        <f t="shared" ca="1" si="365"/>
        <v>0</v>
      </c>
      <c r="CH233" s="36">
        <f t="shared" ca="1" si="366"/>
        <v>3650400</v>
      </c>
      <c r="CI233" s="36">
        <f t="shared" ca="1" si="366"/>
        <v>0</v>
      </c>
      <c r="CJ233" s="36">
        <f t="shared" ca="1" si="366"/>
        <v>0</v>
      </c>
      <c r="CK233" s="36">
        <f t="shared" ca="1" si="366"/>
        <v>0</v>
      </c>
      <c r="CL233" s="36">
        <f t="shared" ca="1" si="366"/>
        <v>0</v>
      </c>
      <c r="CM233" s="36">
        <f t="shared" ca="1" si="366"/>
        <v>0</v>
      </c>
      <c r="CN233" s="36">
        <f t="shared" ca="1" si="366"/>
        <v>7300800</v>
      </c>
      <c r="CO233" s="36">
        <f t="shared" ca="1" si="366"/>
        <v>0</v>
      </c>
      <c r="CP233" s="36">
        <f t="shared" ca="1" si="366"/>
        <v>0</v>
      </c>
      <c r="CQ233" s="36">
        <f t="shared" ca="1" si="366"/>
        <v>0</v>
      </c>
      <c r="CR233" s="36">
        <f t="shared" ca="1" si="366"/>
        <v>0</v>
      </c>
      <c r="CS233" s="36">
        <f t="shared" ca="1" si="366"/>
        <v>0</v>
      </c>
      <c r="CT233" s="36">
        <f t="shared" ca="1" si="366"/>
        <v>0</v>
      </c>
      <c r="CU233" s="36">
        <f t="shared" ca="1" si="366"/>
        <v>0</v>
      </c>
      <c r="CV233" s="36">
        <f t="shared" ca="1" si="366"/>
        <v>0</v>
      </c>
      <c r="CW233" s="21"/>
    </row>
    <row r="234" spans="3:101" x14ac:dyDescent="0.25">
      <c r="C234" s="49" t="str">
        <f t="shared" si="359"/>
        <v>SPUNGEDTC</v>
      </c>
      <c r="D234" s="35" t="str">
        <f>[1]Key!C$32</f>
        <v>SPUNGE</v>
      </c>
      <c r="E234" s="35" t="str">
        <f>[1]contras!H116</f>
        <v>DTC</v>
      </c>
      <c r="F234" s="23">
        <f>[1]Key!$R$32</f>
        <v>0</v>
      </c>
      <c r="G234" s="21"/>
      <c r="H234" s="21"/>
      <c r="I234" s="21"/>
      <c r="J234" s="21"/>
      <c r="K234" s="21"/>
      <c r="L234" s="21"/>
      <c r="M234" s="21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36">
        <f t="shared" ca="1" si="360"/>
        <v>0</v>
      </c>
      <c r="AA234" s="36">
        <f t="shared" ca="1" si="360"/>
        <v>0</v>
      </c>
      <c r="AB234" s="36">
        <f t="shared" ca="1" si="360"/>
        <v>0</v>
      </c>
      <c r="AC234" s="36">
        <f t="shared" ca="1" si="360"/>
        <v>0</v>
      </c>
      <c r="AD234" s="36">
        <f t="shared" ca="1" si="360"/>
        <v>0</v>
      </c>
      <c r="AE234" s="36">
        <f t="shared" ca="1" si="360"/>
        <v>0</v>
      </c>
      <c r="AF234" s="36">
        <f t="shared" ca="1" si="360"/>
        <v>0</v>
      </c>
      <c r="AG234" s="36">
        <f t="shared" ca="1" si="360"/>
        <v>0</v>
      </c>
      <c r="AH234" s="36">
        <f t="shared" ca="1" si="360"/>
        <v>0</v>
      </c>
      <c r="AI234" s="36">
        <f t="shared" ca="1" si="360"/>
        <v>0</v>
      </c>
      <c r="AJ234" s="36">
        <f t="shared" ca="1" si="361"/>
        <v>0</v>
      </c>
      <c r="AK234" s="36">
        <f t="shared" ca="1" si="361"/>
        <v>0</v>
      </c>
      <c r="AL234" s="36">
        <f t="shared" ca="1" si="361"/>
        <v>0</v>
      </c>
      <c r="AM234" s="36">
        <f t="shared" ca="1" si="361"/>
        <v>0</v>
      </c>
      <c r="AN234" s="36">
        <f t="shared" ca="1" si="361"/>
        <v>0</v>
      </c>
      <c r="AO234" s="36">
        <f t="shared" ca="1" si="361"/>
        <v>0</v>
      </c>
      <c r="AP234" s="36">
        <f t="shared" ca="1" si="361"/>
        <v>0</v>
      </c>
      <c r="AQ234" s="36">
        <f t="shared" ca="1" si="361"/>
        <v>0</v>
      </c>
      <c r="AR234" s="36">
        <f t="shared" ca="1" si="361"/>
        <v>0</v>
      </c>
      <c r="AS234" s="36">
        <f t="shared" ca="1" si="361"/>
        <v>0</v>
      </c>
      <c r="AT234" s="36">
        <f t="shared" ca="1" si="362"/>
        <v>34560</v>
      </c>
      <c r="AU234" s="36">
        <f t="shared" ca="1" si="362"/>
        <v>0</v>
      </c>
      <c r="AV234" s="36">
        <f t="shared" ca="1" si="362"/>
        <v>25920</v>
      </c>
      <c r="AW234" s="36">
        <f t="shared" ca="1" si="362"/>
        <v>64800</v>
      </c>
      <c r="AX234" s="36">
        <f t="shared" ca="1" si="362"/>
        <v>0</v>
      </c>
      <c r="AY234" s="36">
        <f t="shared" ca="1" si="362"/>
        <v>158976</v>
      </c>
      <c r="AZ234" s="36">
        <f t="shared" ca="1" si="362"/>
        <v>0</v>
      </c>
      <c r="BA234" s="36">
        <f t="shared" ca="1" si="362"/>
        <v>0</v>
      </c>
      <c r="BB234" s="36">
        <f t="shared" ca="1" si="362"/>
        <v>179712</v>
      </c>
      <c r="BC234" s="36">
        <f t="shared" ca="1" si="362"/>
        <v>0</v>
      </c>
      <c r="BD234" s="36">
        <f t="shared" ca="1" si="363"/>
        <v>207360</v>
      </c>
      <c r="BE234" s="36">
        <f t="shared" ca="1" si="363"/>
        <v>0</v>
      </c>
      <c r="BF234" s="36">
        <f t="shared" ca="1" si="363"/>
        <v>20736</v>
      </c>
      <c r="BG234" s="36">
        <f t="shared" ca="1" si="363"/>
        <v>0</v>
      </c>
      <c r="BH234" s="36">
        <f t="shared" ca="1" si="363"/>
        <v>276480</v>
      </c>
      <c r="BI234" s="36">
        <f t="shared" ca="1" si="363"/>
        <v>51840</v>
      </c>
      <c r="BJ234" s="36">
        <f t="shared" ca="1" si="363"/>
        <v>0</v>
      </c>
      <c r="BK234" s="36">
        <f t="shared" ca="1" si="363"/>
        <v>620006.40000000002</v>
      </c>
      <c r="BL234" s="36">
        <f t="shared" ca="1" si="363"/>
        <v>0</v>
      </c>
      <c r="BM234" s="36">
        <f t="shared" ca="1" si="363"/>
        <v>0</v>
      </c>
      <c r="BN234" s="36">
        <f t="shared" ca="1" si="364"/>
        <v>700876.80000000005</v>
      </c>
      <c r="BO234" s="36">
        <f t="shared" ca="1" si="364"/>
        <v>0</v>
      </c>
      <c r="BP234" s="36">
        <f t="shared" ca="1" si="364"/>
        <v>808704</v>
      </c>
      <c r="BQ234" s="36">
        <f t="shared" ca="1" si="364"/>
        <v>0</v>
      </c>
      <c r="BR234" s="36">
        <f t="shared" ca="1" si="364"/>
        <v>80870.399999999994</v>
      </c>
      <c r="BS234" s="36">
        <f t="shared" ca="1" si="364"/>
        <v>0</v>
      </c>
      <c r="BT234" s="36">
        <f t="shared" ca="1" si="364"/>
        <v>1078272</v>
      </c>
      <c r="BU234" s="36">
        <f t="shared" ca="1" si="364"/>
        <v>202176</v>
      </c>
      <c r="BV234" s="36">
        <f t="shared" ca="1" si="364"/>
        <v>0</v>
      </c>
      <c r="BW234" s="36">
        <f t="shared" ca="1" si="364"/>
        <v>1550016</v>
      </c>
      <c r="BX234" s="36">
        <f t="shared" ca="1" si="365"/>
        <v>0</v>
      </c>
      <c r="BY234" s="36">
        <f t="shared" ca="1" si="365"/>
        <v>0</v>
      </c>
      <c r="BZ234" s="36">
        <f t="shared" ca="1" si="365"/>
        <v>1752192</v>
      </c>
      <c r="CA234" s="36">
        <f t="shared" ca="1" si="365"/>
        <v>0</v>
      </c>
      <c r="CB234" s="36">
        <f t="shared" ca="1" si="365"/>
        <v>2021760</v>
      </c>
      <c r="CC234" s="36">
        <f t="shared" ca="1" si="365"/>
        <v>0</v>
      </c>
      <c r="CD234" s="36">
        <f t="shared" ca="1" si="365"/>
        <v>202176</v>
      </c>
      <c r="CE234" s="36">
        <f t="shared" ca="1" si="365"/>
        <v>0</v>
      </c>
      <c r="CF234" s="36">
        <f t="shared" ca="1" si="365"/>
        <v>2695680</v>
      </c>
      <c r="CG234" s="36">
        <f t="shared" ca="1" si="365"/>
        <v>505440</v>
      </c>
      <c r="CH234" s="36">
        <f t="shared" ca="1" si="366"/>
        <v>0</v>
      </c>
      <c r="CI234" s="36">
        <f t="shared" ca="1" si="366"/>
        <v>2712528</v>
      </c>
      <c r="CJ234" s="36">
        <f t="shared" ca="1" si="366"/>
        <v>0</v>
      </c>
      <c r="CK234" s="36">
        <f t="shared" ca="1" si="366"/>
        <v>0</v>
      </c>
      <c r="CL234" s="36">
        <f t="shared" ca="1" si="366"/>
        <v>3066336</v>
      </c>
      <c r="CM234" s="36">
        <f t="shared" ca="1" si="366"/>
        <v>0</v>
      </c>
      <c r="CN234" s="36">
        <f t="shared" ca="1" si="366"/>
        <v>3538080</v>
      </c>
      <c r="CO234" s="36">
        <f t="shared" ca="1" si="366"/>
        <v>0</v>
      </c>
      <c r="CP234" s="36">
        <f t="shared" ca="1" si="366"/>
        <v>353808</v>
      </c>
      <c r="CQ234" s="36">
        <f t="shared" ca="1" si="366"/>
        <v>0</v>
      </c>
      <c r="CR234" s="36">
        <f t="shared" ca="1" si="366"/>
        <v>4717440</v>
      </c>
      <c r="CS234" s="36">
        <f t="shared" ca="1" si="366"/>
        <v>884520</v>
      </c>
      <c r="CT234" s="36">
        <f t="shared" ca="1" si="366"/>
        <v>0</v>
      </c>
      <c r="CU234" s="36">
        <f t="shared" ca="1" si="366"/>
        <v>0</v>
      </c>
      <c r="CV234" s="36">
        <f t="shared" ca="1" si="366"/>
        <v>0</v>
      </c>
      <c r="CW234" s="21"/>
    </row>
    <row r="235" spans="3:101" x14ac:dyDescent="0.25">
      <c r="C235" s="49" t="str">
        <f t="shared" si="359"/>
        <v>SUNFLOWERDTC</v>
      </c>
      <c r="D235" s="35" t="str">
        <f>[1]Key!C$33</f>
        <v>SUNFLOWER</v>
      </c>
      <c r="E235" s="35" t="str">
        <f>[1]contras!H117</f>
        <v>DTC</v>
      </c>
      <c r="F235" s="23">
        <f>[1]Key!$R$33</f>
        <v>0</v>
      </c>
      <c r="G235" s="21"/>
      <c r="H235" s="21"/>
      <c r="I235" s="21"/>
      <c r="J235" s="21"/>
      <c r="K235" s="21"/>
      <c r="L235" s="21"/>
      <c r="M235" s="21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36">
        <f t="shared" ca="1" si="360"/>
        <v>0</v>
      </c>
      <c r="AA235" s="36">
        <f t="shared" ca="1" si="360"/>
        <v>0</v>
      </c>
      <c r="AB235" s="36">
        <f t="shared" ca="1" si="360"/>
        <v>0</v>
      </c>
      <c r="AC235" s="36">
        <f t="shared" ca="1" si="360"/>
        <v>0</v>
      </c>
      <c r="AD235" s="36">
        <f t="shared" ca="1" si="360"/>
        <v>0</v>
      </c>
      <c r="AE235" s="36">
        <f t="shared" ca="1" si="360"/>
        <v>0</v>
      </c>
      <c r="AF235" s="36">
        <f t="shared" ca="1" si="360"/>
        <v>0</v>
      </c>
      <c r="AG235" s="36">
        <f t="shared" ca="1" si="360"/>
        <v>0</v>
      </c>
      <c r="AH235" s="36">
        <f t="shared" ca="1" si="360"/>
        <v>0</v>
      </c>
      <c r="AI235" s="36">
        <f t="shared" ca="1" si="360"/>
        <v>0</v>
      </c>
      <c r="AJ235" s="36">
        <f t="shared" ca="1" si="361"/>
        <v>0</v>
      </c>
      <c r="AK235" s="36">
        <f t="shared" ca="1" si="361"/>
        <v>0</v>
      </c>
      <c r="AL235" s="36">
        <f t="shared" ca="1" si="361"/>
        <v>0</v>
      </c>
      <c r="AM235" s="36">
        <f t="shared" ca="1" si="361"/>
        <v>0</v>
      </c>
      <c r="AN235" s="36">
        <f t="shared" ca="1" si="361"/>
        <v>0</v>
      </c>
      <c r="AO235" s="36">
        <f t="shared" ca="1" si="361"/>
        <v>0</v>
      </c>
      <c r="AP235" s="36">
        <f t="shared" ca="1" si="361"/>
        <v>0</v>
      </c>
      <c r="AQ235" s="36">
        <f t="shared" ca="1" si="361"/>
        <v>0</v>
      </c>
      <c r="AR235" s="36">
        <f t="shared" ca="1" si="361"/>
        <v>0</v>
      </c>
      <c r="AS235" s="36">
        <f t="shared" ca="1" si="361"/>
        <v>0</v>
      </c>
      <c r="AT235" s="36">
        <f t="shared" ca="1" si="362"/>
        <v>0</v>
      </c>
      <c r="AU235" s="36">
        <f t="shared" ca="1" si="362"/>
        <v>0</v>
      </c>
      <c r="AV235" s="36">
        <f t="shared" ca="1" si="362"/>
        <v>0</v>
      </c>
      <c r="AW235" s="36">
        <f t="shared" ca="1" si="362"/>
        <v>0</v>
      </c>
      <c r="AX235" s="36">
        <f t="shared" ca="1" si="362"/>
        <v>0</v>
      </c>
      <c r="AY235" s="36">
        <f t="shared" ca="1" si="362"/>
        <v>0</v>
      </c>
      <c r="AZ235" s="36">
        <f t="shared" ca="1" si="362"/>
        <v>0</v>
      </c>
      <c r="BA235" s="36">
        <f t="shared" ca="1" si="362"/>
        <v>0</v>
      </c>
      <c r="BB235" s="36">
        <f t="shared" ca="1" si="362"/>
        <v>0</v>
      </c>
      <c r="BC235" s="36">
        <f t="shared" ca="1" si="362"/>
        <v>0</v>
      </c>
      <c r="BD235" s="36">
        <f t="shared" ca="1" si="363"/>
        <v>0</v>
      </c>
      <c r="BE235" s="36">
        <f t="shared" ca="1" si="363"/>
        <v>0</v>
      </c>
      <c r="BF235" s="36">
        <f t="shared" ca="1" si="363"/>
        <v>0</v>
      </c>
      <c r="BG235" s="36">
        <f t="shared" ca="1" si="363"/>
        <v>0</v>
      </c>
      <c r="BH235" s="36">
        <f t="shared" ca="1" si="363"/>
        <v>0</v>
      </c>
      <c r="BI235" s="36">
        <f t="shared" ca="1" si="363"/>
        <v>0</v>
      </c>
      <c r="BJ235" s="36">
        <f t="shared" ca="1" si="363"/>
        <v>0</v>
      </c>
      <c r="BK235" s="36">
        <f t="shared" ca="1" si="363"/>
        <v>0</v>
      </c>
      <c r="BL235" s="36">
        <f t="shared" ca="1" si="363"/>
        <v>0</v>
      </c>
      <c r="BM235" s="36">
        <f t="shared" ca="1" si="363"/>
        <v>0</v>
      </c>
      <c r="BN235" s="36">
        <f t="shared" ca="1" si="364"/>
        <v>0</v>
      </c>
      <c r="BO235" s="36">
        <f t="shared" ca="1" si="364"/>
        <v>0</v>
      </c>
      <c r="BP235" s="36">
        <f t="shared" ca="1" si="364"/>
        <v>0</v>
      </c>
      <c r="BQ235" s="36">
        <f t="shared" ca="1" si="364"/>
        <v>0</v>
      </c>
      <c r="BR235" s="36">
        <f t="shared" ca="1" si="364"/>
        <v>0</v>
      </c>
      <c r="BS235" s="36">
        <f t="shared" ca="1" si="364"/>
        <v>0</v>
      </c>
      <c r="BT235" s="36">
        <f t="shared" ca="1" si="364"/>
        <v>0</v>
      </c>
      <c r="BU235" s="36">
        <f t="shared" ca="1" si="364"/>
        <v>0</v>
      </c>
      <c r="BV235" s="36">
        <f t="shared" ca="1" si="364"/>
        <v>0</v>
      </c>
      <c r="BW235" s="36">
        <f t="shared" ca="1" si="364"/>
        <v>0</v>
      </c>
      <c r="BX235" s="36">
        <f t="shared" ca="1" si="365"/>
        <v>0</v>
      </c>
      <c r="BY235" s="36">
        <f t="shared" ca="1" si="365"/>
        <v>0</v>
      </c>
      <c r="BZ235" s="36">
        <f t="shared" ca="1" si="365"/>
        <v>0</v>
      </c>
      <c r="CA235" s="36">
        <f t="shared" ca="1" si="365"/>
        <v>0</v>
      </c>
      <c r="CB235" s="36">
        <f t="shared" ca="1" si="365"/>
        <v>0</v>
      </c>
      <c r="CC235" s="36">
        <f t="shared" ca="1" si="365"/>
        <v>0</v>
      </c>
      <c r="CD235" s="36">
        <f t="shared" ca="1" si="365"/>
        <v>0</v>
      </c>
      <c r="CE235" s="36">
        <f t="shared" ca="1" si="365"/>
        <v>0</v>
      </c>
      <c r="CF235" s="36">
        <f t="shared" ca="1" si="365"/>
        <v>0</v>
      </c>
      <c r="CG235" s="36">
        <f t="shared" ca="1" si="365"/>
        <v>0</v>
      </c>
      <c r="CH235" s="36">
        <f t="shared" ca="1" si="366"/>
        <v>0</v>
      </c>
      <c r="CI235" s="36">
        <f t="shared" ca="1" si="366"/>
        <v>0</v>
      </c>
      <c r="CJ235" s="36">
        <f t="shared" ca="1" si="366"/>
        <v>0</v>
      </c>
      <c r="CK235" s="36">
        <f t="shared" ca="1" si="366"/>
        <v>0</v>
      </c>
      <c r="CL235" s="36">
        <f t="shared" ca="1" si="366"/>
        <v>0</v>
      </c>
      <c r="CM235" s="36">
        <f t="shared" ca="1" si="366"/>
        <v>0</v>
      </c>
      <c r="CN235" s="36">
        <f t="shared" ca="1" si="366"/>
        <v>0</v>
      </c>
      <c r="CO235" s="36">
        <f t="shared" ca="1" si="366"/>
        <v>0</v>
      </c>
      <c r="CP235" s="36">
        <f t="shared" ca="1" si="366"/>
        <v>0</v>
      </c>
      <c r="CQ235" s="36">
        <f t="shared" ca="1" si="366"/>
        <v>0</v>
      </c>
      <c r="CR235" s="36">
        <f t="shared" ca="1" si="366"/>
        <v>0</v>
      </c>
      <c r="CS235" s="36">
        <f t="shared" ca="1" si="366"/>
        <v>0</v>
      </c>
      <c r="CT235" s="36">
        <f t="shared" ca="1" si="366"/>
        <v>0</v>
      </c>
      <c r="CU235" s="36">
        <f t="shared" ca="1" si="366"/>
        <v>0</v>
      </c>
      <c r="CV235" s="36">
        <f t="shared" ca="1" si="366"/>
        <v>0</v>
      </c>
      <c r="CW235" s="21"/>
    </row>
    <row r="236" spans="3:101" x14ac:dyDescent="0.25">
      <c r="C236" s="49" t="str">
        <f t="shared" ref="C236" si="367">CONCATENATE(D236,E236)</f>
        <v>CorporateN/A</v>
      </c>
      <c r="D236" s="35" t="str">
        <f>[1]Key!C$34</f>
        <v>Corporate</v>
      </c>
      <c r="E236" s="35" t="str">
        <f>[1]Key!D$34</f>
        <v>N/A</v>
      </c>
      <c r="F236" s="23">
        <f>[1]Key!$R$34</f>
        <v>30</v>
      </c>
      <c r="G236" s="21"/>
      <c r="H236" s="21"/>
      <c r="I236" s="21"/>
      <c r="J236" s="21"/>
      <c r="K236" s="21"/>
      <c r="L236" s="21"/>
      <c r="M236" s="21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36">
        <f t="shared" ca="1" si="360"/>
        <v>0</v>
      </c>
      <c r="AA236" s="36">
        <f t="shared" ca="1" si="360"/>
        <v>0</v>
      </c>
      <c r="AB236" s="36">
        <f t="shared" ca="1" si="360"/>
        <v>0</v>
      </c>
      <c r="AC236" s="36">
        <f t="shared" ca="1" si="360"/>
        <v>0</v>
      </c>
      <c r="AD236" s="36">
        <f t="shared" ca="1" si="360"/>
        <v>0</v>
      </c>
      <c r="AE236" s="36">
        <f t="shared" ca="1" si="360"/>
        <v>0</v>
      </c>
      <c r="AF236" s="36">
        <f t="shared" ca="1" si="360"/>
        <v>0</v>
      </c>
      <c r="AG236" s="36">
        <f t="shared" ca="1" si="360"/>
        <v>0</v>
      </c>
      <c r="AH236" s="36">
        <f t="shared" ca="1" si="360"/>
        <v>0</v>
      </c>
      <c r="AI236" s="36">
        <f t="shared" ca="1" si="360"/>
        <v>0</v>
      </c>
      <c r="AJ236" s="36">
        <f t="shared" ca="1" si="361"/>
        <v>0</v>
      </c>
      <c r="AK236" s="36">
        <f t="shared" ca="1" si="361"/>
        <v>0</v>
      </c>
      <c r="AL236" s="36">
        <f t="shared" ca="1" si="361"/>
        <v>0</v>
      </c>
      <c r="AM236" s="36">
        <f t="shared" ca="1" si="361"/>
        <v>0</v>
      </c>
      <c r="AN236" s="36">
        <f t="shared" ca="1" si="361"/>
        <v>0</v>
      </c>
      <c r="AO236" s="36">
        <f t="shared" ca="1" si="361"/>
        <v>0</v>
      </c>
      <c r="AP236" s="36">
        <f t="shared" ca="1" si="361"/>
        <v>0</v>
      </c>
      <c r="AQ236" s="36">
        <f t="shared" ca="1" si="361"/>
        <v>0</v>
      </c>
      <c r="AR236" s="36">
        <f t="shared" ca="1" si="361"/>
        <v>0</v>
      </c>
      <c r="AS236" s="36">
        <f t="shared" ca="1" si="361"/>
        <v>0</v>
      </c>
      <c r="AT236" s="36">
        <f t="shared" ca="1" si="362"/>
        <v>0</v>
      </c>
      <c r="AU236" s="36">
        <f t="shared" ca="1" si="362"/>
        <v>0</v>
      </c>
      <c r="AV236" s="36">
        <f t="shared" ca="1" si="362"/>
        <v>0</v>
      </c>
      <c r="AW236" s="36">
        <f t="shared" ca="1" si="362"/>
        <v>0</v>
      </c>
      <c r="AX236" s="36">
        <f t="shared" ca="1" si="362"/>
        <v>0</v>
      </c>
      <c r="AY236" s="36">
        <f t="shared" ca="1" si="362"/>
        <v>0</v>
      </c>
      <c r="AZ236" s="36">
        <f t="shared" ca="1" si="362"/>
        <v>0</v>
      </c>
      <c r="BA236" s="36">
        <f t="shared" ca="1" si="362"/>
        <v>0</v>
      </c>
      <c r="BB236" s="36">
        <f t="shared" ca="1" si="362"/>
        <v>0</v>
      </c>
      <c r="BC236" s="36">
        <f t="shared" ca="1" si="362"/>
        <v>0</v>
      </c>
      <c r="BD236" s="36">
        <f t="shared" ca="1" si="363"/>
        <v>0</v>
      </c>
      <c r="BE236" s="36">
        <f t="shared" ca="1" si="363"/>
        <v>0</v>
      </c>
      <c r="BF236" s="36">
        <f t="shared" ca="1" si="363"/>
        <v>0</v>
      </c>
      <c r="BG236" s="36">
        <f t="shared" ca="1" si="363"/>
        <v>0</v>
      </c>
      <c r="BH236" s="36">
        <f t="shared" ca="1" si="363"/>
        <v>0</v>
      </c>
      <c r="BI236" s="36">
        <f t="shared" ca="1" si="363"/>
        <v>0</v>
      </c>
      <c r="BJ236" s="36">
        <f t="shared" ca="1" si="363"/>
        <v>0</v>
      </c>
      <c r="BK236" s="36">
        <f t="shared" ca="1" si="363"/>
        <v>0</v>
      </c>
      <c r="BL236" s="36">
        <f t="shared" ca="1" si="363"/>
        <v>0</v>
      </c>
      <c r="BM236" s="36">
        <f t="shared" ca="1" si="363"/>
        <v>0</v>
      </c>
      <c r="BN236" s="36">
        <f t="shared" ca="1" si="364"/>
        <v>0</v>
      </c>
      <c r="BO236" s="36">
        <f t="shared" ca="1" si="364"/>
        <v>0</v>
      </c>
      <c r="BP236" s="36">
        <f t="shared" ca="1" si="364"/>
        <v>0</v>
      </c>
      <c r="BQ236" s="36">
        <f t="shared" ca="1" si="364"/>
        <v>0</v>
      </c>
      <c r="BR236" s="36">
        <f t="shared" ca="1" si="364"/>
        <v>0</v>
      </c>
      <c r="BS236" s="36">
        <f t="shared" ca="1" si="364"/>
        <v>0</v>
      </c>
      <c r="BT236" s="36">
        <f t="shared" ca="1" si="364"/>
        <v>0</v>
      </c>
      <c r="BU236" s="36">
        <f t="shared" ca="1" si="364"/>
        <v>0</v>
      </c>
      <c r="BV236" s="36">
        <f t="shared" ca="1" si="364"/>
        <v>0</v>
      </c>
      <c r="BW236" s="36">
        <f t="shared" ca="1" si="364"/>
        <v>0</v>
      </c>
      <c r="BX236" s="36">
        <f t="shared" ca="1" si="365"/>
        <v>0</v>
      </c>
      <c r="BY236" s="36">
        <f t="shared" ca="1" si="365"/>
        <v>0</v>
      </c>
      <c r="BZ236" s="36">
        <f t="shared" ca="1" si="365"/>
        <v>0</v>
      </c>
      <c r="CA236" s="36">
        <f t="shared" ca="1" si="365"/>
        <v>0</v>
      </c>
      <c r="CB236" s="36">
        <f t="shared" ca="1" si="365"/>
        <v>0</v>
      </c>
      <c r="CC236" s="36">
        <f t="shared" ca="1" si="365"/>
        <v>0</v>
      </c>
      <c r="CD236" s="36">
        <f t="shared" ca="1" si="365"/>
        <v>0</v>
      </c>
      <c r="CE236" s="36">
        <f t="shared" ca="1" si="365"/>
        <v>0</v>
      </c>
      <c r="CF236" s="36">
        <f t="shared" ca="1" si="365"/>
        <v>0</v>
      </c>
      <c r="CG236" s="36">
        <f t="shared" ca="1" si="365"/>
        <v>0</v>
      </c>
      <c r="CH236" s="36">
        <f t="shared" ca="1" si="366"/>
        <v>0</v>
      </c>
      <c r="CI236" s="36">
        <f t="shared" ca="1" si="366"/>
        <v>0</v>
      </c>
      <c r="CJ236" s="36">
        <f t="shared" ca="1" si="366"/>
        <v>0</v>
      </c>
      <c r="CK236" s="36">
        <f t="shared" ca="1" si="366"/>
        <v>0</v>
      </c>
      <c r="CL236" s="36">
        <f t="shared" ca="1" si="366"/>
        <v>0</v>
      </c>
      <c r="CM236" s="36">
        <f t="shared" ca="1" si="366"/>
        <v>0</v>
      </c>
      <c r="CN236" s="36">
        <f t="shared" ca="1" si="366"/>
        <v>0</v>
      </c>
      <c r="CO236" s="36">
        <f t="shared" ca="1" si="366"/>
        <v>0</v>
      </c>
      <c r="CP236" s="36">
        <f t="shared" ca="1" si="366"/>
        <v>0</v>
      </c>
      <c r="CQ236" s="36">
        <f t="shared" ca="1" si="366"/>
        <v>0</v>
      </c>
      <c r="CR236" s="36">
        <f t="shared" ca="1" si="366"/>
        <v>0</v>
      </c>
      <c r="CS236" s="36">
        <f t="shared" ca="1" si="366"/>
        <v>0</v>
      </c>
      <c r="CT236" s="36">
        <f t="shared" ca="1" si="366"/>
        <v>0</v>
      </c>
      <c r="CU236" s="36">
        <f t="shared" ca="1" si="366"/>
        <v>0</v>
      </c>
      <c r="CV236" s="36">
        <f t="shared" ca="1" si="366"/>
        <v>0</v>
      </c>
      <c r="CW236" s="21"/>
    </row>
    <row r="237" spans="3:101" x14ac:dyDescent="0.25">
      <c r="C237" s="49" t="str">
        <f t="shared" ref="C237" si="368">CONCATENATE(D237,E237)</f>
        <v>Other RevenueN/A</v>
      </c>
      <c r="D237" s="35" t="str">
        <f>[1]Key!C$35</f>
        <v>Other Revenue</v>
      </c>
      <c r="E237" s="35" t="str">
        <f>[1]Key!D$35</f>
        <v>N/A</v>
      </c>
      <c r="F237" s="23">
        <f>[1]Key!$R$35</f>
        <v>30</v>
      </c>
      <c r="G237" s="21"/>
      <c r="H237" s="21"/>
      <c r="I237" s="21"/>
      <c r="J237" s="21"/>
      <c r="K237" s="21"/>
      <c r="L237" s="21"/>
      <c r="M237" s="21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36">
        <f t="shared" ca="1" si="360"/>
        <v>0</v>
      </c>
      <c r="AA237" s="36">
        <f t="shared" ca="1" si="360"/>
        <v>0</v>
      </c>
      <c r="AB237" s="36">
        <f t="shared" ca="1" si="360"/>
        <v>0</v>
      </c>
      <c r="AC237" s="36">
        <f t="shared" ca="1" si="360"/>
        <v>0</v>
      </c>
      <c r="AD237" s="36">
        <f t="shared" ca="1" si="360"/>
        <v>0</v>
      </c>
      <c r="AE237" s="36">
        <f t="shared" ca="1" si="360"/>
        <v>0</v>
      </c>
      <c r="AF237" s="36">
        <f t="shared" ca="1" si="360"/>
        <v>0</v>
      </c>
      <c r="AG237" s="36">
        <f t="shared" ca="1" si="360"/>
        <v>0</v>
      </c>
      <c r="AH237" s="36">
        <f t="shared" ca="1" si="360"/>
        <v>0</v>
      </c>
      <c r="AI237" s="36">
        <f t="shared" ca="1" si="360"/>
        <v>0</v>
      </c>
      <c r="AJ237" s="36">
        <f t="shared" ca="1" si="361"/>
        <v>0</v>
      </c>
      <c r="AK237" s="36">
        <f t="shared" ca="1" si="361"/>
        <v>0</v>
      </c>
      <c r="AL237" s="36">
        <f t="shared" ca="1" si="361"/>
        <v>0</v>
      </c>
      <c r="AM237" s="36">
        <f t="shared" ca="1" si="361"/>
        <v>0</v>
      </c>
      <c r="AN237" s="36">
        <f t="shared" ca="1" si="361"/>
        <v>0</v>
      </c>
      <c r="AO237" s="36">
        <f t="shared" ca="1" si="361"/>
        <v>0</v>
      </c>
      <c r="AP237" s="36">
        <f t="shared" ca="1" si="361"/>
        <v>0</v>
      </c>
      <c r="AQ237" s="36">
        <f t="shared" ca="1" si="361"/>
        <v>0</v>
      </c>
      <c r="AR237" s="36">
        <f t="shared" ca="1" si="361"/>
        <v>0</v>
      </c>
      <c r="AS237" s="36">
        <f t="shared" ca="1" si="361"/>
        <v>0</v>
      </c>
      <c r="AT237" s="36">
        <f t="shared" ca="1" si="362"/>
        <v>0</v>
      </c>
      <c r="AU237" s="36">
        <f t="shared" ca="1" si="362"/>
        <v>0</v>
      </c>
      <c r="AV237" s="36">
        <f t="shared" ca="1" si="362"/>
        <v>0</v>
      </c>
      <c r="AW237" s="36">
        <f t="shared" ca="1" si="362"/>
        <v>0</v>
      </c>
      <c r="AX237" s="36">
        <f t="shared" ca="1" si="362"/>
        <v>0</v>
      </c>
      <c r="AY237" s="36">
        <f t="shared" ca="1" si="362"/>
        <v>0</v>
      </c>
      <c r="AZ237" s="36">
        <f t="shared" ca="1" si="362"/>
        <v>0</v>
      </c>
      <c r="BA237" s="36">
        <f t="shared" ca="1" si="362"/>
        <v>0</v>
      </c>
      <c r="BB237" s="36">
        <f t="shared" ca="1" si="362"/>
        <v>0</v>
      </c>
      <c r="BC237" s="36">
        <f t="shared" ca="1" si="362"/>
        <v>0</v>
      </c>
      <c r="BD237" s="36">
        <f t="shared" ca="1" si="363"/>
        <v>0</v>
      </c>
      <c r="BE237" s="36">
        <f t="shared" ca="1" si="363"/>
        <v>0</v>
      </c>
      <c r="BF237" s="36">
        <f t="shared" ca="1" si="363"/>
        <v>0</v>
      </c>
      <c r="BG237" s="36">
        <f t="shared" ca="1" si="363"/>
        <v>0</v>
      </c>
      <c r="BH237" s="36">
        <f t="shared" ca="1" si="363"/>
        <v>0</v>
      </c>
      <c r="BI237" s="36">
        <f t="shared" ca="1" si="363"/>
        <v>0</v>
      </c>
      <c r="BJ237" s="36">
        <f t="shared" ca="1" si="363"/>
        <v>0</v>
      </c>
      <c r="BK237" s="36">
        <f t="shared" ca="1" si="363"/>
        <v>0</v>
      </c>
      <c r="BL237" s="36">
        <f t="shared" ca="1" si="363"/>
        <v>0</v>
      </c>
      <c r="BM237" s="36">
        <f t="shared" ca="1" si="363"/>
        <v>0</v>
      </c>
      <c r="BN237" s="36">
        <f t="shared" ca="1" si="364"/>
        <v>0</v>
      </c>
      <c r="BO237" s="36">
        <f t="shared" ca="1" si="364"/>
        <v>0</v>
      </c>
      <c r="BP237" s="36">
        <f t="shared" ca="1" si="364"/>
        <v>0</v>
      </c>
      <c r="BQ237" s="36">
        <f t="shared" ca="1" si="364"/>
        <v>0</v>
      </c>
      <c r="BR237" s="36">
        <f t="shared" ca="1" si="364"/>
        <v>0</v>
      </c>
      <c r="BS237" s="36">
        <f t="shared" ca="1" si="364"/>
        <v>0</v>
      </c>
      <c r="BT237" s="36">
        <f t="shared" ca="1" si="364"/>
        <v>0</v>
      </c>
      <c r="BU237" s="36">
        <f t="shared" ca="1" si="364"/>
        <v>0</v>
      </c>
      <c r="BV237" s="36">
        <f t="shared" ca="1" si="364"/>
        <v>0</v>
      </c>
      <c r="BW237" s="36">
        <f t="shared" ca="1" si="364"/>
        <v>0</v>
      </c>
      <c r="BX237" s="36">
        <f t="shared" ca="1" si="365"/>
        <v>0</v>
      </c>
      <c r="BY237" s="36">
        <f t="shared" ca="1" si="365"/>
        <v>0</v>
      </c>
      <c r="BZ237" s="36">
        <f t="shared" ca="1" si="365"/>
        <v>0</v>
      </c>
      <c r="CA237" s="36">
        <f t="shared" ca="1" si="365"/>
        <v>0</v>
      </c>
      <c r="CB237" s="36">
        <f t="shared" ca="1" si="365"/>
        <v>0</v>
      </c>
      <c r="CC237" s="36">
        <f t="shared" ca="1" si="365"/>
        <v>0</v>
      </c>
      <c r="CD237" s="36">
        <f t="shared" ca="1" si="365"/>
        <v>0</v>
      </c>
      <c r="CE237" s="36">
        <f t="shared" ca="1" si="365"/>
        <v>0</v>
      </c>
      <c r="CF237" s="36">
        <f t="shared" ca="1" si="365"/>
        <v>0</v>
      </c>
      <c r="CG237" s="36">
        <f t="shared" ca="1" si="365"/>
        <v>0</v>
      </c>
      <c r="CH237" s="36">
        <f t="shared" ca="1" si="366"/>
        <v>0</v>
      </c>
      <c r="CI237" s="36">
        <f t="shared" ca="1" si="366"/>
        <v>0</v>
      </c>
      <c r="CJ237" s="36">
        <f t="shared" ca="1" si="366"/>
        <v>0</v>
      </c>
      <c r="CK237" s="36">
        <f t="shared" ca="1" si="366"/>
        <v>0</v>
      </c>
      <c r="CL237" s="36">
        <f t="shared" ca="1" si="366"/>
        <v>0</v>
      </c>
      <c r="CM237" s="36">
        <f t="shared" ca="1" si="366"/>
        <v>0</v>
      </c>
      <c r="CN237" s="36">
        <f t="shared" ca="1" si="366"/>
        <v>0</v>
      </c>
      <c r="CO237" s="36">
        <f t="shared" ca="1" si="366"/>
        <v>0</v>
      </c>
      <c r="CP237" s="36">
        <f t="shared" ca="1" si="366"/>
        <v>0</v>
      </c>
      <c r="CQ237" s="36">
        <f t="shared" ca="1" si="366"/>
        <v>0</v>
      </c>
      <c r="CR237" s="36">
        <f t="shared" ca="1" si="366"/>
        <v>0</v>
      </c>
      <c r="CS237" s="36">
        <f t="shared" ca="1" si="366"/>
        <v>0</v>
      </c>
      <c r="CT237" s="36">
        <f t="shared" ca="1" si="366"/>
        <v>0</v>
      </c>
      <c r="CU237" s="36">
        <f t="shared" ca="1" si="366"/>
        <v>0</v>
      </c>
      <c r="CV237" s="36">
        <f t="shared" ca="1" si="366"/>
        <v>0</v>
      </c>
      <c r="CW237" s="21"/>
    </row>
    <row r="238" spans="3:101" x14ac:dyDescent="0.25">
      <c r="F238" s="21"/>
      <c r="G238" s="21"/>
      <c r="H238" s="21"/>
      <c r="I238" s="21"/>
      <c r="J238" s="21"/>
      <c r="K238" s="21"/>
      <c r="L238" s="21"/>
      <c r="M238" s="21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21"/>
    </row>
    <row r="239" spans="3:101" x14ac:dyDescent="0.25">
      <c r="D239" s="38" t="s">
        <v>152</v>
      </c>
      <c r="F239" s="21"/>
      <c r="G239" s="21"/>
      <c r="H239" s="21"/>
      <c r="I239" s="21"/>
      <c r="J239" s="21"/>
      <c r="K239" s="21"/>
      <c r="L239" s="21"/>
      <c r="M239" s="21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37">
        <f t="shared" ref="Z239:BI239" ca="1" si="369">SUM(Z214:Z238)</f>
        <v>0</v>
      </c>
      <c r="AA239" s="37">
        <f t="shared" ca="1" si="369"/>
        <v>0</v>
      </c>
      <c r="AB239" s="37">
        <f t="shared" ca="1" si="369"/>
        <v>0</v>
      </c>
      <c r="AC239" s="37">
        <f t="shared" ca="1" si="369"/>
        <v>0</v>
      </c>
      <c r="AD239" s="37">
        <f t="shared" ca="1" si="369"/>
        <v>43200</v>
      </c>
      <c r="AE239" s="37">
        <f t="shared" ca="1" si="369"/>
        <v>16500</v>
      </c>
      <c r="AF239" s="37">
        <f t="shared" ca="1" si="369"/>
        <v>288000</v>
      </c>
      <c r="AG239" s="37">
        <f t="shared" ca="1" si="369"/>
        <v>0</v>
      </c>
      <c r="AH239" s="37">
        <f t="shared" ca="1" si="369"/>
        <v>24000</v>
      </c>
      <c r="AI239" s="37">
        <f t="shared" ca="1" si="369"/>
        <v>20000</v>
      </c>
      <c r="AJ239" s="37">
        <f t="shared" ca="1" si="369"/>
        <v>56000</v>
      </c>
      <c r="AK239" s="37">
        <f t="shared" ca="1" si="369"/>
        <v>160800</v>
      </c>
      <c r="AL239" s="37">
        <f t="shared" ca="1" si="369"/>
        <v>40500</v>
      </c>
      <c r="AM239" s="37">
        <f t="shared" ca="1" si="369"/>
        <v>218820</v>
      </c>
      <c r="AN239" s="37">
        <f t="shared" ca="1" si="369"/>
        <v>76500</v>
      </c>
      <c r="AO239" s="37">
        <f t="shared" ca="1" si="369"/>
        <v>26340</v>
      </c>
      <c r="AP239" s="37">
        <f t="shared" ca="1" si="369"/>
        <v>176280</v>
      </c>
      <c r="AQ239" s="37">
        <f t="shared" ca="1" si="369"/>
        <v>304200</v>
      </c>
      <c r="AR239" s="37">
        <f t="shared" ca="1" si="369"/>
        <v>100110</v>
      </c>
      <c r="AS239" s="37">
        <f t="shared" ca="1" si="369"/>
        <v>251625</v>
      </c>
      <c r="AT239" s="37">
        <f t="shared" ca="1" si="369"/>
        <v>357210</v>
      </c>
      <c r="AU239" s="37">
        <f t="shared" ca="1" si="369"/>
        <v>234700</v>
      </c>
      <c r="AV239" s="37">
        <f t="shared" ca="1" si="369"/>
        <v>326760</v>
      </c>
      <c r="AW239" s="37">
        <f t="shared" ca="1" si="369"/>
        <v>595320</v>
      </c>
      <c r="AX239" s="37">
        <f t="shared" ca="1" si="369"/>
        <v>740695</v>
      </c>
      <c r="AY239" s="37">
        <f t="shared" ca="1" si="369"/>
        <v>713121</v>
      </c>
      <c r="AZ239" s="37">
        <f t="shared" ca="1" si="369"/>
        <v>376620</v>
      </c>
      <c r="BA239" s="37">
        <f t="shared" ca="1" si="369"/>
        <v>359634</v>
      </c>
      <c r="BB239" s="37">
        <f t="shared" ca="1" si="369"/>
        <v>480432</v>
      </c>
      <c r="BC239" s="37">
        <f t="shared" ca="1" si="369"/>
        <v>671445</v>
      </c>
      <c r="BD239" s="37">
        <f t="shared" ca="1" si="369"/>
        <v>1096938</v>
      </c>
      <c r="BE239" s="37">
        <f t="shared" ca="1" si="369"/>
        <v>457500</v>
      </c>
      <c r="BF239" s="37">
        <f t="shared" ca="1" si="369"/>
        <v>765876</v>
      </c>
      <c r="BG239" s="37">
        <f t="shared" ca="1" si="369"/>
        <v>608700</v>
      </c>
      <c r="BH239" s="37">
        <f t="shared" ca="1" si="369"/>
        <v>667776</v>
      </c>
      <c r="BI239" s="37">
        <f t="shared" ca="1" si="369"/>
        <v>665865</v>
      </c>
      <c r="BJ239" s="37">
        <f t="shared" ref="BJ239:CS239" ca="1" si="370">SUM(BJ214:BJ238)</f>
        <v>2319804</v>
      </c>
      <c r="BK239" s="37">
        <f t="shared" ca="1" si="370"/>
        <v>2254973.4</v>
      </c>
      <c r="BL239" s="37">
        <f t="shared" ca="1" si="370"/>
        <v>1008990</v>
      </c>
      <c r="BM239" s="37">
        <f t="shared" ca="1" si="370"/>
        <v>949707</v>
      </c>
      <c r="BN239" s="37">
        <f t="shared" ca="1" si="370"/>
        <v>1612588.8</v>
      </c>
      <c r="BO239" s="37">
        <f t="shared" ca="1" si="370"/>
        <v>1951852.5</v>
      </c>
      <c r="BP239" s="37">
        <f t="shared" ca="1" si="370"/>
        <v>3787473</v>
      </c>
      <c r="BQ239" s="37">
        <f t="shared" ca="1" si="370"/>
        <v>1353612</v>
      </c>
      <c r="BR239" s="37">
        <f t="shared" ca="1" si="370"/>
        <v>2260340.4</v>
      </c>
      <c r="BS239" s="37">
        <f t="shared" ca="1" si="370"/>
        <v>1584900</v>
      </c>
      <c r="BT239" s="37">
        <f t="shared" ca="1" si="370"/>
        <v>2252484</v>
      </c>
      <c r="BU239" s="37">
        <f t="shared" ca="1" si="370"/>
        <v>1920988.5</v>
      </c>
      <c r="BV239" s="37">
        <f t="shared" ca="1" si="370"/>
        <v>5014680</v>
      </c>
      <c r="BW239" s="37">
        <f t="shared" ca="1" si="370"/>
        <v>4684809</v>
      </c>
      <c r="BX239" s="37">
        <f t="shared" ca="1" si="370"/>
        <v>1929937.5</v>
      </c>
      <c r="BY239" s="37">
        <f t="shared" ca="1" si="370"/>
        <v>1642211.25</v>
      </c>
      <c r="BZ239" s="37">
        <f t="shared" ca="1" si="370"/>
        <v>3298260</v>
      </c>
      <c r="CA239" s="37">
        <f t="shared" ca="1" si="370"/>
        <v>3646861.875</v>
      </c>
      <c r="CB239" s="37">
        <f t="shared" ca="1" si="370"/>
        <v>9038433.75</v>
      </c>
      <c r="CC239" s="37">
        <f t="shared" ca="1" si="370"/>
        <v>2388243</v>
      </c>
      <c r="CD239" s="37">
        <f t="shared" ca="1" si="370"/>
        <v>4922113.5</v>
      </c>
      <c r="CE239" s="37">
        <f t="shared" ca="1" si="370"/>
        <v>2406975</v>
      </c>
      <c r="CF239" s="37">
        <f t="shared" ca="1" si="370"/>
        <v>4893747</v>
      </c>
      <c r="CG239" s="37">
        <f t="shared" ca="1" si="370"/>
        <v>3774661.875</v>
      </c>
      <c r="CH239" s="37">
        <f t="shared" ca="1" si="370"/>
        <v>9391222.5</v>
      </c>
      <c r="CI239" s="37">
        <f t="shared" ca="1" si="370"/>
        <v>7798338.9000000004</v>
      </c>
      <c r="CJ239" s="37">
        <f t="shared" ca="1" si="370"/>
        <v>3278958.75</v>
      </c>
      <c r="CK239" s="37">
        <f t="shared" ca="1" si="370"/>
        <v>2403286.875</v>
      </c>
      <c r="CL239" s="37">
        <f t="shared" ca="1" si="370"/>
        <v>5326124.4000000004</v>
      </c>
      <c r="CM239" s="37">
        <f t="shared" ca="1" si="370"/>
        <v>5718152.8125</v>
      </c>
      <c r="CN239" s="37">
        <f t="shared" ca="1" si="370"/>
        <v>17401100.625</v>
      </c>
      <c r="CO239" s="37">
        <f t="shared" ca="1" si="370"/>
        <v>3600000.9</v>
      </c>
      <c r="CP239" s="37">
        <f t="shared" ca="1" si="370"/>
        <v>8819016.75</v>
      </c>
      <c r="CQ239" s="37">
        <f t="shared" ca="1" si="370"/>
        <v>3170542.5</v>
      </c>
      <c r="CR239" s="37">
        <f t="shared" ca="1" si="370"/>
        <v>8147232.9000000004</v>
      </c>
      <c r="CS239" s="37">
        <f t="shared" ca="1" si="370"/>
        <v>6071492.8125</v>
      </c>
      <c r="CT239" s="37">
        <f t="shared" ref="CT239:CV239" ca="1" si="371">SUM(CT214:CT238)</f>
        <v>1230941.25</v>
      </c>
      <c r="CU239" s="37">
        <f t="shared" ca="1" si="371"/>
        <v>909450</v>
      </c>
      <c r="CV239" s="37">
        <f t="shared" ca="1" si="371"/>
        <v>0</v>
      </c>
      <c r="CW239" s="21"/>
    </row>
    <row r="240" spans="3:101" x14ac:dyDescent="0.25">
      <c r="D240" t="s">
        <v>165</v>
      </c>
      <c r="Z240" s="48">
        <f t="shared" ref="Z240:BH240" ca="1" si="372">SUM(X154:X164,Z165:Z175)-Z239</f>
        <v>0</v>
      </c>
      <c r="AA240" s="48">
        <f t="shared" ca="1" si="372"/>
        <v>0</v>
      </c>
      <c r="AB240" s="48">
        <f t="shared" ca="1" si="372"/>
        <v>0</v>
      </c>
      <c r="AC240" s="48">
        <f t="shared" ca="1" si="372"/>
        <v>0</v>
      </c>
      <c r="AD240" s="48">
        <f t="shared" ca="1" si="372"/>
        <v>0</v>
      </c>
      <c r="AE240" s="48">
        <f t="shared" ca="1" si="372"/>
        <v>0</v>
      </c>
      <c r="AF240" s="48">
        <f t="shared" ca="1" si="372"/>
        <v>0</v>
      </c>
      <c r="AG240" s="48">
        <f t="shared" ca="1" si="372"/>
        <v>0</v>
      </c>
      <c r="AH240" s="48">
        <f t="shared" ca="1" si="372"/>
        <v>0</v>
      </c>
      <c r="AI240" s="48">
        <f t="shared" ca="1" si="372"/>
        <v>0</v>
      </c>
      <c r="AJ240" s="48">
        <f t="shared" ca="1" si="372"/>
        <v>0</v>
      </c>
      <c r="AK240" s="48">
        <f t="shared" ca="1" si="372"/>
        <v>0</v>
      </c>
      <c r="AL240" s="48">
        <f t="shared" ca="1" si="372"/>
        <v>0</v>
      </c>
      <c r="AM240" s="48">
        <f t="shared" ca="1" si="372"/>
        <v>0</v>
      </c>
      <c r="AN240" s="48">
        <f t="shared" ca="1" si="372"/>
        <v>0</v>
      </c>
      <c r="AO240" s="48">
        <f t="shared" ca="1" si="372"/>
        <v>0</v>
      </c>
      <c r="AP240" s="48">
        <f t="shared" ca="1" si="372"/>
        <v>0</v>
      </c>
      <c r="AQ240" s="48">
        <f t="shared" ca="1" si="372"/>
        <v>0</v>
      </c>
      <c r="AR240" s="48">
        <f t="shared" ca="1" si="372"/>
        <v>0</v>
      </c>
      <c r="AS240" s="48">
        <f t="shared" ca="1" si="372"/>
        <v>0</v>
      </c>
      <c r="AT240" s="48">
        <f t="shared" ca="1" si="372"/>
        <v>0</v>
      </c>
      <c r="AU240" s="48">
        <f t="shared" ca="1" si="372"/>
        <v>0</v>
      </c>
      <c r="AV240" s="48">
        <f t="shared" ca="1" si="372"/>
        <v>0</v>
      </c>
      <c r="AW240" s="48">
        <f t="shared" ca="1" si="372"/>
        <v>0</v>
      </c>
      <c r="AX240" s="48">
        <f t="shared" ca="1" si="372"/>
        <v>0</v>
      </c>
      <c r="AY240" s="48">
        <f t="shared" ca="1" si="372"/>
        <v>0</v>
      </c>
      <c r="AZ240" s="48">
        <f t="shared" ca="1" si="372"/>
        <v>0</v>
      </c>
      <c r="BA240" s="48">
        <f t="shared" ca="1" si="372"/>
        <v>0</v>
      </c>
      <c r="BB240" s="48">
        <f t="shared" ca="1" si="372"/>
        <v>0</v>
      </c>
      <c r="BC240" s="48">
        <f t="shared" ca="1" si="372"/>
        <v>0</v>
      </c>
      <c r="BD240" s="48">
        <f t="shared" ca="1" si="372"/>
        <v>0</v>
      </c>
      <c r="BE240" s="48">
        <f t="shared" ca="1" si="372"/>
        <v>0</v>
      </c>
      <c r="BF240" s="48">
        <f t="shared" ca="1" si="372"/>
        <v>0</v>
      </c>
      <c r="BG240" s="48">
        <f t="shared" ca="1" si="372"/>
        <v>0</v>
      </c>
      <c r="BH240" s="48">
        <f t="shared" ca="1" si="372"/>
        <v>0</v>
      </c>
      <c r="BI240" s="48">
        <f ca="1">SUM(BG154:BG164,BI165:BI175)-BI239</f>
        <v>0</v>
      </c>
      <c r="BJ240" s="48">
        <f t="shared" ref="BJ240:CS240" ca="1" si="373">SUM(BH154:BH164,BJ165:BJ175)-BJ239</f>
        <v>0</v>
      </c>
      <c r="BK240" s="48">
        <f t="shared" ca="1" si="373"/>
        <v>0</v>
      </c>
      <c r="BL240" s="48">
        <f t="shared" ca="1" si="373"/>
        <v>0</v>
      </c>
      <c r="BM240" s="48">
        <f t="shared" ca="1" si="373"/>
        <v>0</v>
      </c>
      <c r="BN240" s="48">
        <f t="shared" ca="1" si="373"/>
        <v>0</v>
      </c>
      <c r="BO240" s="48">
        <f t="shared" ca="1" si="373"/>
        <v>0</v>
      </c>
      <c r="BP240" s="48">
        <f t="shared" ca="1" si="373"/>
        <v>0</v>
      </c>
      <c r="BQ240" s="48">
        <f t="shared" ca="1" si="373"/>
        <v>0</v>
      </c>
      <c r="BR240" s="48">
        <f t="shared" ca="1" si="373"/>
        <v>0</v>
      </c>
      <c r="BS240" s="48">
        <f t="shared" ca="1" si="373"/>
        <v>0</v>
      </c>
      <c r="BT240" s="48">
        <f t="shared" ca="1" si="373"/>
        <v>0</v>
      </c>
      <c r="BU240" s="48">
        <f t="shared" ca="1" si="373"/>
        <v>0</v>
      </c>
      <c r="BV240" s="48">
        <f t="shared" ca="1" si="373"/>
        <v>0</v>
      </c>
      <c r="BW240" s="48">
        <f t="shared" ca="1" si="373"/>
        <v>0</v>
      </c>
      <c r="BX240" s="48">
        <f t="shared" ca="1" si="373"/>
        <v>0</v>
      </c>
      <c r="BY240" s="48">
        <f t="shared" ca="1" si="373"/>
        <v>0</v>
      </c>
      <c r="BZ240" s="48">
        <f t="shared" ca="1" si="373"/>
        <v>0</v>
      </c>
      <c r="CA240" s="48">
        <f t="shared" ca="1" si="373"/>
        <v>0</v>
      </c>
      <c r="CB240" s="48">
        <f t="shared" ca="1" si="373"/>
        <v>0</v>
      </c>
      <c r="CC240" s="48">
        <f t="shared" ca="1" si="373"/>
        <v>0</v>
      </c>
      <c r="CD240" s="48">
        <f t="shared" ca="1" si="373"/>
        <v>0</v>
      </c>
      <c r="CE240" s="48">
        <f t="shared" ca="1" si="373"/>
        <v>0</v>
      </c>
      <c r="CF240" s="48">
        <f t="shared" ca="1" si="373"/>
        <v>0</v>
      </c>
      <c r="CG240" s="48">
        <f t="shared" ca="1" si="373"/>
        <v>0</v>
      </c>
      <c r="CH240" s="48">
        <f t="shared" ca="1" si="373"/>
        <v>0</v>
      </c>
      <c r="CI240" s="48">
        <f t="shared" ca="1" si="373"/>
        <v>0</v>
      </c>
      <c r="CJ240" s="48">
        <f t="shared" ca="1" si="373"/>
        <v>0</v>
      </c>
      <c r="CK240" s="48">
        <f t="shared" ca="1" si="373"/>
        <v>0</v>
      </c>
      <c r="CL240" s="48">
        <f t="shared" ca="1" si="373"/>
        <v>0</v>
      </c>
      <c r="CM240" s="48">
        <f t="shared" ca="1" si="373"/>
        <v>0</v>
      </c>
      <c r="CN240" s="48">
        <f t="shared" ca="1" si="373"/>
        <v>0</v>
      </c>
      <c r="CO240" s="48">
        <f t="shared" ca="1" si="373"/>
        <v>0</v>
      </c>
      <c r="CP240" s="48">
        <f t="shared" ca="1" si="373"/>
        <v>0</v>
      </c>
      <c r="CQ240" s="48">
        <f t="shared" ca="1" si="373"/>
        <v>0</v>
      </c>
      <c r="CR240" s="48">
        <f t="shared" ca="1" si="373"/>
        <v>0</v>
      </c>
      <c r="CS240" s="48">
        <f t="shared" ca="1" si="373"/>
        <v>0</v>
      </c>
      <c r="CT240" s="48">
        <f ca="1">SUM(BH154:BH164,CT165:CT175)-CT239</f>
        <v>-1124153.25</v>
      </c>
      <c r="CU240" s="48">
        <f ca="1">SUM(BI154:BI164,CU165:CU175)-CU239</f>
        <v>-810615</v>
      </c>
      <c r="CV240" s="48">
        <f t="shared" ref="CV240" ca="1" si="374">SUM(CT154:CT164,CV165:CV175)-CV239</f>
        <v>0</v>
      </c>
    </row>
    <row r="243" spans="3:101" x14ac:dyDescent="0.25">
      <c r="C243" s="50" t="s">
        <v>164</v>
      </c>
      <c r="D243" s="52" t="s">
        <v>166</v>
      </c>
      <c r="F243" s="47"/>
      <c r="G243" s="21"/>
      <c r="H243" s="21"/>
      <c r="I243" s="21"/>
      <c r="J243" s="21"/>
      <c r="K243" s="21"/>
      <c r="L243" s="21"/>
      <c r="M243" s="21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21"/>
      <c r="CU243" s="21"/>
      <c r="CV243" s="21"/>
      <c r="CW243" s="21"/>
    </row>
    <row r="244" spans="3:101" x14ac:dyDescent="0.25">
      <c r="C244" s="49" t="str">
        <f>CONCATENATE(D244,E244)</f>
        <v>BARIWholesale</v>
      </c>
      <c r="D244" s="35" t="str">
        <f>[1]Key!C$12</f>
        <v>BARI</v>
      </c>
      <c r="E244" s="35" t="str">
        <f>[1]contras!H124</f>
        <v>Wholesale</v>
      </c>
      <c r="F244" s="41"/>
      <c r="H244" s="21"/>
      <c r="I244" s="21"/>
      <c r="J244" s="21"/>
      <c r="K244" s="21"/>
      <c r="L244" s="21"/>
      <c r="M244" s="21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36">
        <f ca="1">Y244+Z94-Z184-Z214</f>
        <v>0</v>
      </c>
      <c r="AA244" s="36">
        <f t="shared" ref="AA244:CV244" ca="1" si="375">Z244+AA94-AA184-AA214</f>
        <v>0</v>
      </c>
      <c r="AB244" s="36">
        <f t="shared" ca="1" si="375"/>
        <v>0</v>
      </c>
      <c r="AC244" s="36">
        <f t="shared" ca="1" si="375"/>
        <v>0</v>
      </c>
      <c r="AD244" s="36">
        <f t="shared" ca="1" si="375"/>
        <v>0</v>
      </c>
      <c r="AE244" s="36">
        <f t="shared" ca="1" si="375"/>
        <v>0</v>
      </c>
      <c r="AF244" s="36">
        <f t="shared" ca="1" si="375"/>
        <v>0</v>
      </c>
      <c r="AG244" s="36">
        <f t="shared" ca="1" si="375"/>
        <v>0</v>
      </c>
      <c r="AH244" s="36">
        <f t="shared" ca="1" si="375"/>
        <v>0</v>
      </c>
      <c r="AI244" s="36">
        <f t="shared" ca="1" si="375"/>
        <v>0</v>
      </c>
      <c r="AJ244" s="36">
        <f t="shared" ca="1" si="375"/>
        <v>0</v>
      </c>
      <c r="AK244" s="36">
        <f t="shared" ca="1" si="375"/>
        <v>0</v>
      </c>
      <c r="AL244" s="36">
        <f t="shared" ca="1" si="375"/>
        <v>37500</v>
      </c>
      <c r="AM244" s="36">
        <f t="shared" ca="1" si="375"/>
        <v>37500</v>
      </c>
      <c r="AN244" s="36">
        <f t="shared" ca="1" si="375"/>
        <v>37500</v>
      </c>
      <c r="AO244" s="36">
        <f t="shared" ca="1" si="375"/>
        <v>37500</v>
      </c>
      <c r="AP244" s="36">
        <f t="shared" ca="1" si="375"/>
        <v>0</v>
      </c>
      <c r="AQ244" s="36">
        <f t="shared" ca="1" si="375"/>
        <v>75000</v>
      </c>
      <c r="AR244" s="36">
        <f t="shared" ca="1" si="375"/>
        <v>75000</v>
      </c>
      <c r="AS244" s="36">
        <f t="shared" ca="1" si="375"/>
        <v>37500</v>
      </c>
      <c r="AT244" s="36">
        <f t="shared" ca="1" si="375"/>
        <v>112500</v>
      </c>
      <c r="AU244" s="36">
        <f t="shared" ca="1" si="375"/>
        <v>150000</v>
      </c>
      <c r="AV244" s="36">
        <f t="shared" ca="1" si="375"/>
        <v>90625</v>
      </c>
      <c r="AW244" s="36">
        <f t="shared" ca="1" si="375"/>
        <v>90625</v>
      </c>
      <c r="AX244" s="36">
        <f t="shared" ca="1" si="375"/>
        <v>187500</v>
      </c>
      <c r="AY244" s="36">
        <f t="shared" ca="1" si="375"/>
        <v>112500</v>
      </c>
      <c r="AZ244" s="36">
        <f t="shared" ca="1" si="375"/>
        <v>75000</v>
      </c>
      <c r="BA244" s="36">
        <f t="shared" ca="1" si="375"/>
        <v>75000</v>
      </c>
      <c r="BB244" s="36">
        <f t="shared" ca="1" si="375"/>
        <v>0</v>
      </c>
      <c r="BC244" s="36">
        <f t="shared" ca="1" si="375"/>
        <v>187500</v>
      </c>
      <c r="BD244" s="36">
        <f t="shared" ca="1" si="375"/>
        <v>187500</v>
      </c>
      <c r="BE244" s="36">
        <f t="shared" ca="1" si="375"/>
        <v>0</v>
      </c>
      <c r="BF244" s="36">
        <f t="shared" ca="1" si="375"/>
        <v>75000</v>
      </c>
      <c r="BG244" s="36">
        <f t="shared" ca="1" si="375"/>
        <v>225000</v>
      </c>
      <c r="BH244" s="36">
        <f t="shared" ca="1" si="375"/>
        <v>150000</v>
      </c>
      <c r="BI244" s="36">
        <f t="shared" ca="1" si="375"/>
        <v>90625</v>
      </c>
      <c r="BJ244" s="36">
        <f t="shared" ref="BJ244:BJ267" ca="1" si="376">BI244+BJ94-BJ184-BJ214</f>
        <v>315625</v>
      </c>
      <c r="BK244" s="36">
        <f t="shared" ref="BK244:BK267" ca="1" si="377">BJ244+BK94-BK184-BK214</f>
        <v>225000</v>
      </c>
      <c r="BL244" s="36">
        <f t="shared" ref="BL244:BL267" ca="1" si="378">BK244+BL94-BL184-BL214</f>
        <v>150000</v>
      </c>
      <c r="BM244" s="36">
        <f t="shared" ref="BM244:BM267" ca="1" si="379">BL244+BM94-BM184-BM214</f>
        <v>150000</v>
      </c>
      <c r="BN244" s="36">
        <f t="shared" ref="BN244:BN267" ca="1" si="380">BM244+BN94-BN184-BN214</f>
        <v>0</v>
      </c>
      <c r="BO244" s="36">
        <f t="shared" ref="BO244:BO267" ca="1" si="381">BN244+BO94-BO184-BO214</f>
        <v>375000</v>
      </c>
      <c r="BP244" s="36">
        <f t="shared" ref="BP244:BP267" ca="1" si="382">BO244+BP94-BP184-BP214</f>
        <v>375000</v>
      </c>
      <c r="BQ244" s="36">
        <f t="shared" ref="BQ244:BQ267" ca="1" si="383">BP244+BQ94-BQ184-BQ214</f>
        <v>0</v>
      </c>
      <c r="BR244" s="36">
        <f t="shared" ref="BR244:BR267" ca="1" si="384">BQ244+BR94-BR184-BR214</f>
        <v>150000</v>
      </c>
      <c r="BS244" s="36">
        <f t="shared" ref="BS244:BS267" ca="1" si="385">BR244+BS94-BS184-BS214</f>
        <v>450000</v>
      </c>
      <c r="BT244" s="36">
        <f t="shared" ref="BT244:BT267" ca="1" si="386">BS244+BT94-BT184-BT214</f>
        <v>300000</v>
      </c>
      <c r="BU244" s="36">
        <f t="shared" ref="BU244:BU267" ca="1" si="387">BT244+BU94-BU184-BU214</f>
        <v>181250</v>
      </c>
      <c r="BV244" s="36">
        <f t="shared" ref="BV244:BV267" ca="1" si="388">BU244+BV94-BV184-BV214</f>
        <v>518750</v>
      </c>
      <c r="BW244" s="36">
        <f t="shared" ref="BW244:BW267" ca="1" si="389">BV244+BW94-BW184-BW214</f>
        <v>337500</v>
      </c>
      <c r="BX244" s="36">
        <f t="shared" ref="BX244:BX267" ca="1" si="390">BW244+BX94-BX184-BX214</f>
        <v>225000</v>
      </c>
      <c r="BY244" s="36">
        <f t="shared" ref="BY244:BY267" ca="1" si="391">BX244+BY94-BY184-BY214</f>
        <v>225000</v>
      </c>
      <c r="BZ244" s="36">
        <f t="shared" ref="BZ244:BZ267" ca="1" si="392">BY244+BZ94-BZ184-BZ214</f>
        <v>0</v>
      </c>
      <c r="CA244" s="36">
        <f t="shared" ref="CA244:CA267" ca="1" si="393">BZ244+CA94-CA184-CA214</f>
        <v>562500</v>
      </c>
      <c r="CB244" s="36">
        <f t="shared" ref="CB244:CB267" ca="1" si="394">CA244+CB94-CB184-CB214</f>
        <v>562500</v>
      </c>
      <c r="CC244" s="36">
        <f t="shared" ref="CC244:CC267" ca="1" si="395">CB244+CC94-CC184-CC214</f>
        <v>0</v>
      </c>
      <c r="CD244" s="36">
        <f t="shared" ref="CD244:CD267" ca="1" si="396">CC244+CD94-CD184-CD214</f>
        <v>225000</v>
      </c>
      <c r="CE244" s="36">
        <f t="shared" ref="CE244:CE267" ca="1" si="397">CD244+CE94-CE184-CE214</f>
        <v>675000</v>
      </c>
      <c r="CF244" s="36">
        <f t="shared" ref="CF244:CF267" ca="1" si="398">CE244+CF94-CF184-CF214</f>
        <v>450000</v>
      </c>
      <c r="CG244" s="36">
        <f t="shared" ref="CG244:CG267" ca="1" si="399">CF244+CG94-CG184-CG214</f>
        <v>271875</v>
      </c>
      <c r="CH244" s="36">
        <f t="shared" ref="CH244:CH267" ca="1" si="400">CG244+CH94-CH184-CH214</f>
        <v>710625</v>
      </c>
      <c r="CI244" s="36">
        <f t="shared" ref="CI244:CI267" ca="1" si="401">CH244+CI94-CI184-CI214</f>
        <v>438750</v>
      </c>
      <c r="CJ244" s="36">
        <f t="shared" ref="CJ244:CJ267" ca="1" si="402">CI244+CJ94-CJ184-CJ214</f>
        <v>292500</v>
      </c>
      <c r="CK244" s="36">
        <f t="shared" ref="CK244:CK267" ca="1" si="403">CJ244+CK94-CK184-CK214</f>
        <v>292500</v>
      </c>
      <c r="CL244" s="36">
        <f t="shared" ref="CL244:CL267" ca="1" si="404">CK244+CL94-CL184-CL214</f>
        <v>0</v>
      </c>
      <c r="CM244" s="36">
        <f t="shared" ref="CM244:CM267" ca="1" si="405">CL244+CM94-CM184-CM214</f>
        <v>731250</v>
      </c>
      <c r="CN244" s="36">
        <f t="shared" ref="CN244:CN267" ca="1" si="406">CM244+CN94-CN184-CN214</f>
        <v>731250</v>
      </c>
      <c r="CO244" s="36">
        <f t="shared" ref="CO244:CO267" ca="1" si="407">CN244+CO94-CO184-CO214</f>
        <v>0</v>
      </c>
      <c r="CP244" s="36">
        <f t="shared" ref="CP244:CP267" ca="1" si="408">CO244+CP94-CP184-CP214</f>
        <v>292500</v>
      </c>
      <c r="CQ244" s="36">
        <f t="shared" ref="CQ244:CQ267" ca="1" si="409">CP244+CQ94-CQ184-CQ214</f>
        <v>877500</v>
      </c>
      <c r="CR244" s="36">
        <f t="shared" ref="CR244:CR267" ca="1" si="410">CQ244+CR94-CR184-CR214</f>
        <v>585000</v>
      </c>
      <c r="CS244" s="36">
        <f t="shared" ref="CS244:CS267" ca="1" si="411">CR244+CS94-CS184-CS214</f>
        <v>353437.5</v>
      </c>
      <c r="CT244" s="36">
        <f t="shared" ref="CT244:CT267" ca="1" si="412">CS244+CT94-CT184-CT214</f>
        <v>353437.5</v>
      </c>
      <c r="CU244" s="36">
        <f t="shared" ca="1" si="375"/>
        <v>0</v>
      </c>
      <c r="CV244" s="36">
        <f t="shared" ca="1" si="375"/>
        <v>0</v>
      </c>
      <c r="CW244" s="21"/>
    </row>
    <row r="245" spans="3:101" x14ac:dyDescent="0.25">
      <c r="C245" s="49" t="str">
        <f t="shared" ref="C245:C265" si="413">CONCATENATE(D245,E245)</f>
        <v>BRAIN DEAD OAKLEYWholesale</v>
      </c>
      <c r="D245" s="35" t="str">
        <f>[1]Key!C$13</f>
        <v>BRAIN DEAD OAKLEY</v>
      </c>
      <c r="E245" s="35" t="str">
        <f>[1]contras!H125</f>
        <v>Wholesale</v>
      </c>
      <c r="F245" s="41"/>
      <c r="G245" s="21"/>
      <c r="H245" s="21"/>
      <c r="I245" s="21"/>
      <c r="J245" s="21"/>
      <c r="K245" s="21"/>
      <c r="L245" s="21"/>
      <c r="M245" s="21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36">
        <f t="shared" ref="Z245:CV245" ca="1" si="414">Y245+Z95-Z185-Z215</f>
        <v>0</v>
      </c>
      <c r="AA245" s="36">
        <f t="shared" ca="1" si="414"/>
        <v>0</v>
      </c>
      <c r="AB245" s="36">
        <f t="shared" ca="1" si="414"/>
        <v>0</v>
      </c>
      <c r="AC245" s="36">
        <f t="shared" ca="1" si="414"/>
        <v>0</v>
      </c>
      <c r="AD245" s="36">
        <f t="shared" ca="1" si="414"/>
        <v>0</v>
      </c>
      <c r="AE245" s="36">
        <f t="shared" ca="1" si="414"/>
        <v>0</v>
      </c>
      <c r="AF245" s="36">
        <f t="shared" ca="1" si="414"/>
        <v>0</v>
      </c>
      <c r="AG245" s="36">
        <f t="shared" ca="1" si="414"/>
        <v>0</v>
      </c>
      <c r="AH245" s="36">
        <f t="shared" ca="1" si="414"/>
        <v>0</v>
      </c>
      <c r="AI245" s="36">
        <f t="shared" ca="1" si="414"/>
        <v>0</v>
      </c>
      <c r="AJ245" s="36">
        <f t="shared" ca="1" si="414"/>
        <v>49600</v>
      </c>
      <c r="AK245" s="36">
        <f t="shared" ca="1" si="414"/>
        <v>49600</v>
      </c>
      <c r="AL245" s="36">
        <f t="shared" ca="1" si="414"/>
        <v>0</v>
      </c>
      <c r="AM245" s="36">
        <f t="shared" ca="1" si="414"/>
        <v>148800</v>
      </c>
      <c r="AN245" s="36">
        <f t="shared" ca="1" si="414"/>
        <v>186000</v>
      </c>
      <c r="AO245" s="36">
        <f t="shared" ca="1" si="414"/>
        <v>37200</v>
      </c>
      <c r="AP245" s="36">
        <f t="shared" ca="1" si="414"/>
        <v>0</v>
      </c>
      <c r="AQ245" s="36">
        <f t="shared" ca="1" si="414"/>
        <v>0</v>
      </c>
      <c r="AR245" s="36">
        <f t="shared" ca="1" si="414"/>
        <v>74400</v>
      </c>
      <c r="AS245" s="36">
        <f t="shared" ca="1" si="414"/>
        <v>74400</v>
      </c>
      <c r="AT245" s="36">
        <f t="shared" ca="1" si="414"/>
        <v>297600</v>
      </c>
      <c r="AU245" s="36">
        <f t="shared" ca="1" si="414"/>
        <v>297600</v>
      </c>
      <c r="AV245" s="36">
        <f t="shared" ca="1" si="414"/>
        <v>0</v>
      </c>
      <c r="AW245" s="36">
        <f t="shared" ca="1" si="414"/>
        <v>0</v>
      </c>
      <c r="AX245" s="36">
        <f t="shared" ca="1" si="414"/>
        <v>0</v>
      </c>
      <c r="AY245" s="36">
        <f t="shared" ca="1" si="414"/>
        <v>279000</v>
      </c>
      <c r="AZ245" s="36">
        <f t="shared" ca="1" si="414"/>
        <v>279000</v>
      </c>
      <c r="BA245" s="36">
        <f t="shared" ca="1" si="414"/>
        <v>0</v>
      </c>
      <c r="BB245" s="36">
        <f t="shared" ca="1" si="414"/>
        <v>0</v>
      </c>
      <c r="BC245" s="36">
        <f t="shared" ca="1" si="414"/>
        <v>0</v>
      </c>
      <c r="BD245" s="36">
        <f t="shared" ca="1" si="414"/>
        <v>0</v>
      </c>
      <c r="BE245" s="36">
        <f t="shared" ca="1" si="414"/>
        <v>0</v>
      </c>
      <c r="BF245" s="36">
        <f t="shared" ca="1" si="414"/>
        <v>613800</v>
      </c>
      <c r="BG245" s="36">
        <f t="shared" ca="1" si="414"/>
        <v>613800</v>
      </c>
      <c r="BH245" s="36">
        <f t="shared" ca="1" si="414"/>
        <v>0</v>
      </c>
      <c r="BI245" s="36">
        <f t="shared" ca="1" si="414"/>
        <v>0</v>
      </c>
      <c r="BJ245" s="36">
        <f t="shared" ca="1" si="376"/>
        <v>0</v>
      </c>
      <c r="BK245" s="36">
        <f t="shared" ca="1" si="377"/>
        <v>558000</v>
      </c>
      <c r="BL245" s="36">
        <f t="shared" ca="1" si="378"/>
        <v>558000</v>
      </c>
      <c r="BM245" s="36">
        <f t="shared" ca="1" si="379"/>
        <v>0</v>
      </c>
      <c r="BN245" s="36">
        <f t="shared" ca="1" si="380"/>
        <v>0</v>
      </c>
      <c r="BO245" s="36">
        <f t="shared" ca="1" si="381"/>
        <v>0</v>
      </c>
      <c r="BP245" s="36">
        <f t="shared" ca="1" si="382"/>
        <v>0</v>
      </c>
      <c r="BQ245" s="36">
        <f t="shared" ca="1" si="383"/>
        <v>0</v>
      </c>
      <c r="BR245" s="36">
        <f t="shared" ca="1" si="384"/>
        <v>1227600</v>
      </c>
      <c r="BS245" s="36">
        <f t="shared" ca="1" si="385"/>
        <v>1227600</v>
      </c>
      <c r="BT245" s="36">
        <f t="shared" ca="1" si="386"/>
        <v>0</v>
      </c>
      <c r="BU245" s="36">
        <f t="shared" ca="1" si="387"/>
        <v>0</v>
      </c>
      <c r="BV245" s="36">
        <f t="shared" ca="1" si="388"/>
        <v>0</v>
      </c>
      <c r="BW245" s="36">
        <f t="shared" ca="1" si="389"/>
        <v>837000</v>
      </c>
      <c r="BX245" s="36">
        <f t="shared" ca="1" si="390"/>
        <v>837000</v>
      </c>
      <c r="BY245" s="36">
        <f t="shared" ca="1" si="391"/>
        <v>0</v>
      </c>
      <c r="BZ245" s="36">
        <f t="shared" ca="1" si="392"/>
        <v>0</v>
      </c>
      <c r="CA245" s="36">
        <f t="shared" ca="1" si="393"/>
        <v>0</v>
      </c>
      <c r="CB245" s="36">
        <f t="shared" ca="1" si="394"/>
        <v>0</v>
      </c>
      <c r="CC245" s="36">
        <f t="shared" ca="1" si="395"/>
        <v>0</v>
      </c>
      <c r="CD245" s="36">
        <f t="shared" ca="1" si="396"/>
        <v>1841400</v>
      </c>
      <c r="CE245" s="36">
        <f t="shared" ca="1" si="397"/>
        <v>1841400</v>
      </c>
      <c r="CF245" s="36">
        <f t="shared" ca="1" si="398"/>
        <v>0</v>
      </c>
      <c r="CG245" s="36">
        <f t="shared" ca="1" si="399"/>
        <v>0</v>
      </c>
      <c r="CH245" s="36">
        <f t="shared" ca="1" si="400"/>
        <v>0</v>
      </c>
      <c r="CI245" s="36">
        <f t="shared" ca="1" si="401"/>
        <v>1088100</v>
      </c>
      <c r="CJ245" s="36">
        <f t="shared" ca="1" si="402"/>
        <v>1088100</v>
      </c>
      <c r="CK245" s="36">
        <f t="shared" ca="1" si="403"/>
        <v>0</v>
      </c>
      <c r="CL245" s="36">
        <f t="shared" ca="1" si="404"/>
        <v>0</v>
      </c>
      <c r="CM245" s="36">
        <f t="shared" ca="1" si="405"/>
        <v>0</v>
      </c>
      <c r="CN245" s="36">
        <f t="shared" ca="1" si="406"/>
        <v>0</v>
      </c>
      <c r="CO245" s="36">
        <f t="shared" ca="1" si="407"/>
        <v>0</v>
      </c>
      <c r="CP245" s="36">
        <f t="shared" ca="1" si="408"/>
        <v>2393820</v>
      </c>
      <c r="CQ245" s="36">
        <f t="shared" ca="1" si="409"/>
        <v>2393820</v>
      </c>
      <c r="CR245" s="36">
        <f t="shared" ca="1" si="410"/>
        <v>0</v>
      </c>
      <c r="CS245" s="36">
        <f t="shared" ca="1" si="411"/>
        <v>0</v>
      </c>
      <c r="CT245" s="36">
        <f t="shared" ca="1" si="412"/>
        <v>0</v>
      </c>
      <c r="CU245" s="36">
        <f t="shared" ca="1" si="414"/>
        <v>0</v>
      </c>
      <c r="CV245" s="36">
        <f t="shared" ca="1" si="414"/>
        <v>0</v>
      </c>
      <c r="CW245" s="21"/>
    </row>
    <row r="246" spans="3:101" x14ac:dyDescent="0.25">
      <c r="C246" s="49" t="str">
        <f t="shared" si="413"/>
        <v>GROWTH "HIT" PHWholesale</v>
      </c>
      <c r="D246" s="35" t="str">
        <f>[1]Key!C$14</f>
        <v>GROWTH "HIT" PH</v>
      </c>
      <c r="E246" s="35" t="str">
        <f>[1]contras!H126</f>
        <v>Wholesale</v>
      </c>
      <c r="F246" s="41"/>
      <c r="G246" s="21"/>
      <c r="H246" s="21"/>
      <c r="I246" s="21"/>
      <c r="J246" s="21"/>
      <c r="K246" s="21"/>
      <c r="L246" s="21"/>
      <c r="M246" s="21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36">
        <f t="shared" ref="Z246:CV246" ca="1" si="415">Y246+Z96-Z186-Z216</f>
        <v>0</v>
      </c>
      <c r="AA246" s="36">
        <f t="shared" ca="1" si="415"/>
        <v>0</v>
      </c>
      <c r="AB246" s="36">
        <f t="shared" ca="1" si="415"/>
        <v>0</v>
      </c>
      <c r="AC246" s="36">
        <f t="shared" ca="1" si="415"/>
        <v>0</v>
      </c>
      <c r="AD246" s="36">
        <f t="shared" ca="1" si="415"/>
        <v>0</v>
      </c>
      <c r="AE246" s="36">
        <f t="shared" ca="1" si="415"/>
        <v>0</v>
      </c>
      <c r="AF246" s="36">
        <f t="shared" ca="1" si="415"/>
        <v>0</v>
      </c>
      <c r="AG246" s="36">
        <f t="shared" ca="1" si="415"/>
        <v>0</v>
      </c>
      <c r="AH246" s="36">
        <f t="shared" ca="1" si="415"/>
        <v>0</v>
      </c>
      <c r="AI246" s="36">
        <f t="shared" ca="1" si="415"/>
        <v>0</v>
      </c>
      <c r="AJ246" s="36">
        <f t="shared" ca="1" si="415"/>
        <v>0</v>
      </c>
      <c r="AK246" s="36">
        <f t="shared" ca="1" si="415"/>
        <v>0</v>
      </c>
      <c r="AL246" s="36">
        <f t="shared" ca="1" si="415"/>
        <v>0</v>
      </c>
      <c r="AM246" s="36">
        <f t="shared" ca="1" si="415"/>
        <v>0</v>
      </c>
      <c r="AN246" s="36">
        <f t="shared" ca="1" si="415"/>
        <v>0</v>
      </c>
      <c r="AO246" s="36">
        <f t="shared" ca="1" si="415"/>
        <v>0</v>
      </c>
      <c r="AP246" s="36">
        <f t="shared" ca="1" si="415"/>
        <v>0</v>
      </c>
      <c r="AQ246" s="36">
        <f t="shared" ca="1" si="415"/>
        <v>0</v>
      </c>
      <c r="AR246" s="36">
        <f t="shared" ca="1" si="415"/>
        <v>0</v>
      </c>
      <c r="AS246" s="36">
        <f t="shared" ca="1" si="415"/>
        <v>0</v>
      </c>
      <c r="AT246" s="36">
        <f t="shared" ca="1" si="415"/>
        <v>0</v>
      </c>
      <c r="AU246" s="36">
        <f t="shared" ca="1" si="415"/>
        <v>350000</v>
      </c>
      <c r="AV246" s="36">
        <f t="shared" ca="1" si="415"/>
        <v>350000</v>
      </c>
      <c r="AW246" s="36">
        <f t="shared" ca="1" si="415"/>
        <v>0</v>
      </c>
      <c r="AX246" s="36">
        <f t="shared" ca="1" si="415"/>
        <v>750000</v>
      </c>
      <c r="AY246" s="36">
        <f t="shared" ca="1" si="415"/>
        <v>750000</v>
      </c>
      <c r="AZ246" s="36">
        <f t="shared" ca="1" si="415"/>
        <v>0</v>
      </c>
      <c r="BA246" s="36">
        <f t="shared" ca="1" si="415"/>
        <v>750000</v>
      </c>
      <c r="BB246" s="36">
        <f t="shared" ca="1" si="415"/>
        <v>750000</v>
      </c>
      <c r="BC246" s="36">
        <f t="shared" ca="1" si="415"/>
        <v>0</v>
      </c>
      <c r="BD246" s="36">
        <f t="shared" ca="1" si="415"/>
        <v>937500</v>
      </c>
      <c r="BE246" s="36">
        <f t="shared" ca="1" si="415"/>
        <v>937500</v>
      </c>
      <c r="BF246" s="36">
        <f t="shared" ca="1" si="415"/>
        <v>0</v>
      </c>
      <c r="BG246" s="36">
        <f t="shared" ca="1" si="415"/>
        <v>1312500</v>
      </c>
      <c r="BH246" s="36">
        <f t="shared" ca="1" si="415"/>
        <v>1312500</v>
      </c>
      <c r="BI246" s="36">
        <f t="shared" ca="1" si="415"/>
        <v>0</v>
      </c>
      <c r="BJ246" s="36">
        <f t="shared" ca="1" si="376"/>
        <v>1500000</v>
      </c>
      <c r="BK246" s="36">
        <f t="shared" ca="1" si="377"/>
        <v>1500000</v>
      </c>
      <c r="BL246" s="36">
        <f t="shared" ca="1" si="378"/>
        <v>0</v>
      </c>
      <c r="BM246" s="36">
        <f t="shared" ca="1" si="379"/>
        <v>1500000</v>
      </c>
      <c r="BN246" s="36">
        <f t="shared" ca="1" si="380"/>
        <v>1500000</v>
      </c>
      <c r="BO246" s="36">
        <f t="shared" ca="1" si="381"/>
        <v>0</v>
      </c>
      <c r="BP246" s="36">
        <f t="shared" ca="1" si="382"/>
        <v>1875000</v>
      </c>
      <c r="BQ246" s="36">
        <f t="shared" ca="1" si="383"/>
        <v>1875000</v>
      </c>
      <c r="BR246" s="36">
        <f t="shared" ca="1" si="384"/>
        <v>0</v>
      </c>
      <c r="BS246" s="36">
        <f t="shared" ca="1" si="385"/>
        <v>2625000</v>
      </c>
      <c r="BT246" s="36">
        <f t="shared" ca="1" si="386"/>
        <v>2625000</v>
      </c>
      <c r="BU246" s="36">
        <f t="shared" ca="1" si="387"/>
        <v>0</v>
      </c>
      <c r="BV246" s="36">
        <f t="shared" ca="1" si="388"/>
        <v>2250000</v>
      </c>
      <c r="BW246" s="36">
        <f t="shared" ca="1" si="389"/>
        <v>2250000</v>
      </c>
      <c r="BX246" s="36">
        <f t="shared" ca="1" si="390"/>
        <v>0</v>
      </c>
      <c r="BY246" s="36">
        <f t="shared" ca="1" si="391"/>
        <v>2250000</v>
      </c>
      <c r="BZ246" s="36">
        <f t="shared" ca="1" si="392"/>
        <v>2250000</v>
      </c>
      <c r="CA246" s="36">
        <f t="shared" ca="1" si="393"/>
        <v>0</v>
      </c>
      <c r="CB246" s="36">
        <f t="shared" ca="1" si="394"/>
        <v>2812500</v>
      </c>
      <c r="CC246" s="36">
        <f t="shared" ca="1" si="395"/>
        <v>2812500</v>
      </c>
      <c r="CD246" s="36">
        <f t="shared" ca="1" si="396"/>
        <v>0</v>
      </c>
      <c r="CE246" s="36">
        <f t="shared" ca="1" si="397"/>
        <v>3937500</v>
      </c>
      <c r="CF246" s="36">
        <f t="shared" ca="1" si="398"/>
        <v>3937500</v>
      </c>
      <c r="CG246" s="36">
        <f t="shared" ca="1" si="399"/>
        <v>0</v>
      </c>
      <c r="CH246" s="36">
        <f t="shared" ca="1" si="400"/>
        <v>2925000</v>
      </c>
      <c r="CI246" s="36">
        <f t="shared" ca="1" si="401"/>
        <v>2925000</v>
      </c>
      <c r="CJ246" s="36">
        <f t="shared" ca="1" si="402"/>
        <v>0</v>
      </c>
      <c r="CK246" s="36">
        <f t="shared" ca="1" si="403"/>
        <v>2925000</v>
      </c>
      <c r="CL246" s="36">
        <f t="shared" ca="1" si="404"/>
        <v>2925000</v>
      </c>
      <c r="CM246" s="36">
        <f t="shared" ca="1" si="405"/>
        <v>0</v>
      </c>
      <c r="CN246" s="36">
        <f t="shared" ca="1" si="406"/>
        <v>3656250</v>
      </c>
      <c r="CO246" s="36">
        <f t="shared" ca="1" si="407"/>
        <v>3656250</v>
      </c>
      <c r="CP246" s="36">
        <f t="shared" ca="1" si="408"/>
        <v>0</v>
      </c>
      <c r="CQ246" s="36">
        <f t="shared" ca="1" si="409"/>
        <v>5118750</v>
      </c>
      <c r="CR246" s="36">
        <f t="shared" ca="1" si="410"/>
        <v>5118750</v>
      </c>
      <c r="CS246" s="36">
        <f t="shared" ca="1" si="411"/>
        <v>0</v>
      </c>
      <c r="CT246" s="36">
        <f t="shared" ca="1" si="412"/>
        <v>0</v>
      </c>
      <c r="CU246" s="36">
        <f t="shared" ca="1" si="415"/>
        <v>0</v>
      </c>
      <c r="CV246" s="36">
        <f t="shared" ca="1" si="415"/>
        <v>0</v>
      </c>
      <c r="CW246" s="21"/>
    </row>
    <row r="247" spans="3:101" x14ac:dyDescent="0.25">
      <c r="C247" s="49" t="str">
        <f t="shared" si="413"/>
        <v>ICE STUDIOSWholesale</v>
      </c>
      <c r="D247" s="35" t="str">
        <f>[1]Key!C$15</f>
        <v>ICE STUDIOS</v>
      </c>
      <c r="E247" s="35" t="str">
        <f>[1]contras!H127</f>
        <v>Wholesale</v>
      </c>
      <c r="F247" s="41"/>
      <c r="G247" s="21"/>
      <c r="H247" s="21"/>
      <c r="I247" s="21"/>
      <c r="J247" s="21"/>
      <c r="K247" s="21"/>
      <c r="L247" s="21"/>
      <c r="M247" s="21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36">
        <f t="shared" ref="Z247:CV247" ca="1" si="416">Y247+Z97-Z187-Z217</f>
        <v>0</v>
      </c>
      <c r="AA247" s="36">
        <f t="shared" ca="1" si="416"/>
        <v>0</v>
      </c>
      <c r="AB247" s="36">
        <f t="shared" ca="1" si="416"/>
        <v>0</v>
      </c>
      <c r="AC247" s="36">
        <f t="shared" ca="1" si="416"/>
        <v>0</v>
      </c>
      <c r="AD247" s="36">
        <f t="shared" ca="1" si="416"/>
        <v>0</v>
      </c>
      <c r="AE247" s="36">
        <f t="shared" ca="1" si="416"/>
        <v>0</v>
      </c>
      <c r="AF247" s="36">
        <f t="shared" ca="1" si="416"/>
        <v>0</v>
      </c>
      <c r="AG247" s="36">
        <f t="shared" ca="1" si="416"/>
        <v>0</v>
      </c>
      <c r="AH247" s="36">
        <f t="shared" ca="1" si="416"/>
        <v>0</v>
      </c>
      <c r="AI247" s="36">
        <f t="shared" ca="1" si="416"/>
        <v>0</v>
      </c>
      <c r="AJ247" s="36">
        <f t="shared" ca="1" si="416"/>
        <v>0</v>
      </c>
      <c r="AK247" s="36">
        <f t="shared" ca="1" si="416"/>
        <v>11250</v>
      </c>
      <c r="AL247" s="36">
        <f t="shared" ca="1" si="416"/>
        <v>11250</v>
      </c>
      <c r="AM247" s="36">
        <f t="shared" ca="1" si="416"/>
        <v>94500</v>
      </c>
      <c r="AN247" s="36">
        <f t="shared" ca="1" si="416"/>
        <v>94500</v>
      </c>
      <c r="AO247" s="36">
        <f t="shared" ca="1" si="416"/>
        <v>0</v>
      </c>
      <c r="AP247" s="36">
        <f t="shared" ca="1" si="416"/>
        <v>0</v>
      </c>
      <c r="AQ247" s="36">
        <f t="shared" ca="1" si="416"/>
        <v>157500</v>
      </c>
      <c r="AR247" s="36">
        <f t="shared" ca="1" si="416"/>
        <v>157500</v>
      </c>
      <c r="AS247" s="36">
        <f t="shared" ca="1" si="416"/>
        <v>0</v>
      </c>
      <c r="AT247" s="36">
        <f t="shared" ca="1" si="416"/>
        <v>255000</v>
      </c>
      <c r="AU247" s="36">
        <f t="shared" ca="1" si="416"/>
        <v>255000</v>
      </c>
      <c r="AV247" s="36">
        <f t="shared" ca="1" si="416"/>
        <v>0</v>
      </c>
      <c r="AW247" s="36">
        <f t="shared" ca="1" si="416"/>
        <v>307000</v>
      </c>
      <c r="AX247" s="36">
        <f t="shared" ca="1" si="416"/>
        <v>499000</v>
      </c>
      <c r="AY247" s="36">
        <f t="shared" ca="1" si="416"/>
        <v>504000</v>
      </c>
      <c r="AZ247" s="36">
        <f t="shared" ca="1" si="416"/>
        <v>312000</v>
      </c>
      <c r="BA247" s="36">
        <f t="shared" ca="1" si="416"/>
        <v>0</v>
      </c>
      <c r="BB247" s="36">
        <f t="shared" ca="1" si="416"/>
        <v>0</v>
      </c>
      <c r="BC247" s="36">
        <f t="shared" ca="1" si="416"/>
        <v>504000</v>
      </c>
      <c r="BD247" s="36">
        <f t="shared" ca="1" si="416"/>
        <v>504000</v>
      </c>
      <c r="BE247" s="36">
        <f t="shared" ca="1" si="416"/>
        <v>0</v>
      </c>
      <c r="BF247" s="36">
        <f t="shared" ca="1" si="416"/>
        <v>520000</v>
      </c>
      <c r="BG247" s="36">
        <f t="shared" ca="1" si="416"/>
        <v>520000</v>
      </c>
      <c r="BH247" s="36">
        <f t="shared" ca="1" si="416"/>
        <v>38400</v>
      </c>
      <c r="BI247" s="36">
        <f t="shared" ca="1" si="416"/>
        <v>558400</v>
      </c>
      <c r="BJ247" s="36">
        <f t="shared" ca="1" si="376"/>
        <v>1000000</v>
      </c>
      <c r="BK247" s="36">
        <f t="shared" ca="1" si="377"/>
        <v>1260000</v>
      </c>
      <c r="BL247" s="36">
        <f t="shared" ca="1" si="378"/>
        <v>780000</v>
      </c>
      <c r="BM247" s="36">
        <f t="shared" ca="1" si="379"/>
        <v>0</v>
      </c>
      <c r="BN247" s="36">
        <f t="shared" ca="1" si="380"/>
        <v>0</v>
      </c>
      <c r="BO247" s="36">
        <f t="shared" ca="1" si="381"/>
        <v>1260000</v>
      </c>
      <c r="BP247" s="36">
        <f t="shared" ca="1" si="382"/>
        <v>1260000</v>
      </c>
      <c r="BQ247" s="36">
        <f t="shared" ca="1" si="383"/>
        <v>0</v>
      </c>
      <c r="BR247" s="36">
        <f t="shared" ca="1" si="384"/>
        <v>1300000</v>
      </c>
      <c r="BS247" s="36">
        <f t="shared" ca="1" si="385"/>
        <v>1300000</v>
      </c>
      <c r="BT247" s="36">
        <f t="shared" ca="1" si="386"/>
        <v>96000</v>
      </c>
      <c r="BU247" s="36">
        <f t="shared" ca="1" si="387"/>
        <v>1396000</v>
      </c>
      <c r="BV247" s="36">
        <f t="shared" ca="1" si="388"/>
        <v>2380000</v>
      </c>
      <c r="BW247" s="36">
        <f t="shared" ca="1" si="389"/>
        <v>2835000</v>
      </c>
      <c r="BX247" s="36">
        <f t="shared" ca="1" si="390"/>
        <v>1755000</v>
      </c>
      <c r="BY247" s="36">
        <f t="shared" ca="1" si="391"/>
        <v>0</v>
      </c>
      <c r="BZ247" s="36">
        <f t="shared" ca="1" si="392"/>
        <v>0</v>
      </c>
      <c r="CA247" s="36">
        <f t="shared" ca="1" si="393"/>
        <v>2835000</v>
      </c>
      <c r="CB247" s="36">
        <f t="shared" ca="1" si="394"/>
        <v>2835000</v>
      </c>
      <c r="CC247" s="36">
        <f t="shared" ca="1" si="395"/>
        <v>0</v>
      </c>
      <c r="CD247" s="36">
        <f t="shared" ca="1" si="396"/>
        <v>2925000</v>
      </c>
      <c r="CE247" s="36">
        <f t="shared" ca="1" si="397"/>
        <v>2925000</v>
      </c>
      <c r="CF247" s="36">
        <f t="shared" ca="1" si="398"/>
        <v>216000</v>
      </c>
      <c r="CG247" s="36">
        <f t="shared" ca="1" si="399"/>
        <v>3141000</v>
      </c>
      <c r="CH247" s="36">
        <f t="shared" ca="1" si="400"/>
        <v>4815000</v>
      </c>
      <c r="CI247" s="36">
        <f t="shared" ca="1" si="401"/>
        <v>4961250</v>
      </c>
      <c r="CJ247" s="36">
        <f t="shared" ca="1" si="402"/>
        <v>3071250</v>
      </c>
      <c r="CK247" s="36">
        <f t="shared" ca="1" si="403"/>
        <v>0</v>
      </c>
      <c r="CL247" s="36">
        <f t="shared" ca="1" si="404"/>
        <v>0</v>
      </c>
      <c r="CM247" s="36">
        <f t="shared" ca="1" si="405"/>
        <v>4961250</v>
      </c>
      <c r="CN247" s="36">
        <f t="shared" ca="1" si="406"/>
        <v>4961250</v>
      </c>
      <c r="CO247" s="36">
        <f t="shared" ca="1" si="407"/>
        <v>0</v>
      </c>
      <c r="CP247" s="36">
        <f t="shared" ca="1" si="408"/>
        <v>5118750</v>
      </c>
      <c r="CQ247" s="36">
        <f t="shared" ca="1" si="409"/>
        <v>5118750</v>
      </c>
      <c r="CR247" s="36">
        <f t="shared" ca="1" si="410"/>
        <v>378000</v>
      </c>
      <c r="CS247" s="36">
        <f t="shared" ca="1" si="411"/>
        <v>5496750</v>
      </c>
      <c r="CT247" s="36">
        <f t="shared" ca="1" si="412"/>
        <v>5118750</v>
      </c>
      <c r="CU247" s="36">
        <f t="shared" ca="1" si="416"/>
        <v>0</v>
      </c>
      <c r="CV247" s="36">
        <f t="shared" ca="1" si="416"/>
        <v>0</v>
      </c>
      <c r="CW247" s="21"/>
    </row>
    <row r="248" spans="3:101" x14ac:dyDescent="0.25">
      <c r="C248" s="49" t="str">
        <f t="shared" si="413"/>
        <v>MURAKAMI / TORITONWholesale</v>
      </c>
      <c r="D248" s="35" t="str">
        <f>[1]Key!C$16</f>
        <v>MURAKAMI / TORITON</v>
      </c>
      <c r="E248" s="35" t="str">
        <f>[1]contras!H128</f>
        <v>Wholesale</v>
      </c>
      <c r="F248" s="41"/>
      <c r="G248" s="21"/>
      <c r="H248" s="21"/>
      <c r="I248" s="21"/>
      <c r="J248" s="21"/>
      <c r="K248" s="21"/>
      <c r="L248" s="21"/>
      <c r="M248" s="21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36">
        <f t="shared" ref="Z248:CV248" ca="1" si="417">Y248+Z98-Z188-Z218</f>
        <v>0</v>
      </c>
      <c r="AA248" s="36">
        <f t="shared" ca="1" si="417"/>
        <v>0</v>
      </c>
      <c r="AB248" s="36">
        <f t="shared" ca="1" si="417"/>
        <v>360000</v>
      </c>
      <c r="AC248" s="36">
        <f t="shared" ca="1" si="417"/>
        <v>397500</v>
      </c>
      <c r="AD248" s="36">
        <f t="shared" ca="1" si="417"/>
        <v>37500</v>
      </c>
      <c r="AE248" s="36">
        <f t="shared" ca="1" si="417"/>
        <v>0</v>
      </c>
      <c r="AF248" s="36">
        <f t="shared" ca="1" si="417"/>
        <v>0</v>
      </c>
      <c r="AG248" s="36">
        <f t="shared" ca="1" si="417"/>
        <v>0</v>
      </c>
      <c r="AH248" s="36">
        <f t="shared" ca="1" si="417"/>
        <v>0</v>
      </c>
      <c r="AI248" s="36">
        <f t="shared" ca="1" si="417"/>
        <v>0</v>
      </c>
      <c r="AJ248" s="36">
        <f t="shared" ca="1" si="417"/>
        <v>37500</v>
      </c>
      <c r="AK248" s="36">
        <f t="shared" ca="1" si="417"/>
        <v>93750</v>
      </c>
      <c r="AL248" s="36">
        <f t="shared" ca="1" si="417"/>
        <v>56250</v>
      </c>
      <c r="AM248" s="36">
        <f t="shared" ca="1" si="417"/>
        <v>125000</v>
      </c>
      <c r="AN248" s="36">
        <f t="shared" ca="1" si="417"/>
        <v>162500</v>
      </c>
      <c r="AO248" s="36">
        <f t="shared" ca="1" si="417"/>
        <v>37500</v>
      </c>
      <c r="AP248" s="36">
        <f t="shared" ca="1" si="417"/>
        <v>156250</v>
      </c>
      <c r="AQ248" s="36">
        <f t="shared" ca="1" si="417"/>
        <v>240625</v>
      </c>
      <c r="AR248" s="36">
        <f t="shared" ca="1" si="417"/>
        <v>133125</v>
      </c>
      <c r="AS248" s="36">
        <f t="shared" ca="1" si="417"/>
        <v>233750</v>
      </c>
      <c r="AT248" s="36">
        <f t="shared" ca="1" si="417"/>
        <v>185000</v>
      </c>
      <c r="AU248" s="36">
        <f t="shared" ca="1" si="417"/>
        <v>25000</v>
      </c>
      <c r="AV248" s="36">
        <f t="shared" ca="1" si="417"/>
        <v>227500</v>
      </c>
      <c r="AW248" s="36">
        <f t="shared" ca="1" si="417"/>
        <v>316875</v>
      </c>
      <c r="AX248" s="36">
        <f t="shared" ca="1" si="417"/>
        <v>151875</v>
      </c>
      <c r="AY248" s="36">
        <f t="shared" ca="1" si="417"/>
        <v>316250</v>
      </c>
      <c r="AZ248" s="36">
        <f t="shared" ca="1" si="417"/>
        <v>383750</v>
      </c>
      <c r="BA248" s="36">
        <f t="shared" ca="1" si="417"/>
        <v>114375</v>
      </c>
      <c r="BB248" s="36">
        <f t="shared" ca="1" si="417"/>
        <v>228125</v>
      </c>
      <c r="BC248" s="36">
        <f t="shared" ca="1" si="417"/>
        <v>383750</v>
      </c>
      <c r="BD248" s="36">
        <f t="shared" ca="1" si="417"/>
        <v>202500</v>
      </c>
      <c r="BE248" s="36">
        <f t="shared" ca="1" si="417"/>
        <v>335000</v>
      </c>
      <c r="BF248" s="36">
        <f t="shared" ca="1" si="417"/>
        <v>402500</v>
      </c>
      <c r="BG248" s="36">
        <f t="shared" ca="1" si="417"/>
        <v>114375</v>
      </c>
      <c r="BH248" s="36">
        <f t="shared" ca="1" si="417"/>
        <v>206875</v>
      </c>
      <c r="BI248" s="36">
        <f t="shared" ca="1" si="417"/>
        <v>302500</v>
      </c>
      <c r="BJ248" s="36">
        <f t="shared" ca="1" si="376"/>
        <v>198750</v>
      </c>
      <c r="BK248" s="36">
        <f t="shared" ca="1" si="377"/>
        <v>790625</v>
      </c>
      <c r="BL248" s="36">
        <f t="shared" ca="1" si="378"/>
        <v>959375</v>
      </c>
      <c r="BM248" s="36">
        <f t="shared" ca="1" si="379"/>
        <v>285937.5</v>
      </c>
      <c r="BN248" s="36">
        <f t="shared" ca="1" si="380"/>
        <v>570312.5</v>
      </c>
      <c r="BO248" s="36">
        <f t="shared" ca="1" si="381"/>
        <v>959375</v>
      </c>
      <c r="BP248" s="36">
        <f t="shared" ca="1" si="382"/>
        <v>506250</v>
      </c>
      <c r="BQ248" s="36">
        <f t="shared" ca="1" si="383"/>
        <v>837500</v>
      </c>
      <c r="BR248" s="36">
        <f t="shared" ca="1" si="384"/>
        <v>1006250</v>
      </c>
      <c r="BS248" s="36">
        <f t="shared" ca="1" si="385"/>
        <v>285937.5</v>
      </c>
      <c r="BT248" s="36">
        <f t="shared" ca="1" si="386"/>
        <v>517187.5</v>
      </c>
      <c r="BU248" s="36">
        <f t="shared" ca="1" si="387"/>
        <v>756250</v>
      </c>
      <c r="BV248" s="36">
        <f t="shared" ca="1" si="388"/>
        <v>426562.5</v>
      </c>
      <c r="BW248" s="36">
        <f t="shared" ca="1" si="389"/>
        <v>1383593.75</v>
      </c>
      <c r="BX248" s="36">
        <f t="shared" ca="1" si="390"/>
        <v>1678906.25</v>
      </c>
      <c r="BY248" s="36">
        <f t="shared" ca="1" si="391"/>
        <v>500390.625</v>
      </c>
      <c r="BZ248" s="36">
        <f t="shared" ca="1" si="392"/>
        <v>998046.875</v>
      </c>
      <c r="CA248" s="36">
        <f t="shared" ca="1" si="393"/>
        <v>1678906.25</v>
      </c>
      <c r="CB248" s="36">
        <f t="shared" ca="1" si="394"/>
        <v>885937.5</v>
      </c>
      <c r="CC248" s="36">
        <f t="shared" ca="1" si="395"/>
        <v>1465625</v>
      </c>
      <c r="CD248" s="36">
        <f t="shared" ca="1" si="396"/>
        <v>1760937.5</v>
      </c>
      <c r="CE248" s="36">
        <f t="shared" ca="1" si="397"/>
        <v>500390.625</v>
      </c>
      <c r="CF248" s="36">
        <f t="shared" ca="1" si="398"/>
        <v>905078.125</v>
      </c>
      <c r="CG248" s="36">
        <f t="shared" ca="1" si="399"/>
        <v>1323437.5</v>
      </c>
      <c r="CH248" s="36">
        <f t="shared" ca="1" si="400"/>
        <v>705468.75</v>
      </c>
      <c r="CI248" s="36">
        <f t="shared" ca="1" si="401"/>
        <v>2075390.625</v>
      </c>
      <c r="CJ248" s="36">
        <f t="shared" ca="1" si="402"/>
        <v>2518359.375</v>
      </c>
      <c r="CK248" s="36">
        <f t="shared" ca="1" si="403"/>
        <v>750585.9375</v>
      </c>
      <c r="CL248" s="36">
        <f t="shared" ca="1" si="404"/>
        <v>1497070.3125</v>
      </c>
      <c r="CM248" s="36">
        <f t="shared" ca="1" si="405"/>
        <v>2518359.375</v>
      </c>
      <c r="CN248" s="36">
        <f t="shared" ca="1" si="406"/>
        <v>1328906.25</v>
      </c>
      <c r="CO248" s="36">
        <f t="shared" ca="1" si="407"/>
        <v>2198437.5</v>
      </c>
      <c r="CP248" s="36">
        <f t="shared" ca="1" si="408"/>
        <v>2641406.25</v>
      </c>
      <c r="CQ248" s="36">
        <f t="shared" ca="1" si="409"/>
        <v>750585.9375</v>
      </c>
      <c r="CR248" s="36">
        <f t="shared" ca="1" si="410"/>
        <v>1357617.1875</v>
      </c>
      <c r="CS248" s="36">
        <f t="shared" ca="1" si="411"/>
        <v>1985156.25</v>
      </c>
      <c r="CT248" s="36">
        <f t="shared" ca="1" si="412"/>
        <v>689062.5</v>
      </c>
      <c r="CU248" s="36">
        <f t="shared" ca="1" si="417"/>
        <v>0</v>
      </c>
      <c r="CV248" s="36">
        <f t="shared" ca="1" si="417"/>
        <v>0</v>
      </c>
      <c r="CW248" s="21"/>
    </row>
    <row r="249" spans="3:101" x14ac:dyDescent="0.25">
      <c r="C249" s="49" t="str">
        <f t="shared" si="413"/>
        <v>NEW PARTNER 1Wholesale</v>
      </c>
      <c r="D249" s="35" t="str">
        <f>[1]Key!C$17</f>
        <v>NEW PARTNER 1</v>
      </c>
      <c r="E249" s="35" t="str">
        <f>[1]contras!H129</f>
        <v>Wholesale</v>
      </c>
      <c r="F249" s="41"/>
      <c r="G249" s="21"/>
      <c r="H249" s="21"/>
      <c r="I249" s="21"/>
      <c r="J249" s="21"/>
      <c r="K249" s="21"/>
      <c r="L249" s="21"/>
      <c r="M249" s="21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36">
        <f t="shared" ref="Z249:CV249" ca="1" si="418">Y249+Z99-Z189-Z219</f>
        <v>0</v>
      </c>
      <c r="AA249" s="36">
        <f t="shared" ca="1" si="418"/>
        <v>0</v>
      </c>
      <c r="AB249" s="36">
        <f t="shared" ca="1" si="418"/>
        <v>0</v>
      </c>
      <c r="AC249" s="36">
        <f t="shared" ca="1" si="418"/>
        <v>0</v>
      </c>
      <c r="AD249" s="36">
        <f t="shared" ca="1" si="418"/>
        <v>0</v>
      </c>
      <c r="AE249" s="36">
        <f t="shared" ca="1" si="418"/>
        <v>0</v>
      </c>
      <c r="AF249" s="36">
        <f t="shared" ca="1" si="418"/>
        <v>0</v>
      </c>
      <c r="AG249" s="36">
        <f t="shared" ca="1" si="418"/>
        <v>0</v>
      </c>
      <c r="AH249" s="36">
        <f t="shared" ca="1" si="418"/>
        <v>0</v>
      </c>
      <c r="AI249" s="36">
        <f t="shared" ca="1" si="418"/>
        <v>0</v>
      </c>
      <c r="AJ249" s="36">
        <f t="shared" ca="1" si="418"/>
        <v>0</v>
      </c>
      <c r="AK249" s="36">
        <f t="shared" ca="1" si="418"/>
        <v>0</v>
      </c>
      <c r="AL249" s="36">
        <f t="shared" ca="1" si="418"/>
        <v>0</v>
      </c>
      <c r="AM249" s="36">
        <f t="shared" ca="1" si="418"/>
        <v>0</v>
      </c>
      <c r="AN249" s="36">
        <f t="shared" ca="1" si="418"/>
        <v>0</v>
      </c>
      <c r="AO249" s="36">
        <f t="shared" ca="1" si="418"/>
        <v>0</v>
      </c>
      <c r="AP249" s="36">
        <f t="shared" ca="1" si="418"/>
        <v>0</v>
      </c>
      <c r="AQ249" s="36">
        <f t="shared" ca="1" si="418"/>
        <v>0</v>
      </c>
      <c r="AR249" s="36">
        <f t="shared" ca="1" si="418"/>
        <v>0</v>
      </c>
      <c r="AS249" s="36">
        <f t="shared" ca="1" si="418"/>
        <v>0</v>
      </c>
      <c r="AT249" s="36">
        <f t="shared" ca="1" si="418"/>
        <v>0</v>
      </c>
      <c r="AU249" s="36">
        <f t="shared" ca="1" si="418"/>
        <v>0</v>
      </c>
      <c r="AV249" s="36">
        <f t="shared" ca="1" si="418"/>
        <v>0</v>
      </c>
      <c r="AW249" s="36">
        <f t="shared" ca="1" si="418"/>
        <v>0</v>
      </c>
      <c r="AX249" s="36">
        <f t="shared" ca="1" si="418"/>
        <v>54000</v>
      </c>
      <c r="AY249" s="36">
        <f t="shared" ca="1" si="418"/>
        <v>54000</v>
      </c>
      <c r="AZ249" s="36">
        <f t="shared" ca="1" si="418"/>
        <v>0</v>
      </c>
      <c r="BA249" s="36">
        <f t="shared" ca="1" si="418"/>
        <v>0</v>
      </c>
      <c r="BB249" s="36">
        <f t="shared" ca="1" si="418"/>
        <v>0</v>
      </c>
      <c r="BC249" s="36">
        <f t="shared" ca="1" si="418"/>
        <v>0</v>
      </c>
      <c r="BD249" s="36">
        <f t="shared" ca="1" si="418"/>
        <v>112500</v>
      </c>
      <c r="BE249" s="36">
        <f t="shared" ca="1" si="418"/>
        <v>112500</v>
      </c>
      <c r="BF249" s="36">
        <f t="shared" ca="1" si="418"/>
        <v>0</v>
      </c>
      <c r="BG249" s="36">
        <f t="shared" ca="1" si="418"/>
        <v>0</v>
      </c>
      <c r="BH249" s="36">
        <f t="shared" ca="1" si="418"/>
        <v>0</v>
      </c>
      <c r="BI249" s="36">
        <f t="shared" ca="1" si="418"/>
        <v>0</v>
      </c>
      <c r="BJ249" s="36">
        <f t="shared" ca="1" si="376"/>
        <v>162000</v>
      </c>
      <c r="BK249" s="36">
        <f t="shared" ca="1" si="377"/>
        <v>162000</v>
      </c>
      <c r="BL249" s="36">
        <f t="shared" ca="1" si="378"/>
        <v>0</v>
      </c>
      <c r="BM249" s="36">
        <f t="shared" ca="1" si="379"/>
        <v>0</v>
      </c>
      <c r="BN249" s="36">
        <f t="shared" ca="1" si="380"/>
        <v>0</v>
      </c>
      <c r="BO249" s="36">
        <f t="shared" ca="1" si="381"/>
        <v>0</v>
      </c>
      <c r="BP249" s="36">
        <f t="shared" ca="1" si="382"/>
        <v>337500</v>
      </c>
      <c r="BQ249" s="36">
        <f t="shared" ca="1" si="383"/>
        <v>337500</v>
      </c>
      <c r="BR249" s="36">
        <f t="shared" ca="1" si="384"/>
        <v>0</v>
      </c>
      <c r="BS249" s="36">
        <f t="shared" ca="1" si="385"/>
        <v>0</v>
      </c>
      <c r="BT249" s="36">
        <f t="shared" ca="1" si="386"/>
        <v>0</v>
      </c>
      <c r="BU249" s="36">
        <f t="shared" ca="1" si="387"/>
        <v>0</v>
      </c>
      <c r="BV249" s="36">
        <f t="shared" ca="1" si="388"/>
        <v>405000</v>
      </c>
      <c r="BW249" s="36">
        <f t="shared" ca="1" si="389"/>
        <v>405000</v>
      </c>
      <c r="BX249" s="36">
        <f t="shared" ca="1" si="390"/>
        <v>0</v>
      </c>
      <c r="BY249" s="36">
        <f t="shared" ca="1" si="391"/>
        <v>0</v>
      </c>
      <c r="BZ249" s="36">
        <f t="shared" ca="1" si="392"/>
        <v>0</v>
      </c>
      <c r="CA249" s="36">
        <f t="shared" ca="1" si="393"/>
        <v>0</v>
      </c>
      <c r="CB249" s="36">
        <f t="shared" ca="1" si="394"/>
        <v>843750</v>
      </c>
      <c r="CC249" s="36">
        <f t="shared" ca="1" si="395"/>
        <v>843750</v>
      </c>
      <c r="CD249" s="36">
        <f t="shared" ca="1" si="396"/>
        <v>0</v>
      </c>
      <c r="CE249" s="36">
        <f t="shared" ca="1" si="397"/>
        <v>0</v>
      </c>
      <c r="CF249" s="36">
        <f t="shared" ca="1" si="398"/>
        <v>0</v>
      </c>
      <c r="CG249" s="36">
        <f t="shared" ca="1" si="399"/>
        <v>0</v>
      </c>
      <c r="CH249" s="36">
        <f t="shared" ca="1" si="400"/>
        <v>708750</v>
      </c>
      <c r="CI249" s="36">
        <f t="shared" ca="1" si="401"/>
        <v>708750</v>
      </c>
      <c r="CJ249" s="36">
        <f t="shared" ca="1" si="402"/>
        <v>0</v>
      </c>
      <c r="CK249" s="36">
        <f t="shared" ca="1" si="403"/>
        <v>0</v>
      </c>
      <c r="CL249" s="36">
        <f t="shared" ca="1" si="404"/>
        <v>0</v>
      </c>
      <c r="CM249" s="36">
        <f t="shared" ca="1" si="405"/>
        <v>0</v>
      </c>
      <c r="CN249" s="36">
        <f t="shared" ca="1" si="406"/>
        <v>1476562.5</v>
      </c>
      <c r="CO249" s="36">
        <f t="shared" ca="1" si="407"/>
        <v>1476562.5</v>
      </c>
      <c r="CP249" s="36">
        <f t="shared" ca="1" si="408"/>
        <v>0</v>
      </c>
      <c r="CQ249" s="36">
        <f t="shared" ca="1" si="409"/>
        <v>0</v>
      </c>
      <c r="CR249" s="36">
        <f t="shared" ca="1" si="410"/>
        <v>0</v>
      </c>
      <c r="CS249" s="36">
        <f t="shared" ca="1" si="411"/>
        <v>0</v>
      </c>
      <c r="CT249" s="36">
        <f t="shared" ca="1" si="412"/>
        <v>0</v>
      </c>
      <c r="CU249" s="36">
        <f t="shared" ca="1" si="418"/>
        <v>0</v>
      </c>
      <c r="CV249" s="36">
        <f t="shared" ca="1" si="418"/>
        <v>0</v>
      </c>
      <c r="CW249" s="21"/>
    </row>
    <row r="250" spans="3:101" x14ac:dyDescent="0.25">
      <c r="C250" s="49" t="str">
        <f t="shared" si="413"/>
        <v>NEW PARTNER 2Wholesale</v>
      </c>
      <c r="D250" s="35" t="str">
        <f>[1]Key!C$18</f>
        <v>NEW PARTNER 2</v>
      </c>
      <c r="E250" s="35" t="str">
        <f>[1]contras!H130</f>
        <v>Wholesale</v>
      </c>
      <c r="F250" s="41"/>
      <c r="G250" s="21"/>
      <c r="H250" s="21"/>
      <c r="I250" s="21"/>
      <c r="J250" s="21"/>
      <c r="K250" s="21"/>
      <c r="L250" s="21"/>
      <c r="M250" s="21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36">
        <f t="shared" ref="Z250:CV250" ca="1" si="419">Y250+Z100-Z190-Z220</f>
        <v>0</v>
      </c>
      <c r="AA250" s="36">
        <f t="shared" ca="1" si="419"/>
        <v>0</v>
      </c>
      <c r="AB250" s="36">
        <f t="shared" ca="1" si="419"/>
        <v>0</v>
      </c>
      <c r="AC250" s="36">
        <f t="shared" ca="1" si="419"/>
        <v>0</v>
      </c>
      <c r="AD250" s="36">
        <f t="shared" ca="1" si="419"/>
        <v>0</v>
      </c>
      <c r="AE250" s="36">
        <f t="shared" ca="1" si="419"/>
        <v>0</v>
      </c>
      <c r="AF250" s="36">
        <f t="shared" ca="1" si="419"/>
        <v>0</v>
      </c>
      <c r="AG250" s="36">
        <f t="shared" ca="1" si="419"/>
        <v>0</v>
      </c>
      <c r="AH250" s="36">
        <f t="shared" ca="1" si="419"/>
        <v>0</v>
      </c>
      <c r="AI250" s="36">
        <f t="shared" ca="1" si="419"/>
        <v>0</v>
      </c>
      <c r="AJ250" s="36">
        <f t="shared" ca="1" si="419"/>
        <v>0</v>
      </c>
      <c r="AK250" s="36">
        <f t="shared" ca="1" si="419"/>
        <v>0</v>
      </c>
      <c r="AL250" s="36">
        <f t="shared" ca="1" si="419"/>
        <v>0</v>
      </c>
      <c r="AM250" s="36">
        <f t="shared" ca="1" si="419"/>
        <v>0</v>
      </c>
      <c r="AN250" s="36">
        <f t="shared" ca="1" si="419"/>
        <v>0</v>
      </c>
      <c r="AO250" s="36">
        <f t="shared" ca="1" si="419"/>
        <v>0</v>
      </c>
      <c r="AP250" s="36">
        <f t="shared" ca="1" si="419"/>
        <v>0</v>
      </c>
      <c r="AQ250" s="36">
        <f t="shared" ca="1" si="419"/>
        <v>0</v>
      </c>
      <c r="AR250" s="36">
        <f t="shared" ca="1" si="419"/>
        <v>0</v>
      </c>
      <c r="AS250" s="36">
        <f t="shared" ca="1" si="419"/>
        <v>0</v>
      </c>
      <c r="AT250" s="36">
        <f t="shared" ca="1" si="419"/>
        <v>0</v>
      </c>
      <c r="AU250" s="36">
        <f t="shared" ca="1" si="419"/>
        <v>0</v>
      </c>
      <c r="AV250" s="36">
        <f t="shared" ca="1" si="419"/>
        <v>0</v>
      </c>
      <c r="AW250" s="36">
        <f t="shared" ca="1" si="419"/>
        <v>0</v>
      </c>
      <c r="AX250" s="36">
        <f t="shared" ca="1" si="419"/>
        <v>162500</v>
      </c>
      <c r="AY250" s="36">
        <f t="shared" ca="1" si="419"/>
        <v>162500</v>
      </c>
      <c r="AZ250" s="36">
        <f t="shared" ca="1" si="419"/>
        <v>0</v>
      </c>
      <c r="BA250" s="36">
        <f t="shared" ca="1" si="419"/>
        <v>0</v>
      </c>
      <c r="BB250" s="36">
        <f t="shared" ca="1" si="419"/>
        <v>0</v>
      </c>
      <c r="BC250" s="36">
        <f t="shared" ca="1" si="419"/>
        <v>0</v>
      </c>
      <c r="BD250" s="36">
        <f t="shared" ca="1" si="419"/>
        <v>390000</v>
      </c>
      <c r="BE250" s="36">
        <f t="shared" ca="1" si="419"/>
        <v>390000</v>
      </c>
      <c r="BF250" s="36">
        <f t="shared" ca="1" si="419"/>
        <v>0</v>
      </c>
      <c r="BG250" s="36">
        <f t="shared" ca="1" si="419"/>
        <v>0</v>
      </c>
      <c r="BH250" s="36">
        <f t="shared" ca="1" si="419"/>
        <v>78000</v>
      </c>
      <c r="BI250" s="36">
        <f t="shared" ca="1" si="419"/>
        <v>78000</v>
      </c>
      <c r="BJ250" s="36">
        <f t="shared" ca="1" si="376"/>
        <v>487500</v>
      </c>
      <c r="BK250" s="36">
        <f t="shared" ca="1" si="377"/>
        <v>487500</v>
      </c>
      <c r="BL250" s="36">
        <f t="shared" ca="1" si="378"/>
        <v>0</v>
      </c>
      <c r="BM250" s="36">
        <f t="shared" ca="1" si="379"/>
        <v>0</v>
      </c>
      <c r="BN250" s="36">
        <f t="shared" ca="1" si="380"/>
        <v>0</v>
      </c>
      <c r="BO250" s="36">
        <f t="shared" ca="1" si="381"/>
        <v>0</v>
      </c>
      <c r="BP250" s="36">
        <f t="shared" ca="1" si="382"/>
        <v>1170000</v>
      </c>
      <c r="BQ250" s="36">
        <f t="shared" ca="1" si="383"/>
        <v>1170000</v>
      </c>
      <c r="BR250" s="36">
        <f t="shared" ca="1" si="384"/>
        <v>0</v>
      </c>
      <c r="BS250" s="36">
        <f t="shared" ca="1" si="385"/>
        <v>0</v>
      </c>
      <c r="BT250" s="36">
        <f t="shared" ca="1" si="386"/>
        <v>234000</v>
      </c>
      <c r="BU250" s="36">
        <f t="shared" ca="1" si="387"/>
        <v>234000</v>
      </c>
      <c r="BV250" s="36">
        <f t="shared" ca="1" si="388"/>
        <v>1218750</v>
      </c>
      <c r="BW250" s="36">
        <f t="shared" ca="1" si="389"/>
        <v>1218750</v>
      </c>
      <c r="BX250" s="36">
        <f t="shared" ca="1" si="390"/>
        <v>0</v>
      </c>
      <c r="BY250" s="36">
        <f t="shared" ca="1" si="391"/>
        <v>0</v>
      </c>
      <c r="BZ250" s="36">
        <f t="shared" ca="1" si="392"/>
        <v>0</v>
      </c>
      <c r="CA250" s="36">
        <f t="shared" ca="1" si="393"/>
        <v>0</v>
      </c>
      <c r="CB250" s="36">
        <f t="shared" ca="1" si="394"/>
        <v>2925000</v>
      </c>
      <c r="CC250" s="36">
        <f t="shared" ca="1" si="395"/>
        <v>2925000</v>
      </c>
      <c r="CD250" s="36">
        <f t="shared" ca="1" si="396"/>
        <v>0</v>
      </c>
      <c r="CE250" s="36">
        <f t="shared" ca="1" si="397"/>
        <v>0</v>
      </c>
      <c r="CF250" s="36">
        <f t="shared" ca="1" si="398"/>
        <v>585000</v>
      </c>
      <c r="CG250" s="36">
        <f t="shared" ca="1" si="399"/>
        <v>585000</v>
      </c>
      <c r="CH250" s="36">
        <f t="shared" ca="1" si="400"/>
        <v>2132812.5</v>
      </c>
      <c r="CI250" s="36">
        <f t="shared" ca="1" si="401"/>
        <v>2132812.5</v>
      </c>
      <c r="CJ250" s="36">
        <f t="shared" ca="1" si="402"/>
        <v>0</v>
      </c>
      <c r="CK250" s="36">
        <f t="shared" ca="1" si="403"/>
        <v>0</v>
      </c>
      <c r="CL250" s="36">
        <f t="shared" ca="1" si="404"/>
        <v>0</v>
      </c>
      <c r="CM250" s="36">
        <f t="shared" ca="1" si="405"/>
        <v>0</v>
      </c>
      <c r="CN250" s="36">
        <f t="shared" ca="1" si="406"/>
        <v>5118750</v>
      </c>
      <c r="CO250" s="36">
        <f t="shared" ca="1" si="407"/>
        <v>5118750</v>
      </c>
      <c r="CP250" s="36">
        <f t="shared" ca="1" si="408"/>
        <v>0</v>
      </c>
      <c r="CQ250" s="36">
        <f t="shared" ca="1" si="409"/>
        <v>0</v>
      </c>
      <c r="CR250" s="36">
        <f t="shared" ca="1" si="410"/>
        <v>1023750</v>
      </c>
      <c r="CS250" s="36">
        <f t="shared" ca="1" si="411"/>
        <v>1023750</v>
      </c>
      <c r="CT250" s="36">
        <f t="shared" ca="1" si="412"/>
        <v>0</v>
      </c>
      <c r="CU250" s="36">
        <f t="shared" ca="1" si="419"/>
        <v>0</v>
      </c>
      <c r="CV250" s="36">
        <f t="shared" ca="1" si="419"/>
        <v>0</v>
      </c>
      <c r="CW250" s="21"/>
    </row>
    <row r="251" spans="3:101" x14ac:dyDescent="0.25">
      <c r="C251" s="49" t="str">
        <f t="shared" si="413"/>
        <v>PIGALLEWholesale</v>
      </c>
      <c r="D251" s="35" t="str">
        <f>[1]Key!C$19</f>
        <v>PIGALLE</v>
      </c>
      <c r="E251" s="35" t="str">
        <f>[1]contras!H131</f>
        <v>Wholesale</v>
      </c>
      <c r="F251" s="41"/>
      <c r="G251" s="21"/>
      <c r="H251" s="21"/>
      <c r="I251" s="21"/>
      <c r="J251" s="21"/>
      <c r="K251" s="21"/>
      <c r="L251" s="21"/>
      <c r="M251" s="21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36">
        <f t="shared" ref="Z251:CV251" ca="1" si="420">Y251+Z101-Z191-Z221</f>
        <v>0</v>
      </c>
      <c r="AA251" s="36">
        <f t="shared" ca="1" si="420"/>
        <v>0</v>
      </c>
      <c r="AB251" s="36">
        <f t="shared" ca="1" si="420"/>
        <v>0</v>
      </c>
      <c r="AC251" s="36">
        <f t="shared" ca="1" si="420"/>
        <v>0</v>
      </c>
      <c r="AD251" s="36">
        <f t="shared" ca="1" si="420"/>
        <v>0</v>
      </c>
      <c r="AE251" s="36">
        <f t="shared" ca="1" si="420"/>
        <v>0</v>
      </c>
      <c r="AF251" s="36">
        <f t="shared" ca="1" si="420"/>
        <v>0</v>
      </c>
      <c r="AG251" s="36">
        <f t="shared" ca="1" si="420"/>
        <v>0</v>
      </c>
      <c r="AH251" s="36">
        <f t="shared" ca="1" si="420"/>
        <v>0</v>
      </c>
      <c r="AI251" s="36">
        <f t="shared" ca="1" si="420"/>
        <v>0</v>
      </c>
      <c r="AJ251" s="36">
        <f t="shared" ca="1" si="420"/>
        <v>0</v>
      </c>
      <c r="AK251" s="36">
        <f t="shared" ca="1" si="420"/>
        <v>0</v>
      </c>
      <c r="AL251" s="36">
        <f t="shared" ca="1" si="420"/>
        <v>0</v>
      </c>
      <c r="AM251" s="36">
        <f t="shared" ca="1" si="420"/>
        <v>0</v>
      </c>
      <c r="AN251" s="36">
        <f t="shared" ca="1" si="420"/>
        <v>0</v>
      </c>
      <c r="AO251" s="36">
        <f t="shared" ca="1" si="420"/>
        <v>0</v>
      </c>
      <c r="AP251" s="36">
        <f t="shared" ca="1" si="420"/>
        <v>0</v>
      </c>
      <c r="AQ251" s="36">
        <f t="shared" ca="1" si="420"/>
        <v>0</v>
      </c>
      <c r="AR251" s="36">
        <f t="shared" ca="1" si="420"/>
        <v>0</v>
      </c>
      <c r="AS251" s="36">
        <f t="shared" ca="1" si="420"/>
        <v>0</v>
      </c>
      <c r="AT251" s="36">
        <f t="shared" ca="1" si="420"/>
        <v>0</v>
      </c>
      <c r="AU251" s="36">
        <f t="shared" ca="1" si="420"/>
        <v>0</v>
      </c>
      <c r="AV251" s="36">
        <f t="shared" ca="1" si="420"/>
        <v>54000</v>
      </c>
      <c r="AW251" s="36">
        <f t="shared" ca="1" si="420"/>
        <v>54000</v>
      </c>
      <c r="AX251" s="36">
        <f t="shared" ca="1" si="420"/>
        <v>0</v>
      </c>
      <c r="AY251" s="36">
        <f t="shared" ca="1" si="420"/>
        <v>0</v>
      </c>
      <c r="AZ251" s="36">
        <f t="shared" ca="1" si="420"/>
        <v>0</v>
      </c>
      <c r="BA251" s="36">
        <f t="shared" ca="1" si="420"/>
        <v>0</v>
      </c>
      <c r="BB251" s="36">
        <f t="shared" ca="1" si="420"/>
        <v>0</v>
      </c>
      <c r="BC251" s="36">
        <f t="shared" ca="1" si="420"/>
        <v>0</v>
      </c>
      <c r="BD251" s="36">
        <f t="shared" ca="1" si="420"/>
        <v>0</v>
      </c>
      <c r="BE251" s="36">
        <f t="shared" ca="1" si="420"/>
        <v>0</v>
      </c>
      <c r="BF251" s="36">
        <f t="shared" ca="1" si="420"/>
        <v>0</v>
      </c>
      <c r="BG251" s="36">
        <f t="shared" ca="1" si="420"/>
        <v>0</v>
      </c>
      <c r="BH251" s="36">
        <f t="shared" ca="1" si="420"/>
        <v>0</v>
      </c>
      <c r="BI251" s="36">
        <f t="shared" ca="1" si="420"/>
        <v>0</v>
      </c>
      <c r="BJ251" s="36">
        <f t="shared" ca="1" si="376"/>
        <v>0</v>
      </c>
      <c r="BK251" s="36">
        <f t="shared" ca="1" si="377"/>
        <v>0</v>
      </c>
      <c r="BL251" s="36">
        <f t="shared" ca="1" si="378"/>
        <v>0</v>
      </c>
      <c r="BM251" s="36">
        <f t="shared" ca="1" si="379"/>
        <v>0</v>
      </c>
      <c r="BN251" s="36">
        <f t="shared" ca="1" si="380"/>
        <v>0</v>
      </c>
      <c r="BO251" s="36">
        <f t="shared" ca="1" si="381"/>
        <v>0</v>
      </c>
      <c r="BP251" s="36">
        <f t="shared" ca="1" si="382"/>
        <v>0</v>
      </c>
      <c r="BQ251" s="36">
        <f t="shared" ca="1" si="383"/>
        <v>0</v>
      </c>
      <c r="BR251" s="36">
        <f t="shared" ca="1" si="384"/>
        <v>0</v>
      </c>
      <c r="BS251" s="36">
        <f t="shared" ca="1" si="385"/>
        <v>0</v>
      </c>
      <c r="BT251" s="36">
        <f t="shared" ca="1" si="386"/>
        <v>0</v>
      </c>
      <c r="BU251" s="36">
        <f t="shared" ca="1" si="387"/>
        <v>0</v>
      </c>
      <c r="BV251" s="36">
        <f t="shared" ca="1" si="388"/>
        <v>0</v>
      </c>
      <c r="BW251" s="36">
        <f t="shared" ca="1" si="389"/>
        <v>0</v>
      </c>
      <c r="BX251" s="36">
        <f t="shared" ca="1" si="390"/>
        <v>0</v>
      </c>
      <c r="BY251" s="36">
        <f t="shared" ca="1" si="391"/>
        <v>0</v>
      </c>
      <c r="BZ251" s="36">
        <f t="shared" ca="1" si="392"/>
        <v>0</v>
      </c>
      <c r="CA251" s="36">
        <f t="shared" ca="1" si="393"/>
        <v>0</v>
      </c>
      <c r="CB251" s="36">
        <f t="shared" ca="1" si="394"/>
        <v>0</v>
      </c>
      <c r="CC251" s="36">
        <f t="shared" ca="1" si="395"/>
        <v>0</v>
      </c>
      <c r="CD251" s="36">
        <f t="shared" ca="1" si="396"/>
        <v>0</v>
      </c>
      <c r="CE251" s="36">
        <f t="shared" ca="1" si="397"/>
        <v>0</v>
      </c>
      <c r="CF251" s="36">
        <f t="shared" ca="1" si="398"/>
        <v>0</v>
      </c>
      <c r="CG251" s="36">
        <f t="shared" ca="1" si="399"/>
        <v>0</v>
      </c>
      <c r="CH251" s="36">
        <f t="shared" ca="1" si="400"/>
        <v>0</v>
      </c>
      <c r="CI251" s="36">
        <f t="shared" ca="1" si="401"/>
        <v>0</v>
      </c>
      <c r="CJ251" s="36">
        <f t="shared" ca="1" si="402"/>
        <v>0</v>
      </c>
      <c r="CK251" s="36">
        <f t="shared" ca="1" si="403"/>
        <v>0</v>
      </c>
      <c r="CL251" s="36">
        <f t="shared" ca="1" si="404"/>
        <v>0</v>
      </c>
      <c r="CM251" s="36">
        <f t="shared" ca="1" si="405"/>
        <v>0</v>
      </c>
      <c r="CN251" s="36">
        <f t="shared" ca="1" si="406"/>
        <v>0</v>
      </c>
      <c r="CO251" s="36">
        <f t="shared" ca="1" si="407"/>
        <v>0</v>
      </c>
      <c r="CP251" s="36">
        <f t="shared" ca="1" si="408"/>
        <v>0</v>
      </c>
      <c r="CQ251" s="36">
        <f t="shared" ca="1" si="409"/>
        <v>0</v>
      </c>
      <c r="CR251" s="36">
        <f t="shared" ca="1" si="410"/>
        <v>0</v>
      </c>
      <c r="CS251" s="36">
        <f t="shared" ca="1" si="411"/>
        <v>0</v>
      </c>
      <c r="CT251" s="36">
        <f t="shared" ca="1" si="412"/>
        <v>0</v>
      </c>
      <c r="CU251" s="36">
        <f t="shared" ca="1" si="420"/>
        <v>0</v>
      </c>
      <c r="CV251" s="36">
        <f t="shared" ca="1" si="420"/>
        <v>0</v>
      </c>
      <c r="CW251" s="21"/>
    </row>
    <row r="252" spans="3:101" x14ac:dyDescent="0.25">
      <c r="C252" s="49" t="str">
        <f t="shared" si="413"/>
        <v>SPORT PLACEHOLDERWholesale</v>
      </c>
      <c r="D252" s="35" t="str">
        <f>[1]Key!C$20</f>
        <v>SPORT PLACEHOLDER</v>
      </c>
      <c r="E252" s="35" t="str">
        <f>[1]contras!H132</f>
        <v>Wholesale</v>
      </c>
      <c r="F252" s="41"/>
      <c r="G252" s="21"/>
      <c r="H252" s="21"/>
      <c r="I252" s="21"/>
      <c r="J252" s="21"/>
      <c r="K252" s="21"/>
      <c r="L252" s="21"/>
      <c r="M252" s="21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36">
        <f t="shared" ref="Z252:CV252" ca="1" si="421">Y252+Z102-Z192-Z222</f>
        <v>0</v>
      </c>
      <c r="AA252" s="36">
        <f t="shared" ca="1" si="421"/>
        <v>0</v>
      </c>
      <c r="AB252" s="36">
        <f t="shared" ca="1" si="421"/>
        <v>0</v>
      </c>
      <c r="AC252" s="36">
        <f t="shared" ca="1" si="421"/>
        <v>0</v>
      </c>
      <c r="AD252" s="36">
        <f t="shared" ca="1" si="421"/>
        <v>0</v>
      </c>
      <c r="AE252" s="36">
        <f t="shared" ca="1" si="421"/>
        <v>0</v>
      </c>
      <c r="AF252" s="36">
        <f t="shared" ca="1" si="421"/>
        <v>0</v>
      </c>
      <c r="AG252" s="36">
        <f t="shared" ca="1" si="421"/>
        <v>0</v>
      </c>
      <c r="AH252" s="36">
        <f t="shared" ca="1" si="421"/>
        <v>0</v>
      </c>
      <c r="AI252" s="36">
        <f t="shared" ca="1" si="421"/>
        <v>0</v>
      </c>
      <c r="AJ252" s="36">
        <f t="shared" ca="1" si="421"/>
        <v>0</v>
      </c>
      <c r="AK252" s="36">
        <f t="shared" ca="1" si="421"/>
        <v>0</v>
      </c>
      <c r="AL252" s="36">
        <f t="shared" ca="1" si="421"/>
        <v>0</v>
      </c>
      <c r="AM252" s="36">
        <f t="shared" ca="1" si="421"/>
        <v>0</v>
      </c>
      <c r="AN252" s="36">
        <f t="shared" ca="1" si="421"/>
        <v>0</v>
      </c>
      <c r="AO252" s="36">
        <f t="shared" ca="1" si="421"/>
        <v>0</v>
      </c>
      <c r="AP252" s="36">
        <f t="shared" ca="1" si="421"/>
        <v>0</v>
      </c>
      <c r="AQ252" s="36">
        <f t="shared" ca="1" si="421"/>
        <v>0</v>
      </c>
      <c r="AR252" s="36">
        <f t="shared" ca="1" si="421"/>
        <v>0</v>
      </c>
      <c r="AS252" s="36">
        <f t="shared" ca="1" si="421"/>
        <v>0</v>
      </c>
      <c r="AT252" s="36">
        <f t="shared" ca="1" si="421"/>
        <v>0</v>
      </c>
      <c r="AU252" s="36">
        <f t="shared" ca="1" si="421"/>
        <v>0</v>
      </c>
      <c r="AV252" s="36">
        <f t="shared" ca="1" si="421"/>
        <v>0</v>
      </c>
      <c r="AW252" s="36">
        <f t="shared" ca="1" si="421"/>
        <v>0</v>
      </c>
      <c r="AX252" s="36">
        <f t="shared" ca="1" si="421"/>
        <v>390000</v>
      </c>
      <c r="AY252" s="36">
        <f t="shared" ca="1" si="421"/>
        <v>390000</v>
      </c>
      <c r="AZ252" s="36">
        <f t="shared" ca="1" si="421"/>
        <v>0</v>
      </c>
      <c r="BA252" s="36">
        <f t="shared" ca="1" si="421"/>
        <v>0</v>
      </c>
      <c r="BB252" s="36">
        <f t="shared" ca="1" si="421"/>
        <v>0</v>
      </c>
      <c r="BC252" s="36">
        <f t="shared" ca="1" si="421"/>
        <v>0</v>
      </c>
      <c r="BD252" s="36">
        <f t="shared" ca="1" si="421"/>
        <v>780000</v>
      </c>
      <c r="BE252" s="36">
        <f t="shared" ca="1" si="421"/>
        <v>780000</v>
      </c>
      <c r="BF252" s="36">
        <f t="shared" ca="1" si="421"/>
        <v>0</v>
      </c>
      <c r="BG252" s="36">
        <f t="shared" ca="1" si="421"/>
        <v>0</v>
      </c>
      <c r="BH252" s="36">
        <f t="shared" ca="1" si="421"/>
        <v>0</v>
      </c>
      <c r="BI252" s="36">
        <f t="shared" ca="1" si="421"/>
        <v>0</v>
      </c>
      <c r="BJ252" s="36">
        <f t="shared" ca="1" si="376"/>
        <v>1170000</v>
      </c>
      <c r="BK252" s="36">
        <f t="shared" ca="1" si="377"/>
        <v>1170000</v>
      </c>
      <c r="BL252" s="36">
        <f t="shared" ca="1" si="378"/>
        <v>0</v>
      </c>
      <c r="BM252" s="36">
        <f t="shared" ca="1" si="379"/>
        <v>0</v>
      </c>
      <c r="BN252" s="36">
        <f t="shared" ca="1" si="380"/>
        <v>0</v>
      </c>
      <c r="BO252" s="36">
        <f t="shared" ca="1" si="381"/>
        <v>0</v>
      </c>
      <c r="BP252" s="36">
        <f t="shared" ca="1" si="382"/>
        <v>2340000</v>
      </c>
      <c r="BQ252" s="36">
        <f t="shared" ca="1" si="383"/>
        <v>2340000</v>
      </c>
      <c r="BR252" s="36">
        <f t="shared" ca="1" si="384"/>
        <v>0</v>
      </c>
      <c r="BS252" s="36">
        <f t="shared" ca="1" si="385"/>
        <v>0</v>
      </c>
      <c r="BT252" s="36">
        <f t="shared" ca="1" si="386"/>
        <v>0</v>
      </c>
      <c r="BU252" s="36">
        <f t="shared" ca="1" si="387"/>
        <v>0</v>
      </c>
      <c r="BV252" s="36">
        <f t="shared" ca="1" si="388"/>
        <v>3510000</v>
      </c>
      <c r="BW252" s="36">
        <f t="shared" ca="1" si="389"/>
        <v>3510000</v>
      </c>
      <c r="BX252" s="36">
        <f t="shared" ca="1" si="390"/>
        <v>0</v>
      </c>
      <c r="BY252" s="36">
        <f t="shared" ca="1" si="391"/>
        <v>0</v>
      </c>
      <c r="BZ252" s="36">
        <f t="shared" ca="1" si="392"/>
        <v>0</v>
      </c>
      <c r="CA252" s="36">
        <f t="shared" ca="1" si="393"/>
        <v>0</v>
      </c>
      <c r="CB252" s="36">
        <f t="shared" ca="1" si="394"/>
        <v>7020000</v>
      </c>
      <c r="CC252" s="36">
        <f t="shared" ca="1" si="395"/>
        <v>7020000</v>
      </c>
      <c r="CD252" s="36">
        <f t="shared" ca="1" si="396"/>
        <v>0</v>
      </c>
      <c r="CE252" s="36">
        <f t="shared" ca="1" si="397"/>
        <v>0</v>
      </c>
      <c r="CF252" s="36">
        <f t="shared" ca="1" si="398"/>
        <v>0</v>
      </c>
      <c r="CG252" s="36">
        <f t="shared" ca="1" si="399"/>
        <v>0</v>
      </c>
      <c r="CH252" s="36">
        <f t="shared" ca="1" si="400"/>
        <v>8775000</v>
      </c>
      <c r="CI252" s="36">
        <f t="shared" ca="1" si="401"/>
        <v>8775000</v>
      </c>
      <c r="CJ252" s="36">
        <f t="shared" ca="1" si="402"/>
        <v>0</v>
      </c>
      <c r="CK252" s="36">
        <f t="shared" ca="1" si="403"/>
        <v>0</v>
      </c>
      <c r="CL252" s="36">
        <f t="shared" ca="1" si="404"/>
        <v>0</v>
      </c>
      <c r="CM252" s="36">
        <f t="shared" ca="1" si="405"/>
        <v>0</v>
      </c>
      <c r="CN252" s="36">
        <f t="shared" ca="1" si="406"/>
        <v>17550000</v>
      </c>
      <c r="CO252" s="36">
        <f t="shared" ca="1" si="407"/>
        <v>17550000</v>
      </c>
      <c r="CP252" s="36">
        <f t="shared" ca="1" si="408"/>
        <v>0</v>
      </c>
      <c r="CQ252" s="36">
        <f t="shared" ca="1" si="409"/>
        <v>0</v>
      </c>
      <c r="CR252" s="36">
        <f t="shared" ca="1" si="410"/>
        <v>0</v>
      </c>
      <c r="CS252" s="36">
        <f t="shared" ca="1" si="411"/>
        <v>0</v>
      </c>
      <c r="CT252" s="36">
        <f t="shared" ca="1" si="412"/>
        <v>0</v>
      </c>
      <c r="CU252" s="36">
        <f t="shared" ca="1" si="421"/>
        <v>0</v>
      </c>
      <c r="CV252" s="36">
        <f t="shared" ca="1" si="421"/>
        <v>0</v>
      </c>
      <c r="CW252" s="21"/>
    </row>
    <row r="253" spans="3:101" x14ac:dyDescent="0.25">
      <c r="C253" s="49" t="str">
        <f t="shared" si="413"/>
        <v>SPUNGEWholesale</v>
      </c>
      <c r="D253" s="35" t="str">
        <f>[1]Key!C$21</f>
        <v>SPUNGE</v>
      </c>
      <c r="E253" s="35" t="str">
        <f>[1]contras!H133</f>
        <v>Wholesale</v>
      </c>
      <c r="F253" s="41"/>
      <c r="G253" s="21"/>
      <c r="H253" s="21"/>
      <c r="I253" s="21"/>
      <c r="J253" s="21"/>
      <c r="K253" s="21"/>
      <c r="L253" s="21"/>
      <c r="M253" s="21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36">
        <f t="shared" ref="Z253:CV253" ca="1" si="422">Y253+Z103-Z193-Z223</f>
        <v>0</v>
      </c>
      <c r="AA253" s="36">
        <f t="shared" ca="1" si="422"/>
        <v>0</v>
      </c>
      <c r="AB253" s="36">
        <f t="shared" ca="1" si="422"/>
        <v>0</v>
      </c>
      <c r="AC253" s="36">
        <f t="shared" ca="1" si="422"/>
        <v>0</v>
      </c>
      <c r="AD253" s="36">
        <f t="shared" ca="1" si="422"/>
        <v>0</v>
      </c>
      <c r="AE253" s="36">
        <f t="shared" ca="1" si="422"/>
        <v>0</v>
      </c>
      <c r="AF253" s="36">
        <f t="shared" ca="1" si="422"/>
        <v>0</v>
      </c>
      <c r="AG253" s="36">
        <f t="shared" ca="1" si="422"/>
        <v>0</v>
      </c>
      <c r="AH253" s="36">
        <f t="shared" ca="1" si="422"/>
        <v>0</v>
      </c>
      <c r="AI253" s="36">
        <f t="shared" ca="1" si="422"/>
        <v>0</v>
      </c>
      <c r="AJ253" s="36">
        <f t="shared" ca="1" si="422"/>
        <v>0</v>
      </c>
      <c r="AK253" s="36">
        <f t="shared" ca="1" si="422"/>
        <v>0</v>
      </c>
      <c r="AL253" s="36">
        <f t="shared" ca="1" si="422"/>
        <v>0</v>
      </c>
      <c r="AM253" s="36">
        <f t="shared" ca="1" si="422"/>
        <v>0</v>
      </c>
      <c r="AN253" s="36">
        <f t="shared" ca="1" si="422"/>
        <v>0</v>
      </c>
      <c r="AO253" s="36">
        <f t="shared" ca="1" si="422"/>
        <v>0</v>
      </c>
      <c r="AP253" s="36">
        <f t="shared" ca="1" si="422"/>
        <v>0</v>
      </c>
      <c r="AQ253" s="36">
        <f t="shared" ca="1" si="422"/>
        <v>0</v>
      </c>
      <c r="AR253" s="36">
        <f t="shared" ca="1" si="422"/>
        <v>0</v>
      </c>
      <c r="AS253" s="36">
        <f t="shared" ca="1" si="422"/>
        <v>0</v>
      </c>
      <c r="AT253" s="36">
        <f t="shared" ca="1" si="422"/>
        <v>0</v>
      </c>
      <c r="AU253" s="36">
        <f t="shared" ca="1" si="422"/>
        <v>0</v>
      </c>
      <c r="AV253" s="36">
        <f t="shared" ca="1" si="422"/>
        <v>27000</v>
      </c>
      <c r="AW253" s="36">
        <f t="shared" ca="1" si="422"/>
        <v>94500</v>
      </c>
      <c r="AX253" s="36">
        <f t="shared" ca="1" si="422"/>
        <v>67500</v>
      </c>
      <c r="AY253" s="36">
        <f t="shared" ca="1" si="422"/>
        <v>331200</v>
      </c>
      <c r="AZ253" s="36">
        <f t="shared" ca="1" si="422"/>
        <v>331200</v>
      </c>
      <c r="BA253" s="36">
        <f t="shared" ca="1" si="422"/>
        <v>0</v>
      </c>
      <c r="BB253" s="36">
        <f t="shared" ca="1" si="422"/>
        <v>374400</v>
      </c>
      <c r="BC253" s="36">
        <f t="shared" ca="1" si="422"/>
        <v>374400</v>
      </c>
      <c r="BD253" s="36">
        <f t="shared" ca="1" si="422"/>
        <v>432000</v>
      </c>
      <c r="BE253" s="36">
        <f t="shared" ca="1" si="422"/>
        <v>432000</v>
      </c>
      <c r="BF253" s="36">
        <f t="shared" ca="1" si="422"/>
        <v>43200</v>
      </c>
      <c r="BG253" s="36">
        <f t="shared" ca="1" si="422"/>
        <v>43200</v>
      </c>
      <c r="BH253" s="36">
        <f t="shared" ca="1" si="422"/>
        <v>576000</v>
      </c>
      <c r="BI253" s="36">
        <f t="shared" ca="1" si="422"/>
        <v>684000</v>
      </c>
      <c r="BJ253" s="36">
        <f t="shared" ca="1" si="376"/>
        <v>108000</v>
      </c>
      <c r="BK253" s="36">
        <f t="shared" ca="1" si="377"/>
        <v>993600</v>
      </c>
      <c r="BL253" s="36">
        <f t="shared" ca="1" si="378"/>
        <v>993600</v>
      </c>
      <c r="BM253" s="36">
        <f t="shared" ca="1" si="379"/>
        <v>0</v>
      </c>
      <c r="BN253" s="36">
        <f t="shared" ca="1" si="380"/>
        <v>1123200</v>
      </c>
      <c r="BO253" s="36">
        <f t="shared" ca="1" si="381"/>
        <v>1123200</v>
      </c>
      <c r="BP253" s="36">
        <f t="shared" ca="1" si="382"/>
        <v>1296000</v>
      </c>
      <c r="BQ253" s="36">
        <f t="shared" ca="1" si="383"/>
        <v>1296000</v>
      </c>
      <c r="BR253" s="36">
        <f t="shared" ca="1" si="384"/>
        <v>129600</v>
      </c>
      <c r="BS253" s="36">
        <f t="shared" ca="1" si="385"/>
        <v>129600</v>
      </c>
      <c r="BT253" s="36">
        <f t="shared" ca="1" si="386"/>
        <v>1728000</v>
      </c>
      <c r="BU253" s="36">
        <f t="shared" ca="1" si="387"/>
        <v>2052000</v>
      </c>
      <c r="BV253" s="36">
        <f t="shared" ca="1" si="388"/>
        <v>324000</v>
      </c>
      <c r="BW253" s="36">
        <f t="shared" ca="1" si="389"/>
        <v>2484000</v>
      </c>
      <c r="BX253" s="36">
        <f t="shared" ca="1" si="390"/>
        <v>2484000</v>
      </c>
      <c r="BY253" s="36">
        <f t="shared" ca="1" si="391"/>
        <v>0</v>
      </c>
      <c r="BZ253" s="36">
        <f t="shared" ca="1" si="392"/>
        <v>2808000</v>
      </c>
      <c r="CA253" s="36">
        <f t="shared" ca="1" si="393"/>
        <v>2808000</v>
      </c>
      <c r="CB253" s="36">
        <f t="shared" ca="1" si="394"/>
        <v>3240000</v>
      </c>
      <c r="CC253" s="36">
        <f t="shared" ca="1" si="395"/>
        <v>3240000</v>
      </c>
      <c r="CD253" s="36">
        <f t="shared" ca="1" si="396"/>
        <v>324000</v>
      </c>
      <c r="CE253" s="36">
        <f t="shared" ca="1" si="397"/>
        <v>324000</v>
      </c>
      <c r="CF253" s="36">
        <f t="shared" ca="1" si="398"/>
        <v>4320000</v>
      </c>
      <c r="CG253" s="36">
        <f t="shared" ca="1" si="399"/>
        <v>5130000</v>
      </c>
      <c r="CH253" s="36">
        <f t="shared" ca="1" si="400"/>
        <v>810000</v>
      </c>
      <c r="CI253" s="36">
        <f t="shared" ca="1" si="401"/>
        <v>4347000</v>
      </c>
      <c r="CJ253" s="36">
        <f t="shared" ca="1" si="402"/>
        <v>4347000</v>
      </c>
      <c r="CK253" s="36">
        <f t="shared" ca="1" si="403"/>
        <v>0</v>
      </c>
      <c r="CL253" s="36">
        <f t="shared" ca="1" si="404"/>
        <v>4914000</v>
      </c>
      <c r="CM253" s="36">
        <f t="shared" ca="1" si="405"/>
        <v>4914000</v>
      </c>
      <c r="CN253" s="36">
        <f t="shared" ca="1" si="406"/>
        <v>5670000</v>
      </c>
      <c r="CO253" s="36">
        <f t="shared" ca="1" si="407"/>
        <v>5670000</v>
      </c>
      <c r="CP253" s="36">
        <f t="shared" ca="1" si="408"/>
        <v>567000</v>
      </c>
      <c r="CQ253" s="36">
        <f t="shared" ca="1" si="409"/>
        <v>567000</v>
      </c>
      <c r="CR253" s="36">
        <f t="shared" ca="1" si="410"/>
        <v>7560000</v>
      </c>
      <c r="CS253" s="36">
        <f t="shared" ca="1" si="411"/>
        <v>8977500</v>
      </c>
      <c r="CT253" s="36">
        <f t="shared" ca="1" si="412"/>
        <v>1417500</v>
      </c>
      <c r="CU253" s="36">
        <f t="shared" ca="1" si="422"/>
        <v>0</v>
      </c>
      <c r="CV253" s="36">
        <f t="shared" ca="1" si="422"/>
        <v>0</v>
      </c>
      <c r="CW253" s="21"/>
    </row>
    <row r="254" spans="3:101" x14ac:dyDescent="0.25">
      <c r="C254" s="49" t="str">
        <f t="shared" si="413"/>
        <v>SUNFLOWERWholesale</v>
      </c>
      <c r="D254" s="35" t="str">
        <f>[1]Key!C$22</f>
        <v>SUNFLOWER</v>
      </c>
      <c r="E254" s="35" t="str">
        <f>[1]contras!H134</f>
        <v>Wholesale</v>
      </c>
      <c r="F254" s="41"/>
      <c r="G254" s="21"/>
      <c r="H254" s="21"/>
      <c r="I254" s="21"/>
      <c r="J254" s="21"/>
      <c r="K254" s="21"/>
      <c r="L254" s="21"/>
      <c r="M254" s="21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36">
        <f t="shared" ref="Z254:CV254" ca="1" si="423">Y254+Z104-Z194-Z224</f>
        <v>0</v>
      </c>
      <c r="AA254" s="36">
        <f t="shared" ca="1" si="423"/>
        <v>0</v>
      </c>
      <c r="AB254" s="36">
        <f t="shared" ca="1" si="423"/>
        <v>0</v>
      </c>
      <c r="AC254" s="36">
        <f t="shared" ca="1" si="423"/>
        <v>0</v>
      </c>
      <c r="AD254" s="36">
        <f t="shared" ca="1" si="423"/>
        <v>0</v>
      </c>
      <c r="AE254" s="36">
        <f t="shared" ca="1" si="423"/>
        <v>0</v>
      </c>
      <c r="AF254" s="36">
        <f t="shared" ca="1" si="423"/>
        <v>0</v>
      </c>
      <c r="AG254" s="36">
        <f t="shared" ca="1" si="423"/>
        <v>0</v>
      </c>
      <c r="AH254" s="36">
        <f t="shared" ca="1" si="423"/>
        <v>0</v>
      </c>
      <c r="AI254" s="36">
        <f t="shared" ca="1" si="423"/>
        <v>0</v>
      </c>
      <c r="AJ254" s="36">
        <f t="shared" ca="1" si="423"/>
        <v>0</v>
      </c>
      <c r="AK254" s="36">
        <f t="shared" ca="1" si="423"/>
        <v>0</v>
      </c>
      <c r="AL254" s="36">
        <f t="shared" ca="1" si="423"/>
        <v>0</v>
      </c>
      <c r="AM254" s="36">
        <f t="shared" ca="1" si="423"/>
        <v>487500</v>
      </c>
      <c r="AN254" s="36">
        <f t="shared" ca="1" si="423"/>
        <v>487500</v>
      </c>
      <c r="AO254" s="36">
        <f t="shared" ca="1" si="423"/>
        <v>0</v>
      </c>
      <c r="AP254" s="36">
        <f t="shared" ca="1" si="423"/>
        <v>0</v>
      </c>
      <c r="AQ254" s="36">
        <f t="shared" ca="1" si="423"/>
        <v>0</v>
      </c>
      <c r="AR254" s="36">
        <f t="shared" ca="1" si="423"/>
        <v>0</v>
      </c>
      <c r="AS254" s="36">
        <f t="shared" ca="1" si="423"/>
        <v>975000</v>
      </c>
      <c r="AT254" s="36">
        <f t="shared" ca="1" si="423"/>
        <v>975000</v>
      </c>
      <c r="AU254" s="36">
        <f t="shared" ca="1" si="423"/>
        <v>0</v>
      </c>
      <c r="AV254" s="36">
        <f t="shared" ca="1" si="423"/>
        <v>0</v>
      </c>
      <c r="AW254" s="36">
        <f t="shared" ca="1" si="423"/>
        <v>0</v>
      </c>
      <c r="AX254" s="36">
        <f t="shared" ca="1" si="423"/>
        <v>0</v>
      </c>
      <c r="AY254" s="36">
        <f t="shared" ca="1" si="423"/>
        <v>975000</v>
      </c>
      <c r="AZ254" s="36">
        <f t="shared" ca="1" si="423"/>
        <v>975000</v>
      </c>
      <c r="BA254" s="36">
        <f t="shared" ca="1" si="423"/>
        <v>0</v>
      </c>
      <c r="BB254" s="36">
        <f t="shared" ca="1" si="423"/>
        <v>0</v>
      </c>
      <c r="BC254" s="36">
        <f t="shared" ca="1" si="423"/>
        <v>0</v>
      </c>
      <c r="BD254" s="36">
        <f t="shared" ca="1" si="423"/>
        <v>0</v>
      </c>
      <c r="BE254" s="36">
        <f t="shared" ca="1" si="423"/>
        <v>1300000</v>
      </c>
      <c r="BF254" s="36">
        <f t="shared" ca="1" si="423"/>
        <v>1300000</v>
      </c>
      <c r="BG254" s="36">
        <f t="shared" ca="1" si="423"/>
        <v>0</v>
      </c>
      <c r="BH254" s="36">
        <f t="shared" ca="1" si="423"/>
        <v>0</v>
      </c>
      <c r="BI254" s="36">
        <f t="shared" ca="1" si="423"/>
        <v>0</v>
      </c>
      <c r="BJ254" s="36">
        <f t="shared" ca="1" si="376"/>
        <v>0</v>
      </c>
      <c r="BK254" s="36">
        <f t="shared" ca="1" si="377"/>
        <v>1950000</v>
      </c>
      <c r="BL254" s="36">
        <f t="shared" ca="1" si="378"/>
        <v>1950000</v>
      </c>
      <c r="BM254" s="36">
        <f t="shared" ca="1" si="379"/>
        <v>0</v>
      </c>
      <c r="BN254" s="36">
        <f t="shared" ca="1" si="380"/>
        <v>0</v>
      </c>
      <c r="BO254" s="36">
        <f t="shared" ca="1" si="381"/>
        <v>0</v>
      </c>
      <c r="BP254" s="36">
        <f t="shared" ca="1" si="382"/>
        <v>0</v>
      </c>
      <c r="BQ254" s="36">
        <f t="shared" ca="1" si="383"/>
        <v>2600000</v>
      </c>
      <c r="BR254" s="36">
        <f t="shared" ca="1" si="384"/>
        <v>2600000</v>
      </c>
      <c r="BS254" s="36">
        <f t="shared" ca="1" si="385"/>
        <v>0</v>
      </c>
      <c r="BT254" s="36">
        <f t="shared" ca="1" si="386"/>
        <v>0</v>
      </c>
      <c r="BU254" s="36">
        <f t="shared" ca="1" si="387"/>
        <v>0</v>
      </c>
      <c r="BV254" s="36">
        <f t="shared" ca="1" si="388"/>
        <v>0</v>
      </c>
      <c r="BW254" s="36">
        <f t="shared" ca="1" si="389"/>
        <v>2925000</v>
      </c>
      <c r="BX254" s="36">
        <f t="shared" ca="1" si="390"/>
        <v>2925000</v>
      </c>
      <c r="BY254" s="36">
        <f t="shared" ca="1" si="391"/>
        <v>0</v>
      </c>
      <c r="BZ254" s="36">
        <f t="shared" ca="1" si="392"/>
        <v>0</v>
      </c>
      <c r="CA254" s="36">
        <f t="shared" ca="1" si="393"/>
        <v>0</v>
      </c>
      <c r="CB254" s="36">
        <f t="shared" ca="1" si="394"/>
        <v>0</v>
      </c>
      <c r="CC254" s="36">
        <f t="shared" ca="1" si="395"/>
        <v>3900000</v>
      </c>
      <c r="CD254" s="36">
        <f t="shared" ca="1" si="396"/>
        <v>3900000</v>
      </c>
      <c r="CE254" s="36">
        <f t="shared" ca="1" si="397"/>
        <v>0</v>
      </c>
      <c r="CF254" s="36">
        <f t="shared" ca="1" si="398"/>
        <v>0</v>
      </c>
      <c r="CG254" s="36">
        <f t="shared" ca="1" si="399"/>
        <v>0</v>
      </c>
      <c r="CH254" s="36">
        <f t="shared" ca="1" si="400"/>
        <v>0</v>
      </c>
      <c r="CI254" s="36">
        <f t="shared" ca="1" si="401"/>
        <v>3802500</v>
      </c>
      <c r="CJ254" s="36">
        <f t="shared" ca="1" si="402"/>
        <v>3802500</v>
      </c>
      <c r="CK254" s="36">
        <f t="shared" ca="1" si="403"/>
        <v>0</v>
      </c>
      <c r="CL254" s="36">
        <f t="shared" ca="1" si="404"/>
        <v>0</v>
      </c>
      <c r="CM254" s="36">
        <f t="shared" ca="1" si="405"/>
        <v>0</v>
      </c>
      <c r="CN254" s="36">
        <f t="shared" ca="1" si="406"/>
        <v>0</v>
      </c>
      <c r="CO254" s="36">
        <f t="shared" ca="1" si="407"/>
        <v>5070000</v>
      </c>
      <c r="CP254" s="36">
        <f t="shared" ca="1" si="408"/>
        <v>5070000</v>
      </c>
      <c r="CQ254" s="36">
        <f t="shared" ca="1" si="409"/>
        <v>0</v>
      </c>
      <c r="CR254" s="36">
        <f t="shared" ca="1" si="410"/>
        <v>0</v>
      </c>
      <c r="CS254" s="36">
        <f t="shared" ca="1" si="411"/>
        <v>0</v>
      </c>
      <c r="CT254" s="36">
        <f t="shared" ca="1" si="412"/>
        <v>0</v>
      </c>
      <c r="CU254" s="36">
        <f t="shared" ca="1" si="423"/>
        <v>0</v>
      </c>
      <c r="CV254" s="36">
        <f t="shared" ca="1" si="423"/>
        <v>0</v>
      </c>
      <c r="CW254" s="21"/>
    </row>
    <row r="255" spans="3:101" x14ac:dyDescent="0.25">
      <c r="C255" s="49" t="str">
        <f t="shared" si="413"/>
        <v>BARIDTC</v>
      </c>
      <c r="D255" s="35" t="str">
        <f>[1]Key!C$23</f>
        <v>BARI</v>
      </c>
      <c r="E255" s="35" t="str">
        <f>[1]contras!H135</f>
        <v>DTC</v>
      </c>
      <c r="F255" s="41"/>
      <c r="G255" s="21"/>
      <c r="H255" s="21"/>
      <c r="I255" s="21"/>
      <c r="J255" s="21"/>
      <c r="K255" s="21"/>
      <c r="L255" s="21"/>
      <c r="M255" s="21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36">
        <f t="shared" ref="Z255:CV255" ca="1" si="424">Y255+Z105-Z195-Z225</f>
        <v>0</v>
      </c>
      <c r="AA255" s="36">
        <f t="shared" ca="1" si="424"/>
        <v>0</v>
      </c>
      <c r="AB255" s="36">
        <f t="shared" ca="1" si="424"/>
        <v>0</v>
      </c>
      <c r="AC255" s="36">
        <f t="shared" ca="1" si="424"/>
        <v>0</v>
      </c>
      <c r="AD255" s="36">
        <f t="shared" ca="1" si="424"/>
        <v>0</v>
      </c>
      <c r="AE255" s="36">
        <f t="shared" ca="1" si="424"/>
        <v>0</v>
      </c>
      <c r="AF255" s="36">
        <f t="shared" ca="1" si="424"/>
        <v>0</v>
      </c>
      <c r="AG255" s="36">
        <f t="shared" ca="1" si="424"/>
        <v>0</v>
      </c>
      <c r="AH255" s="36">
        <f t="shared" ca="1" si="424"/>
        <v>0</v>
      </c>
      <c r="AI255" s="36">
        <f t="shared" ca="1" si="424"/>
        <v>0</v>
      </c>
      <c r="AJ255" s="36">
        <f t="shared" ca="1" si="424"/>
        <v>0</v>
      </c>
      <c r="AK255" s="36">
        <f t="shared" ca="1" si="424"/>
        <v>0</v>
      </c>
      <c r="AL255" s="36">
        <f t="shared" ca="1" si="424"/>
        <v>0</v>
      </c>
      <c r="AM255" s="36">
        <f t="shared" ca="1" si="424"/>
        <v>0</v>
      </c>
      <c r="AN255" s="36">
        <f t="shared" ca="1" si="424"/>
        <v>0</v>
      </c>
      <c r="AO255" s="36">
        <f t="shared" ca="1" si="424"/>
        <v>0</v>
      </c>
      <c r="AP255" s="36">
        <f t="shared" ca="1" si="424"/>
        <v>0</v>
      </c>
      <c r="AQ255" s="36">
        <f t="shared" ca="1" si="424"/>
        <v>0</v>
      </c>
      <c r="AR255" s="36">
        <f t="shared" ca="1" si="424"/>
        <v>0</v>
      </c>
      <c r="AS255" s="36">
        <f t="shared" ca="1" si="424"/>
        <v>0</v>
      </c>
      <c r="AT255" s="36">
        <f t="shared" ca="1" si="424"/>
        <v>0</v>
      </c>
      <c r="AU255" s="36">
        <f t="shared" ca="1" si="424"/>
        <v>0</v>
      </c>
      <c r="AV255" s="36">
        <f t="shared" ca="1" si="424"/>
        <v>0</v>
      </c>
      <c r="AW255" s="36">
        <f t="shared" ca="1" si="424"/>
        <v>0</v>
      </c>
      <c r="AX255" s="36">
        <f t="shared" ca="1" si="424"/>
        <v>0</v>
      </c>
      <c r="AY255" s="36">
        <f t="shared" ca="1" si="424"/>
        <v>0</v>
      </c>
      <c r="AZ255" s="36">
        <f t="shared" ca="1" si="424"/>
        <v>0</v>
      </c>
      <c r="BA255" s="36">
        <f t="shared" ca="1" si="424"/>
        <v>0</v>
      </c>
      <c r="BB255" s="36">
        <f t="shared" ca="1" si="424"/>
        <v>0</v>
      </c>
      <c r="BC255" s="36">
        <f t="shared" ca="1" si="424"/>
        <v>0</v>
      </c>
      <c r="BD255" s="36">
        <f t="shared" ca="1" si="424"/>
        <v>0</v>
      </c>
      <c r="BE255" s="36">
        <f t="shared" ca="1" si="424"/>
        <v>0</v>
      </c>
      <c r="BF255" s="36">
        <f t="shared" ca="1" si="424"/>
        <v>0</v>
      </c>
      <c r="BG255" s="36">
        <f t="shared" ca="1" si="424"/>
        <v>0</v>
      </c>
      <c r="BH255" s="36">
        <f t="shared" ca="1" si="424"/>
        <v>0</v>
      </c>
      <c r="BI255" s="36">
        <f t="shared" ca="1" si="424"/>
        <v>0</v>
      </c>
      <c r="BJ255" s="36">
        <f t="shared" ca="1" si="376"/>
        <v>0</v>
      </c>
      <c r="BK255" s="36">
        <f t="shared" ca="1" si="377"/>
        <v>0</v>
      </c>
      <c r="BL255" s="36">
        <f t="shared" ca="1" si="378"/>
        <v>0</v>
      </c>
      <c r="BM255" s="36">
        <f t="shared" ca="1" si="379"/>
        <v>0</v>
      </c>
      <c r="BN255" s="36">
        <f t="shared" ca="1" si="380"/>
        <v>0</v>
      </c>
      <c r="BO255" s="36">
        <f t="shared" ca="1" si="381"/>
        <v>0</v>
      </c>
      <c r="BP255" s="36">
        <f t="shared" ca="1" si="382"/>
        <v>0</v>
      </c>
      <c r="BQ255" s="36">
        <f t="shared" ca="1" si="383"/>
        <v>0</v>
      </c>
      <c r="BR255" s="36">
        <f t="shared" ca="1" si="384"/>
        <v>0</v>
      </c>
      <c r="BS255" s="36">
        <f t="shared" ca="1" si="385"/>
        <v>0</v>
      </c>
      <c r="BT255" s="36">
        <f t="shared" ca="1" si="386"/>
        <v>0</v>
      </c>
      <c r="BU255" s="36">
        <f t="shared" ca="1" si="387"/>
        <v>0</v>
      </c>
      <c r="BV255" s="36">
        <f t="shared" ca="1" si="388"/>
        <v>0</v>
      </c>
      <c r="BW255" s="36">
        <f t="shared" ca="1" si="389"/>
        <v>0</v>
      </c>
      <c r="BX255" s="36">
        <f t="shared" ca="1" si="390"/>
        <v>0</v>
      </c>
      <c r="BY255" s="36">
        <f t="shared" ca="1" si="391"/>
        <v>0</v>
      </c>
      <c r="BZ255" s="36">
        <f t="shared" ca="1" si="392"/>
        <v>0</v>
      </c>
      <c r="CA255" s="36">
        <f t="shared" ca="1" si="393"/>
        <v>0</v>
      </c>
      <c r="CB255" s="36">
        <f t="shared" ca="1" si="394"/>
        <v>0</v>
      </c>
      <c r="CC255" s="36">
        <f t="shared" ca="1" si="395"/>
        <v>0</v>
      </c>
      <c r="CD255" s="36">
        <f t="shared" ca="1" si="396"/>
        <v>0</v>
      </c>
      <c r="CE255" s="36">
        <f t="shared" ca="1" si="397"/>
        <v>0</v>
      </c>
      <c r="CF255" s="36">
        <f t="shared" ca="1" si="398"/>
        <v>0</v>
      </c>
      <c r="CG255" s="36">
        <f t="shared" ca="1" si="399"/>
        <v>0</v>
      </c>
      <c r="CH255" s="36">
        <f t="shared" ca="1" si="400"/>
        <v>0</v>
      </c>
      <c r="CI255" s="36">
        <f t="shared" ca="1" si="401"/>
        <v>0</v>
      </c>
      <c r="CJ255" s="36">
        <f t="shared" ca="1" si="402"/>
        <v>0</v>
      </c>
      <c r="CK255" s="36">
        <f t="shared" ca="1" si="403"/>
        <v>0</v>
      </c>
      <c r="CL255" s="36">
        <f t="shared" ca="1" si="404"/>
        <v>0</v>
      </c>
      <c r="CM255" s="36">
        <f t="shared" ca="1" si="405"/>
        <v>0</v>
      </c>
      <c r="CN255" s="36">
        <f t="shared" ca="1" si="406"/>
        <v>0</v>
      </c>
      <c r="CO255" s="36">
        <f t="shared" ca="1" si="407"/>
        <v>0</v>
      </c>
      <c r="CP255" s="36">
        <f t="shared" ca="1" si="408"/>
        <v>0</v>
      </c>
      <c r="CQ255" s="36">
        <f t="shared" ca="1" si="409"/>
        <v>0</v>
      </c>
      <c r="CR255" s="36">
        <f t="shared" ca="1" si="410"/>
        <v>0</v>
      </c>
      <c r="CS255" s="36">
        <f t="shared" ca="1" si="411"/>
        <v>0</v>
      </c>
      <c r="CT255" s="36">
        <f t="shared" ca="1" si="412"/>
        <v>0</v>
      </c>
      <c r="CU255" s="36">
        <f t="shared" ca="1" si="424"/>
        <v>0</v>
      </c>
      <c r="CV255" s="36">
        <f t="shared" ca="1" si="424"/>
        <v>0</v>
      </c>
      <c r="CW255" s="21"/>
    </row>
    <row r="256" spans="3:101" x14ac:dyDescent="0.25">
      <c r="C256" s="49" t="str">
        <f t="shared" si="413"/>
        <v>BRAIN DEAD OAKLEYDTC</v>
      </c>
      <c r="D256" s="35" t="str">
        <f>[1]Key!C$24</f>
        <v>BRAIN DEAD OAKLEY</v>
      </c>
      <c r="E256" s="35" t="str">
        <f>[1]contras!H136</f>
        <v>DTC</v>
      </c>
      <c r="F256" s="41"/>
      <c r="G256" s="21"/>
      <c r="H256" s="21"/>
      <c r="I256" s="21"/>
      <c r="J256" s="21"/>
      <c r="K256" s="21"/>
      <c r="L256" s="21"/>
      <c r="M256" s="21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36">
        <f t="shared" ref="Z256:CV256" ca="1" si="425">Y256+Z106-Z196-Z226</f>
        <v>0</v>
      </c>
      <c r="AA256" s="36">
        <f t="shared" ca="1" si="425"/>
        <v>0</v>
      </c>
      <c r="AB256" s="36">
        <f t="shared" ca="1" si="425"/>
        <v>0</v>
      </c>
      <c r="AC256" s="36">
        <f t="shared" ca="1" si="425"/>
        <v>0</v>
      </c>
      <c r="AD256" s="36">
        <f t="shared" ca="1" si="425"/>
        <v>0</v>
      </c>
      <c r="AE256" s="36">
        <f t="shared" ca="1" si="425"/>
        <v>0</v>
      </c>
      <c r="AF256" s="36">
        <f t="shared" ca="1" si="425"/>
        <v>0</v>
      </c>
      <c r="AG256" s="36">
        <f t="shared" ca="1" si="425"/>
        <v>0</v>
      </c>
      <c r="AH256" s="36">
        <f t="shared" ca="1" si="425"/>
        <v>0</v>
      </c>
      <c r="AI256" s="36">
        <f t="shared" ca="1" si="425"/>
        <v>0</v>
      </c>
      <c r="AJ256" s="36">
        <f t="shared" ca="1" si="425"/>
        <v>0</v>
      </c>
      <c r="AK256" s="36">
        <f t="shared" ca="1" si="425"/>
        <v>0</v>
      </c>
      <c r="AL256" s="36">
        <f t="shared" ca="1" si="425"/>
        <v>0</v>
      </c>
      <c r="AM256" s="36">
        <f t="shared" ca="1" si="425"/>
        <v>0</v>
      </c>
      <c r="AN256" s="36">
        <f t="shared" ca="1" si="425"/>
        <v>0</v>
      </c>
      <c r="AO256" s="36">
        <f t="shared" ca="1" si="425"/>
        <v>0</v>
      </c>
      <c r="AP256" s="36">
        <f t="shared" ca="1" si="425"/>
        <v>0</v>
      </c>
      <c r="AQ256" s="36">
        <f t="shared" ca="1" si="425"/>
        <v>0</v>
      </c>
      <c r="AR256" s="36">
        <f t="shared" ca="1" si="425"/>
        <v>0</v>
      </c>
      <c r="AS256" s="36">
        <f t="shared" ca="1" si="425"/>
        <v>0</v>
      </c>
      <c r="AT256" s="36">
        <f t="shared" ca="1" si="425"/>
        <v>0</v>
      </c>
      <c r="AU256" s="36">
        <f t="shared" ca="1" si="425"/>
        <v>0</v>
      </c>
      <c r="AV256" s="36">
        <f t="shared" ca="1" si="425"/>
        <v>0</v>
      </c>
      <c r="AW256" s="36">
        <f t="shared" ca="1" si="425"/>
        <v>0</v>
      </c>
      <c r="AX256" s="36">
        <f t="shared" ca="1" si="425"/>
        <v>0</v>
      </c>
      <c r="AY256" s="36">
        <f t="shared" ca="1" si="425"/>
        <v>0</v>
      </c>
      <c r="AZ256" s="36">
        <f t="shared" ca="1" si="425"/>
        <v>0</v>
      </c>
      <c r="BA256" s="36">
        <f t="shared" ca="1" si="425"/>
        <v>0</v>
      </c>
      <c r="BB256" s="36">
        <f t="shared" ca="1" si="425"/>
        <v>0</v>
      </c>
      <c r="BC256" s="36">
        <f t="shared" ca="1" si="425"/>
        <v>0</v>
      </c>
      <c r="BD256" s="36">
        <f t="shared" ca="1" si="425"/>
        <v>0</v>
      </c>
      <c r="BE256" s="36">
        <f t="shared" ca="1" si="425"/>
        <v>0</v>
      </c>
      <c r="BF256" s="36">
        <f t="shared" ca="1" si="425"/>
        <v>0</v>
      </c>
      <c r="BG256" s="36">
        <f t="shared" ca="1" si="425"/>
        <v>0</v>
      </c>
      <c r="BH256" s="36">
        <f t="shared" ca="1" si="425"/>
        <v>0</v>
      </c>
      <c r="BI256" s="36">
        <f t="shared" ca="1" si="425"/>
        <v>0</v>
      </c>
      <c r="BJ256" s="36">
        <f t="shared" ca="1" si="376"/>
        <v>0</v>
      </c>
      <c r="BK256" s="36">
        <f t="shared" ca="1" si="377"/>
        <v>0</v>
      </c>
      <c r="BL256" s="36">
        <f t="shared" ca="1" si="378"/>
        <v>0</v>
      </c>
      <c r="BM256" s="36">
        <f t="shared" ca="1" si="379"/>
        <v>0</v>
      </c>
      <c r="BN256" s="36">
        <f t="shared" ca="1" si="380"/>
        <v>0</v>
      </c>
      <c r="BO256" s="36">
        <f t="shared" ca="1" si="381"/>
        <v>0</v>
      </c>
      <c r="BP256" s="36">
        <f t="shared" ca="1" si="382"/>
        <v>0</v>
      </c>
      <c r="BQ256" s="36">
        <f t="shared" ca="1" si="383"/>
        <v>0</v>
      </c>
      <c r="BR256" s="36">
        <f t="shared" ca="1" si="384"/>
        <v>0</v>
      </c>
      <c r="BS256" s="36">
        <f t="shared" ca="1" si="385"/>
        <v>0</v>
      </c>
      <c r="BT256" s="36">
        <f t="shared" ca="1" si="386"/>
        <v>0</v>
      </c>
      <c r="BU256" s="36">
        <f t="shared" ca="1" si="387"/>
        <v>0</v>
      </c>
      <c r="BV256" s="36">
        <f t="shared" ca="1" si="388"/>
        <v>0</v>
      </c>
      <c r="BW256" s="36">
        <f t="shared" ca="1" si="389"/>
        <v>0</v>
      </c>
      <c r="BX256" s="36">
        <f t="shared" ca="1" si="390"/>
        <v>0</v>
      </c>
      <c r="BY256" s="36">
        <f t="shared" ca="1" si="391"/>
        <v>0</v>
      </c>
      <c r="BZ256" s="36">
        <f t="shared" ca="1" si="392"/>
        <v>0</v>
      </c>
      <c r="CA256" s="36">
        <f t="shared" ca="1" si="393"/>
        <v>0</v>
      </c>
      <c r="CB256" s="36">
        <f t="shared" ca="1" si="394"/>
        <v>0</v>
      </c>
      <c r="CC256" s="36">
        <f t="shared" ca="1" si="395"/>
        <v>0</v>
      </c>
      <c r="CD256" s="36">
        <f t="shared" ca="1" si="396"/>
        <v>0</v>
      </c>
      <c r="CE256" s="36">
        <f t="shared" ca="1" si="397"/>
        <v>0</v>
      </c>
      <c r="CF256" s="36">
        <f t="shared" ca="1" si="398"/>
        <v>0</v>
      </c>
      <c r="CG256" s="36">
        <f t="shared" ca="1" si="399"/>
        <v>0</v>
      </c>
      <c r="CH256" s="36">
        <f t="shared" ca="1" si="400"/>
        <v>0</v>
      </c>
      <c r="CI256" s="36">
        <f t="shared" ca="1" si="401"/>
        <v>0</v>
      </c>
      <c r="CJ256" s="36">
        <f t="shared" ca="1" si="402"/>
        <v>0</v>
      </c>
      <c r="CK256" s="36">
        <f t="shared" ca="1" si="403"/>
        <v>0</v>
      </c>
      <c r="CL256" s="36">
        <f t="shared" ca="1" si="404"/>
        <v>0</v>
      </c>
      <c r="CM256" s="36">
        <f t="shared" ca="1" si="405"/>
        <v>0</v>
      </c>
      <c r="CN256" s="36">
        <f t="shared" ca="1" si="406"/>
        <v>0</v>
      </c>
      <c r="CO256" s="36">
        <f t="shared" ca="1" si="407"/>
        <v>0</v>
      </c>
      <c r="CP256" s="36">
        <f t="shared" ca="1" si="408"/>
        <v>0</v>
      </c>
      <c r="CQ256" s="36">
        <f t="shared" ca="1" si="409"/>
        <v>0</v>
      </c>
      <c r="CR256" s="36">
        <f t="shared" ca="1" si="410"/>
        <v>0</v>
      </c>
      <c r="CS256" s="36">
        <f t="shared" ca="1" si="411"/>
        <v>0</v>
      </c>
      <c r="CT256" s="36">
        <f t="shared" ca="1" si="412"/>
        <v>0</v>
      </c>
      <c r="CU256" s="36">
        <f t="shared" ca="1" si="425"/>
        <v>0</v>
      </c>
      <c r="CV256" s="36">
        <f t="shared" ca="1" si="425"/>
        <v>0</v>
      </c>
      <c r="CW256" s="21"/>
    </row>
    <row r="257" spans="3:101" x14ac:dyDescent="0.25">
      <c r="C257" s="49" t="str">
        <f t="shared" si="413"/>
        <v>GROWTH "HIT" PHDTC</v>
      </c>
      <c r="D257" s="35" t="str">
        <f>[1]Key!C$25</f>
        <v>GROWTH "HIT" PH</v>
      </c>
      <c r="E257" s="35" t="str">
        <f>[1]contras!H137</f>
        <v>DTC</v>
      </c>
      <c r="F257" s="41"/>
      <c r="G257" s="21"/>
      <c r="H257" s="21"/>
      <c r="I257" s="21"/>
      <c r="J257" s="21"/>
      <c r="K257" s="21"/>
      <c r="L257" s="21"/>
      <c r="M257" s="21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36">
        <f t="shared" ref="Z257:CV257" ca="1" si="426">Y257+Z107-Z197-Z227</f>
        <v>0</v>
      </c>
      <c r="AA257" s="36">
        <f t="shared" ca="1" si="426"/>
        <v>0</v>
      </c>
      <c r="AB257" s="36">
        <f t="shared" ca="1" si="426"/>
        <v>0</v>
      </c>
      <c r="AC257" s="36">
        <f t="shared" ca="1" si="426"/>
        <v>0</v>
      </c>
      <c r="AD257" s="36">
        <f t="shared" ca="1" si="426"/>
        <v>0</v>
      </c>
      <c r="AE257" s="36">
        <f t="shared" ca="1" si="426"/>
        <v>0</v>
      </c>
      <c r="AF257" s="36">
        <f t="shared" ca="1" si="426"/>
        <v>0</v>
      </c>
      <c r="AG257" s="36">
        <f t="shared" ca="1" si="426"/>
        <v>0</v>
      </c>
      <c r="AH257" s="36">
        <f t="shared" ca="1" si="426"/>
        <v>0</v>
      </c>
      <c r="AI257" s="36">
        <f t="shared" ca="1" si="426"/>
        <v>0</v>
      </c>
      <c r="AJ257" s="36">
        <f t="shared" ca="1" si="426"/>
        <v>0</v>
      </c>
      <c r="AK257" s="36">
        <f t="shared" ca="1" si="426"/>
        <v>0</v>
      </c>
      <c r="AL257" s="36">
        <f t="shared" ca="1" si="426"/>
        <v>0</v>
      </c>
      <c r="AM257" s="36">
        <f t="shared" ca="1" si="426"/>
        <v>0</v>
      </c>
      <c r="AN257" s="36">
        <f t="shared" ca="1" si="426"/>
        <v>0</v>
      </c>
      <c r="AO257" s="36">
        <f t="shared" ca="1" si="426"/>
        <v>0</v>
      </c>
      <c r="AP257" s="36">
        <f t="shared" ca="1" si="426"/>
        <v>0</v>
      </c>
      <c r="AQ257" s="36">
        <f t="shared" ca="1" si="426"/>
        <v>0</v>
      </c>
      <c r="AR257" s="36">
        <f t="shared" ca="1" si="426"/>
        <v>0</v>
      </c>
      <c r="AS257" s="36">
        <f t="shared" ca="1" si="426"/>
        <v>0</v>
      </c>
      <c r="AT257" s="36">
        <f t="shared" ca="1" si="426"/>
        <v>0</v>
      </c>
      <c r="AU257" s="36">
        <f t="shared" ca="1" si="426"/>
        <v>0</v>
      </c>
      <c r="AV257" s="36">
        <f t="shared" ca="1" si="426"/>
        <v>0</v>
      </c>
      <c r="AW257" s="36">
        <f t="shared" ca="1" si="426"/>
        <v>0</v>
      </c>
      <c r="AX257" s="36">
        <f t="shared" ca="1" si="426"/>
        <v>0</v>
      </c>
      <c r="AY257" s="36">
        <f t="shared" ca="1" si="426"/>
        <v>0</v>
      </c>
      <c r="AZ257" s="36">
        <f t="shared" ca="1" si="426"/>
        <v>0</v>
      </c>
      <c r="BA257" s="36">
        <f t="shared" ca="1" si="426"/>
        <v>0</v>
      </c>
      <c r="BB257" s="36">
        <f t="shared" ca="1" si="426"/>
        <v>0</v>
      </c>
      <c r="BC257" s="36">
        <f t="shared" ca="1" si="426"/>
        <v>0</v>
      </c>
      <c r="BD257" s="36">
        <f t="shared" ca="1" si="426"/>
        <v>0</v>
      </c>
      <c r="BE257" s="36">
        <f t="shared" ca="1" si="426"/>
        <v>0</v>
      </c>
      <c r="BF257" s="36">
        <f t="shared" ca="1" si="426"/>
        <v>0</v>
      </c>
      <c r="BG257" s="36">
        <f t="shared" ca="1" si="426"/>
        <v>0</v>
      </c>
      <c r="BH257" s="36">
        <f t="shared" ca="1" si="426"/>
        <v>0</v>
      </c>
      <c r="BI257" s="36">
        <f t="shared" ca="1" si="426"/>
        <v>0</v>
      </c>
      <c r="BJ257" s="36">
        <f t="shared" ca="1" si="376"/>
        <v>0</v>
      </c>
      <c r="BK257" s="36">
        <f t="shared" ca="1" si="377"/>
        <v>0</v>
      </c>
      <c r="BL257" s="36">
        <f t="shared" ca="1" si="378"/>
        <v>0</v>
      </c>
      <c r="BM257" s="36">
        <f t="shared" ca="1" si="379"/>
        <v>0</v>
      </c>
      <c r="BN257" s="36">
        <f t="shared" ca="1" si="380"/>
        <v>0</v>
      </c>
      <c r="BO257" s="36">
        <f t="shared" ca="1" si="381"/>
        <v>0</v>
      </c>
      <c r="BP257" s="36">
        <f t="shared" ca="1" si="382"/>
        <v>0</v>
      </c>
      <c r="BQ257" s="36">
        <f t="shared" ca="1" si="383"/>
        <v>0</v>
      </c>
      <c r="BR257" s="36">
        <f t="shared" ca="1" si="384"/>
        <v>0</v>
      </c>
      <c r="BS257" s="36">
        <f t="shared" ca="1" si="385"/>
        <v>0</v>
      </c>
      <c r="BT257" s="36">
        <f t="shared" ca="1" si="386"/>
        <v>0</v>
      </c>
      <c r="BU257" s="36">
        <f t="shared" ca="1" si="387"/>
        <v>0</v>
      </c>
      <c r="BV257" s="36">
        <f t="shared" ca="1" si="388"/>
        <v>0</v>
      </c>
      <c r="BW257" s="36">
        <f t="shared" ca="1" si="389"/>
        <v>0</v>
      </c>
      <c r="BX257" s="36">
        <f t="shared" ca="1" si="390"/>
        <v>0</v>
      </c>
      <c r="BY257" s="36">
        <f t="shared" ca="1" si="391"/>
        <v>0</v>
      </c>
      <c r="BZ257" s="36">
        <f t="shared" ca="1" si="392"/>
        <v>0</v>
      </c>
      <c r="CA257" s="36">
        <f t="shared" ca="1" si="393"/>
        <v>0</v>
      </c>
      <c r="CB257" s="36">
        <f t="shared" ca="1" si="394"/>
        <v>0</v>
      </c>
      <c r="CC257" s="36">
        <f t="shared" ca="1" si="395"/>
        <v>0</v>
      </c>
      <c r="CD257" s="36">
        <f t="shared" ca="1" si="396"/>
        <v>0</v>
      </c>
      <c r="CE257" s="36">
        <f t="shared" ca="1" si="397"/>
        <v>0</v>
      </c>
      <c r="CF257" s="36">
        <f t="shared" ca="1" si="398"/>
        <v>0</v>
      </c>
      <c r="CG257" s="36">
        <f t="shared" ca="1" si="399"/>
        <v>0</v>
      </c>
      <c r="CH257" s="36">
        <f t="shared" ca="1" si="400"/>
        <v>0</v>
      </c>
      <c r="CI257" s="36">
        <f t="shared" ca="1" si="401"/>
        <v>0</v>
      </c>
      <c r="CJ257" s="36">
        <f t="shared" ca="1" si="402"/>
        <v>0</v>
      </c>
      <c r="CK257" s="36">
        <f t="shared" ca="1" si="403"/>
        <v>0</v>
      </c>
      <c r="CL257" s="36">
        <f t="shared" ca="1" si="404"/>
        <v>0</v>
      </c>
      <c r="CM257" s="36">
        <f t="shared" ca="1" si="405"/>
        <v>0</v>
      </c>
      <c r="CN257" s="36">
        <f t="shared" ca="1" si="406"/>
        <v>0</v>
      </c>
      <c r="CO257" s="36">
        <f t="shared" ca="1" si="407"/>
        <v>0</v>
      </c>
      <c r="CP257" s="36">
        <f t="shared" ca="1" si="408"/>
        <v>0</v>
      </c>
      <c r="CQ257" s="36">
        <f t="shared" ca="1" si="409"/>
        <v>0</v>
      </c>
      <c r="CR257" s="36">
        <f t="shared" ca="1" si="410"/>
        <v>0</v>
      </c>
      <c r="CS257" s="36">
        <f t="shared" ca="1" si="411"/>
        <v>0</v>
      </c>
      <c r="CT257" s="36">
        <f t="shared" ca="1" si="412"/>
        <v>0</v>
      </c>
      <c r="CU257" s="36">
        <f t="shared" ca="1" si="426"/>
        <v>0</v>
      </c>
      <c r="CV257" s="36">
        <f t="shared" ca="1" si="426"/>
        <v>0</v>
      </c>
      <c r="CW257" s="21"/>
    </row>
    <row r="258" spans="3:101" x14ac:dyDescent="0.25">
      <c r="C258" s="49" t="str">
        <f t="shared" si="413"/>
        <v>ICE STUDIOSDTC</v>
      </c>
      <c r="D258" s="35" t="str">
        <f>[1]Key!C$26</f>
        <v>ICE STUDIOS</v>
      </c>
      <c r="E258" s="35" t="str">
        <f>[1]contras!H138</f>
        <v>DTC</v>
      </c>
      <c r="F258" s="41"/>
      <c r="G258" s="21"/>
      <c r="H258" s="21"/>
      <c r="I258" s="21"/>
      <c r="J258" s="21"/>
      <c r="K258" s="21"/>
      <c r="L258" s="21"/>
      <c r="M258" s="21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36">
        <f t="shared" ref="Z258:CV258" ca="1" si="427">Y258+Z108-Z198-Z228</f>
        <v>0</v>
      </c>
      <c r="AA258" s="36">
        <f t="shared" ca="1" si="427"/>
        <v>0</v>
      </c>
      <c r="AB258" s="36">
        <f t="shared" ca="1" si="427"/>
        <v>0</v>
      </c>
      <c r="AC258" s="36">
        <f t="shared" ca="1" si="427"/>
        <v>0</v>
      </c>
      <c r="AD258" s="36">
        <f t="shared" ca="1" si="427"/>
        <v>0</v>
      </c>
      <c r="AE258" s="36">
        <f t="shared" ca="1" si="427"/>
        <v>0</v>
      </c>
      <c r="AF258" s="36">
        <f t="shared" ca="1" si="427"/>
        <v>0</v>
      </c>
      <c r="AG258" s="36">
        <f t="shared" ca="1" si="427"/>
        <v>0</v>
      </c>
      <c r="AH258" s="36">
        <f t="shared" ca="1" si="427"/>
        <v>0</v>
      </c>
      <c r="AI258" s="36">
        <f t="shared" ca="1" si="427"/>
        <v>0</v>
      </c>
      <c r="AJ258" s="36">
        <f t="shared" ca="1" si="427"/>
        <v>0</v>
      </c>
      <c r="AK258" s="36">
        <f t="shared" ca="1" si="427"/>
        <v>0</v>
      </c>
      <c r="AL258" s="36">
        <f t="shared" ca="1" si="427"/>
        <v>0</v>
      </c>
      <c r="AM258" s="36">
        <f t="shared" ca="1" si="427"/>
        <v>0</v>
      </c>
      <c r="AN258" s="36">
        <f t="shared" ca="1" si="427"/>
        <v>0</v>
      </c>
      <c r="AO258" s="36">
        <f t="shared" ca="1" si="427"/>
        <v>0</v>
      </c>
      <c r="AP258" s="36">
        <f t="shared" ca="1" si="427"/>
        <v>0</v>
      </c>
      <c r="AQ258" s="36">
        <f t="shared" ca="1" si="427"/>
        <v>0</v>
      </c>
      <c r="AR258" s="36">
        <f t="shared" ca="1" si="427"/>
        <v>0</v>
      </c>
      <c r="AS258" s="36">
        <f t="shared" ca="1" si="427"/>
        <v>0</v>
      </c>
      <c r="AT258" s="36">
        <f t="shared" ca="1" si="427"/>
        <v>0</v>
      </c>
      <c r="AU258" s="36">
        <f t="shared" ca="1" si="427"/>
        <v>0</v>
      </c>
      <c r="AV258" s="36">
        <f t="shared" ca="1" si="427"/>
        <v>0</v>
      </c>
      <c r="AW258" s="36">
        <f t="shared" ca="1" si="427"/>
        <v>0</v>
      </c>
      <c r="AX258" s="36">
        <f t="shared" ca="1" si="427"/>
        <v>0</v>
      </c>
      <c r="AY258" s="36">
        <f t="shared" ca="1" si="427"/>
        <v>0</v>
      </c>
      <c r="AZ258" s="36">
        <f t="shared" ca="1" si="427"/>
        <v>0</v>
      </c>
      <c r="BA258" s="36">
        <f t="shared" ca="1" si="427"/>
        <v>0</v>
      </c>
      <c r="BB258" s="36">
        <f t="shared" ca="1" si="427"/>
        <v>0</v>
      </c>
      <c r="BC258" s="36">
        <f t="shared" ca="1" si="427"/>
        <v>0</v>
      </c>
      <c r="BD258" s="36">
        <f t="shared" ca="1" si="427"/>
        <v>0</v>
      </c>
      <c r="BE258" s="36">
        <f t="shared" ca="1" si="427"/>
        <v>0</v>
      </c>
      <c r="BF258" s="36">
        <f t="shared" ca="1" si="427"/>
        <v>0</v>
      </c>
      <c r="BG258" s="36">
        <f t="shared" ca="1" si="427"/>
        <v>0</v>
      </c>
      <c r="BH258" s="36">
        <f t="shared" ca="1" si="427"/>
        <v>0</v>
      </c>
      <c r="BI258" s="36">
        <f t="shared" ca="1" si="427"/>
        <v>0</v>
      </c>
      <c r="BJ258" s="36">
        <f t="shared" ca="1" si="376"/>
        <v>0</v>
      </c>
      <c r="BK258" s="36">
        <f t="shared" ca="1" si="377"/>
        <v>0</v>
      </c>
      <c r="BL258" s="36">
        <f t="shared" ca="1" si="378"/>
        <v>0</v>
      </c>
      <c r="BM258" s="36">
        <f t="shared" ca="1" si="379"/>
        <v>0</v>
      </c>
      <c r="BN258" s="36">
        <f t="shared" ca="1" si="380"/>
        <v>0</v>
      </c>
      <c r="BO258" s="36">
        <f t="shared" ca="1" si="381"/>
        <v>0</v>
      </c>
      <c r="BP258" s="36">
        <f t="shared" ca="1" si="382"/>
        <v>0</v>
      </c>
      <c r="BQ258" s="36">
        <f t="shared" ca="1" si="383"/>
        <v>0</v>
      </c>
      <c r="BR258" s="36">
        <f t="shared" ca="1" si="384"/>
        <v>0</v>
      </c>
      <c r="BS258" s="36">
        <f t="shared" ca="1" si="385"/>
        <v>0</v>
      </c>
      <c r="BT258" s="36">
        <f t="shared" ca="1" si="386"/>
        <v>0</v>
      </c>
      <c r="BU258" s="36">
        <f t="shared" ca="1" si="387"/>
        <v>0</v>
      </c>
      <c r="BV258" s="36">
        <f t="shared" ca="1" si="388"/>
        <v>0</v>
      </c>
      <c r="BW258" s="36">
        <f t="shared" ca="1" si="389"/>
        <v>0</v>
      </c>
      <c r="BX258" s="36">
        <f t="shared" ca="1" si="390"/>
        <v>0</v>
      </c>
      <c r="BY258" s="36">
        <f t="shared" ca="1" si="391"/>
        <v>0</v>
      </c>
      <c r="BZ258" s="36">
        <f t="shared" ca="1" si="392"/>
        <v>0</v>
      </c>
      <c r="CA258" s="36">
        <f t="shared" ca="1" si="393"/>
        <v>0</v>
      </c>
      <c r="CB258" s="36">
        <f t="shared" ca="1" si="394"/>
        <v>0</v>
      </c>
      <c r="CC258" s="36">
        <f t="shared" ca="1" si="395"/>
        <v>0</v>
      </c>
      <c r="CD258" s="36">
        <f t="shared" ca="1" si="396"/>
        <v>0</v>
      </c>
      <c r="CE258" s="36">
        <f t="shared" ca="1" si="397"/>
        <v>0</v>
      </c>
      <c r="CF258" s="36">
        <f t="shared" ca="1" si="398"/>
        <v>0</v>
      </c>
      <c r="CG258" s="36">
        <f t="shared" ca="1" si="399"/>
        <v>0</v>
      </c>
      <c r="CH258" s="36">
        <f t="shared" ca="1" si="400"/>
        <v>0</v>
      </c>
      <c r="CI258" s="36">
        <f t="shared" ca="1" si="401"/>
        <v>0</v>
      </c>
      <c r="CJ258" s="36">
        <f t="shared" ca="1" si="402"/>
        <v>0</v>
      </c>
      <c r="CK258" s="36">
        <f t="shared" ca="1" si="403"/>
        <v>0</v>
      </c>
      <c r="CL258" s="36">
        <f t="shared" ca="1" si="404"/>
        <v>0</v>
      </c>
      <c r="CM258" s="36">
        <f t="shared" ca="1" si="405"/>
        <v>0</v>
      </c>
      <c r="CN258" s="36">
        <f t="shared" ca="1" si="406"/>
        <v>0</v>
      </c>
      <c r="CO258" s="36">
        <f t="shared" ca="1" si="407"/>
        <v>0</v>
      </c>
      <c r="CP258" s="36">
        <f t="shared" ca="1" si="408"/>
        <v>0</v>
      </c>
      <c r="CQ258" s="36">
        <f t="shared" ca="1" si="409"/>
        <v>0</v>
      </c>
      <c r="CR258" s="36">
        <f t="shared" ca="1" si="410"/>
        <v>0</v>
      </c>
      <c r="CS258" s="36">
        <f t="shared" ca="1" si="411"/>
        <v>0</v>
      </c>
      <c r="CT258" s="36">
        <f t="shared" ca="1" si="412"/>
        <v>0</v>
      </c>
      <c r="CU258" s="36">
        <f t="shared" ca="1" si="427"/>
        <v>0</v>
      </c>
      <c r="CV258" s="36">
        <f t="shared" ca="1" si="427"/>
        <v>0</v>
      </c>
      <c r="CW258" s="21"/>
    </row>
    <row r="259" spans="3:101" x14ac:dyDescent="0.25">
      <c r="C259" s="49" t="str">
        <f t="shared" si="413"/>
        <v>MURAKAMI / TORITONDTC</v>
      </c>
      <c r="D259" s="35" t="str">
        <f>[1]Key!C$27</f>
        <v>MURAKAMI / TORITON</v>
      </c>
      <c r="E259" s="35" t="str">
        <f>[1]contras!H139</f>
        <v>DTC</v>
      </c>
      <c r="F259" s="41"/>
      <c r="G259" s="21"/>
      <c r="H259" s="21"/>
      <c r="I259" s="21"/>
      <c r="J259" s="21"/>
      <c r="K259" s="21"/>
      <c r="L259" s="21"/>
      <c r="M259" s="21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36">
        <f t="shared" ref="Z259:CV259" ca="1" si="428">Y259+Z109-Z199-Z229</f>
        <v>0</v>
      </c>
      <c r="AA259" s="36">
        <f t="shared" ca="1" si="428"/>
        <v>0</v>
      </c>
      <c r="AB259" s="36">
        <f t="shared" ca="1" si="428"/>
        <v>0</v>
      </c>
      <c r="AC259" s="36">
        <f t="shared" ca="1" si="428"/>
        <v>0</v>
      </c>
      <c r="AD259" s="36">
        <f t="shared" ca="1" si="428"/>
        <v>0</v>
      </c>
      <c r="AE259" s="36">
        <f t="shared" ca="1" si="428"/>
        <v>0</v>
      </c>
      <c r="AF259" s="36">
        <f t="shared" ca="1" si="428"/>
        <v>0</v>
      </c>
      <c r="AG259" s="36">
        <f t="shared" ca="1" si="428"/>
        <v>0</v>
      </c>
      <c r="AH259" s="36">
        <f t="shared" ca="1" si="428"/>
        <v>0</v>
      </c>
      <c r="AI259" s="36">
        <f t="shared" ca="1" si="428"/>
        <v>0</v>
      </c>
      <c r="AJ259" s="36">
        <f t="shared" ca="1" si="428"/>
        <v>0</v>
      </c>
      <c r="AK259" s="36">
        <f t="shared" ca="1" si="428"/>
        <v>0</v>
      </c>
      <c r="AL259" s="36">
        <f t="shared" ca="1" si="428"/>
        <v>0</v>
      </c>
      <c r="AM259" s="36">
        <f t="shared" ca="1" si="428"/>
        <v>0</v>
      </c>
      <c r="AN259" s="36">
        <f t="shared" ca="1" si="428"/>
        <v>0</v>
      </c>
      <c r="AO259" s="36">
        <f t="shared" ca="1" si="428"/>
        <v>0</v>
      </c>
      <c r="AP259" s="36">
        <f t="shared" ca="1" si="428"/>
        <v>0</v>
      </c>
      <c r="AQ259" s="36">
        <f t="shared" ca="1" si="428"/>
        <v>0</v>
      </c>
      <c r="AR259" s="36">
        <f t="shared" ca="1" si="428"/>
        <v>0</v>
      </c>
      <c r="AS259" s="36">
        <f t="shared" ca="1" si="428"/>
        <v>0</v>
      </c>
      <c r="AT259" s="36">
        <f t="shared" ca="1" si="428"/>
        <v>0</v>
      </c>
      <c r="AU259" s="36">
        <f t="shared" ca="1" si="428"/>
        <v>0</v>
      </c>
      <c r="AV259" s="36">
        <f t="shared" ca="1" si="428"/>
        <v>0</v>
      </c>
      <c r="AW259" s="36">
        <f t="shared" ca="1" si="428"/>
        <v>0</v>
      </c>
      <c r="AX259" s="36">
        <f t="shared" ca="1" si="428"/>
        <v>0</v>
      </c>
      <c r="AY259" s="36">
        <f t="shared" ca="1" si="428"/>
        <v>0</v>
      </c>
      <c r="AZ259" s="36">
        <f t="shared" ca="1" si="428"/>
        <v>0</v>
      </c>
      <c r="BA259" s="36">
        <f t="shared" ca="1" si="428"/>
        <v>0</v>
      </c>
      <c r="BB259" s="36">
        <f t="shared" ca="1" si="428"/>
        <v>0</v>
      </c>
      <c r="BC259" s="36">
        <f t="shared" ca="1" si="428"/>
        <v>0</v>
      </c>
      <c r="BD259" s="36">
        <f t="shared" ca="1" si="428"/>
        <v>0</v>
      </c>
      <c r="BE259" s="36">
        <f t="shared" ca="1" si="428"/>
        <v>0</v>
      </c>
      <c r="BF259" s="36">
        <f t="shared" ca="1" si="428"/>
        <v>0</v>
      </c>
      <c r="BG259" s="36">
        <f t="shared" ca="1" si="428"/>
        <v>0</v>
      </c>
      <c r="BH259" s="36">
        <f t="shared" ca="1" si="428"/>
        <v>0</v>
      </c>
      <c r="BI259" s="36">
        <f t="shared" ca="1" si="428"/>
        <v>0</v>
      </c>
      <c r="BJ259" s="36">
        <f t="shared" ca="1" si="376"/>
        <v>0</v>
      </c>
      <c r="BK259" s="36">
        <f t="shared" ca="1" si="377"/>
        <v>0</v>
      </c>
      <c r="BL259" s="36">
        <f t="shared" ca="1" si="378"/>
        <v>0</v>
      </c>
      <c r="BM259" s="36">
        <f t="shared" ca="1" si="379"/>
        <v>0</v>
      </c>
      <c r="BN259" s="36">
        <f t="shared" ca="1" si="380"/>
        <v>0</v>
      </c>
      <c r="BO259" s="36">
        <f t="shared" ca="1" si="381"/>
        <v>0</v>
      </c>
      <c r="BP259" s="36">
        <f t="shared" ca="1" si="382"/>
        <v>0</v>
      </c>
      <c r="BQ259" s="36">
        <f t="shared" ca="1" si="383"/>
        <v>0</v>
      </c>
      <c r="BR259" s="36">
        <f t="shared" ca="1" si="384"/>
        <v>0</v>
      </c>
      <c r="BS259" s="36">
        <f t="shared" ca="1" si="385"/>
        <v>0</v>
      </c>
      <c r="BT259" s="36">
        <f t="shared" ca="1" si="386"/>
        <v>0</v>
      </c>
      <c r="BU259" s="36">
        <f t="shared" ca="1" si="387"/>
        <v>0</v>
      </c>
      <c r="BV259" s="36">
        <f t="shared" ca="1" si="388"/>
        <v>0</v>
      </c>
      <c r="BW259" s="36">
        <f t="shared" ca="1" si="389"/>
        <v>0</v>
      </c>
      <c r="BX259" s="36">
        <f t="shared" ca="1" si="390"/>
        <v>0</v>
      </c>
      <c r="BY259" s="36">
        <f t="shared" ca="1" si="391"/>
        <v>0</v>
      </c>
      <c r="BZ259" s="36">
        <f t="shared" ca="1" si="392"/>
        <v>0</v>
      </c>
      <c r="CA259" s="36">
        <f t="shared" ca="1" si="393"/>
        <v>0</v>
      </c>
      <c r="CB259" s="36">
        <f t="shared" ca="1" si="394"/>
        <v>0</v>
      </c>
      <c r="CC259" s="36">
        <f t="shared" ca="1" si="395"/>
        <v>0</v>
      </c>
      <c r="CD259" s="36">
        <f t="shared" ca="1" si="396"/>
        <v>0</v>
      </c>
      <c r="CE259" s="36">
        <f t="shared" ca="1" si="397"/>
        <v>0</v>
      </c>
      <c r="CF259" s="36">
        <f t="shared" ca="1" si="398"/>
        <v>0</v>
      </c>
      <c r="CG259" s="36">
        <f t="shared" ca="1" si="399"/>
        <v>0</v>
      </c>
      <c r="CH259" s="36">
        <f t="shared" ca="1" si="400"/>
        <v>0</v>
      </c>
      <c r="CI259" s="36">
        <f t="shared" ca="1" si="401"/>
        <v>0</v>
      </c>
      <c r="CJ259" s="36">
        <f t="shared" ca="1" si="402"/>
        <v>0</v>
      </c>
      <c r="CK259" s="36">
        <f t="shared" ca="1" si="403"/>
        <v>0</v>
      </c>
      <c r="CL259" s="36">
        <f t="shared" ca="1" si="404"/>
        <v>0</v>
      </c>
      <c r="CM259" s="36">
        <f t="shared" ca="1" si="405"/>
        <v>0</v>
      </c>
      <c r="CN259" s="36">
        <f t="shared" ca="1" si="406"/>
        <v>0</v>
      </c>
      <c r="CO259" s="36">
        <f t="shared" ca="1" si="407"/>
        <v>0</v>
      </c>
      <c r="CP259" s="36">
        <f t="shared" ca="1" si="408"/>
        <v>0</v>
      </c>
      <c r="CQ259" s="36">
        <f t="shared" ca="1" si="409"/>
        <v>0</v>
      </c>
      <c r="CR259" s="36">
        <f t="shared" ca="1" si="410"/>
        <v>0</v>
      </c>
      <c r="CS259" s="36">
        <f t="shared" ca="1" si="411"/>
        <v>0</v>
      </c>
      <c r="CT259" s="36">
        <f t="shared" ca="1" si="412"/>
        <v>0</v>
      </c>
      <c r="CU259" s="36">
        <f t="shared" ca="1" si="428"/>
        <v>0</v>
      </c>
      <c r="CV259" s="36">
        <f t="shared" ca="1" si="428"/>
        <v>0</v>
      </c>
      <c r="CW259" s="21"/>
    </row>
    <row r="260" spans="3:101" x14ac:dyDescent="0.25">
      <c r="C260" s="49" t="str">
        <f t="shared" si="413"/>
        <v>NEW PARTNER 1DTC</v>
      </c>
      <c r="D260" s="35" t="str">
        <f>[1]Key!C$28</f>
        <v>NEW PARTNER 1</v>
      </c>
      <c r="E260" s="35" t="str">
        <f>[1]contras!H140</f>
        <v>DTC</v>
      </c>
      <c r="F260" s="41"/>
      <c r="G260" s="21"/>
      <c r="H260" s="21"/>
      <c r="I260" s="21"/>
      <c r="J260" s="21"/>
      <c r="K260" s="21"/>
      <c r="L260" s="21"/>
      <c r="M260" s="21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36">
        <f t="shared" ref="Z260:CV260" ca="1" si="429">Y260+Z110-Z200-Z230</f>
        <v>0</v>
      </c>
      <c r="AA260" s="36">
        <f t="shared" ca="1" si="429"/>
        <v>0</v>
      </c>
      <c r="AB260" s="36">
        <f t="shared" ca="1" si="429"/>
        <v>0</v>
      </c>
      <c r="AC260" s="36">
        <f t="shared" ca="1" si="429"/>
        <v>0</v>
      </c>
      <c r="AD260" s="36">
        <f t="shared" ca="1" si="429"/>
        <v>0</v>
      </c>
      <c r="AE260" s="36">
        <f t="shared" ca="1" si="429"/>
        <v>0</v>
      </c>
      <c r="AF260" s="36">
        <f t="shared" ca="1" si="429"/>
        <v>0</v>
      </c>
      <c r="AG260" s="36">
        <f t="shared" ca="1" si="429"/>
        <v>0</v>
      </c>
      <c r="AH260" s="36">
        <f t="shared" ca="1" si="429"/>
        <v>0</v>
      </c>
      <c r="AI260" s="36">
        <f t="shared" ca="1" si="429"/>
        <v>0</v>
      </c>
      <c r="AJ260" s="36">
        <f t="shared" ca="1" si="429"/>
        <v>0</v>
      </c>
      <c r="AK260" s="36">
        <f t="shared" ca="1" si="429"/>
        <v>0</v>
      </c>
      <c r="AL260" s="36">
        <f t="shared" ca="1" si="429"/>
        <v>0</v>
      </c>
      <c r="AM260" s="36">
        <f t="shared" ca="1" si="429"/>
        <v>0</v>
      </c>
      <c r="AN260" s="36">
        <f t="shared" ca="1" si="429"/>
        <v>0</v>
      </c>
      <c r="AO260" s="36">
        <f t="shared" ca="1" si="429"/>
        <v>0</v>
      </c>
      <c r="AP260" s="36">
        <f t="shared" ca="1" si="429"/>
        <v>0</v>
      </c>
      <c r="AQ260" s="36">
        <f t="shared" ca="1" si="429"/>
        <v>0</v>
      </c>
      <c r="AR260" s="36">
        <f t="shared" ca="1" si="429"/>
        <v>0</v>
      </c>
      <c r="AS260" s="36">
        <f t="shared" ca="1" si="429"/>
        <v>0</v>
      </c>
      <c r="AT260" s="36">
        <f t="shared" ca="1" si="429"/>
        <v>0</v>
      </c>
      <c r="AU260" s="36">
        <f t="shared" ca="1" si="429"/>
        <v>0</v>
      </c>
      <c r="AV260" s="36">
        <f t="shared" ca="1" si="429"/>
        <v>0</v>
      </c>
      <c r="AW260" s="36">
        <f t="shared" ca="1" si="429"/>
        <v>0</v>
      </c>
      <c r="AX260" s="36">
        <f t="shared" ca="1" si="429"/>
        <v>0</v>
      </c>
      <c r="AY260" s="36">
        <f t="shared" ca="1" si="429"/>
        <v>0</v>
      </c>
      <c r="AZ260" s="36">
        <f t="shared" ca="1" si="429"/>
        <v>0</v>
      </c>
      <c r="BA260" s="36">
        <f t="shared" ca="1" si="429"/>
        <v>0</v>
      </c>
      <c r="BB260" s="36">
        <f t="shared" ca="1" si="429"/>
        <v>0</v>
      </c>
      <c r="BC260" s="36">
        <f t="shared" ca="1" si="429"/>
        <v>0</v>
      </c>
      <c r="BD260" s="36">
        <f t="shared" ca="1" si="429"/>
        <v>0</v>
      </c>
      <c r="BE260" s="36">
        <f t="shared" ca="1" si="429"/>
        <v>0</v>
      </c>
      <c r="BF260" s="36">
        <f t="shared" ca="1" si="429"/>
        <v>0</v>
      </c>
      <c r="BG260" s="36">
        <f t="shared" ca="1" si="429"/>
        <v>0</v>
      </c>
      <c r="BH260" s="36">
        <f t="shared" ca="1" si="429"/>
        <v>0</v>
      </c>
      <c r="BI260" s="36">
        <f t="shared" ca="1" si="429"/>
        <v>0</v>
      </c>
      <c r="BJ260" s="36">
        <f t="shared" ca="1" si="376"/>
        <v>0</v>
      </c>
      <c r="BK260" s="36">
        <f t="shared" ca="1" si="377"/>
        <v>0</v>
      </c>
      <c r="BL260" s="36">
        <f t="shared" ca="1" si="378"/>
        <v>0</v>
      </c>
      <c r="BM260" s="36">
        <f t="shared" ca="1" si="379"/>
        <v>0</v>
      </c>
      <c r="BN260" s="36">
        <f t="shared" ca="1" si="380"/>
        <v>0</v>
      </c>
      <c r="BO260" s="36">
        <f t="shared" ca="1" si="381"/>
        <v>0</v>
      </c>
      <c r="BP260" s="36">
        <f t="shared" ca="1" si="382"/>
        <v>0</v>
      </c>
      <c r="BQ260" s="36">
        <f t="shared" ca="1" si="383"/>
        <v>0</v>
      </c>
      <c r="BR260" s="36">
        <f t="shared" ca="1" si="384"/>
        <v>0</v>
      </c>
      <c r="BS260" s="36">
        <f t="shared" ca="1" si="385"/>
        <v>0</v>
      </c>
      <c r="BT260" s="36">
        <f t="shared" ca="1" si="386"/>
        <v>0</v>
      </c>
      <c r="BU260" s="36">
        <f t="shared" ca="1" si="387"/>
        <v>0</v>
      </c>
      <c r="BV260" s="36">
        <f t="shared" ca="1" si="388"/>
        <v>0</v>
      </c>
      <c r="BW260" s="36">
        <f t="shared" ca="1" si="389"/>
        <v>0</v>
      </c>
      <c r="BX260" s="36">
        <f t="shared" ca="1" si="390"/>
        <v>0</v>
      </c>
      <c r="BY260" s="36">
        <f t="shared" ca="1" si="391"/>
        <v>0</v>
      </c>
      <c r="BZ260" s="36">
        <f t="shared" ca="1" si="392"/>
        <v>0</v>
      </c>
      <c r="CA260" s="36">
        <f t="shared" ca="1" si="393"/>
        <v>0</v>
      </c>
      <c r="CB260" s="36">
        <f t="shared" ca="1" si="394"/>
        <v>0</v>
      </c>
      <c r="CC260" s="36">
        <f t="shared" ca="1" si="395"/>
        <v>0</v>
      </c>
      <c r="CD260" s="36">
        <f t="shared" ca="1" si="396"/>
        <v>0</v>
      </c>
      <c r="CE260" s="36">
        <f t="shared" ca="1" si="397"/>
        <v>0</v>
      </c>
      <c r="CF260" s="36">
        <f t="shared" ca="1" si="398"/>
        <v>0</v>
      </c>
      <c r="CG260" s="36">
        <f t="shared" ca="1" si="399"/>
        <v>0</v>
      </c>
      <c r="CH260" s="36">
        <f t="shared" ca="1" si="400"/>
        <v>0</v>
      </c>
      <c r="CI260" s="36">
        <f t="shared" ca="1" si="401"/>
        <v>0</v>
      </c>
      <c r="CJ260" s="36">
        <f t="shared" ca="1" si="402"/>
        <v>0</v>
      </c>
      <c r="CK260" s="36">
        <f t="shared" ca="1" si="403"/>
        <v>0</v>
      </c>
      <c r="CL260" s="36">
        <f t="shared" ca="1" si="404"/>
        <v>0</v>
      </c>
      <c r="CM260" s="36">
        <f t="shared" ca="1" si="405"/>
        <v>0</v>
      </c>
      <c r="CN260" s="36">
        <f t="shared" ca="1" si="406"/>
        <v>0</v>
      </c>
      <c r="CO260" s="36">
        <f t="shared" ca="1" si="407"/>
        <v>0</v>
      </c>
      <c r="CP260" s="36">
        <f t="shared" ca="1" si="408"/>
        <v>0</v>
      </c>
      <c r="CQ260" s="36">
        <f t="shared" ca="1" si="409"/>
        <v>0</v>
      </c>
      <c r="CR260" s="36">
        <f t="shared" ca="1" si="410"/>
        <v>0</v>
      </c>
      <c r="CS260" s="36">
        <f t="shared" ca="1" si="411"/>
        <v>0</v>
      </c>
      <c r="CT260" s="36">
        <f t="shared" ca="1" si="412"/>
        <v>0</v>
      </c>
      <c r="CU260" s="36">
        <f t="shared" ca="1" si="429"/>
        <v>0</v>
      </c>
      <c r="CV260" s="36">
        <f t="shared" ca="1" si="429"/>
        <v>0</v>
      </c>
      <c r="CW260" s="21"/>
    </row>
    <row r="261" spans="3:101" x14ac:dyDescent="0.25">
      <c r="C261" s="49" t="str">
        <f t="shared" si="413"/>
        <v>NEW PARTNER 2DTC</v>
      </c>
      <c r="D261" s="35" t="str">
        <f>[1]Key!C$29</f>
        <v>NEW PARTNER 2</v>
      </c>
      <c r="E261" s="35" t="str">
        <f>[1]contras!H141</f>
        <v>DTC</v>
      </c>
      <c r="F261" s="41"/>
      <c r="G261" s="21"/>
      <c r="H261" s="21"/>
      <c r="I261" s="21"/>
      <c r="J261" s="21"/>
      <c r="K261" s="21"/>
      <c r="L261" s="21"/>
      <c r="M261" s="21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36">
        <f t="shared" ref="Z261:CV261" ca="1" si="430">Y261+Z111-Z201-Z231</f>
        <v>0</v>
      </c>
      <c r="AA261" s="36">
        <f t="shared" ca="1" si="430"/>
        <v>0</v>
      </c>
      <c r="AB261" s="36">
        <f t="shared" ca="1" si="430"/>
        <v>0</v>
      </c>
      <c r="AC261" s="36">
        <f t="shared" ca="1" si="430"/>
        <v>0</v>
      </c>
      <c r="AD261" s="36">
        <f t="shared" ca="1" si="430"/>
        <v>0</v>
      </c>
      <c r="AE261" s="36">
        <f t="shared" ca="1" si="430"/>
        <v>0</v>
      </c>
      <c r="AF261" s="36">
        <f t="shared" ca="1" si="430"/>
        <v>0</v>
      </c>
      <c r="AG261" s="36">
        <f t="shared" ca="1" si="430"/>
        <v>0</v>
      </c>
      <c r="AH261" s="36">
        <f t="shared" ca="1" si="430"/>
        <v>0</v>
      </c>
      <c r="AI261" s="36">
        <f t="shared" ca="1" si="430"/>
        <v>0</v>
      </c>
      <c r="AJ261" s="36">
        <f t="shared" ca="1" si="430"/>
        <v>0</v>
      </c>
      <c r="AK261" s="36">
        <f t="shared" ca="1" si="430"/>
        <v>0</v>
      </c>
      <c r="AL261" s="36">
        <f t="shared" ca="1" si="430"/>
        <v>0</v>
      </c>
      <c r="AM261" s="36">
        <f t="shared" ca="1" si="430"/>
        <v>0</v>
      </c>
      <c r="AN261" s="36">
        <f t="shared" ca="1" si="430"/>
        <v>0</v>
      </c>
      <c r="AO261" s="36">
        <f t="shared" ca="1" si="430"/>
        <v>0</v>
      </c>
      <c r="AP261" s="36">
        <f t="shared" ca="1" si="430"/>
        <v>0</v>
      </c>
      <c r="AQ261" s="36">
        <f t="shared" ca="1" si="430"/>
        <v>0</v>
      </c>
      <c r="AR261" s="36">
        <f t="shared" ca="1" si="430"/>
        <v>0</v>
      </c>
      <c r="AS261" s="36">
        <f t="shared" ca="1" si="430"/>
        <v>0</v>
      </c>
      <c r="AT261" s="36">
        <f t="shared" ca="1" si="430"/>
        <v>0</v>
      </c>
      <c r="AU261" s="36">
        <f t="shared" ca="1" si="430"/>
        <v>0</v>
      </c>
      <c r="AV261" s="36">
        <f t="shared" ca="1" si="430"/>
        <v>0</v>
      </c>
      <c r="AW261" s="36">
        <f t="shared" ca="1" si="430"/>
        <v>0</v>
      </c>
      <c r="AX261" s="36">
        <f t="shared" ca="1" si="430"/>
        <v>0</v>
      </c>
      <c r="AY261" s="36">
        <f t="shared" ca="1" si="430"/>
        <v>0</v>
      </c>
      <c r="AZ261" s="36">
        <f t="shared" ca="1" si="430"/>
        <v>0</v>
      </c>
      <c r="BA261" s="36">
        <f t="shared" ca="1" si="430"/>
        <v>0</v>
      </c>
      <c r="BB261" s="36">
        <f t="shared" ca="1" si="430"/>
        <v>0</v>
      </c>
      <c r="BC261" s="36">
        <f t="shared" ca="1" si="430"/>
        <v>0</v>
      </c>
      <c r="BD261" s="36">
        <f t="shared" ca="1" si="430"/>
        <v>0</v>
      </c>
      <c r="BE261" s="36">
        <f t="shared" ca="1" si="430"/>
        <v>0</v>
      </c>
      <c r="BF261" s="36">
        <f t="shared" ca="1" si="430"/>
        <v>0</v>
      </c>
      <c r="BG261" s="36">
        <f t="shared" ca="1" si="430"/>
        <v>0</v>
      </c>
      <c r="BH261" s="36">
        <f t="shared" ca="1" si="430"/>
        <v>0</v>
      </c>
      <c r="BI261" s="36">
        <f t="shared" ca="1" si="430"/>
        <v>0</v>
      </c>
      <c r="BJ261" s="36">
        <f t="shared" ca="1" si="376"/>
        <v>0</v>
      </c>
      <c r="BK261" s="36">
        <f t="shared" ca="1" si="377"/>
        <v>0</v>
      </c>
      <c r="BL261" s="36">
        <f t="shared" ca="1" si="378"/>
        <v>0</v>
      </c>
      <c r="BM261" s="36">
        <f t="shared" ca="1" si="379"/>
        <v>0</v>
      </c>
      <c r="BN261" s="36">
        <f t="shared" ca="1" si="380"/>
        <v>0</v>
      </c>
      <c r="BO261" s="36">
        <f t="shared" ca="1" si="381"/>
        <v>0</v>
      </c>
      <c r="BP261" s="36">
        <f t="shared" ca="1" si="382"/>
        <v>0</v>
      </c>
      <c r="BQ261" s="36">
        <f t="shared" ca="1" si="383"/>
        <v>0</v>
      </c>
      <c r="BR261" s="36">
        <f t="shared" ca="1" si="384"/>
        <v>0</v>
      </c>
      <c r="BS261" s="36">
        <f t="shared" ca="1" si="385"/>
        <v>0</v>
      </c>
      <c r="BT261" s="36">
        <f t="shared" ca="1" si="386"/>
        <v>0</v>
      </c>
      <c r="BU261" s="36">
        <f t="shared" ca="1" si="387"/>
        <v>0</v>
      </c>
      <c r="BV261" s="36">
        <f t="shared" ca="1" si="388"/>
        <v>0</v>
      </c>
      <c r="BW261" s="36">
        <f t="shared" ca="1" si="389"/>
        <v>0</v>
      </c>
      <c r="BX261" s="36">
        <f t="shared" ca="1" si="390"/>
        <v>0</v>
      </c>
      <c r="BY261" s="36">
        <f t="shared" ca="1" si="391"/>
        <v>0</v>
      </c>
      <c r="BZ261" s="36">
        <f t="shared" ca="1" si="392"/>
        <v>0</v>
      </c>
      <c r="CA261" s="36">
        <f t="shared" ca="1" si="393"/>
        <v>0</v>
      </c>
      <c r="CB261" s="36">
        <f t="shared" ca="1" si="394"/>
        <v>0</v>
      </c>
      <c r="CC261" s="36">
        <f t="shared" ca="1" si="395"/>
        <v>0</v>
      </c>
      <c r="CD261" s="36">
        <f t="shared" ca="1" si="396"/>
        <v>0</v>
      </c>
      <c r="CE261" s="36">
        <f t="shared" ca="1" si="397"/>
        <v>0</v>
      </c>
      <c r="CF261" s="36">
        <f t="shared" ca="1" si="398"/>
        <v>0</v>
      </c>
      <c r="CG261" s="36">
        <f t="shared" ca="1" si="399"/>
        <v>0</v>
      </c>
      <c r="CH261" s="36">
        <f t="shared" ca="1" si="400"/>
        <v>0</v>
      </c>
      <c r="CI261" s="36">
        <f t="shared" ca="1" si="401"/>
        <v>0</v>
      </c>
      <c r="CJ261" s="36">
        <f t="shared" ca="1" si="402"/>
        <v>0</v>
      </c>
      <c r="CK261" s="36">
        <f t="shared" ca="1" si="403"/>
        <v>0</v>
      </c>
      <c r="CL261" s="36">
        <f t="shared" ca="1" si="404"/>
        <v>0</v>
      </c>
      <c r="CM261" s="36">
        <f t="shared" ca="1" si="405"/>
        <v>0</v>
      </c>
      <c r="CN261" s="36">
        <f t="shared" ca="1" si="406"/>
        <v>0</v>
      </c>
      <c r="CO261" s="36">
        <f t="shared" ca="1" si="407"/>
        <v>0</v>
      </c>
      <c r="CP261" s="36">
        <f t="shared" ca="1" si="408"/>
        <v>0</v>
      </c>
      <c r="CQ261" s="36">
        <f t="shared" ca="1" si="409"/>
        <v>0</v>
      </c>
      <c r="CR261" s="36">
        <f t="shared" ca="1" si="410"/>
        <v>0</v>
      </c>
      <c r="CS261" s="36">
        <f t="shared" ca="1" si="411"/>
        <v>0</v>
      </c>
      <c r="CT261" s="36">
        <f t="shared" ca="1" si="412"/>
        <v>0</v>
      </c>
      <c r="CU261" s="36">
        <f t="shared" ca="1" si="430"/>
        <v>0</v>
      </c>
      <c r="CV261" s="36">
        <f t="shared" ca="1" si="430"/>
        <v>0</v>
      </c>
      <c r="CW261" s="21"/>
    </row>
    <row r="262" spans="3:101" x14ac:dyDescent="0.25">
      <c r="C262" s="49" t="str">
        <f t="shared" si="413"/>
        <v>PIGALLEDTC</v>
      </c>
      <c r="D262" s="35" t="str">
        <f>[1]Key!C$30</f>
        <v>PIGALLE</v>
      </c>
      <c r="E262" s="35" t="str">
        <f>[1]contras!H142</f>
        <v>DTC</v>
      </c>
      <c r="F262" s="41"/>
      <c r="G262" s="21"/>
      <c r="H262" s="21"/>
      <c r="I262" s="21"/>
      <c r="J262" s="21"/>
      <c r="K262" s="21"/>
      <c r="L262" s="21"/>
      <c r="M262" s="21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36">
        <f t="shared" ref="Z262:CV262" ca="1" si="431">Y262+Z112-Z202-Z232</f>
        <v>0</v>
      </c>
      <c r="AA262" s="36">
        <f t="shared" ca="1" si="431"/>
        <v>0</v>
      </c>
      <c r="AB262" s="36">
        <f t="shared" ca="1" si="431"/>
        <v>0</v>
      </c>
      <c r="AC262" s="36">
        <f t="shared" ca="1" si="431"/>
        <v>0</v>
      </c>
      <c r="AD262" s="36">
        <f t="shared" ca="1" si="431"/>
        <v>0</v>
      </c>
      <c r="AE262" s="36">
        <f t="shared" ca="1" si="431"/>
        <v>0</v>
      </c>
      <c r="AF262" s="36">
        <f t="shared" ca="1" si="431"/>
        <v>0</v>
      </c>
      <c r="AG262" s="36">
        <f t="shared" ca="1" si="431"/>
        <v>0</v>
      </c>
      <c r="AH262" s="36">
        <f t="shared" ca="1" si="431"/>
        <v>0</v>
      </c>
      <c r="AI262" s="36">
        <f t="shared" ca="1" si="431"/>
        <v>0</v>
      </c>
      <c r="AJ262" s="36">
        <f t="shared" ca="1" si="431"/>
        <v>0</v>
      </c>
      <c r="AK262" s="36">
        <f t="shared" ca="1" si="431"/>
        <v>0</v>
      </c>
      <c r="AL262" s="36">
        <f t="shared" ca="1" si="431"/>
        <v>0</v>
      </c>
      <c r="AM262" s="36">
        <f t="shared" ca="1" si="431"/>
        <v>0</v>
      </c>
      <c r="AN262" s="36">
        <f t="shared" ca="1" si="431"/>
        <v>0</v>
      </c>
      <c r="AO262" s="36">
        <f t="shared" ca="1" si="431"/>
        <v>0</v>
      </c>
      <c r="AP262" s="36">
        <f t="shared" ca="1" si="431"/>
        <v>0</v>
      </c>
      <c r="AQ262" s="36">
        <f t="shared" ca="1" si="431"/>
        <v>0</v>
      </c>
      <c r="AR262" s="36">
        <f t="shared" ca="1" si="431"/>
        <v>0</v>
      </c>
      <c r="AS262" s="36">
        <f t="shared" ca="1" si="431"/>
        <v>0</v>
      </c>
      <c r="AT262" s="36">
        <f t="shared" ca="1" si="431"/>
        <v>0</v>
      </c>
      <c r="AU262" s="36">
        <f t="shared" ca="1" si="431"/>
        <v>0</v>
      </c>
      <c r="AV262" s="36">
        <f t="shared" ca="1" si="431"/>
        <v>0</v>
      </c>
      <c r="AW262" s="36">
        <f t="shared" ca="1" si="431"/>
        <v>0</v>
      </c>
      <c r="AX262" s="36">
        <f t="shared" ca="1" si="431"/>
        <v>0</v>
      </c>
      <c r="AY262" s="36">
        <f t="shared" ca="1" si="431"/>
        <v>0</v>
      </c>
      <c r="AZ262" s="36">
        <f t="shared" ca="1" si="431"/>
        <v>0</v>
      </c>
      <c r="BA262" s="36">
        <f t="shared" ca="1" si="431"/>
        <v>0</v>
      </c>
      <c r="BB262" s="36">
        <f t="shared" ca="1" si="431"/>
        <v>0</v>
      </c>
      <c r="BC262" s="36">
        <f t="shared" ca="1" si="431"/>
        <v>0</v>
      </c>
      <c r="BD262" s="36">
        <f t="shared" ca="1" si="431"/>
        <v>0</v>
      </c>
      <c r="BE262" s="36">
        <f t="shared" ca="1" si="431"/>
        <v>0</v>
      </c>
      <c r="BF262" s="36">
        <f t="shared" ca="1" si="431"/>
        <v>0</v>
      </c>
      <c r="BG262" s="36">
        <f t="shared" ca="1" si="431"/>
        <v>0</v>
      </c>
      <c r="BH262" s="36">
        <f t="shared" ca="1" si="431"/>
        <v>0</v>
      </c>
      <c r="BI262" s="36">
        <f t="shared" ca="1" si="431"/>
        <v>0</v>
      </c>
      <c r="BJ262" s="36">
        <f t="shared" ca="1" si="376"/>
        <v>0</v>
      </c>
      <c r="BK262" s="36">
        <f t="shared" ca="1" si="377"/>
        <v>0</v>
      </c>
      <c r="BL262" s="36">
        <f t="shared" ca="1" si="378"/>
        <v>0</v>
      </c>
      <c r="BM262" s="36">
        <f t="shared" ca="1" si="379"/>
        <v>0</v>
      </c>
      <c r="BN262" s="36">
        <f t="shared" ca="1" si="380"/>
        <v>0</v>
      </c>
      <c r="BO262" s="36">
        <f t="shared" ca="1" si="381"/>
        <v>0</v>
      </c>
      <c r="BP262" s="36">
        <f t="shared" ca="1" si="382"/>
        <v>0</v>
      </c>
      <c r="BQ262" s="36">
        <f t="shared" ca="1" si="383"/>
        <v>0</v>
      </c>
      <c r="BR262" s="36">
        <f t="shared" ca="1" si="384"/>
        <v>0</v>
      </c>
      <c r="BS262" s="36">
        <f t="shared" ca="1" si="385"/>
        <v>0</v>
      </c>
      <c r="BT262" s="36">
        <f t="shared" ca="1" si="386"/>
        <v>0</v>
      </c>
      <c r="BU262" s="36">
        <f t="shared" ca="1" si="387"/>
        <v>0</v>
      </c>
      <c r="BV262" s="36">
        <f t="shared" ca="1" si="388"/>
        <v>0</v>
      </c>
      <c r="BW262" s="36">
        <f t="shared" ca="1" si="389"/>
        <v>0</v>
      </c>
      <c r="BX262" s="36">
        <f t="shared" ca="1" si="390"/>
        <v>0</v>
      </c>
      <c r="BY262" s="36">
        <f t="shared" ca="1" si="391"/>
        <v>0</v>
      </c>
      <c r="BZ262" s="36">
        <f t="shared" ca="1" si="392"/>
        <v>0</v>
      </c>
      <c r="CA262" s="36">
        <f t="shared" ca="1" si="393"/>
        <v>0</v>
      </c>
      <c r="CB262" s="36">
        <f t="shared" ca="1" si="394"/>
        <v>0</v>
      </c>
      <c r="CC262" s="36">
        <f t="shared" ca="1" si="395"/>
        <v>0</v>
      </c>
      <c r="CD262" s="36">
        <f t="shared" ca="1" si="396"/>
        <v>0</v>
      </c>
      <c r="CE262" s="36">
        <f t="shared" ca="1" si="397"/>
        <v>0</v>
      </c>
      <c r="CF262" s="36">
        <f t="shared" ca="1" si="398"/>
        <v>0</v>
      </c>
      <c r="CG262" s="36">
        <f t="shared" ca="1" si="399"/>
        <v>0</v>
      </c>
      <c r="CH262" s="36">
        <f t="shared" ca="1" si="400"/>
        <v>0</v>
      </c>
      <c r="CI262" s="36">
        <f t="shared" ca="1" si="401"/>
        <v>0</v>
      </c>
      <c r="CJ262" s="36">
        <f t="shared" ca="1" si="402"/>
        <v>0</v>
      </c>
      <c r="CK262" s="36">
        <f t="shared" ca="1" si="403"/>
        <v>0</v>
      </c>
      <c r="CL262" s="36">
        <f t="shared" ca="1" si="404"/>
        <v>0</v>
      </c>
      <c r="CM262" s="36">
        <f t="shared" ca="1" si="405"/>
        <v>0</v>
      </c>
      <c r="CN262" s="36">
        <f t="shared" ca="1" si="406"/>
        <v>0</v>
      </c>
      <c r="CO262" s="36">
        <f t="shared" ca="1" si="407"/>
        <v>0</v>
      </c>
      <c r="CP262" s="36">
        <f t="shared" ca="1" si="408"/>
        <v>0</v>
      </c>
      <c r="CQ262" s="36">
        <f t="shared" ca="1" si="409"/>
        <v>0</v>
      </c>
      <c r="CR262" s="36">
        <f t="shared" ca="1" si="410"/>
        <v>0</v>
      </c>
      <c r="CS262" s="36">
        <f t="shared" ca="1" si="411"/>
        <v>0</v>
      </c>
      <c r="CT262" s="36">
        <f t="shared" ca="1" si="412"/>
        <v>0</v>
      </c>
      <c r="CU262" s="36">
        <f t="shared" ca="1" si="431"/>
        <v>0</v>
      </c>
      <c r="CV262" s="36">
        <f t="shared" ca="1" si="431"/>
        <v>0</v>
      </c>
      <c r="CW262" s="21"/>
    </row>
    <row r="263" spans="3:101" x14ac:dyDescent="0.25">
      <c r="C263" s="49" t="str">
        <f t="shared" si="413"/>
        <v>SPORT PLACEHOLDERDTC</v>
      </c>
      <c r="D263" s="35" t="str">
        <f>[1]Key!C$31</f>
        <v>SPORT PLACEHOLDER</v>
      </c>
      <c r="E263" s="35" t="str">
        <f>[1]contras!H143</f>
        <v>DTC</v>
      </c>
      <c r="F263" s="41"/>
      <c r="G263" s="21"/>
      <c r="H263" s="21"/>
      <c r="I263" s="21"/>
      <c r="J263" s="21"/>
      <c r="K263" s="21"/>
      <c r="L263" s="21"/>
      <c r="M263" s="21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36">
        <f t="shared" ref="Z263:CV263" ca="1" si="432">Y263+Z113-Z203-Z233</f>
        <v>0</v>
      </c>
      <c r="AA263" s="36">
        <f t="shared" ca="1" si="432"/>
        <v>0</v>
      </c>
      <c r="AB263" s="36">
        <f t="shared" ca="1" si="432"/>
        <v>0</v>
      </c>
      <c r="AC263" s="36">
        <f t="shared" ca="1" si="432"/>
        <v>0</v>
      </c>
      <c r="AD263" s="36">
        <f t="shared" ca="1" si="432"/>
        <v>0</v>
      </c>
      <c r="AE263" s="36">
        <f t="shared" ca="1" si="432"/>
        <v>0</v>
      </c>
      <c r="AF263" s="36">
        <f t="shared" ca="1" si="432"/>
        <v>0</v>
      </c>
      <c r="AG263" s="36">
        <f t="shared" ca="1" si="432"/>
        <v>0</v>
      </c>
      <c r="AH263" s="36">
        <f t="shared" ca="1" si="432"/>
        <v>0</v>
      </c>
      <c r="AI263" s="36">
        <f t="shared" ca="1" si="432"/>
        <v>0</v>
      </c>
      <c r="AJ263" s="36">
        <f t="shared" ca="1" si="432"/>
        <v>0</v>
      </c>
      <c r="AK263" s="36">
        <f t="shared" ca="1" si="432"/>
        <v>0</v>
      </c>
      <c r="AL263" s="36">
        <f t="shared" ca="1" si="432"/>
        <v>0</v>
      </c>
      <c r="AM263" s="36">
        <f t="shared" ca="1" si="432"/>
        <v>0</v>
      </c>
      <c r="AN263" s="36">
        <f t="shared" ca="1" si="432"/>
        <v>0</v>
      </c>
      <c r="AO263" s="36">
        <f t="shared" ca="1" si="432"/>
        <v>0</v>
      </c>
      <c r="AP263" s="36">
        <f t="shared" ca="1" si="432"/>
        <v>0</v>
      </c>
      <c r="AQ263" s="36">
        <f t="shared" ca="1" si="432"/>
        <v>0</v>
      </c>
      <c r="AR263" s="36">
        <f t="shared" ca="1" si="432"/>
        <v>0</v>
      </c>
      <c r="AS263" s="36">
        <f t="shared" ca="1" si="432"/>
        <v>0</v>
      </c>
      <c r="AT263" s="36">
        <f t="shared" ca="1" si="432"/>
        <v>0</v>
      </c>
      <c r="AU263" s="36">
        <f t="shared" ca="1" si="432"/>
        <v>0</v>
      </c>
      <c r="AV263" s="36">
        <f t="shared" ca="1" si="432"/>
        <v>0</v>
      </c>
      <c r="AW263" s="36">
        <f t="shared" ca="1" si="432"/>
        <v>0</v>
      </c>
      <c r="AX263" s="36">
        <f t="shared" ca="1" si="432"/>
        <v>0</v>
      </c>
      <c r="AY263" s="36">
        <f t="shared" ca="1" si="432"/>
        <v>0</v>
      </c>
      <c r="AZ263" s="36">
        <f t="shared" ca="1" si="432"/>
        <v>0</v>
      </c>
      <c r="BA263" s="36">
        <f t="shared" ca="1" si="432"/>
        <v>0</v>
      </c>
      <c r="BB263" s="36">
        <f t="shared" ca="1" si="432"/>
        <v>0</v>
      </c>
      <c r="BC263" s="36">
        <f t="shared" ca="1" si="432"/>
        <v>0</v>
      </c>
      <c r="BD263" s="36">
        <f t="shared" ca="1" si="432"/>
        <v>0</v>
      </c>
      <c r="BE263" s="36">
        <f t="shared" ca="1" si="432"/>
        <v>0</v>
      </c>
      <c r="BF263" s="36">
        <f t="shared" ca="1" si="432"/>
        <v>0</v>
      </c>
      <c r="BG263" s="36">
        <f t="shared" ca="1" si="432"/>
        <v>0</v>
      </c>
      <c r="BH263" s="36">
        <f t="shared" ca="1" si="432"/>
        <v>0</v>
      </c>
      <c r="BI263" s="36">
        <f t="shared" ca="1" si="432"/>
        <v>0</v>
      </c>
      <c r="BJ263" s="36">
        <f t="shared" ca="1" si="376"/>
        <v>0</v>
      </c>
      <c r="BK263" s="36">
        <f t="shared" ca="1" si="377"/>
        <v>0</v>
      </c>
      <c r="BL263" s="36">
        <f t="shared" ca="1" si="378"/>
        <v>0</v>
      </c>
      <c r="BM263" s="36">
        <f t="shared" ca="1" si="379"/>
        <v>0</v>
      </c>
      <c r="BN263" s="36">
        <f t="shared" ca="1" si="380"/>
        <v>0</v>
      </c>
      <c r="BO263" s="36">
        <f t="shared" ca="1" si="381"/>
        <v>0</v>
      </c>
      <c r="BP263" s="36">
        <f t="shared" ca="1" si="382"/>
        <v>0</v>
      </c>
      <c r="BQ263" s="36">
        <f t="shared" ca="1" si="383"/>
        <v>0</v>
      </c>
      <c r="BR263" s="36">
        <f t="shared" ca="1" si="384"/>
        <v>0</v>
      </c>
      <c r="BS263" s="36">
        <f t="shared" ca="1" si="385"/>
        <v>0</v>
      </c>
      <c r="BT263" s="36">
        <f t="shared" ca="1" si="386"/>
        <v>0</v>
      </c>
      <c r="BU263" s="36">
        <f t="shared" ca="1" si="387"/>
        <v>0</v>
      </c>
      <c r="BV263" s="36">
        <f t="shared" ca="1" si="388"/>
        <v>0</v>
      </c>
      <c r="BW263" s="36">
        <f t="shared" ca="1" si="389"/>
        <v>0</v>
      </c>
      <c r="BX263" s="36">
        <f t="shared" ca="1" si="390"/>
        <v>0</v>
      </c>
      <c r="BY263" s="36">
        <f t="shared" ca="1" si="391"/>
        <v>0</v>
      </c>
      <c r="BZ263" s="36">
        <f t="shared" ca="1" si="392"/>
        <v>0</v>
      </c>
      <c r="CA263" s="36">
        <f t="shared" ca="1" si="393"/>
        <v>0</v>
      </c>
      <c r="CB263" s="36">
        <f t="shared" ca="1" si="394"/>
        <v>0</v>
      </c>
      <c r="CC263" s="36">
        <f t="shared" ca="1" si="395"/>
        <v>0</v>
      </c>
      <c r="CD263" s="36">
        <f t="shared" ca="1" si="396"/>
        <v>0</v>
      </c>
      <c r="CE263" s="36">
        <f t="shared" ca="1" si="397"/>
        <v>0</v>
      </c>
      <c r="CF263" s="36">
        <f t="shared" ca="1" si="398"/>
        <v>0</v>
      </c>
      <c r="CG263" s="36">
        <f t="shared" ca="1" si="399"/>
        <v>0</v>
      </c>
      <c r="CH263" s="36">
        <f t="shared" ca="1" si="400"/>
        <v>0</v>
      </c>
      <c r="CI263" s="36">
        <f t="shared" ca="1" si="401"/>
        <v>0</v>
      </c>
      <c r="CJ263" s="36">
        <f t="shared" ca="1" si="402"/>
        <v>0</v>
      </c>
      <c r="CK263" s="36">
        <f t="shared" ca="1" si="403"/>
        <v>0</v>
      </c>
      <c r="CL263" s="36">
        <f t="shared" ca="1" si="404"/>
        <v>0</v>
      </c>
      <c r="CM263" s="36">
        <f t="shared" ca="1" si="405"/>
        <v>0</v>
      </c>
      <c r="CN263" s="36">
        <f t="shared" ca="1" si="406"/>
        <v>0</v>
      </c>
      <c r="CO263" s="36">
        <f t="shared" ca="1" si="407"/>
        <v>0</v>
      </c>
      <c r="CP263" s="36">
        <f t="shared" ca="1" si="408"/>
        <v>0</v>
      </c>
      <c r="CQ263" s="36">
        <f t="shared" ca="1" si="409"/>
        <v>0</v>
      </c>
      <c r="CR263" s="36">
        <f t="shared" ca="1" si="410"/>
        <v>0</v>
      </c>
      <c r="CS263" s="36">
        <f t="shared" ca="1" si="411"/>
        <v>0</v>
      </c>
      <c r="CT263" s="36">
        <f t="shared" ca="1" si="412"/>
        <v>0</v>
      </c>
      <c r="CU263" s="36">
        <f t="shared" ca="1" si="432"/>
        <v>0</v>
      </c>
      <c r="CV263" s="36">
        <f t="shared" ca="1" si="432"/>
        <v>0</v>
      </c>
      <c r="CW263" s="21"/>
    </row>
    <row r="264" spans="3:101" x14ac:dyDescent="0.25">
      <c r="C264" s="49" t="str">
        <f t="shared" si="413"/>
        <v>SPUNGEDTC</v>
      </c>
      <c r="D264" s="35" t="str">
        <f>[1]Key!C$32</f>
        <v>SPUNGE</v>
      </c>
      <c r="E264" s="35" t="str">
        <f>[1]contras!H144</f>
        <v>DTC</v>
      </c>
      <c r="F264" s="41"/>
      <c r="G264" s="21"/>
      <c r="H264" s="21"/>
      <c r="I264" s="21"/>
      <c r="J264" s="21"/>
      <c r="K264" s="21"/>
      <c r="L264" s="21"/>
      <c r="M264" s="21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36">
        <f t="shared" ref="Z264:CV264" ca="1" si="433">Y264+Z114-Z204-Z234</f>
        <v>0</v>
      </c>
      <c r="AA264" s="36">
        <f t="shared" ca="1" si="433"/>
        <v>0</v>
      </c>
      <c r="AB264" s="36">
        <f t="shared" ca="1" si="433"/>
        <v>0</v>
      </c>
      <c r="AC264" s="36">
        <f t="shared" ca="1" si="433"/>
        <v>0</v>
      </c>
      <c r="AD264" s="36">
        <f t="shared" ca="1" si="433"/>
        <v>0</v>
      </c>
      <c r="AE264" s="36">
        <f t="shared" ca="1" si="433"/>
        <v>0</v>
      </c>
      <c r="AF264" s="36">
        <f t="shared" ca="1" si="433"/>
        <v>0</v>
      </c>
      <c r="AG264" s="36">
        <f t="shared" ca="1" si="433"/>
        <v>0</v>
      </c>
      <c r="AH264" s="36">
        <f t="shared" ca="1" si="433"/>
        <v>0</v>
      </c>
      <c r="AI264" s="36">
        <f t="shared" ca="1" si="433"/>
        <v>0</v>
      </c>
      <c r="AJ264" s="36">
        <f t="shared" ca="1" si="433"/>
        <v>0</v>
      </c>
      <c r="AK264" s="36">
        <f t="shared" ca="1" si="433"/>
        <v>0</v>
      </c>
      <c r="AL264" s="36">
        <f t="shared" ca="1" si="433"/>
        <v>0</v>
      </c>
      <c r="AM264" s="36">
        <f t="shared" ca="1" si="433"/>
        <v>0</v>
      </c>
      <c r="AN264" s="36">
        <f t="shared" ca="1" si="433"/>
        <v>0</v>
      </c>
      <c r="AO264" s="36">
        <f t="shared" ca="1" si="433"/>
        <v>0</v>
      </c>
      <c r="AP264" s="36">
        <f t="shared" ca="1" si="433"/>
        <v>0</v>
      </c>
      <c r="AQ264" s="36">
        <f t="shared" ca="1" si="433"/>
        <v>0</v>
      </c>
      <c r="AR264" s="36">
        <f t="shared" ca="1" si="433"/>
        <v>0</v>
      </c>
      <c r="AS264" s="36">
        <f t="shared" ca="1" si="433"/>
        <v>0</v>
      </c>
      <c r="AT264" s="36">
        <f t="shared" ca="1" si="433"/>
        <v>0</v>
      </c>
      <c r="AU264" s="36">
        <f t="shared" ca="1" si="433"/>
        <v>0</v>
      </c>
      <c r="AV264" s="36">
        <f t="shared" ca="1" si="433"/>
        <v>0</v>
      </c>
      <c r="AW264" s="36">
        <f t="shared" ca="1" si="433"/>
        <v>0</v>
      </c>
      <c r="AX264" s="36">
        <f t="shared" ca="1" si="433"/>
        <v>0</v>
      </c>
      <c r="AY264" s="36">
        <f t="shared" ca="1" si="433"/>
        <v>0</v>
      </c>
      <c r="AZ264" s="36">
        <f t="shared" ca="1" si="433"/>
        <v>0</v>
      </c>
      <c r="BA264" s="36">
        <f t="shared" ca="1" si="433"/>
        <v>0</v>
      </c>
      <c r="BB264" s="36">
        <f t="shared" ca="1" si="433"/>
        <v>0</v>
      </c>
      <c r="BC264" s="36">
        <f t="shared" ca="1" si="433"/>
        <v>0</v>
      </c>
      <c r="BD264" s="36">
        <f t="shared" ca="1" si="433"/>
        <v>0</v>
      </c>
      <c r="BE264" s="36">
        <f t="shared" ca="1" si="433"/>
        <v>0</v>
      </c>
      <c r="BF264" s="36">
        <f t="shared" ca="1" si="433"/>
        <v>0</v>
      </c>
      <c r="BG264" s="36">
        <f t="shared" ca="1" si="433"/>
        <v>0</v>
      </c>
      <c r="BH264" s="36">
        <f t="shared" ca="1" si="433"/>
        <v>0</v>
      </c>
      <c r="BI264" s="36">
        <f t="shared" ca="1" si="433"/>
        <v>0</v>
      </c>
      <c r="BJ264" s="36">
        <f t="shared" ca="1" si="376"/>
        <v>0</v>
      </c>
      <c r="BK264" s="36">
        <f t="shared" ca="1" si="377"/>
        <v>0</v>
      </c>
      <c r="BL264" s="36">
        <f t="shared" ca="1" si="378"/>
        <v>0</v>
      </c>
      <c r="BM264" s="36">
        <f t="shared" ca="1" si="379"/>
        <v>0</v>
      </c>
      <c r="BN264" s="36">
        <f t="shared" ca="1" si="380"/>
        <v>0</v>
      </c>
      <c r="BO264" s="36">
        <f t="shared" ca="1" si="381"/>
        <v>0</v>
      </c>
      <c r="BP264" s="36">
        <f t="shared" ca="1" si="382"/>
        <v>0</v>
      </c>
      <c r="BQ264" s="36">
        <f t="shared" ca="1" si="383"/>
        <v>0</v>
      </c>
      <c r="BR264" s="36">
        <f t="shared" ca="1" si="384"/>
        <v>0</v>
      </c>
      <c r="BS264" s="36">
        <f t="shared" ca="1" si="385"/>
        <v>0</v>
      </c>
      <c r="BT264" s="36">
        <f t="shared" ca="1" si="386"/>
        <v>0</v>
      </c>
      <c r="BU264" s="36">
        <f t="shared" ca="1" si="387"/>
        <v>0</v>
      </c>
      <c r="BV264" s="36">
        <f t="shared" ca="1" si="388"/>
        <v>0</v>
      </c>
      <c r="BW264" s="36">
        <f t="shared" ca="1" si="389"/>
        <v>0</v>
      </c>
      <c r="BX264" s="36">
        <f t="shared" ca="1" si="390"/>
        <v>0</v>
      </c>
      <c r="BY264" s="36">
        <f t="shared" ca="1" si="391"/>
        <v>0</v>
      </c>
      <c r="BZ264" s="36">
        <f t="shared" ca="1" si="392"/>
        <v>0</v>
      </c>
      <c r="CA264" s="36">
        <f t="shared" ca="1" si="393"/>
        <v>0</v>
      </c>
      <c r="CB264" s="36">
        <f t="shared" ca="1" si="394"/>
        <v>0</v>
      </c>
      <c r="CC264" s="36">
        <f t="shared" ca="1" si="395"/>
        <v>0</v>
      </c>
      <c r="CD264" s="36">
        <f t="shared" ca="1" si="396"/>
        <v>0</v>
      </c>
      <c r="CE264" s="36">
        <f t="shared" ca="1" si="397"/>
        <v>0</v>
      </c>
      <c r="CF264" s="36">
        <f t="shared" ca="1" si="398"/>
        <v>0</v>
      </c>
      <c r="CG264" s="36">
        <f t="shared" ca="1" si="399"/>
        <v>0</v>
      </c>
      <c r="CH264" s="36">
        <f t="shared" ca="1" si="400"/>
        <v>0</v>
      </c>
      <c r="CI264" s="36">
        <f t="shared" ca="1" si="401"/>
        <v>0</v>
      </c>
      <c r="CJ264" s="36">
        <f t="shared" ca="1" si="402"/>
        <v>0</v>
      </c>
      <c r="CK264" s="36">
        <f t="shared" ca="1" si="403"/>
        <v>0</v>
      </c>
      <c r="CL264" s="36">
        <f t="shared" ca="1" si="404"/>
        <v>0</v>
      </c>
      <c r="CM264" s="36">
        <f t="shared" ca="1" si="405"/>
        <v>0</v>
      </c>
      <c r="CN264" s="36">
        <f t="shared" ca="1" si="406"/>
        <v>0</v>
      </c>
      <c r="CO264" s="36">
        <f t="shared" ca="1" si="407"/>
        <v>0</v>
      </c>
      <c r="CP264" s="36">
        <f t="shared" ca="1" si="408"/>
        <v>0</v>
      </c>
      <c r="CQ264" s="36">
        <f t="shared" ca="1" si="409"/>
        <v>0</v>
      </c>
      <c r="CR264" s="36">
        <f t="shared" ca="1" si="410"/>
        <v>0</v>
      </c>
      <c r="CS264" s="36">
        <f t="shared" ca="1" si="411"/>
        <v>0</v>
      </c>
      <c r="CT264" s="36">
        <f t="shared" ca="1" si="412"/>
        <v>0</v>
      </c>
      <c r="CU264" s="36">
        <f t="shared" ca="1" si="433"/>
        <v>0</v>
      </c>
      <c r="CV264" s="36">
        <f t="shared" ca="1" si="433"/>
        <v>0</v>
      </c>
      <c r="CW264" s="21"/>
    </row>
    <row r="265" spans="3:101" x14ac:dyDescent="0.25">
      <c r="C265" s="49" t="str">
        <f t="shared" si="413"/>
        <v>SUNFLOWERDTC</v>
      </c>
      <c r="D265" s="35" t="str">
        <f>[1]Key!C$33</f>
        <v>SUNFLOWER</v>
      </c>
      <c r="E265" s="35" t="str">
        <f>[1]contras!H145</f>
        <v>DTC</v>
      </c>
      <c r="F265" s="41"/>
      <c r="G265" s="21"/>
      <c r="H265" s="21"/>
      <c r="I265" s="21"/>
      <c r="J265" s="21"/>
      <c r="K265" s="21"/>
      <c r="L265" s="21"/>
      <c r="M265" s="21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36">
        <f t="shared" ref="Z265:CV265" ca="1" si="434">Y265+Z115-Z205-Z235</f>
        <v>0</v>
      </c>
      <c r="AA265" s="36">
        <f t="shared" ca="1" si="434"/>
        <v>0</v>
      </c>
      <c r="AB265" s="36">
        <f t="shared" ca="1" si="434"/>
        <v>0</v>
      </c>
      <c r="AC265" s="36">
        <f t="shared" ca="1" si="434"/>
        <v>0</v>
      </c>
      <c r="AD265" s="36">
        <f t="shared" ca="1" si="434"/>
        <v>0</v>
      </c>
      <c r="AE265" s="36">
        <f t="shared" ca="1" si="434"/>
        <v>0</v>
      </c>
      <c r="AF265" s="36">
        <f t="shared" ca="1" si="434"/>
        <v>0</v>
      </c>
      <c r="AG265" s="36">
        <f t="shared" ca="1" si="434"/>
        <v>0</v>
      </c>
      <c r="AH265" s="36">
        <f t="shared" ca="1" si="434"/>
        <v>0</v>
      </c>
      <c r="AI265" s="36">
        <f t="shared" ca="1" si="434"/>
        <v>0</v>
      </c>
      <c r="AJ265" s="36">
        <f t="shared" ca="1" si="434"/>
        <v>0</v>
      </c>
      <c r="AK265" s="36">
        <f t="shared" ca="1" si="434"/>
        <v>0</v>
      </c>
      <c r="AL265" s="36">
        <f t="shared" ca="1" si="434"/>
        <v>0</v>
      </c>
      <c r="AM265" s="36">
        <f t="shared" ca="1" si="434"/>
        <v>0</v>
      </c>
      <c r="AN265" s="36">
        <f t="shared" ca="1" si="434"/>
        <v>0</v>
      </c>
      <c r="AO265" s="36">
        <f t="shared" ca="1" si="434"/>
        <v>0</v>
      </c>
      <c r="AP265" s="36">
        <f t="shared" ca="1" si="434"/>
        <v>0</v>
      </c>
      <c r="AQ265" s="36">
        <f t="shared" ca="1" si="434"/>
        <v>0</v>
      </c>
      <c r="AR265" s="36">
        <f t="shared" ca="1" si="434"/>
        <v>0</v>
      </c>
      <c r="AS265" s="36">
        <f t="shared" ca="1" si="434"/>
        <v>0</v>
      </c>
      <c r="AT265" s="36">
        <f t="shared" ca="1" si="434"/>
        <v>0</v>
      </c>
      <c r="AU265" s="36">
        <f t="shared" ca="1" si="434"/>
        <v>0</v>
      </c>
      <c r="AV265" s="36">
        <f t="shared" ca="1" si="434"/>
        <v>0</v>
      </c>
      <c r="AW265" s="36">
        <f t="shared" ca="1" si="434"/>
        <v>0</v>
      </c>
      <c r="AX265" s="36">
        <f t="shared" ca="1" si="434"/>
        <v>0</v>
      </c>
      <c r="AY265" s="36">
        <f t="shared" ca="1" si="434"/>
        <v>0</v>
      </c>
      <c r="AZ265" s="36">
        <f t="shared" ca="1" si="434"/>
        <v>0</v>
      </c>
      <c r="BA265" s="36">
        <f t="shared" ca="1" si="434"/>
        <v>0</v>
      </c>
      <c r="BB265" s="36">
        <f t="shared" ca="1" si="434"/>
        <v>0</v>
      </c>
      <c r="BC265" s="36">
        <f t="shared" ca="1" si="434"/>
        <v>0</v>
      </c>
      <c r="BD265" s="36">
        <f t="shared" ca="1" si="434"/>
        <v>0</v>
      </c>
      <c r="BE265" s="36">
        <f t="shared" ca="1" si="434"/>
        <v>0</v>
      </c>
      <c r="BF265" s="36">
        <f t="shared" ca="1" si="434"/>
        <v>0</v>
      </c>
      <c r="BG265" s="36">
        <f t="shared" ca="1" si="434"/>
        <v>0</v>
      </c>
      <c r="BH265" s="36">
        <f t="shared" ca="1" si="434"/>
        <v>0</v>
      </c>
      <c r="BI265" s="36">
        <f t="shared" ca="1" si="434"/>
        <v>0</v>
      </c>
      <c r="BJ265" s="36">
        <f t="shared" ca="1" si="376"/>
        <v>0</v>
      </c>
      <c r="BK265" s="36">
        <f t="shared" ca="1" si="377"/>
        <v>0</v>
      </c>
      <c r="BL265" s="36">
        <f t="shared" ca="1" si="378"/>
        <v>0</v>
      </c>
      <c r="BM265" s="36">
        <f t="shared" ca="1" si="379"/>
        <v>0</v>
      </c>
      <c r="BN265" s="36">
        <f t="shared" ca="1" si="380"/>
        <v>0</v>
      </c>
      <c r="BO265" s="36">
        <f t="shared" ca="1" si="381"/>
        <v>0</v>
      </c>
      <c r="BP265" s="36">
        <f t="shared" ca="1" si="382"/>
        <v>0</v>
      </c>
      <c r="BQ265" s="36">
        <f t="shared" ca="1" si="383"/>
        <v>0</v>
      </c>
      <c r="BR265" s="36">
        <f t="shared" ca="1" si="384"/>
        <v>0</v>
      </c>
      <c r="BS265" s="36">
        <f t="shared" ca="1" si="385"/>
        <v>0</v>
      </c>
      <c r="BT265" s="36">
        <f t="shared" ca="1" si="386"/>
        <v>0</v>
      </c>
      <c r="BU265" s="36">
        <f t="shared" ca="1" si="387"/>
        <v>0</v>
      </c>
      <c r="BV265" s="36">
        <f t="shared" ca="1" si="388"/>
        <v>0</v>
      </c>
      <c r="BW265" s="36">
        <f t="shared" ca="1" si="389"/>
        <v>0</v>
      </c>
      <c r="BX265" s="36">
        <f t="shared" ca="1" si="390"/>
        <v>0</v>
      </c>
      <c r="BY265" s="36">
        <f t="shared" ca="1" si="391"/>
        <v>0</v>
      </c>
      <c r="BZ265" s="36">
        <f t="shared" ca="1" si="392"/>
        <v>0</v>
      </c>
      <c r="CA265" s="36">
        <f t="shared" ca="1" si="393"/>
        <v>0</v>
      </c>
      <c r="CB265" s="36">
        <f t="shared" ca="1" si="394"/>
        <v>0</v>
      </c>
      <c r="CC265" s="36">
        <f t="shared" ca="1" si="395"/>
        <v>0</v>
      </c>
      <c r="CD265" s="36">
        <f t="shared" ca="1" si="396"/>
        <v>0</v>
      </c>
      <c r="CE265" s="36">
        <f t="shared" ca="1" si="397"/>
        <v>0</v>
      </c>
      <c r="CF265" s="36">
        <f t="shared" ca="1" si="398"/>
        <v>0</v>
      </c>
      <c r="CG265" s="36">
        <f t="shared" ca="1" si="399"/>
        <v>0</v>
      </c>
      <c r="CH265" s="36">
        <f t="shared" ca="1" si="400"/>
        <v>0</v>
      </c>
      <c r="CI265" s="36">
        <f t="shared" ca="1" si="401"/>
        <v>0</v>
      </c>
      <c r="CJ265" s="36">
        <f t="shared" ca="1" si="402"/>
        <v>0</v>
      </c>
      <c r="CK265" s="36">
        <f t="shared" ca="1" si="403"/>
        <v>0</v>
      </c>
      <c r="CL265" s="36">
        <f t="shared" ca="1" si="404"/>
        <v>0</v>
      </c>
      <c r="CM265" s="36">
        <f t="shared" ca="1" si="405"/>
        <v>0</v>
      </c>
      <c r="CN265" s="36">
        <f t="shared" ca="1" si="406"/>
        <v>0</v>
      </c>
      <c r="CO265" s="36">
        <f t="shared" ca="1" si="407"/>
        <v>0</v>
      </c>
      <c r="CP265" s="36">
        <f t="shared" ca="1" si="408"/>
        <v>0</v>
      </c>
      <c r="CQ265" s="36">
        <f t="shared" ca="1" si="409"/>
        <v>0</v>
      </c>
      <c r="CR265" s="36">
        <f t="shared" ca="1" si="410"/>
        <v>0</v>
      </c>
      <c r="CS265" s="36">
        <f t="shared" ca="1" si="411"/>
        <v>0</v>
      </c>
      <c r="CT265" s="36">
        <f t="shared" ca="1" si="412"/>
        <v>0</v>
      </c>
      <c r="CU265" s="36">
        <f t="shared" ca="1" si="434"/>
        <v>0</v>
      </c>
      <c r="CV265" s="36">
        <f t="shared" ca="1" si="434"/>
        <v>0</v>
      </c>
      <c r="CW265" s="21"/>
    </row>
    <row r="266" spans="3:101" x14ac:dyDescent="0.25">
      <c r="C266" s="49" t="str">
        <f t="shared" ref="C266" si="435">CONCATENATE(D266,E266)</f>
        <v>CorporateN/A</v>
      </c>
      <c r="D266" s="35" t="str">
        <f>[1]Key!C$34</f>
        <v>Corporate</v>
      </c>
      <c r="E266" s="35" t="str">
        <f>[1]Key!D$34</f>
        <v>N/A</v>
      </c>
      <c r="F266" s="41"/>
      <c r="G266" s="21"/>
      <c r="H266" s="21"/>
      <c r="I266" s="21"/>
      <c r="J266" s="21"/>
      <c r="K266" s="21"/>
      <c r="L266" s="21"/>
      <c r="M266" s="21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60">
        <f>$Y$5</f>
        <v>146754.85999999999</v>
      </c>
      <c r="Z266" s="36">
        <f t="shared" ref="Z266:CV266" ca="1" si="436">Y266+Z116-Z206-Z236</f>
        <v>0</v>
      </c>
      <c r="AA266" s="36">
        <f t="shared" ca="1" si="436"/>
        <v>0</v>
      </c>
      <c r="AB266" s="36">
        <f t="shared" ca="1" si="436"/>
        <v>0</v>
      </c>
      <c r="AC266" s="36">
        <f t="shared" ca="1" si="436"/>
        <v>0</v>
      </c>
      <c r="AD266" s="36">
        <f t="shared" ca="1" si="436"/>
        <v>0</v>
      </c>
      <c r="AE266" s="36">
        <f t="shared" ca="1" si="436"/>
        <v>0</v>
      </c>
      <c r="AF266" s="36">
        <f t="shared" ca="1" si="436"/>
        <v>0</v>
      </c>
      <c r="AG266" s="36">
        <f t="shared" ca="1" si="436"/>
        <v>0</v>
      </c>
      <c r="AH266" s="36">
        <f t="shared" ca="1" si="436"/>
        <v>0</v>
      </c>
      <c r="AI266" s="36">
        <f t="shared" ca="1" si="436"/>
        <v>0</v>
      </c>
      <c r="AJ266" s="36">
        <f t="shared" ca="1" si="436"/>
        <v>0</v>
      </c>
      <c r="AK266" s="36">
        <f t="shared" ca="1" si="436"/>
        <v>0</v>
      </c>
      <c r="AL266" s="36">
        <f t="shared" ca="1" si="436"/>
        <v>0</v>
      </c>
      <c r="AM266" s="36">
        <f t="shared" ca="1" si="436"/>
        <v>0</v>
      </c>
      <c r="AN266" s="36">
        <f t="shared" ca="1" si="436"/>
        <v>0</v>
      </c>
      <c r="AO266" s="36">
        <f t="shared" ca="1" si="436"/>
        <v>0</v>
      </c>
      <c r="AP266" s="36">
        <f t="shared" ca="1" si="436"/>
        <v>0</v>
      </c>
      <c r="AQ266" s="36">
        <f t="shared" ca="1" si="436"/>
        <v>0</v>
      </c>
      <c r="AR266" s="36">
        <f t="shared" ca="1" si="436"/>
        <v>0</v>
      </c>
      <c r="AS266" s="36">
        <f t="shared" ca="1" si="436"/>
        <v>0</v>
      </c>
      <c r="AT266" s="36">
        <f t="shared" ca="1" si="436"/>
        <v>0</v>
      </c>
      <c r="AU266" s="36">
        <f t="shared" ca="1" si="436"/>
        <v>0</v>
      </c>
      <c r="AV266" s="36">
        <f t="shared" ca="1" si="436"/>
        <v>0</v>
      </c>
      <c r="AW266" s="36">
        <f t="shared" ca="1" si="436"/>
        <v>0</v>
      </c>
      <c r="AX266" s="36">
        <f t="shared" ca="1" si="436"/>
        <v>0</v>
      </c>
      <c r="AY266" s="36">
        <f t="shared" ca="1" si="436"/>
        <v>0</v>
      </c>
      <c r="AZ266" s="36">
        <f t="shared" ca="1" si="436"/>
        <v>0</v>
      </c>
      <c r="BA266" s="36">
        <f t="shared" ca="1" si="436"/>
        <v>0</v>
      </c>
      <c r="BB266" s="36">
        <f t="shared" ca="1" si="436"/>
        <v>0</v>
      </c>
      <c r="BC266" s="36">
        <f t="shared" ca="1" si="436"/>
        <v>0</v>
      </c>
      <c r="BD266" s="36">
        <f t="shared" ca="1" si="436"/>
        <v>0</v>
      </c>
      <c r="BE266" s="36">
        <f t="shared" ca="1" si="436"/>
        <v>0</v>
      </c>
      <c r="BF266" s="36">
        <f t="shared" ca="1" si="436"/>
        <v>0</v>
      </c>
      <c r="BG266" s="36">
        <f t="shared" ca="1" si="436"/>
        <v>0</v>
      </c>
      <c r="BH266" s="36">
        <f t="shared" ca="1" si="436"/>
        <v>0</v>
      </c>
      <c r="BI266" s="36">
        <f t="shared" ca="1" si="436"/>
        <v>0</v>
      </c>
      <c r="BJ266" s="36">
        <f t="shared" ca="1" si="376"/>
        <v>0</v>
      </c>
      <c r="BK266" s="36">
        <f t="shared" ca="1" si="377"/>
        <v>0</v>
      </c>
      <c r="BL266" s="36">
        <f t="shared" ca="1" si="378"/>
        <v>0</v>
      </c>
      <c r="BM266" s="36">
        <f t="shared" ca="1" si="379"/>
        <v>0</v>
      </c>
      <c r="BN266" s="36">
        <f t="shared" ca="1" si="380"/>
        <v>0</v>
      </c>
      <c r="BO266" s="36">
        <f t="shared" ca="1" si="381"/>
        <v>0</v>
      </c>
      <c r="BP266" s="36">
        <f t="shared" ca="1" si="382"/>
        <v>0</v>
      </c>
      <c r="BQ266" s="36">
        <f t="shared" ca="1" si="383"/>
        <v>0</v>
      </c>
      <c r="BR266" s="36">
        <f t="shared" ca="1" si="384"/>
        <v>0</v>
      </c>
      <c r="BS266" s="36">
        <f t="shared" ca="1" si="385"/>
        <v>0</v>
      </c>
      <c r="BT266" s="36">
        <f t="shared" ca="1" si="386"/>
        <v>0</v>
      </c>
      <c r="BU266" s="36">
        <f t="shared" ca="1" si="387"/>
        <v>0</v>
      </c>
      <c r="BV266" s="36">
        <f t="shared" ca="1" si="388"/>
        <v>0</v>
      </c>
      <c r="BW266" s="36">
        <f t="shared" ca="1" si="389"/>
        <v>0</v>
      </c>
      <c r="BX266" s="36">
        <f t="shared" ca="1" si="390"/>
        <v>0</v>
      </c>
      <c r="BY266" s="36">
        <f t="shared" ca="1" si="391"/>
        <v>0</v>
      </c>
      <c r="BZ266" s="36">
        <f t="shared" ca="1" si="392"/>
        <v>0</v>
      </c>
      <c r="CA266" s="36">
        <f t="shared" ca="1" si="393"/>
        <v>0</v>
      </c>
      <c r="CB266" s="36">
        <f t="shared" ca="1" si="394"/>
        <v>0</v>
      </c>
      <c r="CC266" s="36">
        <f t="shared" ca="1" si="395"/>
        <v>0</v>
      </c>
      <c r="CD266" s="36">
        <f t="shared" ca="1" si="396"/>
        <v>0</v>
      </c>
      <c r="CE266" s="36">
        <f t="shared" ca="1" si="397"/>
        <v>0</v>
      </c>
      <c r="CF266" s="36">
        <f t="shared" ca="1" si="398"/>
        <v>0</v>
      </c>
      <c r="CG266" s="36">
        <f t="shared" ca="1" si="399"/>
        <v>0</v>
      </c>
      <c r="CH266" s="36">
        <f t="shared" ca="1" si="400"/>
        <v>0</v>
      </c>
      <c r="CI266" s="36">
        <f t="shared" ca="1" si="401"/>
        <v>0</v>
      </c>
      <c r="CJ266" s="36">
        <f t="shared" ca="1" si="402"/>
        <v>0</v>
      </c>
      <c r="CK266" s="36">
        <f t="shared" ca="1" si="403"/>
        <v>0</v>
      </c>
      <c r="CL266" s="36">
        <f t="shared" ca="1" si="404"/>
        <v>0</v>
      </c>
      <c r="CM266" s="36">
        <f t="shared" ca="1" si="405"/>
        <v>0</v>
      </c>
      <c r="CN266" s="36">
        <f t="shared" ca="1" si="406"/>
        <v>0</v>
      </c>
      <c r="CO266" s="36">
        <f t="shared" ca="1" si="407"/>
        <v>0</v>
      </c>
      <c r="CP266" s="36">
        <f t="shared" ca="1" si="408"/>
        <v>0</v>
      </c>
      <c r="CQ266" s="36">
        <f t="shared" ca="1" si="409"/>
        <v>0</v>
      </c>
      <c r="CR266" s="36">
        <f t="shared" ca="1" si="410"/>
        <v>0</v>
      </c>
      <c r="CS266" s="36">
        <f t="shared" ca="1" si="411"/>
        <v>0</v>
      </c>
      <c r="CT266" s="36">
        <f t="shared" ca="1" si="412"/>
        <v>0</v>
      </c>
      <c r="CU266" s="36">
        <f t="shared" ca="1" si="436"/>
        <v>0</v>
      </c>
      <c r="CV266" s="36">
        <f t="shared" ca="1" si="436"/>
        <v>0</v>
      </c>
      <c r="CW266" s="21"/>
    </row>
    <row r="267" spans="3:101" x14ac:dyDescent="0.25">
      <c r="C267" s="49" t="str">
        <f t="shared" ref="C267" si="437">CONCATENATE(D267,E267)</f>
        <v>Other RevenueN/A</v>
      </c>
      <c r="D267" s="35" t="str">
        <f>[1]Key!C$35</f>
        <v>Other Revenue</v>
      </c>
      <c r="E267" s="35" t="str">
        <f>[1]Key!D$35</f>
        <v>N/A</v>
      </c>
      <c r="F267" s="21"/>
      <c r="G267" s="21"/>
      <c r="H267" s="21"/>
      <c r="I267" s="21"/>
      <c r="J267" s="21"/>
      <c r="K267" s="21"/>
      <c r="L267" s="21"/>
      <c r="M267" s="21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36">
        <f t="shared" ref="Z267:CV267" ca="1" si="438">Y267+Z117-Z207-Z237</f>
        <v>42000</v>
      </c>
      <c r="AA267" s="36">
        <f t="shared" ca="1" si="438"/>
        <v>42000</v>
      </c>
      <c r="AB267" s="36">
        <f t="shared" ca="1" si="438"/>
        <v>42000</v>
      </c>
      <c r="AC267" s="36">
        <f t="shared" ca="1" si="438"/>
        <v>42000</v>
      </c>
      <c r="AD267" s="36">
        <f t="shared" ca="1" si="438"/>
        <v>42000</v>
      </c>
      <c r="AE267" s="36">
        <f t="shared" ca="1" si="438"/>
        <v>42000</v>
      </c>
      <c r="AF267" s="36">
        <f t="shared" ca="1" si="438"/>
        <v>42000</v>
      </c>
      <c r="AG267" s="36">
        <f t="shared" ca="1" si="438"/>
        <v>42000</v>
      </c>
      <c r="AH267" s="36">
        <f t="shared" ca="1" si="438"/>
        <v>42000</v>
      </c>
      <c r="AI267" s="36">
        <f t="shared" ca="1" si="438"/>
        <v>42000</v>
      </c>
      <c r="AJ267" s="36">
        <f t="shared" ca="1" si="438"/>
        <v>42000</v>
      </c>
      <c r="AK267" s="36">
        <f t="shared" ca="1" si="438"/>
        <v>42000</v>
      </c>
      <c r="AL267" s="36">
        <f t="shared" ca="1" si="438"/>
        <v>0</v>
      </c>
      <c r="AM267" s="36">
        <f t="shared" ca="1" si="438"/>
        <v>0</v>
      </c>
      <c r="AN267" s="36">
        <f t="shared" ca="1" si="438"/>
        <v>0</v>
      </c>
      <c r="AO267" s="36">
        <f t="shared" ca="1" si="438"/>
        <v>0</v>
      </c>
      <c r="AP267" s="36">
        <f t="shared" ca="1" si="438"/>
        <v>0</v>
      </c>
      <c r="AQ267" s="36">
        <f t="shared" ca="1" si="438"/>
        <v>0</v>
      </c>
      <c r="AR267" s="36">
        <f t="shared" ca="1" si="438"/>
        <v>0</v>
      </c>
      <c r="AS267" s="36">
        <f t="shared" ca="1" si="438"/>
        <v>0</v>
      </c>
      <c r="AT267" s="36">
        <f t="shared" ca="1" si="438"/>
        <v>0</v>
      </c>
      <c r="AU267" s="36">
        <f t="shared" ca="1" si="438"/>
        <v>0</v>
      </c>
      <c r="AV267" s="36">
        <f t="shared" ca="1" si="438"/>
        <v>0</v>
      </c>
      <c r="AW267" s="36">
        <f t="shared" ca="1" si="438"/>
        <v>0</v>
      </c>
      <c r="AX267" s="36">
        <f t="shared" ca="1" si="438"/>
        <v>0</v>
      </c>
      <c r="AY267" s="36">
        <f t="shared" ca="1" si="438"/>
        <v>0</v>
      </c>
      <c r="AZ267" s="36">
        <f t="shared" ca="1" si="438"/>
        <v>0</v>
      </c>
      <c r="BA267" s="36">
        <f t="shared" ca="1" si="438"/>
        <v>0</v>
      </c>
      <c r="BB267" s="36">
        <f t="shared" ca="1" si="438"/>
        <v>0</v>
      </c>
      <c r="BC267" s="36">
        <f t="shared" ca="1" si="438"/>
        <v>0</v>
      </c>
      <c r="BD267" s="36">
        <f t="shared" ca="1" si="438"/>
        <v>0</v>
      </c>
      <c r="BE267" s="36">
        <f t="shared" ca="1" si="438"/>
        <v>0</v>
      </c>
      <c r="BF267" s="36">
        <f t="shared" ca="1" si="438"/>
        <v>0</v>
      </c>
      <c r="BG267" s="36">
        <f t="shared" ca="1" si="438"/>
        <v>0</v>
      </c>
      <c r="BH267" s="36">
        <f t="shared" ca="1" si="438"/>
        <v>0</v>
      </c>
      <c r="BI267" s="36">
        <f t="shared" ca="1" si="438"/>
        <v>0</v>
      </c>
      <c r="BJ267" s="36">
        <f t="shared" ca="1" si="376"/>
        <v>0</v>
      </c>
      <c r="BK267" s="36">
        <f t="shared" ca="1" si="377"/>
        <v>0</v>
      </c>
      <c r="BL267" s="36">
        <f t="shared" ca="1" si="378"/>
        <v>0</v>
      </c>
      <c r="BM267" s="36">
        <f t="shared" ca="1" si="379"/>
        <v>0</v>
      </c>
      <c r="BN267" s="36">
        <f t="shared" ca="1" si="380"/>
        <v>0</v>
      </c>
      <c r="BO267" s="36">
        <f t="shared" ca="1" si="381"/>
        <v>0</v>
      </c>
      <c r="BP267" s="36">
        <f t="shared" ca="1" si="382"/>
        <v>0</v>
      </c>
      <c r="BQ267" s="36">
        <f t="shared" ca="1" si="383"/>
        <v>0</v>
      </c>
      <c r="BR267" s="36">
        <f t="shared" ca="1" si="384"/>
        <v>0</v>
      </c>
      <c r="BS267" s="36">
        <f t="shared" ca="1" si="385"/>
        <v>0</v>
      </c>
      <c r="BT267" s="36">
        <f t="shared" ca="1" si="386"/>
        <v>0</v>
      </c>
      <c r="BU267" s="36">
        <f t="shared" ca="1" si="387"/>
        <v>0</v>
      </c>
      <c r="BV267" s="36">
        <f t="shared" ca="1" si="388"/>
        <v>0</v>
      </c>
      <c r="BW267" s="36">
        <f t="shared" ca="1" si="389"/>
        <v>0</v>
      </c>
      <c r="BX267" s="36">
        <f t="shared" ca="1" si="390"/>
        <v>0</v>
      </c>
      <c r="BY267" s="36">
        <f t="shared" ca="1" si="391"/>
        <v>0</v>
      </c>
      <c r="BZ267" s="36">
        <f t="shared" ca="1" si="392"/>
        <v>0</v>
      </c>
      <c r="CA267" s="36">
        <f t="shared" ca="1" si="393"/>
        <v>0</v>
      </c>
      <c r="CB267" s="36">
        <f t="shared" ca="1" si="394"/>
        <v>0</v>
      </c>
      <c r="CC267" s="36">
        <f t="shared" ca="1" si="395"/>
        <v>0</v>
      </c>
      <c r="CD267" s="36">
        <f t="shared" ca="1" si="396"/>
        <v>0</v>
      </c>
      <c r="CE267" s="36">
        <f t="shared" ca="1" si="397"/>
        <v>0</v>
      </c>
      <c r="CF267" s="36">
        <f t="shared" ca="1" si="398"/>
        <v>0</v>
      </c>
      <c r="CG267" s="36">
        <f t="shared" ca="1" si="399"/>
        <v>0</v>
      </c>
      <c r="CH267" s="36">
        <f t="shared" ca="1" si="400"/>
        <v>0</v>
      </c>
      <c r="CI267" s="36">
        <f t="shared" ca="1" si="401"/>
        <v>0</v>
      </c>
      <c r="CJ267" s="36">
        <f t="shared" ca="1" si="402"/>
        <v>0</v>
      </c>
      <c r="CK267" s="36">
        <f t="shared" ca="1" si="403"/>
        <v>0</v>
      </c>
      <c r="CL267" s="36">
        <f t="shared" ca="1" si="404"/>
        <v>0</v>
      </c>
      <c r="CM267" s="36">
        <f t="shared" ca="1" si="405"/>
        <v>0</v>
      </c>
      <c r="CN267" s="36">
        <f t="shared" ca="1" si="406"/>
        <v>0</v>
      </c>
      <c r="CO267" s="36">
        <f t="shared" ca="1" si="407"/>
        <v>0</v>
      </c>
      <c r="CP267" s="36">
        <f t="shared" ca="1" si="408"/>
        <v>0</v>
      </c>
      <c r="CQ267" s="36">
        <f t="shared" ca="1" si="409"/>
        <v>0</v>
      </c>
      <c r="CR267" s="36">
        <f t="shared" ca="1" si="410"/>
        <v>0</v>
      </c>
      <c r="CS267" s="36">
        <f t="shared" ca="1" si="411"/>
        <v>0</v>
      </c>
      <c r="CT267" s="36">
        <f t="shared" ca="1" si="412"/>
        <v>0</v>
      </c>
      <c r="CU267" s="36">
        <f t="shared" ca="1" si="438"/>
        <v>0</v>
      </c>
      <c r="CV267" s="36">
        <f t="shared" ca="1" si="438"/>
        <v>0</v>
      </c>
      <c r="CW267" s="21"/>
    </row>
    <row r="268" spans="3:101" x14ac:dyDescent="0.25">
      <c r="F268" s="21"/>
      <c r="G268" s="21"/>
      <c r="H268" s="21"/>
      <c r="I268" s="21"/>
      <c r="J268" s="21"/>
      <c r="K268" s="21"/>
      <c r="L268" s="21"/>
      <c r="M268" s="21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21"/>
    </row>
    <row r="269" spans="3:101" x14ac:dyDescent="0.25">
      <c r="D269" s="38" t="s">
        <v>152</v>
      </c>
      <c r="F269" s="21"/>
      <c r="G269" s="21"/>
      <c r="H269" s="21"/>
      <c r="I269" s="21"/>
      <c r="J269" s="21"/>
      <c r="K269" s="21"/>
      <c r="L269" s="21"/>
      <c r="M269" s="21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37">
        <f t="shared" ref="Y269:BI269" si="439">SUM(Y244:Y268)</f>
        <v>146754.85999999999</v>
      </c>
      <c r="Z269" s="37">
        <f t="shared" ca="1" si="439"/>
        <v>42000</v>
      </c>
      <c r="AA269" s="37">
        <f t="shared" ca="1" si="439"/>
        <v>42000</v>
      </c>
      <c r="AB269" s="37">
        <f t="shared" ca="1" si="439"/>
        <v>402000</v>
      </c>
      <c r="AC269" s="37">
        <f t="shared" ca="1" si="439"/>
        <v>439500</v>
      </c>
      <c r="AD269" s="37">
        <f t="shared" ca="1" si="439"/>
        <v>79500</v>
      </c>
      <c r="AE269" s="37">
        <f t="shared" ca="1" si="439"/>
        <v>42000</v>
      </c>
      <c r="AF269" s="37">
        <f t="shared" ca="1" si="439"/>
        <v>42000</v>
      </c>
      <c r="AG269" s="37">
        <f t="shared" ca="1" si="439"/>
        <v>42000</v>
      </c>
      <c r="AH269" s="37">
        <f t="shared" ca="1" si="439"/>
        <v>42000</v>
      </c>
      <c r="AI269" s="37">
        <f t="shared" ca="1" si="439"/>
        <v>42000</v>
      </c>
      <c r="AJ269" s="37">
        <f t="shared" ca="1" si="439"/>
        <v>129100</v>
      </c>
      <c r="AK269" s="37">
        <f t="shared" ca="1" si="439"/>
        <v>196600</v>
      </c>
      <c r="AL269" s="37">
        <f t="shared" ca="1" si="439"/>
        <v>105000</v>
      </c>
      <c r="AM269" s="37">
        <f t="shared" ca="1" si="439"/>
        <v>893300</v>
      </c>
      <c r="AN269" s="37">
        <f t="shared" ca="1" si="439"/>
        <v>968000</v>
      </c>
      <c r="AO269" s="37">
        <f t="shared" ca="1" si="439"/>
        <v>112200</v>
      </c>
      <c r="AP269" s="37">
        <f t="shared" ca="1" si="439"/>
        <v>156250</v>
      </c>
      <c r="AQ269" s="37">
        <f t="shared" ca="1" si="439"/>
        <v>473125</v>
      </c>
      <c r="AR269" s="37">
        <f t="shared" ca="1" si="439"/>
        <v>440025</v>
      </c>
      <c r="AS269" s="37">
        <f t="shared" ca="1" si="439"/>
        <v>1320650</v>
      </c>
      <c r="AT269" s="37">
        <f t="shared" ca="1" si="439"/>
        <v>1825100</v>
      </c>
      <c r="AU269" s="37">
        <f t="shared" ca="1" si="439"/>
        <v>1077600</v>
      </c>
      <c r="AV269" s="37">
        <f t="shared" ca="1" si="439"/>
        <v>749125</v>
      </c>
      <c r="AW269" s="37">
        <f t="shared" ca="1" si="439"/>
        <v>863000</v>
      </c>
      <c r="AX269" s="37">
        <f t="shared" ca="1" si="439"/>
        <v>2262375</v>
      </c>
      <c r="AY269" s="37">
        <f t="shared" ca="1" si="439"/>
        <v>3874450</v>
      </c>
      <c r="AZ269" s="37">
        <f t="shared" ca="1" si="439"/>
        <v>2355950</v>
      </c>
      <c r="BA269" s="37">
        <f t="shared" ca="1" si="439"/>
        <v>939375</v>
      </c>
      <c r="BB269" s="37">
        <f t="shared" ca="1" si="439"/>
        <v>1352525</v>
      </c>
      <c r="BC269" s="37">
        <f t="shared" ca="1" si="439"/>
        <v>1449650</v>
      </c>
      <c r="BD269" s="37">
        <f t="shared" ca="1" si="439"/>
        <v>3546000</v>
      </c>
      <c r="BE269" s="37">
        <f t="shared" ca="1" si="439"/>
        <v>4287000</v>
      </c>
      <c r="BF269" s="37">
        <f t="shared" ca="1" si="439"/>
        <v>2954500</v>
      </c>
      <c r="BG269" s="37">
        <f t="shared" ca="1" si="439"/>
        <v>2828875</v>
      </c>
      <c r="BH269" s="37">
        <f t="shared" ca="1" si="439"/>
        <v>2361775</v>
      </c>
      <c r="BI269" s="37">
        <f t="shared" ca="1" si="439"/>
        <v>1713525</v>
      </c>
      <c r="BJ269" s="37">
        <f t="shared" ref="BJ269:CS269" ca="1" si="440">SUM(BJ244:BJ268)</f>
        <v>4941875</v>
      </c>
      <c r="BK269" s="37">
        <f t="shared" ca="1" si="440"/>
        <v>9096725</v>
      </c>
      <c r="BL269" s="37">
        <f t="shared" ca="1" si="440"/>
        <v>5390975</v>
      </c>
      <c r="BM269" s="37">
        <f t="shared" ca="1" si="440"/>
        <v>1935937.5</v>
      </c>
      <c r="BN269" s="37">
        <f t="shared" ca="1" si="440"/>
        <v>3193512.5</v>
      </c>
      <c r="BO269" s="37">
        <f t="shared" ca="1" si="440"/>
        <v>3717575</v>
      </c>
      <c r="BP269" s="37">
        <f t="shared" ca="1" si="440"/>
        <v>9159750</v>
      </c>
      <c r="BQ269" s="37">
        <f t="shared" ca="1" si="440"/>
        <v>10456000</v>
      </c>
      <c r="BR269" s="37">
        <f t="shared" ca="1" si="440"/>
        <v>6413450</v>
      </c>
      <c r="BS269" s="37">
        <f t="shared" ca="1" si="440"/>
        <v>6018137.5</v>
      </c>
      <c r="BT269" s="37">
        <f t="shared" ca="1" si="440"/>
        <v>5500187.5</v>
      </c>
      <c r="BU269" s="37">
        <f t="shared" ca="1" si="440"/>
        <v>4619500</v>
      </c>
      <c r="BV269" s="37">
        <f t="shared" ca="1" si="440"/>
        <v>11033062.5</v>
      </c>
      <c r="BW269" s="37">
        <f t="shared" ca="1" si="440"/>
        <v>18185843.75</v>
      </c>
      <c r="BX269" s="37">
        <f t="shared" ca="1" si="440"/>
        <v>9904906.25</v>
      </c>
      <c r="BY269" s="37">
        <f t="shared" ca="1" si="440"/>
        <v>2975390.625</v>
      </c>
      <c r="BZ269" s="37">
        <f t="shared" ca="1" si="440"/>
        <v>6056046.875</v>
      </c>
      <c r="CA269" s="37">
        <f t="shared" ca="1" si="440"/>
        <v>7884406.25</v>
      </c>
      <c r="CB269" s="37">
        <f t="shared" ca="1" si="440"/>
        <v>21124687.5</v>
      </c>
      <c r="CC269" s="37">
        <f t="shared" ca="1" si="440"/>
        <v>22206875</v>
      </c>
      <c r="CD269" s="37">
        <f t="shared" ca="1" si="440"/>
        <v>10976337.5</v>
      </c>
      <c r="CE269" s="37">
        <f t="shared" ca="1" si="440"/>
        <v>10203290.625</v>
      </c>
      <c r="CF269" s="37">
        <f t="shared" ca="1" si="440"/>
        <v>10413578.125</v>
      </c>
      <c r="CG269" s="37">
        <f t="shared" ca="1" si="440"/>
        <v>10451312.5</v>
      </c>
      <c r="CH269" s="37">
        <f t="shared" ca="1" si="440"/>
        <v>21582656.25</v>
      </c>
      <c r="CI269" s="37">
        <f t="shared" ca="1" si="440"/>
        <v>31254553.125</v>
      </c>
      <c r="CJ269" s="37">
        <f t="shared" ca="1" si="440"/>
        <v>15119709.375</v>
      </c>
      <c r="CK269" s="37">
        <f t="shared" ca="1" si="440"/>
        <v>3968085.9375</v>
      </c>
      <c r="CL269" s="37">
        <f t="shared" ca="1" si="440"/>
        <v>9336070.3125</v>
      </c>
      <c r="CM269" s="37">
        <f t="shared" ca="1" si="440"/>
        <v>13124859.375</v>
      </c>
      <c r="CN269" s="37">
        <f t="shared" ca="1" si="440"/>
        <v>40492968.75</v>
      </c>
      <c r="CO269" s="37">
        <f t="shared" ca="1" si="440"/>
        <v>40740000</v>
      </c>
      <c r="CP269" s="37">
        <f t="shared" ca="1" si="440"/>
        <v>16083476.25</v>
      </c>
      <c r="CQ269" s="37">
        <f t="shared" ca="1" si="440"/>
        <v>14826405.9375</v>
      </c>
      <c r="CR269" s="37">
        <f t="shared" ca="1" si="440"/>
        <v>16023117.1875</v>
      </c>
      <c r="CS269" s="37">
        <f t="shared" ca="1" si="440"/>
        <v>17836593.75</v>
      </c>
      <c r="CT269" s="37">
        <f t="shared" ref="CT269" ca="1" si="441">SUM(CT244:CT268)</f>
        <v>7578750</v>
      </c>
      <c r="CU269" s="37">
        <f t="shared" ref="CU269" ca="1" si="442">SUM(CU244:CU268)</f>
        <v>0</v>
      </c>
      <c r="CV269" s="37">
        <f t="shared" ref="CV269" ca="1" si="443">SUM(CV244:CV268)</f>
        <v>0</v>
      </c>
      <c r="CW269" s="21"/>
    </row>
    <row r="270" spans="3:101" x14ac:dyDescent="0.25">
      <c r="D270" t="s">
        <v>168</v>
      </c>
      <c r="Z270" s="48">
        <f ca="1">Z119-Z209-Z239+Y269-Z269</f>
        <v>0</v>
      </c>
      <c r="AA270" s="48">
        <f t="shared" ref="AA270" ca="1" si="444">AA119-AA209-AA239+Z269-AA269</f>
        <v>0</v>
      </c>
      <c r="AB270" s="48">
        <f ca="1">AB119-AB209-AB239+AA269-AB269</f>
        <v>0</v>
      </c>
      <c r="AC270" s="48">
        <f t="shared" ref="AC270:CV270" ca="1" si="445">AC119-AC209-AC239+AB269-AC269</f>
        <v>0</v>
      </c>
      <c r="AD270" s="48">
        <f t="shared" ca="1" si="445"/>
        <v>0</v>
      </c>
      <c r="AE270" s="48">
        <f t="shared" ca="1" si="445"/>
        <v>0</v>
      </c>
      <c r="AF270" s="48">
        <f t="shared" ca="1" si="445"/>
        <v>0</v>
      </c>
      <c r="AG270" s="48">
        <f t="shared" ca="1" si="445"/>
        <v>0</v>
      </c>
      <c r="AH270" s="48">
        <f t="shared" ca="1" si="445"/>
        <v>0</v>
      </c>
      <c r="AI270" s="48">
        <f t="shared" ca="1" si="445"/>
        <v>0</v>
      </c>
      <c r="AJ270" s="48">
        <f t="shared" ca="1" si="445"/>
        <v>0</v>
      </c>
      <c r="AK270" s="48">
        <f t="shared" ca="1" si="445"/>
        <v>0</v>
      </c>
      <c r="AL270" s="48">
        <f t="shared" ca="1" si="445"/>
        <v>0</v>
      </c>
      <c r="AM270" s="48">
        <f t="shared" ca="1" si="445"/>
        <v>0</v>
      </c>
      <c r="AN270" s="48">
        <f t="shared" ca="1" si="445"/>
        <v>0</v>
      </c>
      <c r="AO270" s="48">
        <f t="shared" ca="1" si="445"/>
        <v>0</v>
      </c>
      <c r="AP270" s="48">
        <f t="shared" ca="1" si="445"/>
        <v>0</v>
      </c>
      <c r="AQ270" s="48">
        <f t="shared" ca="1" si="445"/>
        <v>0</v>
      </c>
      <c r="AR270" s="48">
        <f t="shared" ca="1" si="445"/>
        <v>0</v>
      </c>
      <c r="AS270" s="48">
        <f t="shared" ca="1" si="445"/>
        <v>0</v>
      </c>
      <c r="AT270" s="48">
        <f t="shared" ca="1" si="445"/>
        <v>0</v>
      </c>
      <c r="AU270" s="48">
        <f t="shared" ca="1" si="445"/>
        <v>0</v>
      </c>
      <c r="AV270" s="48">
        <f t="shared" ca="1" si="445"/>
        <v>0</v>
      </c>
      <c r="AW270" s="48">
        <f t="shared" ca="1" si="445"/>
        <v>0</v>
      </c>
      <c r="AX270" s="48">
        <f t="shared" ca="1" si="445"/>
        <v>0</v>
      </c>
      <c r="AY270" s="48">
        <f t="shared" ca="1" si="445"/>
        <v>0</v>
      </c>
      <c r="AZ270" s="48">
        <f t="shared" ca="1" si="445"/>
        <v>0</v>
      </c>
      <c r="BA270" s="48">
        <f t="shared" ca="1" si="445"/>
        <v>0</v>
      </c>
      <c r="BB270" s="48">
        <f t="shared" ca="1" si="445"/>
        <v>0</v>
      </c>
      <c r="BC270" s="48">
        <f t="shared" ca="1" si="445"/>
        <v>0</v>
      </c>
      <c r="BD270" s="48">
        <f t="shared" ca="1" si="445"/>
        <v>0</v>
      </c>
      <c r="BE270" s="48">
        <f t="shared" ca="1" si="445"/>
        <v>0</v>
      </c>
      <c r="BF270" s="48">
        <f t="shared" ca="1" si="445"/>
        <v>0</v>
      </c>
      <c r="BG270" s="48">
        <f t="shared" ca="1" si="445"/>
        <v>0</v>
      </c>
      <c r="BH270" s="48">
        <f t="shared" ca="1" si="445"/>
        <v>0</v>
      </c>
      <c r="BI270" s="48">
        <f t="shared" ca="1" si="445"/>
        <v>0</v>
      </c>
      <c r="BJ270" s="48">
        <f t="shared" ref="BJ270" ca="1" si="446">BJ119-BJ209-BJ239+BI269-BJ269</f>
        <v>0</v>
      </c>
      <c r="BK270" s="48">
        <f t="shared" ref="BK270" ca="1" si="447">BK119-BK209-BK239+BJ269-BK269</f>
        <v>0</v>
      </c>
      <c r="BL270" s="48">
        <f t="shared" ref="BL270" ca="1" si="448">BL119-BL209-BL239+BK269-BL269</f>
        <v>0</v>
      </c>
      <c r="BM270" s="48">
        <f t="shared" ref="BM270" ca="1" si="449">BM119-BM209-BM239+BL269-BM269</f>
        <v>0</v>
      </c>
      <c r="BN270" s="48">
        <f t="shared" ref="BN270" ca="1" si="450">BN119-BN209-BN239+BM269-BN269</f>
        <v>0</v>
      </c>
      <c r="BO270" s="48">
        <f t="shared" ref="BO270" ca="1" si="451">BO119-BO209-BO239+BN269-BO269</f>
        <v>0</v>
      </c>
      <c r="BP270" s="48">
        <f t="shared" ref="BP270" ca="1" si="452">BP119-BP209-BP239+BO269-BP269</f>
        <v>0</v>
      </c>
      <c r="BQ270" s="48">
        <f t="shared" ref="BQ270" ca="1" si="453">BQ119-BQ209-BQ239+BP269-BQ269</f>
        <v>0</v>
      </c>
      <c r="BR270" s="48">
        <f t="shared" ref="BR270" ca="1" si="454">BR119-BR209-BR239+BQ269-BR269</f>
        <v>0</v>
      </c>
      <c r="BS270" s="48">
        <f t="shared" ref="BS270" ca="1" si="455">BS119-BS209-BS239+BR269-BS269</f>
        <v>0</v>
      </c>
      <c r="BT270" s="48">
        <f t="shared" ref="BT270" ca="1" si="456">BT119-BT209-BT239+BS269-BT269</f>
        <v>0</v>
      </c>
      <c r="BU270" s="48">
        <f t="shared" ref="BU270" ca="1" si="457">BU119-BU209-BU239+BT269-BU269</f>
        <v>0</v>
      </c>
      <c r="BV270" s="48">
        <f t="shared" ref="BV270" ca="1" si="458">BV119-BV209-BV239+BU269-BV269</f>
        <v>0</v>
      </c>
      <c r="BW270" s="48">
        <f t="shared" ref="BW270" ca="1" si="459">BW119-BW209-BW239+BV269-BW269</f>
        <v>0</v>
      </c>
      <c r="BX270" s="48">
        <f t="shared" ref="BX270" ca="1" si="460">BX119-BX209-BX239+BW269-BX269</f>
        <v>0</v>
      </c>
      <c r="BY270" s="48">
        <f t="shared" ref="BY270" ca="1" si="461">BY119-BY209-BY239+BX269-BY269</f>
        <v>0</v>
      </c>
      <c r="BZ270" s="48">
        <f t="shared" ref="BZ270" ca="1" si="462">BZ119-BZ209-BZ239+BY269-BZ269</f>
        <v>0</v>
      </c>
      <c r="CA270" s="48">
        <f t="shared" ref="CA270" ca="1" si="463">CA119-CA209-CA239+BZ269-CA269</f>
        <v>0</v>
      </c>
      <c r="CB270" s="48">
        <f t="shared" ref="CB270" ca="1" si="464">CB119-CB209-CB239+CA269-CB269</f>
        <v>0</v>
      </c>
      <c r="CC270" s="48">
        <f t="shared" ref="CC270" ca="1" si="465">CC119-CC209-CC239+CB269-CC269</f>
        <v>0</v>
      </c>
      <c r="CD270" s="48">
        <f t="shared" ref="CD270" ca="1" si="466">CD119-CD209-CD239+CC269-CD269</f>
        <v>0</v>
      </c>
      <c r="CE270" s="48">
        <f t="shared" ref="CE270" ca="1" si="467">CE119-CE209-CE239+CD269-CE269</f>
        <v>0</v>
      </c>
      <c r="CF270" s="48">
        <f t="shared" ref="CF270" ca="1" si="468">CF119-CF209-CF239+CE269-CF269</f>
        <v>0</v>
      </c>
      <c r="CG270" s="48">
        <f t="shared" ref="CG270" ca="1" si="469">CG119-CG209-CG239+CF269-CG269</f>
        <v>0</v>
      </c>
      <c r="CH270" s="48">
        <f t="shared" ref="CH270" ca="1" si="470">CH119-CH209-CH239+CG269-CH269</f>
        <v>0</v>
      </c>
      <c r="CI270" s="48">
        <f t="shared" ref="CI270" ca="1" si="471">CI119-CI209-CI239+CH269-CI269</f>
        <v>0</v>
      </c>
      <c r="CJ270" s="48">
        <f t="shared" ref="CJ270" ca="1" si="472">CJ119-CJ209-CJ239+CI269-CJ269</f>
        <v>0</v>
      </c>
      <c r="CK270" s="48">
        <f t="shared" ref="CK270" ca="1" si="473">CK119-CK209-CK239+CJ269-CK269</f>
        <v>0</v>
      </c>
      <c r="CL270" s="48">
        <f t="shared" ref="CL270" ca="1" si="474">CL119-CL209-CL239+CK269-CL269</f>
        <v>0</v>
      </c>
      <c r="CM270" s="48">
        <f t="shared" ref="CM270" ca="1" si="475">CM119-CM209-CM239+CL269-CM269</f>
        <v>0</v>
      </c>
      <c r="CN270" s="48">
        <f t="shared" ref="CN270" ca="1" si="476">CN119-CN209-CN239+CM269-CN269</f>
        <v>0</v>
      </c>
      <c r="CO270" s="48">
        <f t="shared" ref="CO270" ca="1" si="477">CO119-CO209-CO239+CN269-CO269</f>
        <v>0</v>
      </c>
      <c r="CP270" s="48">
        <f t="shared" ref="CP270" ca="1" si="478">CP119-CP209-CP239+CO269-CP269</f>
        <v>0</v>
      </c>
      <c r="CQ270" s="48">
        <f t="shared" ref="CQ270" ca="1" si="479">CQ119-CQ209-CQ239+CP269-CQ269</f>
        <v>0</v>
      </c>
      <c r="CR270" s="48">
        <f t="shared" ref="CR270" ca="1" si="480">CR119-CR209-CR239+CQ269-CR269</f>
        <v>0</v>
      </c>
      <c r="CS270" s="48">
        <f t="shared" ref="CS270" ca="1" si="481">CS119-CS209-CS239+CR269-CS269</f>
        <v>0</v>
      </c>
      <c r="CT270" s="48">
        <f ca="1">CT119-CT209-CT239+CS269-CT269</f>
        <v>0</v>
      </c>
      <c r="CU270" s="48">
        <f t="shared" ca="1" si="445"/>
        <v>0</v>
      </c>
      <c r="CV270" s="48">
        <f t="shared" ca="1" si="445"/>
        <v>0</v>
      </c>
    </row>
    <row r="273" spans="3:101" x14ac:dyDescent="0.25">
      <c r="C273" s="50" t="s">
        <v>164</v>
      </c>
      <c r="D273" s="52" t="s">
        <v>169</v>
      </c>
      <c r="F273" s="47"/>
      <c r="G273" s="21"/>
      <c r="H273" s="21"/>
      <c r="I273" s="21"/>
      <c r="J273" s="21"/>
      <c r="K273" s="21"/>
      <c r="L273" s="21"/>
      <c r="M273" s="21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21"/>
      <c r="CU273" s="21"/>
      <c r="CV273" s="21"/>
      <c r="CW273" s="21"/>
    </row>
    <row r="274" spans="3:101" x14ac:dyDescent="0.25">
      <c r="C274" s="49" t="str">
        <f>CONCATENATE(D274,E274)</f>
        <v>BARIWholesale</v>
      </c>
      <c r="D274" s="35" t="str">
        <f>[1]Key!C$12</f>
        <v>BARI</v>
      </c>
      <c r="E274" s="35" t="str">
        <f>[1]contras!H152</f>
        <v>Wholesale</v>
      </c>
      <c r="F274" s="41"/>
      <c r="H274" s="21"/>
      <c r="I274" s="21"/>
      <c r="J274" s="21"/>
      <c r="K274" s="21"/>
      <c r="L274" s="21"/>
      <c r="M274" s="21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36">
        <f t="shared" ref="Z274:CV274" ca="1" si="482">Y274+Z154-Z214</f>
        <v>0</v>
      </c>
      <c r="AA274" s="36">
        <f t="shared" ca="1" si="482"/>
        <v>0</v>
      </c>
      <c r="AB274" s="36">
        <f t="shared" ca="1" si="482"/>
        <v>0</v>
      </c>
      <c r="AC274" s="36">
        <f t="shared" ca="1" si="482"/>
        <v>0</v>
      </c>
      <c r="AD274" s="36">
        <f t="shared" ca="1" si="482"/>
        <v>0</v>
      </c>
      <c r="AE274" s="36">
        <f t="shared" ca="1" si="482"/>
        <v>0</v>
      </c>
      <c r="AF274" s="36">
        <f t="shared" ca="1" si="482"/>
        <v>0</v>
      </c>
      <c r="AG274" s="36">
        <f t="shared" ca="1" si="482"/>
        <v>0</v>
      </c>
      <c r="AH274" s="36">
        <f t="shared" ca="1" si="482"/>
        <v>0</v>
      </c>
      <c r="AI274" s="36">
        <f t="shared" ca="1" si="482"/>
        <v>0</v>
      </c>
      <c r="AJ274" s="36">
        <f t="shared" ca="1" si="482"/>
        <v>0</v>
      </c>
      <c r="AK274" s="36">
        <f t="shared" ca="1" si="482"/>
        <v>0</v>
      </c>
      <c r="AL274" s="36">
        <f t="shared" ca="1" si="482"/>
        <v>4500</v>
      </c>
      <c r="AM274" s="36">
        <f t="shared" ca="1" si="482"/>
        <v>4500</v>
      </c>
      <c r="AN274" s="36">
        <f t="shared" ca="1" si="482"/>
        <v>4500</v>
      </c>
      <c r="AO274" s="36">
        <f t="shared" ca="1" si="482"/>
        <v>4500</v>
      </c>
      <c r="AP274" s="36">
        <f t="shared" ca="1" si="482"/>
        <v>0</v>
      </c>
      <c r="AQ274" s="36">
        <f t="shared" ca="1" si="482"/>
        <v>9000</v>
      </c>
      <c r="AR274" s="36">
        <f t="shared" ca="1" si="482"/>
        <v>9000</v>
      </c>
      <c r="AS274" s="36">
        <f t="shared" ca="1" si="482"/>
        <v>4500</v>
      </c>
      <c r="AT274" s="36">
        <f t="shared" ca="1" si="482"/>
        <v>13500</v>
      </c>
      <c r="AU274" s="36">
        <f t="shared" ca="1" si="482"/>
        <v>18000</v>
      </c>
      <c r="AV274" s="36">
        <f t="shared" ca="1" si="482"/>
        <v>10875</v>
      </c>
      <c r="AW274" s="36">
        <f t="shared" ca="1" si="482"/>
        <v>10875</v>
      </c>
      <c r="AX274" s="36">
        <f t="shared" ca="1" si="482"/>
        <v>22500</v>
      </c>
      <c r="AY274" s="36">
        <f t="shared" ca="1" si="482"/>
        <v>13500</v>
      </c>
      <c r="AZ274" s="36">
        <f t="shared" ca="1" si="482"/>
        <v>9000</v>
      </c>
      <c r="BA274" s="36">
        <f t="shared" ca="1" si="482"/>
        <v>9000</v>
      </c>
      <c r="BB274" s="36">
        <f t="shared" ca="1" si="482"/>
        <v>0</v>
      </c>
      <c r="BC274" s="36">
        <f t="shared" ca="1" si="482"/>
        <v>22500</v>
      </c>
      <c r="BD274" s="36">
        <f t="shared" ca="1" si="482"/>
        <v>22500</v>
      </c>
      <c r="BE274" s="36">
        <f t="shared" ca="1" si="482"/>
        <v>0</v>
      </c>
      <c r="BF274" s="36">
        <f t="shared" ca="1" si="482"/>
        <v>9000</v>
      </c>
      <c r="BG274" s="36">
        <f t="shared" ca="1" si="482"/>
        <v>27000</v>
      </c>
      <c r="BH274" s="36">
        <f t="shared" ca="1" si="482"/>
        <v>18000</v>
      </c>
      <c r="BI274" s="36">
        <f t="shared" ca="1" si="482"/>
        <v>10875</v>
      </c>
      <c r="BJ274" s="36">
        <f t="shared" ref="BJ274:BJ297" ca="1" si="483">BI274+BJ154-BJ214</f>
        <v>37875</v>
      </c>
      <c r="BK274" s="36">
        <f t="shared" ref="BK274:BK297" ca="1" si="484">BJ274+BK154-BK214</f>
        <v>27000</v>
      </c>
      <c r="BL274" s="36">
        <f t="shared" ref="BL274:BL297" ca="1" si="485">BK274+BL154-BL214</f>
        <v>18000</v>
      </c>
      <c r="BM274" s="36">
        <f t="shared" ref="BM274:BM297" ca="1" si="486">BL274+BM154-BM214</f>
        <v>18000</v>
      </c>
      <c r="BN274" s="36">
        <f t="shared" ref="BN274:BN297" ca="1" si="487">BM274+BN154-BN214</f>
        <v>0</v>
      </c>
      <c r="BO274" s="36">
        <f t="shared" ref="BO274:BO297" ca="1" si="488">BN274+BO154-BO214</f>
        <v>45000</v>
      </c>
      <c r="BP274" s="36">
        <f t="shared" ref="BP274:BP297" ca="1" si="489">BO274+BP154-BP214</f>
        <v>45000</v>
      </c>
      <c r="BQ274" s="36">
        <f t="shared" ref="BQ274:BQ297" ca="1" si="490">BP274+BQ154-BQ214</f>
        <v>0</v>
      </c>
      <c r="BR274" s="36">
        <f t="shared" ref="BR274:BR297" ca="1" si="491">BQ274+BR154-BR214</f>
        <v>18000</v>
      </c>
      <c r="BS274" s="36">
        <f t="shared" ref="BS274:BS297" ca="1" si="492">BR274+BS154-BS214</f>
        <v>54000</v>
      </c>
      <c r="BT274" s="36">
        <f t="shared" ref="BT274:BT297" ca="1" si="493">BS274+BT154-BT214</f>
        <v>36000</v>
      </c>
      <c r="BU274" s="36">
        <f t="shared" ref="BU274:BU297" ca="1" si="494">BT274+BU154-BU214</f>
        <v>21750</v>
      </c>
      <c r="BV274" s="36">
        <f t="shared" ref="BV274:BV297" ca="1" si="495">BU274+BV154-BV214</f>
        <v>62250</v>
      </c>
      <c r="BW274" s="36">
        <f t="shared" ref="BW274:BW297" ca="1" si="496">BV274+BW154-BW214</f>
        <v>40500</v>
      </c>
      <c r="BX274" s="36">
        <f t="shared" ref="BX274:BX297" ca="1" si="497">BW274+BX154-BX214</f>
        <v>27000</v>
      </c>
      <c r="BY274" s="36">
        <f t="shared" ref="BY274:BY297" ca="1" si="498">BX274+BY154-BY214</f>
        <v>27000</v>
      </c>
      <c r="BZ274" s="36">
        <f t="shared" ref="BZ274:BZ297" ca="1" si="499">BY274+BZ154-BZ214</f>
        <v>0</v>
      </c>
      <c r="CA274" s="36">
        <f t="shared" ref="CA274:CA297" ca="1" si="500">BZ274+CA154-CA214</f>
        <v>67500</v>
      </c>
      <c r="CB274" s="36">
        <f t="shared" ref="CB274:CB297" ca="1" si="501">CA274+CB154-CB214</f>
        <v>67500</v>
      </c>
      <c r="CC274" s="36">
        <f t="shared" ref="CC274:CC297" ca="1" si="502">CB274+CC154-CC214</f>
        <v>0</v>
      </c>
      <c r="CD274" s="36">
        <f t="shared" ref="CD274:CD297" ca="1" si="503">CC274+CD154-CD214</f>
        <v>27000</v>
      </c>
      <c r="CE274" s="36">
        <f t="shared" ref="CE274:CE297" ca="1" si="504">CD274+CE154-CE214</f>
        <v>81000</v>
      </c>
      <c r="CF274" s="36">
        <f t="shared" ref="CF274:CF297" ca="1" si="505">CE274+CF154-CF214</f>
        <v>54000</v>
      </c>
      <c r="CG274" s="36">
        <f t="shared" ref="CG274:CG297" ca="1" si="506">CF274+CG154-CG214</f>
        <v>32625</v>
      </c>
      <c r="CH274" s="36">
        <f t="shared" ref="CH274:CH297" ca="1" si="507">CG274+CH154-CH214</f>
        <v>85275</v>
      </c>
      <c r="CI274" s="36">
        <f t="shared" ref="CI274:CI297" ca="1" si="508">CH274+CI154-CI214</f>
        <v>52650</v>
      </c>
      <c r="CJ274" s="36">
        <f t="shared" ref="CJ274:CJ297" ca="1" si="509">CI274+CJ154-CJ214</f>
        <v>35100</v>
      </c>
      <c r="CK274" s="36">
        <f t="shared" ref="CK274:CK297" ca="1" si="510">CJ274+CK154-CK214</f>
        <v>35100</v>
      </c>
      <c r="CL274" s="36">
        <f t="shared" ref="CL274:CL297" ca="1" si="511">CK274+CL154-CL214</f>
        <v>0</v>
      </c>
      <c r="CM274" s="36">
        <f t="shared" ref="CM274:CM297" ca="1" si="512">CL274+CM154-CM214</f>
        <v>87750</v>
      </c>
      <c r="CN274" s="36">
        <f t="shared" ref="CN274:CN297" ca="1" si="513">CM274+CN154-CN214</f>
        <v>87750</v>
      </c>
      <c r="CO274" s="36">
        <f t="shared" ref="CO274:CO297" ca="1" si="514">CN274+CO154-CO214</f>
        <v>0</v>
      </c>
      <c r="CP274" s="36">
        <f t="shared" ref="CP274:CP297" ca="1" si="515">CO274+CP154-CP214</f>
        <v>35100</v>
      </c>
      <c r="CQ274" s="36">
        <f t="shared" ref="CQ274:CQ297" ca="1" si="516">CP274+CQ154-CQ214</f>
        <v>105300</v>
      </c>
      <c r="CR274" s="36">
        <f t="shared" ref="CR274:CR297" ca="1" si="517">CQ274+CR154-CR214</f>
        <v>70200</v>
      </c>
      <c r="CS274" s="36">
        <f t="shared" ref="CS274:CS297" ca="1" si="518">CR274+CS154-CS214</f>
        <v>42412.5</v>
      </c>
      <c r="CT274" s="36">
        <f t="shared" ref="CT274:CT297" ca="1" si="519">CS274+CT154-CT214</f>
        <v>42412.5</v>
      </c>
      <c r="CU274" s="36">
        <f t="shared" ca="1" si="482"/>
        <v>0</v>
      </c>
      <c r="CV274" s="36">
        <f t="shared" ca="1" si="482"/>
        <v>0</v>
      </c>
      <c r="CW274" s="21"/>
    </row>
    <row r="275" spans="3:101" x14ac:dyDescent="0.25">
      <c r="C275" s="49" t="str">
        <f t="shared" ref="C275:C295" si="520">CONCATENATE(D275,E275)</f>
        <v>BRAIN DEAD OAKLEYWholesale</v>
      </c>
      <c r="D275" s="35" t="str">
        <f>[1]Key!C$13</f>
        <v>BRAIN DEAD OAKLEY</v>
      </c>
      <c r="E275" s="35" t="str">
        <f>[1]contras!H153</f>
        <v>Wholesale</v>
      </c>
      <c r="F275" s="41"/>
      <c r="G275" s="21"/>
      <c r="H275" s="21"/>
      <c r="I275" s="21"/>
      <c r="J275" s="21"/>
      <c r="K275" s="21"/>
      <c r="L275" s="21"/>
      <c r="M275" s="21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36">
        <f t="shared" ref="Z275:CV275" ca="1" si="521">Y275+Z155-Z215</f>
        <v>0</v>
      </c>
      <c r="AA275" s="36">
        <f t="shared" ca="1" si="521"/>
        <v>0</v>
      </c>
      <c r="AB275" s="36">
        <f t="shared" ca="1" si="521"/>
        <v>0</v>
      </c>
      <c r="AC275" s="36">
        <f t="shared" ca="1" si="521"/>
        <v>0</v>
      </c>
      <c r="AD275" s="36">
        <f t="shared" ca="1" si="521"/>
        <v>0</v>
      </c>
      <c r="AE275" s="36">
        <f t="shared" ca="1" si="521"/>
        <v>0</v>
      </c>
      <c r="AF275" s="36">
        <f t="shared" ca="1" si="521"/>
        <v>0</v>
      </c>
      <c r="AG275" s="36">
        <f t="shared" ca="1" si="521"/>
        <v>0</v>
      </c>
      <c r="AH275" s="36">
        <f t="shared" ca="1" si="521"/>
        <v>0</v>
      </c>
      <c r="AI275" s="36">
        <f t="shared" ca="1" si="521"/>
        <v>0</v>
      </c>
      <c r="AJ275" s="36">
        <f t="shared" ca="1" si="521"/>
        <v>0</v>
      </c>
      <c r="AK275" s="36">
        <f t="shared" ca="1" si="521"/>
        <v>0</v>
      </c>
      <c r="AL275" s="36">
        <f t="shared" ca="1" si="521"/>
        <v>0</v>
      </c>
      <c r="AM275" s="36">
        <f t="shared" ca="1" si="521"/>
        <v>0</v>
      </c>
      <c r="AN275" s="36">
        <f t="shared" ca="1" si="521"/>
        <v>0</v>
      </c>
      <c r="AO275" s="36">
        <f t="shared" ca="1" si="521"/>
        <v>0</v>
      </c>
      <c r="AP275" s="36">
        <f t="shared" ca="1" si="521"/>
        <v>0</v>
      </c>
      <c r="AQ275" s="36">
        <f t="shared" ca="1" si="521"/>
        <v>0</v>
      </c>
      <c r="AR275" s="36">
        <f t="shared" ca="1" si="521"/>
        <v>0</v>
      </c>
      <c r="AS275" s="36">
        <f t="shared" ca="1" si="521"/>
        <v>0</v>
      </c>
      <c r="AT275" s="36">
        <f t="shared" ca="1" si="521"/>
        <v>0</v>
      </c>
      <c r="AU275" s="36">
        <f t="shared" ca="1" si="521"/>
        <v>0</v>
      </c>
      <c r="AV275" s="36">
        <f t="shared" ca="1" si="521"/>
        <v>0</v>
      </c>
      <c r="AW275" s="36">
        <f t="shared" ca="1" si="521"/>
        <v>0</v>
      </c>
      <c r="AX275" s="36">
        <f t="shared" ca="1" si="521"/>
        <v>0</v>
      </c>
      <c r="AY275" s="36">
        <f t="shared" ca="1" si="521"/>
        <v>0</v>
      </c>
      <c r="AZ275" s="36">
        <f t="shared" ca="1" si="521"/>
        <v>0</v>
      </c>
      <c r="BA275" s="36">
        <f t="shared" ca="1" si="521"/>
        <v>0</v>
      </c>
      <c r="BB275" s="36">
        <f t="shared" ca="1" si="521"/>
        <v>0</v>
      </c>
      <c r="BC275" s="36">
        <f t="shared" ca="1" si="521"/>
        <v>0</v>
      </c>
      <c r="BD275" s="36">
        <f t="shared" ca="1" si="521"/>
        <v>0</v>
      </c>
      <c r="BE275" s="36">
        <f t="shared" ca="1" si="521"/>
        <v>0</v>
      </c>
      <c r="BF275" s="36">
        <f t="shared" ca="1" si="521"/>
        <v>0</v>
      </c>
      <c r="BG275" s="36">
        <f t="shared" ca="1" si="521"/>
        <v>0</v>
      </c>
      <c r="BH275" s="36">
        <f t="shared" ca="1" si="521"/>
        <v>0</v>
      </c>
      <c r="BI275" s="36">
        <f t="shared" ca="1" si="521"/>
        <v>0</v>
      </c>
      <c r="BJ275" s="36">
        <f t="shared" ca="1" si="483"/>
        <v>0</v>
      </c>
      <c r="BK275" s="36">
        <f t="shared" ca="1" si="484"/>
        <v>0</v>
      </c>
      <c r="BL275" s="36">
        <f t="shared" ca="1" si="485"/>
        <v>0</v>
      </c>
      <c r="BM275" s="36">
        <f t="shared" ca="1" si="486"/>
        <v>0</v>
      </c>
      <c r="BN275" s="36">
        <f t="shared" ca="1" si="487"/>
        <v>0</v>
      </c>
      <c r="BO275" s="36">
        <f t="shared" ca="1" si="488"/>
        <v>0</v>
      </c>
      <c r="BP275" s="36">
        <f t="shared" ca="1" si="489"/>
        <v>0</v>
      </c>
      <c r="BQ275" s="36">
        <f t="shared" ca="1" si="490"/>
        <v>0</v>
      </c>
      <c r="BR275" s="36">
        <f t="shared" ca="1" si="491"/>
        <v>0</v>
      </c>
      <c r="BS275" s="36">
        <f t="shared" ca="1" si="492"/>
        <v>0</v>
      </c>
      <c r="BT275" s="36">
        <f t="shared" ca="1" si="493"/>
        <v>0</v>
      </c>
      <c r="BU275" s="36">
        <f t="shared" ca="1" si="494"/>
        <v>0</v>
      </c>
      <c r="BV275" s="36">
        <f t="shared" ca="1" si="495"/>
        <v>0</v>
      </c>
      <c r="BW275" s="36">
        <f t="shared" ca="1" si="496"/>
        <v>0</v>
      </c>
      <c r="BX275" s="36">
        <f t="shared" ca="1" si="497"/>
        <v>0</v>
      </c>
      <c r="BY275" s="36">
        <f t="shared" ca="1" si="498"/>
        <v>0</v>
      </c>
      <c r="BZ275" s="36">
        <f t="shared" ca="1" si="499"/>
        <v>0</v>
      </c>
      <c r="CA275" s="36">
        <f t="shared" ca="1" si="500"/>
        <v>0</v>
      </c>
      <c r="CB275" s="36">
        <f t="shared" ca="1" si="501"/>
        <v>0</v>
      </c>
      <c r="CC275" s="36">
        <f t="shared" ca="1" si="502"/>
        <v>0</v>
      </c>
      <c r="CD275" s="36">
        <f t="shared" ca="1" si="503"/>
        <v>0</v>
      </c>
      <c r="CE275" s="36">
        <f t="shared" ca="1" si="504"/>
        <v>0</v>
      </c>
      <c r="CF275" s="36">
        <f t="shared" ca="1" si="505"/>
        <v>0</v>
      </c>
      <c r="CG275" s="36">
        <f t="shared" ca="1" si="506"/>
        <v>0</v>
      </c>
      <c r="CH275" s="36">
        <f t="shared" ca="1" si="507"/>
        <v>0</v>
      </c>
      <c r="CI275" s="36">
        <f t="shared" ca="1" si="508"/>
        <v>0</v>
      </c>
      <c r="CJ275" s="36">
        <f t="shared" ca="1" si="509"/>
        <v>0</v>
      </c>
      <c r="CK275" s="36">
        <f t="shared" ca="1" si="510"/>
        <v>0</v>
      </c>
      <c r="CL275" s="36">
        <f t="shared" ca="1" si="511"/>
        <v>0</v>
      </c>
      <c r="CM275" s="36">
        <f t="shared" ca="1" si="512"/>
        <v>0</v>
      </c>
      <c r="CN275" s="36">
        <f t="shared" ca="1" si="513"/>
        <v>0</v>
      </c>
      <c r="CO275" s="36">
        <f t="shared" ca="1" si="514"/>
        <v>0</v>
      </c>
      <c r="CP275" s="36">
        <f t="shared" ca="1" si="515"/>
        <v>0</v>
      </c>
      <c r="CQ275" s="36">
        <f t="shared" ca="1" si="516"/>
        <v>0</v>
      </c>
      <c r="CR275" s="36">
        <f t="shared" ca="1" si="517"/>
        <v>0</v>
      </c>
      <c r="CS275" s="36">
        <f t="shared" ca="1" si="518"/>
        <v>0</v>
      </c>
      <c r="CT275" s="36">
        <f t="shared" ca="1" si="519"/>
        <v>0</v>
      </c>
      <c r="CU275" s="36">
        <f t="shared" ca="1" si="521"/>
        <v>0</v>
      </c>
      <c r="CV275" s="36">
        <f t="shared" ca="1" si="521"/>
        <v>0</v>
      </c>
      <c r="CW275" s="21"/>
    </row>
    <row r="276" spans="3:101" x14ac:dyDescent="0.25">
      <c r="C276" s="49" t="str">
        <f t="shared" si="520"/>
        <v>GROWTH "HIT" PHWholesale</v>
      </c>
      <c r="D276" s="35" t="str">
        <f>[1]Key!C$14</f>
        <v>GROWTH "HIT" PH</v>
      </c>
      <c r="E276" s="35" t="str">
        <f>[1]contras!H154</f>
        <v>Wholesale</v>
      </c>
      <c r="F276" s="41"/>
      <c r="G276" s="21"/>
      <c r="H276" s="21"/>
      <c r="I276" s="21"/>
      <c r="J276" s="21"/>
      <c r="K276" s="21"/>
      <c r="L276" s="21"/>
      <c r="M276" s="21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36">
        <f t="shared" ref="Z276:CV276" ca="1" si="522">Y276+Z156-Z216</f>
        <v>0</v>
      </c>
      <c r="AA276" s="36">
        <f t="shared" ca="1" si="522"/>
        <v>0</v>
      </c>
      <c r="AB276" s="36">
        <f t="shared" ca="1" si="522"/>
        <v>0</v>
      </c>
      <c r="AC276" s="36">
        <f t="shared" ca="1" si="522"/>
        <v>0</v>
      </c>
      <c r="AD276" s="36">
        <f t="shared" ca="1" si="522"/>
        <v>0</v>
      </c>
      <c r="AE276" s="36">
        <f t="shared" ca="1" si="522"/>
        <v>0</v>
      </c>
      <c r="AF276" s="36">
        <f t="shared" ca="1" si="522"/>
        <v>0</v>
      </c>
      <c r="AG276" s="36">
        <f t="shared" ca="1" si="522"/>
        <v>0</v>
      </c>
      <c r="AH276" s="36">
        <f t="shared" ca="1" si="522"/>
        <v>0</v>
      </c>
      <c r="AI276" s="36">
        <f t="shared" ca="1" si="522"/>
        <v>0</v>
      </c>
      <c r="AJ276" s="36">
        <f t="shared" ca="1" si="522"/>
        <v>0</v>
      </c>
      <c r="AK276" s="36">
        <f t="shared" ca="1" si="522"/>
        <v>0</v>
      </c>
      <c r="AL276" s="36">
        <f t="shared" ca="1" si="522"/>
        <v>0</v>
      </c>
      <c r="AM276" s="36">
        <f t="shared" ca="1" si="522"/>
        <v>0</v>
      </c>
      <c r="AN276" s="36">
        <f t="shared" ca="1" si="522"/>
        <v>0</v>
      </c>
      <c r="AO276" s="36">
        <f t="shared" ca="1" si="522"/>
        <v>0</v>
      </c>
      <c r="AP276" s="36">
        <f t="shared" ca="1" si="522"/>
        <v>0</v>
      </c>
      <c r="AQ276" s="36">
        <f t="shared" ca="1" si="522"/>
        <v>0</v>
      </c>
      <c r="AR276" s="36">
        <f t="shared" ca="1" si="522"/>
        <v>0</v>
      </c>
      <c r="AS276" s="36">
        <f t="shared" ca="1" si="522"/>
        <v>0</v>
      </c>
      <c r="AT276" s="36">
        <f t="shared" ca="1" si="522"/>
        <v>0</v>
      </c>
      <c r="AU276" s="36">
        <f t="shared" ca="1" si="522"/>
        <v>42000</v>
      </c>
      <c r="AV276" s="36">
        <f t="shared" ca="1" si="522"/>
        <v>42000</v>
      </c>
      <c r="AW276" s="36">
        <f t="shared" ca="1" si="522"/>
        <v>0</v>
      </c>
      <c r="AX276" s="36">
        <f t="shared" ca="1" si="522"/>
        <v>90000</v>
      </c>
      <c r="AY276" s="36">
        <f t="shared" ca="1" si="522"/>
        <v>90000</v>
      </c>
      <c r="AZ276" s="36">
        <f t="shared" ca="1" si="522"/>
        <v>0</v>
      </c>
      <c r="BA276" s="36">
        <f t="shared" ca="1" si="522"/>
        <v>90000</v>
      </c>
      <c r="BB276" s="36">
        <f t="shared" ca="1" si="522"/>
        <v>90000</v>
      </c>
      <c r="BC276" s="36">
        <f t="shared" ca="1" si="522"/>
        <v>0</v>
      </c>
      <c r="BD276" s="36">
        <f t="shared" ca="1" si="522"/>
        <v>112500</v>
      </c>
      <c r="BE276" s="36">
        <f t="shared" ca="1" si="522"/>
        <v>112500</v>
      </c>
      <c r="BF276" s="36">
        <f t="shared" ca="1" si="522"/>
        <v>0</v>
      </c>
      <c r="BG276" s="36">
        <f t="shared" ca="1" si="522"/>
        <v>157500</v>
      </c>
      <c r="BH276" s="36">
        <f t="shared" ca="1" si="522"/>
        <v>157500</v>
      </c>
      <c r="BI276" s="36">
        <f t="shared" ca="1" si="522"/>
        <v>0</v>
      </c>
      <c r="BJ276" s="36">
        <f t="shared" ca="1" si="483"/>
        <v>180000</v>
      </c>
      <c r="BK276" s="36">
        <f t="shared" ca="1" si="484"/>
        <v>180000</v>
      </c>
      <c r="BL276" s="36">
        <f t="shared" ca="1" si="485"/>
        <v>0</v>
      </c>
      <c r="BM276" s="36">
        <f t="shared" ca="1" si="486"/>
        <v>180000</v>
      </c>
      <c r="BN276" s="36">
        <f t="shared" ca="1" si="487"/>
        <v>180000</v>
      </c>
      <c r="BO276" s="36">
        <f t="shared" ca="1" si="488"/>
        <v>0</v>
      </c>
      <c r="BP276" s="36">
        <f t="shared" ca="1" si="489"/>
        <v>225000</v>
      </c>
      <c r="BQ276" s="36">
        <f t="shared" ca="1" si="490"/>
        <v>225000</v>
      </c>
      <c r="BR276" s="36">
        <f t="shared" ca="1" si="491"/>
        <v>0</v>
      </c>
      <c r="BS276" s="36">
        <f t="shared" ca="1" si="492"/>
        <v>315000</v>
      </c>
      <c r="BT276" s="36">
        <f t="shared" ca="1" si="493"/>
        <v>315000</v>
      </c>
      <c r="BU276" s="36">
        <f t="shared" ca="1" si="494"/>
        <v>0</v>
      </c>
      <c r="BV276" s="36">
        <f t="shared" ca="1" si="495"/>
        <v>270000</v>
      </c>
      <c r="BW276" s="36">
        <f t="shared" ca="1" si="496"/>
        <v>270000</v>
      </c>
      <c r="BX276" s="36">
        <f t="shared" ca="1" si="497"/>
        <v>0</v>
      </c>
      <c r="BY276" s="36">
        <f t="shared" ca="1" si="498"/>
        <v>270000</v>
      </c>
      <c r="BZ276" s="36">
        <f t="shared" ca="1" si="499"/>
        <v>270000</v>
      </c>
      <c r="CA276" s="36">
        <f t="shared" ca="1" si="500"/>
        <v>0</v>
      </c>
      <c r="CB276" s="36">
        <f t="shared" ca="1" si="501"/>
        <v>337500</v>
      </c>
      <c r="CC276" s="36">
        <f t="shared" ca="1" si="502"/>
        <v>337500</v>
      </c>
      <c r="CD276" s="36">
        <f t="shared" ca="1" si="503"/>
        <v>0</v>
      </c>
      <c r="CE276" s="36">
        <f t="shared" ca="1" si="504"/>
        <v>472500</v>
      </c>
      <c r="CF276" s="36">
        <f t="shared" ca="1" si="505"/>
        <v>472500</v>
      </c>
      <c r="CG276" s="36">
        <f t="shared" ca="1" si="506"/>
        <v>0</v>
      </c>
      <c r="CH276" s="36">
        <f t="shared" ca="1" si="507"/>
        <v>351000</v>
      </c>
      <c r="CI276" s="36">
        <f t="shared" ca="1" si="508"/>
        <v>351000</v>
      </c>
      <c r="CJ276" s="36">
        <f t="shared" ca="1" si="509"/>
        <v>0</v>
      </c>
      <c r="CK276" s="36">
        <f t="shared" ca="1" si="510"/>
        <v>351000</v>
      </c>
      <c r="CL276" s="36">
        <f t="shared" ca="1" si="511"/>
        <v>351000</v>
      </c>
      <c r="CM276" s="36">
        <f t="shared" ca="1" si="512"/>
        <v>0</v>
      </c>
      <c r="CN276" s="36">
        <f t="shared" ca="1" si="513"/>
        <v>438750</v>
      </c>
      <c r="CO276" s="36">
        <f t="shared" ca="1" si="514"/>
        <v>438750</v>
      </c>
      <c r="CP276" s="36">
        <f t="shared" ca="1" si="515"/>
        <v>0</v>
      </c>
      <c r="CQ276" s="36">
        <f t="shared" ca="1" si="516"/>
        <v>614250</v>
      </c>
      <c r="CR276" s="36">
        <f t="shared" ca="1" si="517"/>
        <v>614250</v>
      </c>
      <c r="CS276" s="36">
        <f t="shared" ca="1" si="518"/>
        <v>0</v>
      </c>
      <c r="CT276" s="36">
        <f t="shared" ca="1" si="519"/>
        <v>0</v>
      </c>
      <c r="CU276" s="36">
        <f t="shared" ca="1" si="522"/>
        <v>0</v>
      </c>
      <c r="CV276" s="36">
        <f t="shared" ca="1" si="522"/>
        <v>0</v>
      </c>
      <c r="CW276" s="21"/>
    </row>
    <row r="277" spans="3:101" x14ac:dyDescent="0.25">
      <c r="C277" s="49" t="str">
        <f t="shared" si="520"/>
        <v>ICE STUDIOSWholesale</v>
      </c>
      <c r="D277" s="35" t="str">
        <f>[1]Key!C$15</f>
        <v>ICE STUDIOS</v>
      </c>
      <c r="E277" s="35" t="str">
        <f>[1]contras!H155</f>
        <v>Wholesale</v>
      </c>
      <c r="F277" s="41"/>
      <c r="G277" s="21"/>
      <c r="H277" s="21"/>
      <c r="I277" s="21"/>
      <c r="J277" s="21"/>
      <c r="K277" s="21"/>
      <c r="L277" s="21"/>
      <c r="M277" s="21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36">
        <f t="shared" ref="Z277:CV277" ca="1" si="523">Y277+Z157-Z217</f>
        <v>0</v>
      </c>
      <c r="AA277" s="36">
        <f t="shared" ca="1" si="523"/>
        <v>0</v>
      </c>
      <c r="AB277" s="36">
        <f t="shared" ca="1" si="523"/>
        <v>0</v>
      </c>
      <c r="AC277" s="36">
        <f t="shared" ca="1" si="523"/>
        <v>0</v>
      </c>
      <c r="AD277" s="36">
        <f t="shared" ca="1" si="523"/>
        <v>0</v>
      </c>
      <c r="AE277" s="36">
        <f t="shared" ca="1" si="523"/>
        <v>0</v>
      </c>
      <c r="AF277" s="36">
        <f t="shared" ca="1" si="523"/>
        <v>0</v>
      </c>
      <c r="AG277" s="36">
        <f t="shared" ca="1" si="523"/>
        <v>0</v>
      </c>
      <c r="AH277" s="36">
        <f t="shared" ca="1" si="523"/>
        <v>0</v>
      </c>
      <c r="AI277" s="36">
        <f t="shared" ca="1" si="523"/>
        <v>0</v>
      </c>
      <c r="AJ277" s="36">
        <f t="shared" ca="1" si="523"/>
        <v>0</v>
      </c>
      <c r="AK277" s="36">
        <f t="shared" ca="1" si="523"/>
        <v>1350</v>
      </c>
      <c r="AL277" s="36">
        <f t="shared" ca="1" si="523"/>
        <v>1350</v>
      </c>
      <c r="AM277" s="36">
        <f t="shared" ca="1" si="523"/>
        <v>11340</v>
      </c>
      <c r="AN277" s="36">
        <f t="shared" ca="1" si="523"/>
        <v>11340</v>
      </c>
      <c r="AO277" s="36">
        <f t="shared" ca="1" si="523"/>
        <v>0</v>
      </c>
      <c r="AP277" s="36">
        <f t="shared" ca="1" si="523"/>
        <v>0</v>
      </c>
      <c r="AQ277" s="36">
        <f t="shared" ca="1" si="523"/>
        <v>18900</v>
      </c>
      <c r="AR277" s="36">
        <f t="shared" ca="1" si="523"/>
        <v>18900</v>
      </c>
      <c r="AS277" s="36">
        <f t="shared" ca="1" si="523"/>
        <v>0</v>
      </c>
      <c r="AT277" s="36">
        <f t="shared" ca="1" si="523"/>
        <v>30600</v>
      </c>
      <c r="AU277" s="36">
        <f t="shared" ca="1" si="523"/>
        <v>30600</v>
      </c>
      <c r="AV277" s="36">
        <f t="shared" ca="1" si="523"/>
        <v>0</v>
      </c>
      <c r="AW277" s="36">
        <f t="shared" ca="1" si="523"/>
        <v>36840</v>
      </c>
      <c r="AX277" s="36">
        <f t="shared" ca="1" si="523"/>
        <v>59880</v>
      </c>
      <c r="AY277" s="36">
        <f t="shared" ca="1" si="523"/>
        <v>60480</v>
      </c>
      <c r="AZ277" s="36">
        <f t="shared" ca="1" si="523"/>
        <v>37440</v>
      </c>
      <c r="BA277" s="36">
        <f t="shared" ca="1" si="523"/>
        <v>0</v>
      </c>
      <c r="BB277" s="36">
        <f t="shared" ca="1" si="523"/>
        <v>0</v>
      </c>
      <c r="BC277" s="36">
        <f t="shared" ca="1" si="523"/>
        <v>60480</v>
      </c>
      <c r="BD277" s="36">
        <f t="shared" ca="1" si="523"/>
        <v>60480</v>
      </c>
      <c r="BE277" s="36">
        <f t="shared" ca="1" si="523"/>
        <v>0</v>
      </c>
      <c r="BF277" s="36">
        <f t="shared" ca="1" si="523"/>
        <v>62400</v>
      </c>
      <c r="BG277" s="36">
        <f t="shared" ca="1" si="523"/>
        <v>62400</v>
      </c>
      <c r="BH277" s="36">
        <f t="shared" ca="1" si="523"/>
        <v>4608</v>
      </c>
      <c r="BI277" s="36">
        <f t="shared" ca="1" si="523"/>
        <v>67008</v>
      </c>
      <c r="BJ277" s="36">
        <f t="shared" ca="1" si="483"/>
        <v>120000</v>
      </c>
      <c r="BK277" s="36">
        <f t="shared" ca="1" si="484"/>
        <v>151200</v>
      </c>
      <c r="BL277" s="36">
        <f t="shared" ca="1" si="485"/>
        <v>93600</v>
      </c>
      <c r="BM277" s="36">
        <f t="shared" ca="1" si="486"/>
        <v>0</v>
      </c>
      <c r="BN277" s="36">
        <f t="shared" ca="1" si="487"/>
        <v>0</v>
      </c>
      <c r="BO277" s="36">
        <f t="shared" ca="1" si="488"/>
        <v>151200</v>
      </c>
      <c r="BP277" s="36">
        <f t="shared" ca="1" si="489"/>
        <v>151200</v>
      </c>
      <c r="BQ277" s="36">
        <f t="shared" ca="1" si="490"/>
        <v>0</v>
      </c>
      <c r="BR277" s="36">
        <f t="shared" ca="1" si="491"/>
        <v>156000</v>
      </c>
      <c r="BS277" s="36">
        <f t="shared" ca="1" si="492"/>
        <v>156000</v>
      </c>
      <c r="BT277" s="36">
        <f t="shared" ca="1" si="493"/>
        <v>11520</v>
      </c>
      <c r="BU277" s="36">
        <f t="shared" ca="1" si="494"/>
        <v>167520</v>
      </c>
      <c r="BV277" s="36">
        <f t="shared" ca="1" si="495"/>
        <v>285600</v>
      </c>
      <c r="BW277" s="36">
        <f t="shared" ca="1" si="496"/>
        <v>340200</v>
      </c>
      <c r="BX277" s="36">
        <f t="shared" ca="1" si="497"/>
        <v>210600</v>
      </c>
      <c r="BY277" s="36">
        <f t="shared" ca="1" si="498"/>
        <v>0</v>
      </c>
      <c r="BZ277" s="36">
        <f t="shared" ca="1" si="499"/>
        <v>0</v>
      </c>
      <c r="CA277" s="36">
        <f t="shared" ca="1" si="500"/>
        <v>340200</v>
      </c>
      <c r="CB277" s="36">
        <f t="shared" ca="1" si="501"/>
        <v>340200</v>
      </c>
      <c r="CC277" s="36">
        <f t="shared" ca="1" si="502"/>
        <v>0</v>
      </c>
      <c r="CD277" s="36">
        <f t="shared" ca="1" si="503"/>
        <v>351000</v>
      </c>
      <c r="CE277" s="36">
        <f t="shared" ca="1" si="504"/>
        <v>351000</v>
      </c>
      <c r="CF277" s="36">
        <f t="shared" ca="1" si="505"/>
        <v>25920</v>
      </c>
      <c r="CG277" s="36">
        <f t="shared" ca="1" si="506"/>
        <v>376920</v>
      </c>
      <c r="CH277" s="36">
        <f t="shared" ca="1" si="507"/>
        <v>577800</v>
      </c>
      <c r="CI277" s="36">
        <f t="shared" ca="1" si="508"/>
        <v>595350</v>
      </c>
      <c r="CJ277" s="36">
        <f t="shared" ca="1" si="509"/>
        <v>368550</v>
      </c>
      <c r="CK277" s="36">
        <f t="shared" ca="1" si="510"/>
        <v>0</v>
      </c>
      <c r="CL277" s="36">
        <f t="shared" ca="1" si="511"/>
        <v>0</v>
      </c>
      <c r="CM277" s="36">
        <f t="shared" ca="1" si="512"/>
        <v>595350</v>
      </c>
      <c r="CN277" s="36">
        <f t="shared" ca="1" si="513"/>
        <v>595350</v>
      </c>
      <c r="CO277" s="36">
        <f t="shared" ca="1" si="514"/>
        <v>0</v>
      </c>
      <c r="CP277" s="36">
        <f t="shared" ca="1" si="515"/>
        <v>614250</v>
      </c>
      <c r="CQ277" s="36">
        <f t="shared" ca="1" si="516"/>
        <v>614250</v>
      </c>
      <c r="CR277" s="36">
        <f t="shared" ca="1" si="517"/>
        <v>45360</v>
      </c>
      <c r="CS277" s="36">
        <f t="shared" ca="1" si="518"/>
        <v>659610</v>
      </c>
      <c r="CT277" s="36">
        <f t="shared" ca="1" si="519"/>
        <v>614250</v>
      </c>
      <c r="CU277" s="36">
        <f t="shared" ca="1" si="523"/>
        <v>0</v>
      </c>
      <c r="CV277" s="36">
        <f t="shared" ca="1" si="523"/>
        <v>0</v>
      </c>
      <c r="CW277" s="21"/>
    </row>
    <row r="278" spans="3:101" x14ac:dyDescent="0.25">
      <c r="C278" s="49" t="str">
        <f t="shared" si="520"/>
        <v>MURAKAMI / TORITONWholesale</v>
      </c>
      <c r="D278" s="35" t="str">
        <f>[1]Key!C$16</f>
        <v>MURAKAMI / TORITON</v>
      </c>
      <c r="E278" s="35" t="str">
        <f>[1]contras!H156</f>
        <v>Wholesale</v>
      </c>
      <c r="F278" s="41"/>
      <c r="G278" s="21"/>
      <c r="H278" s="21"/>
      <c r="I278" s="21"/>
      <c r="J278" s="21"/>
      <c r="K278" s="21"/>
      <c r="L278" s="21"/>
      <c r="M278" s="21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36">
        <f t="shared" ref="Z278:CV278" ca="1" si="524">Y278+Z158-Z218</f>
        <v>0</v>
      </c>
      <c r="AA278" s="36">
        <f t="shared" ca="1" si="524"/>
        <v>0</v>
      </c>
      <c r="AB278" s="36">
        <f t="shared" ca="1" si="524"/>
        <v>43200</v>
      </c>
      <c r="AC278" s="36">
        <f t="shared" ca="1" si="524"/>
        <v>47700</v>
      </c>
      <c r="AD278" s="36">
        <f t="shared" ca="1" si="524"/>
        <v>4500</v>
      </c>
      <c r="AE278" s="36">
        <f t="shared" ca="1" si="524"/>
        <v>0</v>
      </c>
      <c r="AF278" s="36">
        <f t="shared" ca="1" si="524"/>
        <v>0</v>
      </c>
      <c r="AG278" s="36">
        <f t="shared" ca="1" si="524"/>
        <v>0</v>
      </c>
      <c r="AH278" s="36">
        <f t="shared" ca="1" si="524"/>
        <v>0</v>
      </c>
      <c r="AI278" s="36">
        <f t="shared" ca="1" si="524"/>
        <v>0</v>
      </c>
      <c r="AJ278" s="36">
        <f t="shared" ca="1" si="524"/>
        <v>4500</v>
      </c>
      <c r="AK278" s="36">
        <f t="shared" ca="1" si="524"/>
        <v>11250</v>
      </c>
      <c r="AL278" s="36">
        <f t="shared" ca="1" si="524"/>
        <v>6750</v>
      </c>
      <c r="AM278" s="36">
        <f t="shared" ca="1" si="524"/>
        <v>15000</v>
      </c>
      <c r="AN278" s="36">
        <f t="shared" ca="1" si="524"/>
        <v>19500</v>
      </c>
      <c r="AO278" s="36">
        <f t="shared" ca="1" si="524"/>
        <v>4500</v>
      </c>
      <c r="AP278" s="36">
        <f t="shared" ca="1" si="524"/>
        <v>18750</v>
      </c>
      <c r="AQ278" s="36">
        <f t="shared" ca="1" si="524"/>
        <v>28875</v>
      </c>
      <c r="AR278" s="36">
        <f t="shared" ca="1" si="524"/>
        <v>15975</v>
      </c>
      <c r="AS278" s="36">
        <f t="shared" ca="1" si="524"/>
        <v>28050</v>
      </c>
      <c r="AT278" s="36">
        <f t="shared" ca="1" si="524"/>
        <v>22200</v>
      </c>
      <c r="AU278" s="36">
        <f t="shared" ca="1" si="524"/>
        <v>3000</v>
      </c>
      <c r="AV278" s="36">
        <f t="shared" ca="1" si="524"/>
        <v>27300</v>
      </c>
      <c r="AW278" s="36">
        <f t="shared" ca="1" si="524"/>
        <v>38025</v>
      </c>
      <c r="AX278" s="36">
        <f t="shared" ca="1" si="524"/>
        <v>18225</v>
      </c>
      <c r="AY278" s="36">
        <f t="shared" ca="1" si="524"/>
        <v>37950</v>
      </c>
      <c r="AZ278" s="36">
        <f t="shared" ca="1" si="524"/>
        <v>46050</v>
      </c>
      <c r="BA278" s="36">
        <f t="shared" ca="1" si="524"/>
        <v>13725</v>
      </c>
      <c r="BB278" s="36">
        <f t="shared" ca="1" si="524"/>
        <v>27375</v>
      </c>
      <c r="BC278" s="36">
        <f t="shared" ca="1" si="524"/>
        <v>46050</v>
      </c>
      <c r="BD278" s="36">
        <f t="shared" ca="1" si="524"/>
        <v>24300</v>
      </c>
      <c r="BE278" s="36">
        <f t="shared" ca="1" si="524"/>
        <v>40200</v>
      </c>
      <c r="BF278" s="36">
        <f t="shared" ca="1" si="524"/>
        <v>48300</v>
      </c>
      <c r="BG278" s="36">
        <f t="shared" ca="1" si="524"/>
        <v>13725</v>
      </c>
      <c r="BH278" s="36">
        <f t="shared" ca="1" si="524"/>
        <v>24825</v>
      </c>
      <c r="BI278" s="36">
        <f t="shared" ca="1" si="524"/>
        <v>36300</v>
      </c>
      <c r="BJ278" s="36">
        <f t="shared" ca="1" si="483"/>
        <v>23850</v>
      </c>
      <c r="BK278" s="36">
        <f t="shared" ca="1" si="484"/>
        <v>94875</v>
      </c>
      <c r="BL278" s="36">
        <f t="shared" ca="1" si="485"/>
        <v>115125</v>
      </c>
      <c r="BM278" s="36">
        <f t="shared" ca="1" si="486"/>
        <v>34312.5</v>
      </c>
      <c r="BN278" s="36">
        <f t="shared" ca="1" si="487"/>
        <v>68437.5</v>
      </c>
      <c r="BO278" s="36">
        <f t="shared" ca="1" si="488"/>
        <v>115125</v>
      </c>
      <c r="BP278" s="36">
        <f t="shared" ca="1" si="489"/>
        <v>60750</v>
      </c>
      <c r="BQ278" s="36">
        <f t="shared" ca="1" si="490"/>
        <v>100500</v>
      </c>
      <c r="BR278" s="36">
        <f t="shared" ca="1" si="491"/>
        <v>120750</v>
      </c>
      <c r="BS278" s="36">
        <f t="shared" ca="1" si="492"/>
        <v>34312.5</v>
      </c>
      <c r="BT278" s="36">
        <f t="shared" ca="1" si="493"/>
        <v>62062.5</v>
      </c>
      <c r="BU278" s="36">
        <f t="shared" ca="1" si="494"/>
        <v>90750</v>
      </c>
      <c r="BV278" s="36">
        <f t="shared" ca="1" si="495"/>
        <v>51187.5</v>
      </c>
      <c r="BW278" s="36">
        <f t="shared" ca="1" si="496"/>
        <v>166031.25</v>
      </c>
      <c r="BX278" s="36">
        <f t="shared" ca="1" si="497"/>
        <v>201468.75</v>
      </c>
      <c r="BY278" s="36">
        <f t="shared" ca="1" si="498"/>
        <v>60046.875</v>
      </c>
      <c r="BZ278" s="36">
        <f t="shared" ca="1" si="499"/>
        <v>119765.625</v>
      </c>
      <c r="CA278" s="36">
        <f t="shared" ca="1" si="500"/>
        <v>201468.75</v>
      </c>
      <c r="CB278" s="36">
        <f t="shared" ca="1" si="501"/>
        <v>106312.5</v>
      </c>
      <c r="CC278" s="36">
        <f t="shared" ca="1" si="502"/>
        <v>175875</v>
      </c>
      <c r="CD278" s="36">
        <f t="shared" ca="1" si="503"/>
        <v>211312.5</v>
      </c>
      <c r="CE278" s="36">
        <f t="shared" ca="1" si="504"/>
        <v>60046.875</v>
      </c>
      <c r="CF278" s="36">
        <f t="shared" ca="1" si="505"/>
        <v>108609.375</v>
      </c>
      <c r="CG278" s="36">
        <f t="shared" ca="1" si="506"/>
        <v>158812.5</v>
      </c>
      <c r="CH278" s="36">
        <f t="shared" ca="1" si="507"/>
        <v>84656.25</v>
      </c>
      <c r="CI278" s="36">
        <f t="shared" ca="1" si="508"/>
        <v>249046.875</v>
      </c>
      <c r="CJ278" s="36">
        <f t="shared" ca="1" si="509"/>
        <v>302203.125</v>
      </c>
      <c r="CK278" s="36">
        <f t="shared" ca="1" si="510"/>
        <v>90070.3125</v>
      </c>
      <c r="CL278" s="36">
        <f t="shared" ca="1" si="511"/>
        <v>179648.4375</v>
      </c>
      <c r="CM278" s="36">
        <f t="shared" ca="1" si="512"/>
        <v>302203.125</v>
      </c>
      <c r="CN278" s="36">
        <f t="shared" ca="1" si="513"/>
        <v>159468.75</v>
      </c>
      <c r="CO278" s="36">
        <f t="shared" ca="1" si="514"/>
        <v>263812.5</v>
      </c>
      <c r="CP278" s="36">
        <f t="shared" ca="1" si="515"/>
        <v>316968.75</v>
      </c>
      <c r="CQ278" s="36">
        <f t="shared" ca="1" si="516"/>
        <v>90070.3125</v>
      </c>
      <c r="CR278" s="36">
        <f t="shared" ca="1" si="517"/>
        <v>162914.0625</v>
      </c>
      <c r="CS278" s="36">
        <f t="shared" ca="1" si="518"/>
        <v>238218.75</v>
      </c>
      <c r="CT278" s="36">
        <f t="shared" ca="1" si="519"/>
        <v>82687.5</v>
      </c>
      <c r="CU278" s="36">
        <f t="shared" ca="1" si="524"/>
        <v>0</v>
      </c>
      <c r="CV278" s="36">
        <f t="shared" ca="1" si="524"/>
        <v>0</v>
      </c>
      <c r="CW278" s="21"/>
    </row>
    <row r="279" spans="3:101" x14ac:dyDescent="0.25">
      <c r="C279" s="49" t="str">
        <f t="shared" si="520"/>
        <v>NEW PARTNER 1Wholesale</v>
      </c>
      <c r="D279" s="35" t="str">
        <f>[1]Key!C$17</f>
        <v>NEW PARTNER 1</v>
      </c>
      <c r="E279" s="35" t="str">
        <f>[1]contras!H157</f>
        <v>Wholesale</v>
      </c>
      <c r="F279" s="41"/>
      <c r="G279" s="21"/>
      <c r="H279" s="21"/>
      <c r="I279" s="21"/>
      <c r="J279" s="21"/>
      <c r="K279" s="21"/>
      <c r="L279" s="21"/>
      <c r="M279" s="21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36">
        <f t="shared" ref="Z279:CV279" ca="1" si="525">Y279+Z159-Z219</f>
        <v>0</v>
      </c>
      <c r="AA279" s="36">
        <f t="shared" ca="1" si="525"/>
        <v>0</v>
      </c>
      <c r="AB279" s="36">
        <f t="shared" ca="1" si="525"/>
        <v>0</v>
      </c>
      <c r="AC279" s="36">
        <f t="shared" ca="1" si="525"/>
        <v>0</v>
      </c>
      <c r="AD279" s="36">
        <f t="shared" ca="1" si="525"/>
        <v>0</v>
      </c>
      <c r="AE279" s="36">
        <f t="shared" ca="1" si="525"/>
        <v>0</v>
      </c>
      <c r="AF279" s="36">
        <f t="shared" ca="1" si="525"/>
        <v>0</v>
      </c>
      <c r="AG279" s="36">
        <f t="shared" ca="1" si="525"/>
        <v>0</v>
      </c>
      <c r="AH279" s="36">
        <f t="shared" ca="1" si="525"/>
        <v>0</v>
      </c>
      <c r="AI279" s="36">
        <f t="shared" ca="1" si="525"/>
        <v>0</v>
      </c>
      <c r="AJ279" s="36">
        <f t="shared" ca="1" si="525"/>
        <v>0</v>
      </c>
      <c r="AK279" s="36">
        <f t="shared" ca="1" si="525"/>
        <v>0</v>
      </c>
      <c r="AL279" s="36">
        <f t="shared" ca="1" si="525"/>
        <v>0</v>
      </c>
      <c r="AM279" s="36">
        <f t="shared" ca="1" si="525"/>
        <v>0</v>
      </c>
      <c r="AN279" s="36">
        <f t="shared" ca="1" si="525"/>
        <v>0</v>
      </c>
      <c r="AO279" s="36">
        <f t="shared" ca="1" si="525"/>
        <v>0</v>
      </c>
      <c r="AP279" s="36">
        <f t="shared" ca="1" si="525"/>
        <v>0</v>
      </c>
      <c r="AQ279" s="36">
        <f t="shared" ca="1" si="525"/>
        <v>0</v>
      </c>
      <c r="AR279" s="36">
        <f t="shared" ca="1" si="525"/>
        <v>0</v>
      </c>
      <c r="AS279" s="36">
        <f t="shared" ca="1" si="525"/>
        <v>0</v>
      </c>
      <c r="AT279" s="36">
        <f t="shared" ca="1" si="525"/>
        <v>0</v>
      </c>
      <c r="AU279" s="36">
        <f t="shared" ca="1" si="525"/>
        <v>0</v>
      </c>
      <c r="AV279" s="36">
        <f t="shared" ca="1" si="525"/>
        <v>0</v>
      </c>
      <c r="AW279" s="36">
        <f t="shared" ca="1" si="525"/>
        <v>0</v>
      </c>
      <c r="AX279" s="36">
        <f t="shared" ca="1" si="525"/>
        <v>6480</v>
      </c>
      <c r="AY279" s="36">
        <f t="shared" ca="1" si="525"/>
        <v>6480</v>
      </c>
      <c r="AZ279" s="36">
        <f t="shared" ca="1" si="525"/>
        <v>0</v>
      </c>
      <c r="BA279" s="36">
        <f t="shared" ca="1" si="525"/>
        <v>0</v>
      </c>
      <c r="BB279" s="36">
        <f t="shared" ca="1" si="525"/>
        <v>0</v>
      </c>
      <c r="BC279" s="36">
        <f t="shared" ca="1" si="525"/>
        <v>0</v>
      </c>
      <c r="BD279" s="36">
        <f t="shared" ca="1" si="525"/>
        <v>13500</v>
      </c>
      <c r="BE279" s="36">
        <f t="shared" ca="1" si="525"/>
        <v>13500</v>
      </c>
      <c r="BF279" s="36">
        <f t="shared" ca="1" si="525"/>
        <v>0</v>
      </c>
      <c r="BG279" s="36">
        <f t="shared" ca="1" si="525"/>
        <v>0</v>
      </c>
      <c r="BH279" s="36">
        <f t="shared" ca="1" si="525"/>
        <v>0</v>
      </c>
      <c r="BI279" s="36">
        <f t="shared" ca="1" si="525"/>
        <v>0</v>
      </c>
      <c r="BJ279" s="36">
        <f t="shared" ca="1" si="483"/>
        <v>19440</v>
      </c>
      <c r="BK279" s="36">
        <f t="shared" ca="1" si="484"/>
        <v>19440</v>
      </c>
      <c r="BL279" s="36">
        <f t="shared" ca="1" si="485"/>
        <v>0</v>
      </c>
      <c r="BM279" s="36">
        <f t="shared" ca="1" si="486"/>
        <v>0</v>
      </c>
      <c r="BN279" s="36">
        <f t="shared" ca="1" si="487"/>
        <v>0</v>
      </c>
      <c r="BO279" s="36">
        <f t="shared" ca="1" si="488"/>
        <v>0</v>
      </c>
      <c r="BP279" s="36">
        <f t="shared" ca="1" si="489"/>
        <v>40500</v>
      </c>
      <c r="BQ279" s="36">
        <f t="shared" ca="1" si="490"/>
        <v>40500</v>
      </c>
      <c r="BR279" s="36">
        <f t="shared" ca="1" si="491"/>
        <v>0</v>
      </c>
      <c r="BS279" s="36">
        <f t="shared" ca="1" si="492"/>
        <v>0</v>
      </c>
      <c r="BT279" s="36">
        <f t="shared" ca="1" si="493"/>
        <v>0</v>
      </c>
      <c r="BU279" s="36">
        <f t="shared" ca="1" si="494"/>
        <v>0</v>
      </c>
      <c r="BV279" s="36">
        <f t="shared" ca="1" si="495"/>
        <v>48600</v>
      </c>
      <c r="BW279" s="36">
        <f t="shared" ca="1" si="496"/>
        <v>48600</v>
      </c>
      <c r="BX279" s="36">
        <f t="shared" ca="1" si="497"/>
        <v>0</v>
      </c>
      <c r="BY279" s="36">
        <f t="shared" ca="1" si="498"/>
        <v>0</v>
      </c>
      <c r="BZ279" s="36">
        <f t="shared" ca="1" si="499"/>
        <v>0</v>
      </c>
      <c r="CA279" s="36">
        <f t="shared" ca="1" si="500"/>
        <v>0</v>
      </c>
      <c r="CB279" s="36">
        <f t="shared" ca="1" si="501"/>
        <v>101250</v>
      </c>
      <c r="CC279" s="36">
        <f t="shared" ca="1" si="502"/>
        <v>101250</v>
      </c>
      <c r="CD279" s="36">
        <f t="shared" ca="1" si="503"/>
        <v>0</v>
      </c>
      <c r="CE279" s="36">
        <f t="shared" ca="1" si="504"/>
        <v>0</v>
      </c>
      <c r="CF279" s="36">
        <f t="shared" ca="1" si="505"/>
        <v>0</v>
      </c>
      <c r="CG279" s="36">
        <f t="shared" ca="1" si="506"/>
        <v>0</v>
      </c>
      <c r="CH279" s="36">
        <f t="shared" ca="1" si="507"/>
        <v>85050</v>
      </c>
      <c r="CI279" s="36">
        <f t="shared" ca="1" si="508"/>
        <v>85050</v>
      </c>
      <c r="CJ279" s="36">
        <f t="shared" ca="1" si="509"/>
        <v>0</v>
      </c>
      <c r="CK279" s="36">
        <f t="shared" ca="1" si="510"/>
        <v>0</v>
      </c>
      <c r="CL279" s="36">
        <f t="shared" ca="1" si="511"/>
        <v>0</v>
      </c>
      <c r="CM279" s="36">
        <f t="shared" ca="1" si="512"/>
        <v>0</v>
      </c>
      <c r="CN279" s="36">
        <f t="shared" ca="1" si="513"/>
        <v>177187.5</v>
      </c>
      <c r="CO279" s="36">
        <f t="shared" ca="1" si="514"/>
        <v>177187.5</v>
      </c>
      <c r="CP279" s="36">
        <f t="shared" ca="1" si="515"/>
        <v>0</v>
      </c>
      <c r="CQ279" s="36">
        <f t="shared" ca="1" si="516"/>
        <v>0</v>
      </c>
      <c r="CR279" s="36">
        <f t="shared" ca="1" si="517"/>
        <v>0</v>
      </c>
      <c r="CS279" s="36">
        <f t="shared" ca="1" si="518"/>
        <v>0</v>
      </c>
      <c r="CT279" s="36">
        <f t="shared" ca="1" si="519"/>
        <v>0</v>
      </c>
      <c r="CU279" s="36">
        <f t="shared" ca="1" si="525"/>
        <v>0</v>
      </c>
      <c r="CV279" s="36">
        <f t="shared" ca="1" si="525"/>
        <v>0</v>
      </c>
      <c r="CW279" s="21"/>
    </row>
    <row r="280" spans="3:101" x14ac:dyDescent="0.25">
      <c r="C280" s="49" t="str">
        <f t="shared" si="520"/>
        <v>NEW PARTNER 2Wholesale</v>
      </c>
      <c r="D280" s="35" t="str">
        <f>[1]Key!C$18</f>
        <v>NEW PARTNER 2</v>
      </c>
      <c r="E280" s="35" t="str">
        <f>[1]contras!H158</f>
        <v>Wholesale</v>
      </c>
      <c r="F280" s="41"/>
      <c r="G280" s="21"/>
      <c r="H280" s="21"/>
      <c r="I280" s="21"/>
      <c r="J280" s="21"/>
      <c r="K280" s="21"/>
      <c r="L280" s="21"/>
      <c r="M280" s="21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36">
        <f t="shared" ref="Z280:CV280" ca="1" si="526">Y280+Z160-Z220</f>
        <v>0</v>
      </c>
      <c r="AA280" s="36">
        <f t="shared" ca="1" si="526"/>
        <v>0</v>
      </c>
      <c r="AB280" s="36">
        <f t="shared" ca="1" si="526"/>
        <v>0</v>
      </c>
      <c r="AC280" s="36">
        <f t="shared" ca="1" si="526"/>
        <v>0</v>
      </c>
      <c r="AD280" s="36">
        <f t="shared" ca="1" si="526"/>
        <v>0</v>
      </c>
      <c r="AE280" s="36">
        <f t="shared" ca="1" si="526"/>
        <v>0</v>
      </c>
      <c r="AF280" s="36">
        <f t="shared" ca="1" si="526"/>
        <v>0</v>
      </c>
      <c r="AG280" s="36">
        <f t="shared" ca="1" si="526"/>
        <v>0</v>
      </c>
      <c r="AH280" s="36">
        <f t="shared" ca="1" si="526"/>
        <v>0</v>
      </c>
      <c r="AI280" s="36">
        <f t="shared" ca="1" si="526"/>
        <v>0</v>
      </c>
      <c r="AJ280" s="36">
        <f t="shared" ca="1" si="526"/>
        <v>0</v>
      </c>
      <c r="AK280" s="36">
        <f t="shared" ca="1" si="526"/>
        <v>0</v>
      </c>
      <c r="AL280" s="36">
        <f t="shared" ca="1" si="526"/>
        <v>0</v>
      </c>
      <c r="AM280" s="36">
        <f t="shared" ca="1" si="526"/>
        <v>0</v>
      </c>
      <c r="AN280" s="36">
        <f t="shared" ca="1" si="526"/>
        <v>0</v>
      </c>
      <c r="AO280" s="36">
        <f t="shared" ca="1" si="526"/>
        <v>0</v>
      </c>
      <c r="AP280" s="36">
        <f t="shared" ca="1" si="526"/>
        <v>0</v>
      </c>
      <c r="AQ280" s="36">
        <f t="shared" ca="1" si="526"/>
        <v>0</v>
      </c>
      <c r="AR280" s="36">
        <f t="shared" ca="1" si="526"/>
        <v>0</v>
      </c>
      <c r="AS280" s="36">
        <f t="shared" ca="1" si="526"/>
        <v>0</v>
      </c>
      <c r="AT280" s="36">
        <f t="shared" ca="1" si="526"/>
        <v>0</v>
      </c>
      <c r="AU280" s="36">
        <f t="shared" ca="1" si="526"/>
        <v>0</v>
      </c>
      <c r="AV280" s="36">
        <f t="shared" ca="1" si="526"/>
        <v>0</v>
      </c>
      <c r="AW280" s="36">
        <f t="shared" ca="1" si="526"/>
        <v>0</v>
      </c>
      <c r="AX280" s="36">
        <f t="shared" ca="1" si="526"/>
        <v>19500</v>
      </c>
      <c r="AY280" s="36">
        <f t="shared" ca="1" si="526"/>
        <v>19500</v>
      </c>
      <c r="AZ280" s="36">
        <f t="shared" ca="1" si="526"/>
        <v>0</v>
      </c>
      <c r="BA280" s="36">
        <f t="shared" ca="1" si="526"/>
        <v>0</v>
      </c>
      <c r="BB280" s="36">
        <f t="shared" ca="1" si="526"/>
        <v>0</v>
      </c>
      <c r="BC280" s="36">
        <f t="shared" ca="1" si="526"/>
        <v>0</v>
      </c>
      <c r="BD280" s="36">
        <f t="shared" ca="1" si="526"/>
        <v>46800</v>
      </c>
      <c r="BE280" s="36">
        <f t="shared" ca="1" si="526"/>
        <v>46800</v>
      </c>
      <c r="BF280" s="36">
        <f t="shared" ca="1" si="526"/>
        <v>0</v>
      </c>
      <c r="BG280" s="36">
        <f t="shared" ca="1" si="526"/>
        <v>0</v>
      </c>
      <c r="BH280" s="36">
        <f t="shared" ca="1" si="526"/>
        <v>9360</v>
      </c>
      <c r="BI280" s="36">
        <f t="shared" ca="1" si="526"/>
        <v>9360</v>
      </c>
      <c r="BJ280" s="36">
        <f t="shared" ca="1" si="483"/>
        <v>58500</v>
      </c>
      <c r="BK280" s="36">
        <f t="shared" ca="1" si="484"/>
        <v>58500</v>
      </c>
      <c r="BL280" s="36">
        <f t="shared" ca="1" si="485"/>
        <v>0</v>
      </c>
      <c r="BM280" s="36">
        <f t="shared" ca="1" si="486"/>
        <v>0</v>
      </c>
      <c r="BN280" s="36">
        <f t="shared" ca="1" si="487"/>
        <v>0</v>
      </c>
      <c r="BO280" s="36">
        <f t="shared" ca="1" si="488"/>
        <v>0</v>
      </c>
      <c r="BP280" s="36">
        <f t="shared" ca="1" si="489"/>
        <v>140400</v>
      </c>
      <c r="BQ280" s="36">
        <f t="shared" ca="1" si="490"/>
        <v>140400</v>
      </c>
      <c r="BR280" s="36">
        <f t="shared" ca="1" si="491"/>
        <v>0</v>
      </c>
      <c r="BS280" s="36">
        <f t="shared" ca="1" si="492"/>
        <v>0</v>
      </c>
      <c r="BT280" s="36">
        <f t="shared" ca="1" si="493"/>
        <v>28080</v>
      </c>
      <c r="BU280" s="36">
        <f t="shared" ca="1" si="494"/>
        <v>28080</v>
      </c>
      <c r="BV280" s="36">
        <f t="shared" ca="1" si="495"/>
        <v>146250</v>
      </c>
      <c r="BW280" s="36">
        <f t="shared" ca="1" si="496"/>
        <v>146250</v>
      </c>
      <c r="BX280" s="36">
        <f t="shared" ca="1" si="497"/>
        <v>0</v>
      </c>
      <c r="BY280" s="36">
        <f t="shared" ca="1" si="498"/>
        <v>0</v>
      </c>
      <c r="BZ280" s="36">
        <f t="shared" ca="1" si="499"/>
        <v>0</v>
      </c>
      <c r="CA280" s="36">
        <f t="shared" ca="1" si="500"/>
        <v>0</v>
      </c>
      <c r="CB280" s="36">
        <f t="shared" ca="1" si="501"/>
        <v>351000</v>
      </c>
      <c r="CC280" s="36">
        <f t="shared" ca="1" si="502"/>
        <v>351000</v>
      </c>
      <c r="CD280" s="36">
        <f t="shared" ca="1" si="503"/>
        <v>0</v>
      </c>
      <c r="CE280" s="36">
        <f t="shared" ca="1" si="504"/>
        <v>0</v>
      </c>
      <c r="CF280" s="36">
        <f t="shared" ca="1" si="505"/>
        <v>70200</v>
      </c>
      <c r="CG280" s="36">
        <f t="shared" ca="1" si="506"/>
        <v>70200</v>
      </c>
      <c r="CH280" s="36">
        <f t="shared" ca="1" si="507"/>
        <v>255937.5</v>
      </c>
      <c r="CI280" s="36">
        <f t="shared" ca="1" si="508"/>
        <v>255937.5</v>
      </c>
      <c r="CJ280" s="36">
        <f t="shared" ca="1" si="509"/>
        <v>0</v>
      </c>
      <c r="CK280" s="36">
        <f t="shared" ca="1" si="510"/>
        <v>0</v>
      </c>
      <c r="CL280" s="36">
        <f t="shared" ca="1" si="511"/>
        <v>0</v>
      </c>
      <c r="CM280" s="36">
        <f t="shared" ca="1" si="512"/>
        <v>0</v>
      </c>
      <c r="CN280" s="36">
        <f t="shared" ca="1" si="513"/>
        <v>614250</v>
      </c>
      <c r="CO280" s="36">
        <f t="shared" ca="1" si="514"/>
        <v>614250</v>
      </c>
      <c r="CP280" s="36">
        <f t="shared" ca="1" si="515"/>
        <v>0</v>
      </c>
      <c r="CQ280" s="36">
        <f t="shared" ca="1" si="516"/>
        <v>0</v>
      </c>
      <c r="CR280" s="36">
        <f t="shared" ca="1" si="517"/>
        <v>122850</v>
      </c>
      <c r="CS280" s="36">
        <f t="shared" ca="1" si="518"/>
        <v>122850</v>
      </c>
      <c r="CT280" s="36">
        <f t="shared" ca="1" si="519"/>
        <v>0</v>
      </c>
      <c r="CU280" s="36">
        <f t="shared" ca="1" si="526"/>
        <v>0</v>
      </c>
      <c r="CV280" s="36">
        <f t="shared" ca="1" si="526"/>
        <v>0</v>
      </c>
      <c r="CW280" s="21"/>
    </row>
    <row r="281" spans="3:101" x14ac:dyDescent="0.25">
      <c r="C281" s="49" t="str">
        <f t="shared" si="520"/>
        <v>PIGALLEWholesale</v>
      </c>
      <c r="D281" s="35" t="str">
        <f>[1]Key!C$19</f>
        <v>PIGALLE</v>
      </c>
      <c r="E281" s="35" t="str">
        <f>[1]contras!H159</f>
        <v>Wholesale</v>
      </c>
      <c r="F281" s="41"/>
      <c r="G281" s="21"/>
      <c r="H281" s="21"/>
      <c r="I281" s="21"/>
      <c r="J281" s="21"/>
      <c r="K281" s="21"/>
      <c r="L281" s="21"/>
      <c r="M281" s="21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36">
        <f t="shared" ref="Z281:CV281" ca="1" si="527">Y281+Z161-Z221</f>
        <v>0</v>
      </c>
      <c r="AA281" s="36">
        <f t="shared" ca="1" si="527"/>
        <v>0</v>
      </c>
      <c r="AB281" s="36">
        <f t="shared" ca="1" si="527"/>
        <v>0</v>
      </c>
      <c r="AC281" s="36">
        <f t="shared" ca="1" si="527"/>
        <v>0</v>
      </c>
      <c r="AD281" s="36">
        <f t="shared" ca="1" si="527"/>
        <v>0</v>
      </c>
      <c r="AE281" s="36">
        <f t="shared" ca="1" si="527"/>
        <v>0</v>
      </c>
      <c r="AF281" s="36">
        <f t="shared" ca="1" si="527"/>
        <v>0</v>
      </c>
      <c r="AG281" s="36">
        <f t="shared" ca="1" si="527"/>
        <v>0</v>
      </c>
      <c r="AH281" s="36">
        <f t="shared" ca="1" si="527"/>
        <v>0</v>
      </c>
      <c r="AI281" s="36">
        <f t="shared" ca="1" si="527"/>
        <v>0</v>
      </c>
      <c r="AJ281" s="36">
        <f t="shared" ca="1" si="527"/>
        <v>0</v>
      </c>
      <c r="AK281" s="36">
        <f t="shared" ca="1" si="527"/>
        <v>0</v>
      </c>
      <c r="AL281" s="36">
        <f t="shared" ca="1" si="527"/>
        <v>0</v>
      </c>
      <c r="AM281" s="36">
        <f t="shared" ca="1" si="527"/>
        <v>0</v>
      </c>
      <c r="AN281" s="36">
        <f t="shared" ca="1" si="527"/>
        <v>0</v>
      </c>
      <c r="AO281" s="36">
        <f t="shared" ca="1" si="527"/>
        <v>0</v>
      </c>
      <c r="AP281" s="36">
        <f t="shared" ca="1" si="527"/>
        <v>0</v>
      </c>
      <c r="AQ281" s="36">
        <f t="shared" ca="1" si="527"/>
        <v>0</v>
      </c>
      <c r="AR281" s="36">
        <f t="shared" ca="1" si="527"/>
        <v>0</v>
      </c>
      <c r="AS281" s="36">
        <f t="shared" ca="1" si="527"/>
        <v>0</v>
      </c>
      <c r="AT281" s="36">
        <f t="shared" ca="1" si="527"/>
        <v>0</v>
      </c>
      <c r="AU281" s="36">
        <f t="shared" ca="1" si="527"/>
        <v>0</v>
      </c>
      <c r="AV281" s="36">
        <f t="shared" ca="1" si="527"/>
        <v>6480</v>
      </c>
      <c r="AW281" s="36">
        <f t="shared" ca="1" si="527"/>
        <v>6480</v>
      </c>
      <c r="AX281" s="36">
        <f t="shared" ca="1" si="527"/>
        <v>0</v>
      </c>
      <c r="AY281" s="36">
        <f t="shared" ca="1" si="527"/>
        <v>0</v>
      </c>
      <c r="AZ281" s="36">
        <f t="shared" ca="1" si="527"/>
        <v>0</v>
      </c>
      <c r="BA281" s="36">
        <f t="shared" ca="1" si="527"/>
        <v>0</v>
      </c>
      <c r="BB281" s="36">
        <f t="shared" ca="1" si="527"/>
        <v>0</v>
      </c>
      <c r="BC281" s="36">
        <f t="shared" ca="1" si="527"/>
        <v>0</v>
      </c>
      <c r="BD281" s="36">
        <f t="shared" ca="1" si="527"/>
        <v>0</v>
      </c>
      <c r="BE281" s="36">
        <f t="shared" ca="1" si="527"/>
        <v>0</v>
      </c>
      <c r="BF281" s="36">
        <f t="shared" ca="1" si="527"/>
        <v>0</v>
      </c>
      <c r="BG281" s="36">
        <f t="shared" ca="1" si="527"/>
        <v>0</v>
      </c>
      <c r="BH281" s="36">
        <f t="shared" ca="1" si="527"/>
        <v>0</v>
      </c>
      <c r="BI281" s="36">
        <f t="shared" ca="1" si="527"/>
        <v>0</v>
      </c>
      <c r="BJ281" s="36">
        <f t="shared" ca="1" si="483"/>
        <v>0</v>
      </c>
      <c r="BK281" s="36">
        <f t="shared" ca="1" si="484"/>
        <v>0</v>
      </c>
      <c r="BL281" s="36">
        <f t="shared" ca="1" si="485"/>
        <v>0</v>
      </c>
      <c r="BM281" s="36">
        <f t="shared" ca="1" si="486"/>
        <v>0</v>
      </c>
      <c r="BN281" s="36">
        <f t="shared" ca="1" si="487"/>
        <v>0</v>
      </c>
      <c r="BO281" s="36">
        <f t="shared" ca="1" si="488"/>
        <v>0</v>
      </c>
      <c r="BP281" s="36">
        <f t="shared" ca="1" si="489"/>
        <v>0</v>
      </c>
      <c r="BQ281" s="36">
        <f t="shared" ca="1" si="490"/>
        <v>0</v>
      </c>
      <c r="BR281" s="36">
        <f t="shared" ca="1" si="491"/>
        <v>0</v>
      </c>
      <c r="BS281" s="36">
        <f t="shared" ca="1" si="492"/>
        <v>0</v>
      </c>
      <c r="BT281" s="36">
        <f t="shared" ca="1" si="493"/>
        <v>0</v>
      </c>
      <c r="BU281" s="36">
        <f t="shared" ca="1" si="494"/>
        <v>0</v>
      </c>
      <c r="BV281" s="36">
        <f t="shared" ca="1" si="495"/>
        <v>0</v>
      </c>
      <c r="BW281" s="36">
        <f t="shared" ca="1" si="496"/>
        <v>0</v>
      </c>
      <c r="BX281" s="36">
        <f t="shared" ca="1" si="497"/>
        <v>0</v>
      </c>
      <c r="BY281" s="36">
        <f t="shared" ca="1" si="498"/>
        <v>0</v>
      </c>
      <c r="BZ281" s="36">
        <f t="shared" ca="1" si="499"/>
        <v>0</v>
      </c>
      <c r="CA281" s="36">
        <f t="shared" ca="1" si="500"/>
        <v>0</v>
      </c>
      <c r="CB281" s="36">
        <f t="shared" ca="1" si="501"/>
        <v>0</v>
      </c>
      <c r="CC281" s="36">
        <f t="shared" ca="1" si="502"/>
        <v>0</v>
      </c>
      <c r="CD281" s="36">
        <f t="shared" ca="1" si="503"/>
        <v>0</v>
      </c>
      <c r="CE281" s="36">
        <f t="shared" ca="1" si="504"/>
        <v>0</v>
      </c>
      <c r="CF281" s="36">
        <f t="shared" ca="1" si="505"/>
        <v>0</v>
      </c>
      <c r="CG281" s="36">
        <f t="shared" ca="1" si="506"/>
        <v>0</v>
      </c>
      <c r="CH281" s="36">
        <f t="shared" ca="1" si="507"/>
        <v>0</v>
      </c>
      <c r="CI281" s="36">
        <f t="shared" ca="1" si="508"/>
        <v>0</v>
      </c>
      <c r="CJ281" s="36">
        <f t="shared" ca="1" si="509"/>
        <v>0</v>
      </c>
      <c r="CK281" s="36">
        <f t="shared" ca="1" si="510"/>
        <v>0</v>
      </c>
      <c r="CL281" s="36">
        <f t="shared" ca="1" si="511"/>
        <v>0</v>
      </c>
      <c r="CM281" s="36">
        <f t="shared" ca="1" si="512"/>
        <v>0</v>
      </c>
      <c r="CN281" s="36">
        <f t="shared" ca="1" si="513"/>
        <v>0</v>
      </c>
      <c r="CO281" s="36">
        <f t="shared" ca="1" si="514"/>
        <v>0</v>
      </c>
      <c r="CP281" s="36">
        <f t="shared" ca="1" si="515"/>
        <v>0</v>
      </c>
      <c r="CQ281" s="36">
        <f t="shared" ca="1" si="516"/>
        <v>0</v>
      </c>
      <c r="CR281" s="36">
        <f t="shared" ca="1" si="517"/>
        <v>0</v>
      </c>
      <c r="CS281" s="36">
        <f t="shared" ca="1" si="518"/>
        <v>0</v>
      </c>
      <c r="CT281" s="36">
        <f t="shared" ca="1" si="519"/>
        <v>0</v>
      </c>
      <c r="CU281" s="36">
        <f t="shared" ca="1" si="527"/>
        <v>0</v>
      </c>
      <c r="CV281" s="36">
        <f t="shared" ca="1" si="527"/>
        <v>0</v>
      </c>
      <c r="CW281" s="21"/>
    </row>
    <row r="282" spans="3:101" x14ac:dyDescent="0.25">
      <c r="C282" s="49" t="str">
        <f t="shared" si="520"/>
        <v>SPORT PLACEHOLDERWholesale</v>
      </c>
      <c r="D282" s="35" t="str">
        <f>[1]Key!C$20</f>
        <v>SPORT PLACEHOLDER</v>
      </c>
      <c r="E282" s="35" t="str">
        <f>[1]contras!H160</f>
        <v>Wholesale</v>
      </c>
      <c r="F282" s="41"/>
      <c r="G282" s="21"/>
      <c r="H282" s="21"/>
      <c r="I282" s="21"/>
      <c r="J282" s="21"/>
      <c r="K282" s="21"/>
      <c r="L282" s="21"/>
      <c r="M282" s="21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36">
        <f t="shared" ref="Z282:CV282" ca="1" si="528">Y282+Z162-Z222</f>
        <v>0</v>
      </c>
      <c r="AA282" s="36">
        <f t="shared" ca="1" si="528"/>
        <v>0</v>
      </c>
      <c r="AB282" s="36">
        <f t="shared" ca="1" si="528"/>
        <v>0</v>
      </c>
      <c r="AC282" s="36">
        <f t="shared" ca="1" si="528"/>
        <v>0</v>
      </c>
      <c r="AD282" s="36">
        <f t="shared" ca="1" si="528"/>
        <v>0</v>
      </c>
      <c r="AE282" s="36">
        <f t="shared" ca="1" si="528"/>
        <v>0</v>
      </c>
      <c r="AF282" s="36">
        <f t="shared" ca="1" si="528"/>
        <v>0</v>
      </c>
      <c r="AG282" s="36">
        <f t="shared" ca="1" si="528"/>
        <v>0</v>
      </c>
      <c r="AH282" s="36">
        <f t="shared" ca="1" si="528"/>
        <v>0</v>
      </c>
      <c r="AI282" s="36">
        <f t="shared" ca="1" si="528"/>
        <v>0</v>
      </c>
      <c r="AJ282" s="36">
        <f t="shared" ca="1" si="528"/>
        <v>0</v>
      </c>
      <c r="AK282" s="36">
        <f t="shared" ca="1" si="528"/>
        <v>0</v>
      </c>
      <c r="AL282" s="36">
        <f t="shared" ca="1" si="528"/>
        <v>0</v>
      </c>
      <c r="AM282" s="36">
        <f t="shared" ca="1" si="528"/>
        <v>0</v>
      </c>
      <c r="AN282" s="36">
        <f t="shared" ca="1" si="528"/>
        <v>0</v>
      </c>
      <c r="AO282" s="36">
        <f t="shared" ca="1" si="528"/>
        <v>0</v>
      </c>
      <c r="AP282" s="36">
        <f t="shared" ca="1" si="528"/>
        <v>0</v>
      </c>
      <c r="AQ282" s="36">
        <f t="shared" ca="1" si="528"/>
        <v>0</v>
      </c>
      <c r="AR282" s="36">
        <f t="shared" ca="1" si="528"/>
        <v>0</v>
      </c>
      <c r="AS282" s="36">
        <f t="shared" ca="1" si="528"/>
        <v>0</v>
      </c>
      <c r="AT282" s="36">
        <f t="shared" ca="1" si="528"/>
        <v>0</v>
      </c>
      <c r="AU282" s="36">
        <f t="shared" ca="1" si="528"/>
        <v>0</v>
      </c>
      <c r="AV282" s="36">
        <f t="shared" ca="1" si="528"/>
        <v>0</v>
      </c>
      <c r="AW282" s="36">
        <f t="shared" ca="1" si="528"/>
        <v>0</v>
      </c>
      <c r="AX282" s="36">
        <f t="shared" ca="1" si="528"/>
        <v>46800</v>
      </c>
      <c r="AY282" s="36">
        <f t="shared" ca="1" si="528"/>
        <v>46800</v>
      </c>
      <c r="AZ282" s="36">
        <f t="shared" ca="1" si="528"/>
        <v>0</v>
      </c>
      <c r="BA282" s="36">
        <f t="shared" ca="1" si="528"/>
        <v>0</v>
      </c>
      <c r="BB282" s="36">
        <f t="shared" ca="1" si="528"/>
        <v>0</v>
      </c>
      <c r="BC282" s="36">
        <f t="shared" ca="1" si="528"/>
        <v>0</v>
      </c>
      <c r="BD282" s="36">
        <f t="shared" ca="1" si="528"/>
        <v>93600</v>
      </c>
      <c r="BE282" s="36">
        <f t="shared" ca="1" si="528"/>
        <v>93600</v>
      </c>
      <c r="BF282" s="36">
        <f t="shared" ca="1" si="528"/>
        <v>0</v>
      </c>
      <c r="BG282" s="36">
        <f t="shared" ca="1" si="528"/>
        <v>0</v>
      </c>
      <c r="BH282" s="36">
        <f t="shared" ca="1" si="528"/>
        <v>0</v>
      </c>
      <c r="BI282" s="36">
        <f t="shared" ca="1" si="528"/>
        <v>0</v>
      </c>
      <c r="BJ282" s="36">
        <f t="shared" ca="1" si="483"/>
        <v>140400</v>
      </c>
      <c r="BK282" s="36">
        <f t="shared" ca="1" si="484"/>
        <v>140400</v>
      </c>
      <c r="BL282" s="36">
        <f t="shared" ca="1" si="485"/>
        <v>0</v>
      </c>
      <c r="BM282" s="36">
        <f t="shared" ca="1" si="486"/>
        <v>0</v>
      </c>
      <c r="BN282" s="36">
        <f t="shared" ca="1" si="487"/>
        <v>0</v>
      </c>
      <c r="BO282" s="36">
        <f t="shared" ca="1" si="488"/>
        <v>0</v>
      </c>
      <c r="BP282" s="36">
        <f t="shared" ca="1" si="489"/>
        <v>280800</v>
      </c>
      <c r="BQ282" s="36">
        <f t="shared" ca="1" si="490"/>
        <v>280800</v>
      </c>
      <c r="BR282" s="36">
        <f t="shared" ca="1" si="491"/>
        <v>0</v>
      </c>
      <c r="BS282" s="36">
        <f t="shared" ca="1" si="492"/>
        <v>0</v>
      </c>
      <c r="BT282" s="36">
        <f t="shared" ca="1" si="493"/>
        <v>0</v>
      </c>
      <c r="BU282" s="36">
        <f t="shared" ca="1" si="494"/>
        <v>0</v>
      </c>
      <c r="BV282" s="36">
        <f t="shared" ca="1" si="495"/>
        <v>421200</v>
      </c>
      <c r="BW282" s="36">
        <f t="shared" ca="1" si="496"/>
        <v>421200</v>
      </c>
      <c r="BX282" s="36">
        <f t="shared" ca="1" si="497"/>
        <v>0</v>
      </c>
      <c r="BY282" s="36">
        <f t="shared" ca="1" si="498"/>
        <v>0</v>
      </c>
      <c r="BZ282" s="36">
        <f t="shared" ca="1" si="499"/>
        <v>0</v>
      </c>
      <c r="CA282" s="36">
        <f t="shared" ca="1" si="500"/>
        <v>0</v>
      </c>
      <c r="CB282" s="36">
        <f t="shared" ca="1" si="501"/>
        <v>842400</v>
      </c>
      <c r="CC282" s="36">
        <f t="shared" ca="1" si="502"/>
        <v>842400</v>
      </c>
      <c r="CD282" s="36">
        <f t="shared" ca="1" si="503"/>
        <v>0</v>
      </c>
      <c r="CE282" s="36">
        <f t="shared" ca="1" si="504"/>
        <v>0</v>
      </c>
      <c r="CF282" s="36">
        <f t="shared" ca="1" si="505"/>
        <v>0</v>
      </c>
      <c r="CG282" s="36">
        <f t="shared" ca="1" si="506"/>
        <v>0</v>
      </c>
      <c r="CH282" s="36">
        <f t="shared" ca="1" si="507"/>
        <v>1053000</v>
      </c>
      <c r="CI282" s="36">
        <f t="shared" ca="1" si="508"/>
        <v>1053000</v>
      </c>
      <c r="CJ282" s="36">
        <f t="shared" ca="1" si="509"/>
        <v>0</v>
      </c>
      <c r="CK282" s="36">
        <f t="shared" ca="1" si="510"/>
        <v>0</v>
      </c>
      <c r="CL282" s="36">
        <f t="shared" ca="1" si="511"/>
        <v>0</v>
      </c>
      <c r="CM282" s="36">
        <f t="shared" ca="1" si="512"/>
        <v>0</v>
      </c>
      <c r="CN282" s="36">
        <f t="shared" ca="1" si="513"/>
        <v>2106000</v>
      </c>
      <c r="CO282" s="36">
        <f t="shared" ca="1" si="514"/>
        <v>2106000</v>
      </c>
      <c r="CP282" s="36">
        <f t="shared" ca="1" si="515"/>
        <v>0</v>
      </c>
      <c r="CQ282" s="36">
        <f t="shared" ca="1" si="516"/>
        <v>0</v>
      </c>
      <c r="CR282" s="36">
        <f t="shared" ca="1" si="517"/>
        <v>0</v>
      </c>
      <c r="CS282" s="36">
        <f t="shared" ca="1" si="518"/>
        <v>0</v>
      </c>
      <c r="CT282" s="36">
        <f t="shared" ca="1" si="519"/>
        <v>0</v>
      </c>
      <c r="CU282" s="36">
        <f t="shared" ca="1" si="528"/>
        <v>0</v>
      </c>
      <c r="CV282" s="36">
        <f t="shared" ca="1" si="528"/>
        <v>0</v>
      </c>
      <c r="CW282" s="21"/>
    </row>
    <row r="283" spans="3:101" x14ac:dyDescent="0.25">
      <c r="C283" s="49" t="str">
        <f t="shared" si="520"/>
        <v>SPUNGEWholesale</v>
      </c>
      <c r="D283" s="35" t="str">
        <f>[1]Key!C$21</f>
        <v>SPUNGE</v>
      </c>
      <c r="E283" s="35" t="str">
        <f>[1]contras!H161</f>
        <v>Wholesale</v>
      </c>
      <c r="F283" s="41"/>
      <c r="G283" s="21"/>
      <c r="H283" s="21"/>
      <c r="I283" s="21"/>
      <c r="J283" s="21"/>
      <c r="K283" s="21"/>
      <c r="L283" s="21"/>
      <c r="M283" s="21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36">
        <f t="shared" ref="Z283:CV283" ca="1" si="529">Y283+Z163-Z223</f>
        <v>0</v>
      </c>
      <c r="AA283" s="36">
        <f t="shared" ca="1" si="529"/>
        <v>0</v>
      </c>
      <c r="AB283" s="36">
        <f t="shared" ca="1" si="529"/>
        <v>0</v>
      </c>
      <c r="AC283" s="36">
        <f t="shared" ca="1" si="529"/>
        <v>0</v>
      </c>
      <c r="AD283" s="36">
        <f t="shared" ca="1" si="529"/>
        <v>0</v>
      </c>
      <c r="AE283" s="36">
        <f t="shared" ca="1" si="529"/>
        <v>0</v>
      </c>
      <c r="AF283" s="36">
        <f t="shared" ca="1" si="529"/>
        <v>0</v>
      </c>
      <c r="AG283" s="36">
        <f t="shared" ca="1" si="529"/>
        <v>0</v>
      </c>
      <c r="AH283" s="36">
        <f t="shared" ca="1" si="529"/>
        <v>0</v>
      </c>
      <c r="AI283" s="36">
        <f t="shared" ca="1" si="529"/>
        <v>0</v>
      </c>
      <c r="AJ283" s="36">
        <f t="shared" ca="1" si="529"/>
        <v>0</v>
      </c>
      <c r="AK283" s="36">
        <f t="shared" ca="1" si="529"/>
        <v>0</v>
      </c>
      <c r="AL283" s="36">
        <f t="shared" ca="1" si="529"/>
        <v>0</v>
      </c>
      <c r="AM283" s="36">
        <f t="shared" ca="1" si="529"/>
        <v>0</v>
      </c>
      <c r="AN283" s="36">
        <f t="shared" ca="1" si="529"/>
        <v>0</v>
      </c>
      <c r="AO283" s="36">
        <f t="shared" ca="1" si="529"/>
        <v>0</v>
      </c>
      <c r="AP283" s="36">
        <f t="shared" ca="1" si="529"/>
        <v>0</v>
      </c>
      <c r="AQ283" s="36">
        <f t="shared" ca="1" si="529"/>
        <v>0</v>
      </c>
      <c r="AR283" s="36">
        <f t="shared" ca="1" si="529"/>
        <v>0</v>
      </c>
      <c r="AS283" s="36">
        <f t="shared" ca="1" si="529"/>
        <v>0</v>
      </c>
      <c r="AT283" s="36">
        <f t="shared" ca="1" si="529"/>
        <v>0</v>
      </c>
      <c r="AU283" s="36">
        <f t="shared" ca="1" si="529"/>
        <v>0</v>
      </c>
      <c r="AV283" s="36">
        <f t="shared" ca="1" si="529"/>
        <v>3240</v>
      </c>
      <c r="AW283" s="36">
        <f t="shared" ca="1" si="529"/>
        <v>11340</v>
      </c>
      <c r="AX283" s="36">
        <f t="shared" ca="1" si="529"/>
        <v>8100</v>
      </c>
      <c r="AY283" s="36">
        <f t="shared" ca="1" si="529"/>
        <v>39744</v>
      </c>
      <c r="AZ283" s="36">
        <f t="shared" ca="1" si="529"/>
        <v>39744</v>
      </c>
      <c r="BA283" s="36">
        <f t="shared" ca="1" si="529"/>
        <v>0</v>
      </c>
      <c r="BB283" s="36">
        <f t="shared" ca="1" si="529"/>
        <v>44928</v>
      </c>
      <c r="BC283" s="36">
        <f t="shared" ca="1" si="529"/>
        <v>44928</v>
      </c>
      <c r="BD283" s="36">
        <f t="shared" ca="1" si="529"/>
        <v>51840</v>
      </c>
      <c r="BE283" s="36">
        <f t="shared" ca="1" si="529"/>
        <v>51840</v>
      </c>
      <c r="BF283" s="36">
        <f t="shared" ca="1" si="529"/>
        <v>5184</v>
      </c>
      <c r="BG283" s="36">
        <f t="shared" ca="1" si="529"/>
        <v>5184</v>
      </c>
      <c r="BH283" s="36">
        <f t="shared" ca="1" si="529"/>
        <v>69120</v>
      </c>
      <c r="BI283" s="36">
        <f t="shared" ca="1" si="529"/>
        <v>82080</v>
      </c>
      <c r="BJ283" s="36">
        <f t="shared" ca="1" si="483"/>
        <v>12960</v>
      </c>
      <c r="BK283" s="36">
        <f t="shared" ca="1" si="484"/>
        <v>119232</v>
      </c>
      <c r="BL283" s="36">
        <f t="shared" ca="1" si="485"/>
        <v>119232</v>
      </c>
      <c r="BM283" s="36">
        <f t="shared" ca="1" si="486"/>
        <v>0</v>
      </c>
      <c r="BN283" s="36">
        <f t="shared" ca="1" si="487"/>
        <v>134784</v>
      </c>
      <c r="BO283" s="36">
        <f t="shared" ca="1" si="488"/>
        <v>134784</v>
      </c>
      <c r="BP283" s="36">
        <f t="shared" ca="1" si="489"/>
        <v>155520</v>
      </c>
      <c r="BQ283" s="36">
        <f t="shared" ca="1" si="490"/>
        <v>155520</v>
      </c>
      <c r="BR283" s="36">
        <f t="shared" ca="1" si="491"/>
        <v>15552</v>
      </c>
      <c r="BS283" s="36">
        <f t="shared" ca="1" si="492"/>
        <v>15552</v>
      </c>
      <c r="BT283" s="36">
        <f t="shared" ca="1" si="493"/>
        <v>207360</v>
      </c>
      <c r="BU283" s="36">
        <f t="shared" ca="1" si="494"/>
        <v>246240</v>
      </c>
      <c r="BV283" s="36">
        <f t="shared" ca="1" si="495"/>
        <v>38880</v>
      </c>
      <c r="BW283" s="36">
        <f t="shared" ca="1" si="496"/>
        <v>298080</v>
      </c>
      <c r="BX283" s="36">
        <f t="shared" ca="1" si="497"/>
        <v>298080</v>
      </c>
      <c r="BY283" s="36">
        <f t="shared" ca="1" si="498"/>
        <v>0</v>
      </c>
      <c r="BZ283" s="36">
        <f t="shared" ca="1" si="499"/>
        <v>336960</v>
      </c>
      <c r="CA283" s="36">
        <f t="shared" ca="1" si="500"/>
        <v>336960</v>
      </c>
      <c r="CB283" s="36">
        <f t="shared" ca="1" si="501"/>
        <v>388800</v>
      </c>
      <c r="CC283" s="36">
        <f t="shared" ca="1" si="502"/>
        <v>388800</v>
      </c>
      <c r="CD283" s="36">
        <f t="shared" ca="1" si="503"/>
        <v>38880</v>
      </c>
      <c r="CE283" s="36">
        <f t="shared" ca="1" si="504"/>
        <v>38880</v>
      </c>
      <c r="CF283" s="36">
        <f t="shared" ca="1" si="505"/>
        <v>518400</v>
      </c>
      <c r="CG283" s="36">
        <f t="shared" ca="1" si="506"/>
        <v>615600</v>
      </c>
      <c r="CH283" s="36">
        <f t="shared" ca="1" si="507"/>
        <v>97200</v>
      </c>
      <c r="CI283" s="36">
        <f t="shared" ca="1" si="508"/>
        <v>521640</v>
      </c>
      <c r="CJ283" s="36">
        <f t="shared" ca="1" si="509"/>
        <v>521640</v>
      </c>
      <c r="CK283" s="36">
        <f t="shared" ca="1" si="510"/>
        <v>0</v>
      </c>
      <c r="CL283" s="36">
        <f t="shared" ca="1" si="511"/>
        <v>589680</v>
      </c>
      <c r="CM283" s="36">
        <f t="shared" ca="1" si="512"/>
        <v>589680</v>
      </c>
      <c r="CN283" s="36">
        <f t="shared" ca="1" si="513"/>
        <v>680400</v>
      </c>
      <c r="CO283" s="36">
        <f t="shared" ca="1" si="514"/>
        <v>680400</v>
      </c>
      <c r="CP283" s="36">
        <f t="shared" ca="1" si="515"/>
        <v>68040</v>
      </c>
      <c r="CQ283" s="36">
        <f t="shared" ca="1" si="516"/>
        <v>68040</v>
      </c>
      <c r="CR283" s="36">
        <f t="shared" ca="1" si="517"/>
        <v>907200</v>
      </c>
      <c r="CS283" s="36">
        <f t="shared" ca="1" si="518"/>
        <v>1077300</v>
      </c>
      <c r="CT283" s="36">
        <f t="shared" ca="1" si="519"/>
        <v>170100</v>
      </c>
      <c r="CU283" s="36">
        <f t="shared" ca="1" si="529"/>
        <v>0</v>
      </c>
      <c r="CV283" s="36">
        <f t="shared" ca="1" si="529"/>
        <v>0</v>
      </c>
      <c r="CW283" s="21"/>
    </row>
    <row r="284" spans="3:101" x14ac:dyDescent="0.25">
      <c r="C284" s="49" t="str">
        <f t="shared" si="520"/>
        <v>SUNFLOWERWholesale</v>
      </c>
      <c r="D284" s="35" t="str">
        <f>[1]Key!C$22</f>
        <v>SUNFLOWER</v>
      </c>
      <c r="E284" s="35" t="str">
        <f>[1]contras!H162</f>
        <v>Wholesale</v>
      </c>
      <c r="F284" s="41"/>
      <c r="G284" s="21"/>
      <c r="H284" s="21"/>
      <c r="I284" s="21"/>
      <c r="J284" s="21"/>
      <c r="K284" s="21"/>
      <c r="L284" s="21"/>
      <c r="M284" s="21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36">
        <f t="shared" ref="Z284:CV284" ca="1" si="530">Y284+Z164-Z224</f>
        <v>0</v>
      </c>
      <c r="AA284" s="36">
        <f t="shared" ca="1" si="530"/>
        <v>0</v>
      </c>
      <c r="AB284" s="36">
        <f t="shared" ca="1" si="530"/>
        <v>0</v>
      </c>
      <c r="AC284" s="36">
        <f t="shared" ca="1" si="530"/>
        <v>0</v>
      </c>
      <c r="AD284" s="36">
        <f t="shared" ca="1" si="530"/>
        <v>0</v>
      </c>
      <c r="AE284" s="36">
        <f t="shared" ca="1" si="530"/>
        <v>0</v>
      </c>
      <c r="AF284" s="36">
        <f t="shared" ca="1" si="530"/>
        <v>0</v>
      </c>
      <c r="AG284" s="36">
        <f t="shared" ca="1" si="530"/>
        <v>0</v>
      </c>
      <c r="AH284" s="36">
        <f t="shared" ca="1" si="530"/>
        <v>0</v>
      </c>
      <c r="AI284" s="36">
        <f t="shared" ca="1" si="530"/>
        <v>0</v>
      </c>
      <c r="AJ284" s="36">
        <f t="shared" ca="1" si="530"/>
        <v>0</v>
      </c>
      <c r="AK284" s="36">
        <f t="shared" ca="1" si="530"/>
        <v>0</v>
      </c>
      <c r="AL284" s="36">
        <f t="shared" ca="1" si="530"/>
        <v>0</v>
      </c>
      <c r="AM284" s="36">
        <f t="shared" ca="1" si="530"/>
        <v>0</v>
      </c>
      <c r="AN284" s="36">
        <f t="shared" ca="1" si="530"/>
        <v>0</v>
      </c>
      <c r="AO284" s="36">
        <f t="shared" ca="1" si="530"/>
        <v>0</v>
      </c>
      <c r="AP284" s="36">
        <f t="shared" ca="1" si="530"/>
        <v>0</v>
      </c>
      <c r="AQ284" s="36">
        <f t="shared" ca="1" si="530"/>
        <v>0</v>
      </c>
      <c r="AR284" s="36">
        <f t="shared" ca="1" si="530"/>
        <v>0</v>
      </c>
      <c r="AS284" s="36">
        <f t="shared" ca="1" si="530"/>
        <v>0</v>
      </c>
      <c r="AT284" s="36">
        <f t="shared" ca="1" si="530"/>
        <v>0</v>
      </c>
      <c r="AU284" s="36">
        <f t="shared" ca="1" si="530"/>
        <v>0</v>
      </c>
      <c r="AV284" s="36">
        <f t="shared" ca="1" si="530"/>
        <v>0</v>
      </c>
      <c r="AW284" s="36">
        <f t="shared" ca="1" si="530"/>
        <v>0</v>
      </c>
      <c r="AX284" s="36">
        <f t="shared" ca="1" si="530"/>
        <v>0</v>
      </c>
      <c r="AY284" s="36">
        <f t="shared" ca="1" si="530"/>
        <v>0</v>
      </c>
      <c r="AZ284" s="36">
        <f t="shared" ca="1" si="530"/>
        <v>0</v>
      </c>
      <c r="BA284" s="36">
        <f t="shared" ca="1" si="530"/>
        <v>0</v>
      </c>
      <c r="BB284" s="36">
        <f t="shared" ca="1" si="530"/>
        <v>0</v>
      </c>
      <c r="BC284" s="36">
        <f t="shared" ca="1" si="530"/>
        <v>0</v>
      </c>
      <c r="BD284" s="36">
        <f t="shared" ca="1" si="530"/>
        <v>0</v>
      </c>
      <c r="BE284" s="36">
        <f t="shared" ca="1" si="530"/>
        <v>0</v>
      </c>
      <c r="BF284" s="36">
        <f t="shared" ca="1" si="530"/>
        <v>0</v>
      </c>
      <c r="BG284" s="36">
        <f t="shared" ca="1" si="530"/>
        <v>0</v>
      </c>
      <c r="BH284" s="36">
        <f t="shared" ca="1" si="530"/>
        <v>0</v>
      </c>
      <c r="BI284" s="36">
        <f t="shared" ca="1" si="530"/>
        <v>0</v>
      </c>
      <c r="BJ284" s="36">
        <f t="shared" ca="1" si="483"/>
        <v>0</v>
      </c>
      <c r="BK284" s="36">
        <f t="shared" ca="1" si="484"/>
        <v>0</v>
      </c>
      <c r="BL284" s="36">
        <f t="shared" ca="1" si="485"/>
        <v>0</v>
      </c>
      <c r="BM284" s="36">
        <f t="shared" ca="1" si="486"/>
        <v>0</v>
      </c>
      <c r="BN284" s="36">
        <f t="shared" ca="1" si="487"/>
        <v>0</v>
      </c>
      <c r="BO284" s="36">
        <f t="shared" ca="1" si="488"/>
        <v>0</v>
      </c>
      <c r="BP284" s="36">
        <f t="shared" ca="1" si="489"/>
        <v>0</v>
      </c>
      <c r="BQ284" s="36">
        <f t="shared" ca="1" si="490"/>
        <v>0</v>
      </c>
      <c r="BR284" s="36">
        <f t="shared" ca="1" si="491"/>
        <v>0</v>
      </c>
      <c r="BS284" s="36">
        <f t="shared" ca="1" si="492"/>
        <v>0</v>
      </c>
      <c r="BT284" s="36">
        <f t="shared" ca="1" si="493"/>
        <v>0</v>
      </c>
      <c r="BU284" s="36">
        <f t="shared" ca="1" si="494"/>
        <v>0</v>
      </c>
      <c r="BV284" s="36">
        <f t="shared" ca="1" si="495"/>
        <v>0</v>
      </c>
      <c r="BW284" s="36">
        <f t="shared" ca="1" si="496"/>
        <v>0</v>
      </c>
      <c r="BX284" s="36">
        <f t="shared" ca="1" si="497"/>
        <v>0</v>
      </c>
      <c r="BY284" s="36">
        <f t="shared" ca="1" si="498"/>
        <v>0</v>
      </c>
      <c r="BZ284" s="36">
        <f t="shared" ca="1" si="499"/>
        <v>0</v>
      </c>
      <c r="CA284" s="36">
        <f t="shared" ca="1" si="500"/>
        <v>0</v>
      </c>
      <c r="CB284" s="36">
        <f t="shared" ca="1" si="501"/>
        <v>0</v>
      </c>
      <c r="CC284" s="36">
        <f t="shared" ca="1" si="502"/>
        <v>0</v>
      </c>
      <c r="CD284" s="36">
        <f t="shared" ca="1" si="503"/>
        <v>0</v>
      </c>
      <c r="CE284" s="36">
        <f t="shared" ca="1" si="504"/>
        <v>0</v>
      </c>
      <c r="CF284" s="36">
        <f t="shared" ca="1" si="505"/>
        <v>0</v>
      </c>
      <c r="CG284" s="36">
        <f t="shared" ca="1" si="506"/>
        <v>0</v>
      </c>
      <c r="CH284" s="36">
        <f t="shared" ca="1" si="507"/>
        <v>0</v>
      </c>
      <c r="CI284" s="36">
        <f t="shared" ca="1" si="508"/>
        <v>0</v>
      </c>
      <c r="CJ284" s="36">
        <f t="shared" ca="1" si="509"/>
        <v>0</v>
      </c>
      <c r="CK284" s="36">
        <f t="shared" ca="1" si="510"/>
        <v>0</v>
      </c>
      <c r="CL284" s="36">
        <f t="shared" ca="1" si="511"/>
        <v>0</v>
      </c>
      <c r="CM284" s="36">
        <f t="shared" ca="1" si="512"/>
        <v>0</v>
      </c>
      <c r="CN284" s="36">
        <f t="shared" ca="1" si="513"/>
        <v>0</v>
      </c>
      <c r="CO284" s="36">
        <f t="shared" ca="1" si="514"/>
        <v>0</v>
      </c>
      <c r="CP284" s="36">
        <f t="shared" ca="1" si="515"/>
        <v>0</v>
      </c>
      <c r="CQ284" s="36">
        <f t="shared" ca="1" si="516"/>
        <v>0</v>
      </c>
      <c r="CR284" s="36">
        <f t="shared" ca="1" si="517"/>
        <v>0</v>
      </c>
      <c r="CS284" s="36">
        <f t="shared" ca="1" si="518"/>
        <v>0</v>
      </c>
      <c r="CT284" s="36">
        <f t="shared" ca="1" si="519"/>
        <v>0</v>
      </c>
      <c r="CU284" s="36">
        <f t="shared" ca="1" si="530"/>
        <v>0</v>
      </c>
      <c r="CV284" s="36">
        <f t="shared" ca="1" si="530"/>
        <v>0</v>
      </c>
      <c r="CW284" s="21"/>
    </row>
    <row r="285" spans="3:101" x14ac:dyDescent="0.25">
      <c r="C285" s="49" t="str">
        <f t="shared" si="520"/>
        <v>BARIDTC</v>
      </c>
      <c r="D285" s="35" t="str">
        <f>[1]Key!C$23</f>
        <v>BARI</v>
      </c>
      <c r="E285" s="35" t="str">
        <f>[1]contras!H163</f>
        <v>DTC</v>
      </c>
      <c r="F285" s="41"/>
      <c r="G285" s="21"/>
      <c r="H285" s="21"/>
      <c r="I285" s="21"/>
      <c r="J285" s="21"/>
      <c r="K285" s="21"/>
      <c r="L285" s="21"/>
      <c r="M285" s="21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36">
        <f t="shared" ref="Z285:CV285" ca="1" si="531">Y285+Z165-Z225</f>
        <v>0</v>
      </c>
      <c r="AA285" s="36">
        <f t="shared" ca="1" si="531"/>
        <v>0</v>
      </c>
      <c r="AB285" s="36">
        <f t="shared" ca="1" si="531"/>
        <v>0</v>
      </c>
      <c r="AC285" s="36">
        <f t="shared" ca="1" si="531"/>
        <v>0</v>
      </c>
      <c r="AD285" s="36">
        <f t="shared" ca="1" si="531"/>
        <v>0</v>
      </c>
      <c r="AE285" s="36">
        <f t="shared" ca="1" si="531"/>
        <v>0</v>
      </c>
      <c r="AF285" s="36">
        <f t="shared" ca="1" si="531"/>
        <v>0</v>
      </c>
      <c r="AG285" s="36">
        <f t="shared" ca="1" si="531"/>
        <v>0</v>
      </c>
      <c r="AH285" s="36">
        <f t="shared" ca="1" si="531"/>
        <v>0</v>
      </c>
      <c r="AI285" s="36">
        <f t="shared" ca="1" si="531"/>
        <v>0</v>
      </c>
      <c r="AJ285" s="36">
        <f t="shared" ca="1" si="531"/>
        <v>0</v>
      </c>
      <c r="AK285" s="36">
        <f t="shared" ca="1" si="531"/>
        <v>0</v>
      </c>
      <c r="AL285" s="36">
        <f t="shared" ca="1" si="531"/>
        <v>0</v>
      </c>
      <c r="AM285" s="36">
        <f t="shared" ca="1" si="531"/>
        <v>0</v>
      </c>
      <c r="AN285" s="36">
        <f t="shared" ca="1" si="531"/>
        <v>0</v>
      </c>
      <c r="AO285" s="36">
        <f t="shared" ca="1" si="531"/>
        <v>0</v>
      </c>
      <c r="AP285" s="36">
        <f t="shared" ca="1" si="531"/>
        <v>0</v>
      </c>
      <c r="AQ285" s="36">
        <f t="shared" ca="1" si="531"/>
        <v>0</v>
      </c>
      <c r="AR285" s="36">
        <f t="shared" ca="1" si="531"/>
        <v>0</v>
      </c>
      <c r="AS285" s="36">
        <f t="shared" ca="1" si="531"/>
        <v>0</v>
      </c>
      <c r="AT285" s="36">
        <f t="shared" ca="1" si="531"/>
        <v>0</v>
      </c>
      <c r="AU285" s="36">
        <f t="shared" ca="1" si="531"/>
        <v>0</v>
      </c>
      <c r="AV285" s="36">
        <f t="shared" ca="1" si="531"/>
        <v>0</v>
      </c>
      <c r="AW285" s="36">
        <f t="shared" ca="1" si="531"/>
        <v>0</v>
      </c>
      <c r="AX285" s="36">
        <f t="shared" ca="1" si="531"/>
        <v>0</v>
      </c>
      <c r="AY285" s="36">
        <f t="shared" ca="1" si="531"/>
        <v>0</v>
      </c>
      <c r="AZ285" s="36">
        <f t="shared" ca="1" si="531"/>
        <v>0</v>
      </c>
      <c r="BA285" s="36">
        <f t="shared" ca="1" si="531"/>
        <v>0</v>
      </c>
      <c r="BB285" s="36">
        <f t="shared" ca="1" si="531"/>
        <v>0</v>
      </c>
      <c r="BC285" s="36">
        <f t="shared" ca="1" si="531"/>
        <v>0</v>
      </c>
      <c r="BD285" s="36">
        <f t="shared" ca="1" si="531"/>
        <v>0</v>
      </c>
      <c r="BE285" s="36">
        <f t="shared" ca="1" si="531"/>
        <v>0</v>
      </c>
      <c r="BF285" s="36">
        <f t="shared" ca="1" si="531"/>
        <v>0</v>
      </c>
      <c r="BG285" s="36">
        <f t="shared" ca="1" si="531"/>
        <v>0</v>
      </c>
      <c r="BH285" s="36">
        <f t="shared" ca="1" si="531"/>
        <v>0</v>
      </c>
      <c r="BI285" s="36">
        <f t="shared" ca="1" si="531"/>
        <v>0</v>
      </c>
      <c r="BJ285" s="36">
        <f t="shared" ca="1" si="483"/>
        <v>0</v>
      </c>
      <c r="BK285" s="36">
        <f t="shared" ca="1" si="484"/>
        <v>0</v>
      </c>
      <c r="BL285" s="36">
        <f t="shared" ca="1" si="485"/>
        <v>0</v>
      </c>
      <c r="BM285" s="36">
        <f t="shared" ca="1" si="486"/>
        <v>0</v>
      </c>
      <c r="BN285" s="36">
        <f t="shared" ca="1" si="487"/>
        <v>0</v>
      </c>
      <c r="BO285" s="36">
        <f t="shared" ca="1" si="488"/>
        <v>0</v>
      </c>
      <c r="BP285" s="36">
        <f t="shared" ca="1" si="489"/>
        <v>0</v>
      </c>
      <c r="BQ285" s="36">
        <f t="shared" ca="1" si="490"/>
        <v>0</v>
      </c>
      <c r="BR285" s="36">
        <f t="shared" ca="1" si="491"/>
        <v>0</v>
      </c>
      <c r="BS285" s="36">
        <f t="shared" ca="1" si="492"/>
        <v>0</v>
      </c>
      <c r="BT285" s="36">
        <f t="shared" ca="1" si="493"/>
        <v>0</v>
      </c>
      <c r="BU285" s="36">
        <f t="shared" ca="1" si="494"/>
        <v>0</v>
      </c>
      <c r="BV285" s="36">
        <f t="shared" ca="1" si="495"/>
        <v>0</v>
      </c>
      <c r="BW285" s="36">
        <f t="shared" ca="1" si="496"/>
        <v>0</v>
      </c>
      <c r="BX285" s="36">
        <f t="shared" ca="1" si="497"/>
        <v>0</v>
      </c>
      <c r="BY285" s="36">
        <f t="shared" ca="1" si="498"/>
        <v>0</v>
      </c>
      <c r="BZ285" s="36">
        <f t="shared" ca="1" si="499"/>
        <v>0</v>
      </c>
      <c r="CA285" s="36">
        <f t="shared" ca="1" si="500"/>
        <v>0</v>
      </c>
      <c r="CB285" s="36">
        <f t="shared" ca="1" si="501"/>
        <v>0</v>
      </c>
      <c r="CC285" s="36">
        <f t="shared" ca="1" si="502"/>
        <v>0</v>
      </c>
      <c r="CD285" s="36">
        <f t="shared" ca="1" si="503"/>
        <v>0</v>
      </c>
      <c r="CE285" s="36">
        <f t="shared" ca="1" si="504"/>
        <v>0</v>
      </c>
      <c r="CF285" s="36">
        <f t="shared" ca="1" si="505"/>
        <v>0</v>
      </c>
      <c r="CG285" s="36">
        <f t="shared" ca="1" si="506"/>
        <v>0</v>
      </c>
      <c r="CH285" s="36">
        <f t="shared" ca="1" si="507"/>
        <v>0</v>
      </c>
      <c r="CI285" s="36">
        <f t="shared" ca="1" si="508"/>
        <v>0</v>
      </c>
      <c r="CJ285" s="36">
        <f t="shared" ca="1" si="509"/>
        <v>0</v>
      </c>
      <c r="CK285" s="36">
        <f t="shared" ca="1" si="510"/>
        <v>0</v>
      </c>
      <c r="CL285" s="36">
        <f t="shared" ca="1" si="511"/>
        <v>0</v>
      </c>
      <c r="CM285" s="36">
        <f t="shared" ca="1" si="512"/>
        <v>0</v>
      </c>
      <c r="CN285" s="36">
        <f t="shared" ca="1" si="513"/>
        <v>0</v>
      </c>
      <c r="CO285" s="36">
        <f t="shared" ca="1" si="514"/>
        <v>0</v>
      </c>
      <c r="CP285" s="36">
        <f t="shared" ca="1" si="515"/>
        <v>0</v>
      </c>
      <c r="CQ285" s="36">
        <f t="shared" ca="1" si="516"/>
        <v>0</v>
      </c>
      <c r="CR285" s="36">
        <f t="shared" ca="1" si="517"/>
        <v>0</v>
      </c>
      <c r="CS285" s="36">
        <f t="shared" ca="1" si="518"/>
        <v>0</v>
      </c>
      <c r="CT285" s="36">
        <f t="shared" ca="1" si="519"/>
        <v>0</v>
      </c>
      <c r="CU285" s="36">
        <f t="shared" ca="1" si="531"/>
        <v>0</v>
      </c>
      <c r="CV285" s="36">
        <f t="shared" ca="1" si="531"/>
        <v>0</v>
      </c>
      <c r="CW285" s="21"/>
    </row>
    <row r="286" spans="3:101" x14ac:dyDescent="0.25">
      <c r="C286" s="49" t="str">
        <f t="shared" si="520"/>
        <v>BRAIN DEAD OAKLEYDTC</v>
      </c>
      <c r="D286" s="35" t="str">
        <f>[1]Key!C$24</f>
        <v>BRAIN DEAD OAKLEY</v>
      </c>
      <c r="E286" s="35" t="str">
        <f>[1]contras!H164</f>
        <v>DTC</v>
      </c>
      <c r="F286" s="41"/>
      <c r="G286" s="21"/>
      <c r="H286" s="21"/>
      <c r="I286" s="21"/>
      <c r="J286" s="21"/>
      <c r="K286" s="21"/>
      <c r="L286" s="21"/>
      <c r="M286" s="21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36">
        <f t="shared" ref="Z286:CV286" ca="1" si="532">Y286+Z166-Z226</f>
        <v>0</v>
      </c>
      <c r="AA286" s="36">
        <f t="shared" ca="1" si="532"/>
        <v>0</v>
      </c>
      <c r="AB286" s="36">
        <f t="shared" ca="1" si="532"/>
        <v>0</v>
      </c>
      <c r="AC286" s="36">
        <f t="shared" ca="1" si="532"/>
        <v>0</v>
      </c>
      <c r="AD286" s="36">
        <f t="shared" ca="1" si="532"/>
        <v>0</v>
      </c>
      <c r="AE286" s="36">
        <f t="shared" ca="1" si="532"/>
        <v>0</v>
      </c>
      <c r="AF286" s="36">
        <f t="shared" ca="1" si="532"/>
        <v>0</v>
      </c>
      <c r="AG286" s="36">
        <f t="shared" ca="1" si="532"/>
        <v>0</v>
      </c>
      <c r="AH286" s="36">
        <f t="shared" ca="1" si="532"/>
        <v>0</v>
      </c>
      <c r="AI286" s="36">
        <f t="shared" ca="1" si="532"/>
        <v>0</v>
      </c>
      <c r="AJ286" s="36">
        <f t="shared" ca="1" si="532"/>
        <v>0</v>
      </c>
      <c r="AK286" s="36">
        <f t="shared" ca="1" si="532"/>
        <v>0</v>
      </c>
      <c r="AL286" s="36">
        <f t="shared" ca="1" si="532"/>
        <v>0</v>
      </c>
      <c r="AM286" s="36">
        <f t="shared" ca="1" si="532"/>
        <v>0</v>
      </c>
      <c r="AN286" s="36">
        <f t="shared" ca="1" si="532"/>
        <v>0</v>
      </c>
      <c r="AO286" s="36">
        <f t="shared" ca="1" si="532"/>
        <v>0</v>
      </c>
      <c r="AP286" s="36">
        <f t="shared" ca="1" si="532"/>
        <v>0</v>
      </c>
      <c r="AQ286" s="36">
        <f t="shared" ca="1" si="532"/>
        <v>0</v>
      </c>
      <c r="AR286" s="36">
        <f t="shared" ca="1" si="532"/>
        <v>0</v>
      </c>
      <c r="AS286" s="36">
        <f t="shared" ca="1" si="532"/>
        <v>0</v>
      </c>
      <c r="AT286" s="36">
        <f t="shared" ca="1" si="532"/>
        <v>0</v>
      </c>
      <c r="AU286" s="36">
        <f t="shared" ca="1" si="532"/>
        <v>0</v>
      </c>
      <c r="AV286" s="36">
        <f t="shared" ca="1" si="532"/>
        <v>0</v>
      </c>
      <c r="AW286" s="36">
        <f t="shared" ca="1" si="532"/>
        <v>0</v>
      </c>
      <c r="AX286" s="36">
        <f t="shared" ca="1" si="532"/>
        <v>0</v>
      </c>
      <c r="AY286" s="36">
        <f t="shared" ca="1" si="532"/>
        <v>0</v>
      </c>
      <c r="AZ286" s="36">
        <f t="shared" ca="1" si="532"/>
        <v>0</v>
      </c>
      <c r="BA286" s="36">
        <f t="shared" ca="1" si="532"/>
        <v>0</v>
      </c>
      <c r="BB286" s="36">
        <f t="shared" ca="1" si="532"/>
        <v>0</v>
      </c>
      <c r="BC286" s="36">
        <f t="shared" ca="1" si="532"/>
        <v>0</v>
      </c>
      <c r="BD286" s="36">
        <f t="shared" ca="1" si="532"/>
        <v>0</v>
      </c>
      <c r="BE286" s="36">
        <f t="shared" ca="1" si="532"/>
        <v>0</v>
      </c>
      <c r="BF286" s="36">
        <f t="shared" ca="1" si="532"/>
        <v>0</v>
      </c>
      <c r="BG286" s="36">
        <f t="shared" ca="1" si="532"/>
        <v>0</v>
      </c>
      <c r="BH286" s="36">
        <f t="shared" ca="1" si="532"/>
        <v>0</v>
      </c>
      <c r="BI286" s="36">
        <f t="shared" ca="1" si="532"/>
        <v>0</v>
      </c>
      <c r="BJ286" s="36">
        <f t="shared" ca="1" si="483"/>
        <v>0</v>
      </c>
      <c r="BK286" s="36">
        <f t="shared" ca="1" si="484"/>
        <v>0</v>
      </c>
      <c r="BL286" s="36">
        <f t="shared" ca="1" si="485"/>
        <v>0</v>
      </c>
      <c r="BM286" s="36">
        <f t="shared" ca="1" si="486"/>
        <v>0</v>
      </c>
      <c r="BN286" s="36">
        <f t="shared" ca="1" si="487"/>
        <v>0</v>
      </c>
      <c r="BO286" s="36">
        <f t="shared" ca="1" si="488"/>
        <v>0</v>
      </c>
      <c r="BP286" s="36">
        <f t="shared" ca="1" si="489"/>
        <v>0</v>
      </c>
      <c r="BQ286" s="36">
        <f t="shared" ca="1" si="490"/>
        <v>0</v>
      </c>
      <c r="BR286" s="36">
        <f t="shared" ca="1" si="491"/>
        <v>0</v>
      </c>
      <c r="BS286" s="36">
        <f t="shared" ca="1" si="492"/>
        <v>0</v>
      </c>
      <c r="BT286" s="36">
        <f t="shared" ca="1" si="493"/>
        <v>0</v>
      </c>
      <c r="BU286" s="36">
        <f t="shared" ca="1" si="494"/>
        <v>0</v>
      </c>
      <c r="BV286" s="36">
        <f t="shared" ca="1" si="495"/>
        <v>0</v>
      </c>
      <c r="BW286" s="36">
        <f t="shared" ca="1" si="496"/>
        <v>0</v>
      </c>
      <c r="BX286" s="36">
        <f t="shared" ca="1" si="497"/>
        <v>0</v>
      </c>
      <c r="BY286" s="36">
        <f t="shared" ca="1" si="498"/>
        <v>0</v>
      </c>
      <c r="BZ286" s="36">
        <f t="shared" ca="1" si="499"/>
        <v>0</v>
      </c>
      <c r="CA286" s="36">
        <f t="shared" ca="1" si="500"/>
        <v>0</v>
      </c>
      <c r="CB286" s="36">
        <f t="shared" ca="1" si="501"/>
        <v>0</v>
      </c>
      <c r="CC286" s="36">
        <f t="shared" ca="1" si="502"/>
        <v>0</v>
      </c>
      <c r="CD286" s="36">
        <f t="shared" ca="1" si="503"/>
        <v>0</v>
      </c>
      <c r="CE286" s="36">
        <f t="shared" ca="1" si="504"/>
        <v>0</v>
      </c>
      <c r="CF286" s="36">
        <f t="shared" ca="1" si="505"/>
        <v>0</v>
      </c>
      <c r="CG286" s="36">
        <f t="shared" ca="1" si="506"/>
        <v>0</v>
      </c>
      <c r="CH286" s="36">
        <f t="shared" ca="1" si="507"/>
        <v>0</v>
      </c>
      <c r="CI286" s="36">
        <f t="shared" ca="1" si="508"/>
        <v>0</v>
      </c>
      <c r="CJ286" s="36">
        <f t="shared" ca="1" si="509"/>
        <v>0</v>
      </c>
      <c r="CK286" s="36">
        <f t="shared" ca="1" si="510"/>
        <v>0</v>
      </c>
      <c r="CL286" s="36">
        <f t="shared" ca="1" si="511"/>
        <v>0</v>
      </c>
      <c r="CM286" s="36">
        <f t="shared" ca="1" si="512"/>
        <v>0</v>
      </c>
      <c r="CN286" s="36">
        <f t="shared" ca="1" si="513"/>
        <v>0</v>
      </c>
      <c r="CO286" s="36">
        <f t="shared" ca="1" si="514"/>
        <v>0</v>
      </c>
      <c r="CP286" s="36">
        <f t="shared" ca="1" si="515"/>
        <v>0</v>
      </c>
      <c r="CQ286" s="36">
        <f t="shared" ca="1" si="516"/>
        <v>0</v>
      </c>
      <c r="CR286" s="36">
        <f t="shared" ca="1" si="517"/>
        <v>0</v>
      </c>
      <c r="CS286" s="36">
        <f t="shared" ca="1" si="518"/>
        <v>0</v>
      </c>
      <c r="CT286" s="36">
        <f t="shared" ca="1" si="519"/>
        <v>0</v>
      </c>
      <c r="CU286" s="36">
        <f t="shared" ca="1" si="532"/>
        <v>0</v>
      </c>
      <c r="CV286" s="36">
        <f t="shared" ca="1" si="532"/>
        <v>0</v>
      </c>
      <c r="CW286" s="21"/>
    </row>
    <row r="287" spans="3:101" x14ac:dyDescent="0.25">
      <c r="C287" s="49" t="str">
        <f t="shared" si="520"/>
        <v>GROWTH "HIT" PHDTC</v>
      </c>
      <c r="D287" s="35" t="str">
        <f>[1]Key!C$25</f>
        <v>GROWTH "HIT" PH</v>
      </c>
      <c r="E287" s="35" t="str">
        <f>[1]contras!H165</f>
        <v>DTC</v>
      </c>
      <c r="F287" s="41"/>
      <c r="G287" s="21"/>
      <c r="H287" s="21"/>
      <c r="I287" s="21"/>
      <c r="J287" s="21"/>
      <c r="K287" s="21"/>
      <c r="L287" s="21"/>
      <c r="M287" s="21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36">
        <f t="shared" ref="Z287:CV287" ca="1" si="533">Y287+Z167-Z227</f>
        <v>0</v>
      </c>
      <c r="AA287" s="36">
        <f t="shared" ca="1" si="533"/>
        <v>0</v>
      </c>
      <c r="AB287" s="36">
        <f t="shared" ca="1" si="533"/>
        <v>0</v>
      </c>
      <c r="AC287" s="36">
        <f t="shared" ca="1" si="533"/>
        <v>0</v>
      </c>
      <c r="AD287" s="36">
        <f t="shared" ca="1" si="533"/>
        <v>0</v>
      </c>
      <c r="AE287" s="36">
        <f t="shared" ca="1" si="533"/>
        <v>0</v>
      </c>
      <c r="AF287" s="36">
        <f t="shared" ca="1" si="533"/>
        <v>0</v>
      </c>
      <c r="AG287" s="36">
        <f t="shared" ca="1" si="533"/>
        <v>0</v>
      </c>
      <c r="AH287" s="36">
        <f t="shared" ca="1" si="533"/>
        <v>0</v>
      </c>
      <c r="AI287" s="36">
        <f t="shared" ca="1" si="533"/>
        <v>0</v>
      </c>
      <c r="AJ287" s="36">
        <f t="shared" ca="1" si="533"/>
        <v>0</v>
      </c>
      <c r="AK287" s="36">
        <f t="shared" ca="1" si="533"/>
        <v>0</v>
      </c>
      <c r="AL287" s="36">
        <f t="shared" ca="1" si="533"/>
        <v>0</v>
      </c>
      <c r="AM287" s="36">
        <f t="shared" ca="1" si="533"/>
        <v>0</v>
      </c>
      <c r="AN287" s="36">
        <f t="shared" ca="1" si="533"/>
        <v>0</v>
      </c>
      <c r="AO287" s="36">
        <f t="shared" ca="1" si="533"/>
        <v>0</v>
      </c>
      <c r="AP287" s="36">
        <f t="shared" ca="1" si="533"/>
        <v>0</v>
      </c>
      <c r="AQ287" s="36">
        <f t="shared" ca="1" si="533"/>
        <v>0</v>
      </c>
      <c r="AR287" s="36">
        <f t="shared" ca="1" si="533"/>
        <v>0</v>
      </c>
      <c r="AS287" s="36">
        <f t="shared" ca="1" si="533"/>
        <v>0</v>
      </c>
      <c r="AT287" s="36">
        <f t="shared" ca="1" si="533"/>
        <v>0</v>
      </c>
      <c r="AU287" s="36">
        <f t="shared" ca="1" si="533"/>
        <v>0</v>
      </c>
      <c r="AV287" s="36">
        <f t="shared" ca="1" si="533"/>
        <v>0</v>
      </c>
      <c r="AW287" s="36">
        <f t="shared" ca="1" si="533"/>
        <v>0</v>
      </c>
      <c r="AX287" s="36">
        <f t="shared" ca="1" si="533"/>
        <v>0</v>
      </c>
      <c r="AY287" s="36">
        <f t="shared" ca="1" si="533"/>
        <v>0</v>
      </c>
      <c r="AZ287" s="36">
        <f t="shared" ca="1" si="533"/>
        <v>0</v>
      </c>
      <c r="BA287" s="36">
        <f t="shared" ca="1" si="533"/>
        <v>0</v>
      </c>
      <c r="BB287" s="36">
        <f t="shared" ca="1" si="533"/>
        <v>0</v>
      </c>
      <c r="BC287" s="36">
        <f t="shared" ca="1" si="533"/>
        <v>0</v>
      </c>
      <c r="BD287" s="36">
        <f t="shared" ca="1" si="533"/>
        <v>0</v>
      </c>
      <c r="BE287" s="36">
        <f t="shared" ca="1" si="533"/>
        <v>0</v>
      </c>
      <c r="BF287" s="36">
        <f t="shared" ca="1" si="533"/>
        <v>0</v>
      </c>
      <c r="BG287" s="36">
        <f t="shared" ca="1" si="533"/>
        <v>0</v>
      </c>
      <c r="BH287" s="36">
        <f t="shared" ca="1" si="533"/>
        <v>0</v>
      </c>
      <c r="BI287" s="36">
        <f t="shared" ca="1" si="533"/>
        <v>0</v>
      </c>
      <c r="BJ287" s="36">
        <f t="shared" ca="1" si="483"/>
        <v>0</v>
      </c>
      <c r="BK287" s="36">
        <f t="shared" ca="1" si="484"/>
        <v>0</v>
      </c>
      <c r="BL287" s="36">
        <f t="shared" ca="1" si="485"/>
        <v>0</v>
      </c>
      <c r="BM287" s="36">
        <f t="shared" ca="1" si="486"/>
        <v>0</v>
      </c>
      <c r="BN287" s="36">
        <f t="shared" ca="1" si="487"/>
        <v>0</v>
      </c>
      <c r="BO287" s="36">
        <f t="shared" ca="1" si="488"/>
        <v>0</v>
      </c>
      <c r="BP287" s="36">
        <f t="shared" ca="1" si="489"/>
        <v>0</v>
      </c>
      <c r="BQ287" s="36">
        <f t="shared" ca="1" si="490"/>
        <v>0</v>
      </c>
      <c r="BR287" s="36">
        <f t="shared" ca="1" si="491"/>
        <v>0</v>
      </c>
      <c r="BS287" s="36">
        <f t="shared" ca="1" si="492"/>
        <v>0</v>
      </c>
      <c r="BT287" s="36">
        <f t="shared" ca="1" si="493"/>
        <v>0</v>
      </c>
      <c r="BU287" s="36">
        <f t="shared" ca="1" si="494"/>
        <v>0</v>
      </c>
      <c r="BV287" s="36">
        <f t="shared" ca="1" si="495"/>
        <v>0</v>
      </c>
      <c r="BW287" s="36">
        <f t="shared" ca="1" si="496"/>
        <v>0</v>
      </c>
      <c r="BX287" s="36">
        <f t="shared" ca="1" si="497"/>
        <v>0</v>
      </c>
      <c r="BY287" s="36">
        <f t="shared" ca="1" si="498"/>
        <v>0</v>
      </c>
      <c r="BZ287" s="36">
        <f t="shared" ca="1" si="499"/>
        <v>0</v>
      </c>
      <c r="CA287" s="36">
        <f t="shared" ca="1" si="500"/>
        <v>0</v>
      </c>
      <c r="CB287" s="36">
        <f t="shared" ca="1" si="501"/>
        <v>0</v>
      </c>
      <c r="CC287" s="36">
        <f t="shared" ca="1" si="502"/>
        <v>0</v>
      </c>
      <c r="CD287" s="36">
        <f t="shared" ca="1" si="503"/>
        <v>0</v>
      </c>
      <c r="CE287" s="36">
        <f t="shared" ca="1" si="504"/>
        <v>0</v>
      </c>
      <c r="CF287" s="36">
        <f t="shared" ca="1" si="505"/>
        <v>0</v>
      </c>
      <c r="CG287" s="36">
        <f t="shared" ca="1" si="506"/>
        <v>0</v>
      </c>
      <c r="CH287" s="36">
        <f t="shared" ca="1" si="507"/>
        <v>0</v>
      </c>
      <c r="CI287" s="36">
        <f t="shared" ca="1" si="508"/>
        <v>0</v>
      </c>
      <c r="CJ287" s="36">
        <f t="shared" ca="1" si="509"/>
        <v>0</v>
      </c>
      <c r="CK287" s="36">
        <f t="shared" ca="1" si="510"/>
        <v>0</v>
      </c>
      <c r="CL287" s="36">
        <f t="shared" ca="1" si="511"/>
        <v>0</v>
      </c>
      <c r="CM287" s="36">
        <f t="shared" ca="1" si="512"/>
        <v>0</v>
      </c>
      <c r="CN287" s="36">
        <f t="shared" ca="1" si="513"/>
        <v>0</v>
      </c>
      <c r="CO287" s="36">
        <f t="shared" ca="1" si="514"/>
        <v>0</v>
      </c>
      <c r="CP287" s="36">
        <f t="shared" ca="1" si="515"/>
        <v>0</v>
      </c>
      <c r="CQ287" s="36">
        <f t="shared" ca="1" si="516"/>
        <v>0</v>
      </c>
      <c r="CR287" s="36">
        <f t="shared" ca="1" si="517"/>
        <v>0</v>
      </c>
      <c r="CS287" s="36">
        <f t="shared" ca="1" si="518"/>
        <v>0</v>
      </c>
      <c r="CT287" s="36">
        <f t="shared" ca="1" si="519"/>
        <v>0</v>
      </c>
      <c r="CU287" s="36">
        <f t="shared" ca="1" si="533"/>
        <v>0</v>
      </c>
      <c r="CV287" s="36">
        <f t="shared" ca="1" si="533"/>
        <v>0</v>
      </c>
      <c r="CW287" s="21"/>
    </row>
    <row r="288" spans="3:101" x14ac:dyDescent="0.25">
      <c r="C288" s="49" t="str">
        <f t="shared" si="520"/>
        <v>ICE STUDIOSDTC</v>
      </c>
      <c r="D288" s="35" t="str">
        <f>[1]Key!C$26</f>
        <v>ICE STUDIOS</v>
      </c>
      <c r="E288" s="35" t="str">
        <f>[1]contras!H166</f>
        <v>DTC</v>
      </c>
      <c r="F288" s="41"/>
      <c r="G288" s="21"/>
      <c r="H288" s="21"/>
      <c r="I288" s="21"/>
      <c r="J288" s="21"/>
      <c r="K288" s="21"/>
      <c r="L288" s="21"/>
      <c r="M288" s="21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36">
        <f t="shared" ref="Z288:CV288" ca="1" si="534">Y288+Z168-Z228</f>
        <v>0</v>
      </c>
      <c r="AA288" s="36">
        <f t="shared" ca="1" si="534"/>
        <v>0</v>
      </c>
      <c r="AB288" s="36">
        <f t="shared" ca="1" si="534"/>
        <v>0</v>
      </c>
      <c r="AC288" s="36">
        <f t="shared" ca="1" si="534"/>
        <v>0</v>
      </c>
      <c r="AD288" s="36">
        <f t="shared" ca="1" si="534"/>
        <v>0</v>
      </c>
      <c r="AE288" s="36">
        <f t="shared" ca="1" si="534"/>
        <v>0</v>
      </c>
      <c r="AF288" s="36">
        <f t="shared" ca="1" si="534"/>
        <v>0</v>
      </c>
      <c r="AG288" s="36">
        <f t="shared" ca="1" si="534"/>
        <v>0</v>
      </c>
      <c r="AH288" s="36">
        <f t="shared" ca="1" si="534"/>
        <v>0</v>
      </c>
      <c r="AI288" s="36">
        <f t="shared" ca="1" si="534"/>
        <v>0</v>
      </c>
      <c r="AJ288" s="36">
        <f t="shared" ca="1" si="534"/>
        <v>0</v>
      </c>
      <c r="AK288" s="36">
        <f t="shared" ca="1" si="534"/>
        <v>0</v>
      </c>
      <c r="AL288" s="36">
        <f t="shared" ca="1" si="534"/>
        <v>0</v>
      </c>
      <c r="AM288" s="36">
        <f t="shared" ca="1" si="534"/>
        <v>0</v>
      </c>
      <c r="AN288" s="36">
        <f t="shared" ca="1" si="534"/>
        <v>0</v>
      </c>
      <c r="AO288" s="36">
        <f t="shared" ca="1" si="534"/>
        <v>0</v>
      </c>
      <c r="AP288" s="36">
        <f t="shared" ca="1" si="534"/>
        <v>0</v>
      </c>
      <c r="AQ288" s="36">
        <f t="shared" ca="1" si="534"/>
        <v>0</v>
      </c>
      <c r="AR288" s="36">
        <f t="shared" ca="1" si="534"/>
        <v>0</v>
      </c>
      <c r="AS288" s="36">
        <f t="shared" ca="1" si="534"/>
        <v>0</v>
      </c>
      <c r="AT288" s="36">
        <f t="shared" ca="1" si="534"/>
        <v>0</v>
      </c>
      <c r="AU288" s="36">
        <f t="shared" ca="1" si="534"/>
        <v>0</v>
      </c>
      <c r="AV288" s="36">
        <f t="shared" ca="1" si="534"/>
        <v>0</v>
      </c>
      <c r="AW288" s="36">
        <f t="shared" ca="1" si="534"/>
        <v>0</v>
      </c>
      <c r="AX288" s="36">
        <f t="shared" ca="1" si="534"/>
        <v>0</v>
      </c>
      <c r="AY288" s="36">
        <f t="shared" ca="1" si="534"/>
        <v>0</v>
      </c>
      <c r="AZ288" s="36">
        <f t="shared" ca="1" si="534"/>
        <v>0</v>
      </c>
      <c r="BA288" s="36">
        <f t="shared" ca="1" si="534"/>
        <v>0</v>
      </c>
      <c r="BB288" s="36">
        <f t="shared" ca="1" si="534"/>
        <v>0</v>
      </c>
      <c r="BC288" s="36">
        <f t="shared" ca="1" si="534"/>
        <v>0</v>
      </c>
      <c r="BD288" s="36">
        <f t="shared" ca="1" si="534"/>
        <v>0</v>
      </c>
      <c r="BE288" s="36">
        <f t="shared" ca="1" si="534"/>
        <v>0</v>
      </c>
      <c r="BF288" s="36">
        <f t="shared" ca="1" si="534"/>
        <v>0</v>
      </c>
      <c r="BG288" s="36">
        <f t="shared" ca="1" si="534"/>
        <v>0</v>
      </c>
      <c r="BH288" s="36">
        <f t="shared" ca="1" si="534"/>
        <v>0</v>
      </c>
      <c r="BI288" s="36">
        <f t="shared" ca="1" si="534"/>
        <v>0</v>
      </c>
      <c r="BJ288" s="36">
        <f t="shared" ca="1" si="483"/>
        <v>0</v>
      </c>
      <c r="BK288" s="36">
        <f t="shared" ca="1" si="484"/>
        <v>0</v>
      </c>
      <c r="BL288" s="36">
        <f t="shared" ca="1" si="485"/>
        <v>0</v>
      </c>
      <c r="BM288" s="36">
        <f t="shared" ca="1" si="486"/>
        <v>0</v>
      </c>
      <c r="BN288" s="36">
        <f t="shared" ca="1" si="487"/>
        <v>0</v>
      </c>
      <c r="BO288" s="36">
        <f t="shared" ca="1" si="488"/>
        <v>0</v>
      </c>
      <c r="BP288" s="36">
        <f t="shared" ca="1" si="489"/>
        <v>0</v>
      </c>
      <c r="BQ288" s="36">
        <f t="shared" ca="1" si="490"/>
        <v>0</v>
      </c>
      <c r="BR288" s="36">
        <f t="shared" ca="1" si="491"/>
        <v>0</v>
      </c>
      <c r="BS288" s="36">
        <f t="shared" ca="1" si="492"/>
        <v>0</v>
      </c>
      <c r="BT288" s="36">
        <f t="shared" ca="1" si="493"/>
        <v>0</v>
      </c>
      <c r="BU288" s="36">
        <f t="shared" ca="1" si="494"/>
        <v>0</v>
      </c>
      <c r="BV288" s="36">
        <f t="shared" ca="1" si="495"/>
        <v>0</v>
      </c>
      <c r="BW288" s="36">
        <f t="shared" ca="1" si="496"/>
        <v>0</v>
      </c>
      <c r="BX288" s="36">
        <f t="shared" ca="1" si="497"/>
        <v>0</v>
      </c>
      <c r="BY288" s="36">
        <f t="shared" ca="1" si="498"/>
        <v>0</v>
      </c>
      <c r="BZ288" s="36">
        <f t="shared" ca="1" si="499"/>
        <v>0</v>
      </c>
      <c r="CA288" s="36">
        <f t="shared" ca="1" si="500"/>
        <v>0</v>
      </c>
      <c r="CB288" s="36">
        <f t="shared" ca="1" si="501"/>
        <v>0</v>
      </c>
      <c r="CC288" s="36">
        <f t="shared" ca="1" si="502"/>
        <v>0</v>
      </c>
      <c r="CD288" s="36">
        <f t="shared" ca="1" si="503"/>
        <v>0</v>
      </c>
      <c r="CE288" s="36">
        <f t="shared" ca="1" si="504"/>
        <v>0</v>
      </c>
      <c r="CF288" s="36">
        <f t="shared" ca="1" si="505"/>
        <v>0</v>
      </c>
      <c r="CG288" s="36">
        <f t="shared" ca="1" si="506"/>
        <v>0</v>
      </c>
      <c r="CH288" s="36">
        <f t="shared" ca="1" si="507"/>
        <v>0</v>
      </c>
      <c r="CI288" s="36">
        <f t="shared" ca="1" si="508"/>
        <v>0</v>
      </c>
      <c r="CJ288" s="36">
        <f t="shared" ca="1" si="509"/>
        <v>0</v>
      </c>
      <c r="CK288" s="36">
        <f t="shared" ca="1" si="510"/>
        <v>0</v>
      </c>
      <c r="CL288" s="36">
        <f t="shared" ca="1" si="511"/>
        <v>0</v>
      </c>
      <c r="CM288" s="36">
        <f t="shared" ca="1" si="512"/>
        <v>0</v>
      </c>
      <c r="CN288" s="36">
        <f t="shared" ca="1" si="513"/>
        <v>0</v>
      </c>
      <c r="CO288" s="36">
        <f t="shared" ca="1" si="514"/>
        <v>0</v>
      </c>
      <c r="CP288" s="36">
        <f t="shared" ca="1" si="515"/>
        <v>0</v>
      </c>
      <c r="CQ288" s="36">
        <f t="shared" ca="1" si="516"/>
        <v>0</v>
      </c>
      <c r="CR288" s="36">
        <f t="shared" ca="1" si="517"/>
        <v>0</v>
      </c>
      <c r="CS288" s="36">
        <f t="shared" ca="1" si="518"/>
        <v>0</v>
      </c>
      <c r="CT288" s="36">
        <f t="shared" ca="1" si="519"/>
        <v>0</v>
      </c>
      <c r="CU288" s="36">
        <f t="shared" ca="1" si="534"/>
        <v>0</v>
      </c>
      <c r="CV288" s="36">
        <f t="shared" ca="1" si="534"/>
        <v>0</v>
      </c>
      <c r="CW288" s="21"/>
    </row>
    <row r="289" spans="3:101" x14ac:dyDescent="0.25">
      <c r="C289" s="49" t="str">
        <f t="shared" si="520"/>
        <v>MURAKAMI / TORITONDTC</v>
      </c>
      <c r="D289" s="35" t="str">
        <f>[1]Key!C$27</f>
        <v>MURAKAMI / TORITON</v>
      </c>
      <c r="E289" s="35" t="str">
        <f>[1]contras!H167</f>
        <v>DTC</v>
      </c>
      <c r="F289" s="41"/>
      <c r="G289" s="21"/>
      <c r="H289" s="21"/>
      <c r="I289" s="21"/>
      <c r="J289" s="21"/>
      <c r="K289" s="21"/>
      <c r="L289" s="21"/>
      <c r="M289" s="21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36">
        <f t="shared" ref="Z289:CV289" ca="1" si="535">Y289+Z169-Z229</f>
        <v>0</v>
      </c>
      <c r="AA289" s="36">
        <f t="shared" ca="1" si="535"/>
        <v>0</v>
      </c>
      <c r="AB289" s="36">
        <f t="shared" ca="1" si="535"/>
        <v>0</v>
      </c>
      <c r="AC289" s="36">
        <f t="shared" ca="1" si="535"/>
        <v>0</v>
      </c>
      <c r="AD289" s="36">
        <f t="shared" ca="1" si="535"/>
        <v>0</v>
      </c>
      <c r="AE289" s="36">
        <f t="shared" ca="1" si="535"/>
        <v>0</v>
      </c>
      <c r="AF289" s="36">
        <f t="shared" ca="1" si="535"/>
        <v>0</v>
      </c>
      <c r="AG289" s="36">
        <f t="shared" ca="1" si="535"/>
        <v>0</v>
      </c>
      <c r="AH289" s="36">
        <f t="shared" ca="1" si="535"/>
        <v>0</v>
      </c>
      <c r="AI289" s="36">
        <f t="shared" ca="1" si="535"/>
        <v>0</v>
      </c>
      <c r="AJ289" s="36">
        <f t="shared" ca="1" si="535"/>
        <v>0</v>
      </c>
      <c r="AK289" s="36">
        <f t="shared" ca="1" si="535"/>
        <v>0</v>
      </c>
      <c r="AL289" s="36">
        <f t="shared" ca="1" si="535"/>
        <v>0</v>
      </c>
      <c r="AM289" s="36">
        <f t="shared" ca="1" si="535"/>
        <v>0</v>
      </c>
      <c r="AN289" s="36">
        <f t="shared" ca="1" si="535"/>
        <v>0</v>
      </c>
      <c r="AO289" s="36">
        <f t="shared" ca="1" si="535"/>
        <v>0</v>
      </c>
      <c r="AP289" s="36">
        <f t="shared" ca="1" si="535"/>
        <v>0</v>
      </c>
      <c r="AQ289" s="36">
        <f t="shared" ca="1" si="535"/>
        <v>0</v>
      </c>
      <c r="AR289" s="36">
        <f t="shared" ca="1" si="535"/>
        <v>0</v>
      </c>
      <c r="AS289" s="36">
        <f t="shared" ca="1" si="535"/>
        <v>0</v>
      </c>
      <c r="AT289" s="36">
        <f t="shared" ca="1" si="535"/>
        <v>0</v>
      </c>
      <c r="AU289" s="36">
        <f t="shared" ca="1" si="535"/>
        <v>0</v>
      </c>
      <c r="AV289" s="36">
        <f t="shared" ca="1" si="535"/>
        <v>0</v>
      </c>
      <c r="AW289" s="36">
        <f t="shared" ca="1" si="535"/>
        <v>0</v>
      </c>
      <c r="AX289" s="36">
        <f t="shared" ca="1" si="535"/>
        <v>0</v>
      </c>
      <c r="AY289" s="36">
        <f t="shared" ca="1" si="535"/>
        <v>0</v>
      </c>
      <c r="AZ289" s="36">
        <f t="shared" ca="1" si="535"/>
        <v>0</v>
      </c>
      <c r="BA289" s="36">
        <f t="shared" ca="1" si="535"/>
        <v>0</v>
      </c>
      <c r="BB289" s="36">
        <f t="shared" ca="1" si="535"/>
        <v>0</v>
      </c>
      <c r="BC289" s="36">
        <f t="shared" ca="1" si="535"/>
        <v>0</v>
      </c>
      <c r="BD289" s="36">
        <f t="shared" ca="1" si="535"/>
        <v>0</v>
      </c>
      <c r="BE289" s="36">
        <f t="shared" ca="1" si="535"/>
        <v>0</v>
      </c>
      <c r="BF289" s="36">
        <f t="shared" ca="1" si="535"/>
        <v>0</v>
      </c>
      <c r="BG289" s="36">
        <f t="shared" ca="1" si="535"/>
        <v>0</v>
      </c>
      <c r="BH289" s="36">
        <f t="shared" ca="1" si="535"/>
        <v>0</v>
      </c>
      <c r="BI289" s="36">
        <f t="shared" ca="1" si="535"/>
        <v>0</v>
      </c>
      <c r="BJ289" s="36">
        <f t="shared" ca="1" si="483"/>
        <v>0</v>
      </c>
      <c r="BK289" s="36">
        <f t="shared" ca="1" si="484"/>
        <v>0</v>
      </c>
      <c r="BL289" s="36">
        <f t="shared" ca="1" si="485"/>
        <v>0</v>
      </c>
      <c r="BM289" s="36">
        <f t="shared" ca="1" si="486"/>
        <v>0</v>
      </c>
      <c r="BN289" s="36">
        <f t="shared" ca="1" si="487"/>
        <v>0</v>
      </c>
      <c r="BO289" s="36">
        <f t="shared" ca="1" si="488"/>
        <v>0</v>
      </c>
      <c r="BP289" s="36">
        <f t="shared" ca="1" si="489"/>
        <v>0</v>
      </c>
      <c r="BQ289" s="36">
        <f t="shared" ca="1" si="490"/>
        <v>0</v>
      </c>
      <c r="BR289" s="36">
        <f t="shared" ca="1" si="491"/>
        <v>0</v>
      </c>
      <c r="BS289" s="36">
        <f t="shared" ca="1" si="492"/>
        <v>0</v>
      </c>
      <c r="BT289" s="36">
        <f t="shared" ca="1" si="493"/>
        <v>0</v>
      </c>
      <c r="BU289" s="36">
        <f t="shared" ca="1" si="494"/>
        <v>0</v>
      </c>
      <c r="BV289" s="36">
        <f t="shared" ca="1" si="495"/>
        <v>0</v>
      </c>
      <c r="BW289" s="36">
        <f t="shared" ca="1" si="496"/>
        <v>0</v>
      </c>
      <c r="BX289" s="36">
        <f t="shared" ca="1" si="497"/>
        <v>0</v>
      </c>
      <c r="BY289" s="36">
        <f t="shared" ca="1" si="498"/>
        <v>0</v>
      </c>
      <c r="BZ289" s="36">
        <f t="shared" ca="1" si="499"/>
        <v>0</v>
      </c>
      <c r="CA289" s="36">
        <f t="shared" ca="1" si="500"/>
        <v>0</v>
      </c>
      <c r="CB289" s="36">
        <f t="shared" ca="1" si="501"/>
        <v>0</v>
      </c>
      <c r="CC289" s="36">
        <f t="shared" ca="1" si="502"/>
        <v>0</v>
      </c>
      <c r="CD289" s="36">
        <f t="shared" ca="1" si="503"/>
        <v>0</v>
      </c>
      <c r="CE289" s="36">
        <f t="shared" ca="1" si="504"/>
        <v>0</v>
      </c>
      <c r="CF289" s="36">
        <f t="shared" ca="1" si="505"/>
        <v>0</v>
      </c>
      <c r="CG289" s="36">
        <f t="shared" ca="1" si="506"/>
        <v>0</v>
      </c>
      <c r="CH289" s="36">
        <f t="shared" ca="1" si="507"/>
        <v>0</v>
      </c>
      <c r="CI289" s="36">
        <f t="shared" ca="1" si="508"/>
        <v>0</v>
      </c>
      <c r="CJ289" s="36">
        <f t="shared" ca="1" si="509"/>
        <v>0</v>
      </c>
      <c r="CK289" s="36">
        <f t="shared" ca="1" si="510"/>
        <v>0</v>
      </c>
      <c r="CL289" s="36">
        <f t="shared" ca="1" si="511"/>
        <v>0</v>
      </c>
      <c r="CM289" s="36">
        <f t="shared" ca="1" si="512"/>
        <v>0</v>
      </c>
      <c r="CN289" s="36">
        <f t="shared" ca="1" si="513"/>
        <v>0</v>
      </c>
      <c r="CO289" s="36">
        <f t="shared" ca="1" si="514"/>
        <v>0</v>
      </c>
      <c r="CP289" s="36">
        <f t="shared" ca="1" si="515"/>
        <v>0</v>
      </c>
      <c r="CQ289" s="36">
        <f t="shared" ca="1" si="516"/>
        <v>0</v>
      </c>
      <c r="CR289" s="36">
        <f t="shared" ca="1" si="517"/>
        <v>0</v>
      </c>
      <c r="CS289" s="36">
        <f t="shared" ca="1" si="518"/>
        <v>0</v>
      </c>
      <c r="CT289" s="36">
        <f t="shared" ca="1" si="519"/>
        <v>0</v>
      </c>
      <c r="CU289" s="36">
        <f t="shared" ca="1" si="535"/>
        <v>0</v>
      </c>
      <c r="CV289" s="36">
        <f t="shared" ca="1" si="535"/>
        <v>0</v>
      </c>
      <c r="CW289" s="21"/>
    </row>
    <row r="290" spans="3:101" x14ac:dyDescent="0.25">
      <c r="C290" s="49" t="str">
        <f t="shared" si="520"/>
        <v>NEW PARTNER 1DTC</v>
      </c>
      <c r="D290" s="35" t="str">
        <f>[1]Key!C$28</f>
        <v>NEW PARTNER 1</v>
      </c>
      <c r="E290" s="35" t="str">
        <f>[1]contras!H168</f>
        <v>DTC</v>
      </c>
      <c r="F290" s="41"/>
      <c r="G290" s="21"/>
      <c r="H290" s="21"/>
      <c r="I290" s="21"/>
      <c r="J290" s="21"/>
      <c r="K290" s="21"/>
      <c r="L290" s="21"/>
      <c r="M290" s="21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36">
        <f t="shared" ref="Z290:CV290" ca="1" si="536">Y290+Z170-Z230</f>
        <v>0</v>
      </c>
      <c r="AA290" s="36">
        <f t="shared" ca="1" si="536"/>
        <v>0</v>
      </c>
      <c r="AB290" s="36">
        <f t="shared" ca="1" si="536"/>
        <v>0</v>
      </c>
      <c r="AC290" s="36">
        <f t="shared" ca="1" si="536"/>
        <v>0</v>
      </c>
      <c r="AD290" s="36">
        <f t="shared" ca="1" si="536"/>
        <v>0</v>
      </c>
      <c r="AE290" s="36">
        <f t="shared" ca="1" si="536"/>
        <v>0</v>
      </c>
      <c r="AF290" s="36">
        <f t="shared" ca="1" si="536"/>
        <v>0</v>
      </c>
      <c r="AG290" s="36">
        <f t="shared" ca="1" si="536"/>
        <v>0</v>
      </c>
      <c r="AH290" s="36">
        <f t="shared" ca="1" si="536"/>
        <v>0</v>
      </c>
      <c r="AI290" s="36">
        <f t="shared" ca="1" si="536"/>
        <v>0</v>
      </c>
      <c r="AJ290" s="36">
        <f t="shared" ca="1" si="536"/>
        <v>0</v>
      </c>
      <c r="AK290" s="36">
        <f t="shared" ca="1" si="536"/>
        <v>0</v>
      </c>
      <c r="AL290" s="36">
        <f t="shared" ca="1" si="536"/>
        <v>0</v>
      </c>
      <c r="AM290" s="36">
        <f t="shared" ca="1" si="536"/>
        <v>0</v>
      </c>
      <c r="AN290" s="36">
        <f t="shared" ca="1" si="536"/>
        <v>0</v>
      </c>
      <c r="AO290" s="36">
        <f t="shared" ca="1" si="536"/>
        <v>0</v>
      </c>
      <c r="AP290" s="36">
        <f t="shared" ca="1" si="536"/>
        <v>0</v>
      </c>
      <c r="AQ290" s="36">
        <f t="shared" ca="1" si="536"/>
        <v>0</v>
      </c>
      <c r="AR290" s="36">
        <f t="shared" ca="1" si="536"/>
        <v>0</v>
      </c>
      <c r="AS290" s="36">
        <f t="shared" ca="1" si="536"/>
        <v>0</v>
      </c>
      <c r="AT290" s="36">
        <f t="shared" ca="1" si="536"/>
        <v>0</v>
      </c>
      <c r="AU290" s="36">
        <f t="shared" ca="1" si="536"/>
        <v>0</v>
      </c>
      <c r="AV290" s="36">
        <f t="shared" ca="1" si="536"/>
        <v>0</v>
      </c>
      <c r="AW290" s="36">
        <f t="shared" ca="1" si="536"/>
        <v>0</v>
      </c>
      <c r="AX290" s="36">
        <f t="shared" ca="1" si="536"/>
        <v>0</v>
      </c>
      <c r="AY290" s="36">
        <f t="shared" ca="1" si="536"/>
        <v>0</v>
      </c>
      <c r="AZ290" s="36">
        <f t="shared" ca="1" si="536"/>
        <v>0</v>
      </c>
      <c r="BA290" s="36">
        <f t="shared" ca="1" si="536"/>
        <v>0</v>
      </c>
      <c r="BB290" s="36">
        <f t="shared" ca="1" si="536"/>
        <v>0</v>
      </c>
      <c r="BC290" s="36">
        <f t="shared" ca="1" si="536"/>
        <v>0</v>
      </c>
      <c r="BD290" s="36">
        <f t="shared" ca="1" si="536"/>
        <v>0</v>
      </c>
      <c r="BE290" s="36">
        <f t="shared" ca="1" si="536"/>
        <v>0</v>
      </c>
      <c r="BF290" s="36">
        <f t="shared" ca="1" si="536"/>
        <v>0</v>
      </c>
      <c r="BG290" s="36">
        <f t="shared" ca="1" si="536"/>
        <v>0</v>
      </c>
      <c r="BH290" s="36">
        <f t="shared" ca="1" si="536"/>
        <v>0</v>
      </c>
      <c r="BI290" s="36">
        <f t="shared" ca="1" si="536"/>
        <v>0</v>
      </c>
      <c r="BJ290" s="36">
        <f t="shared" ca="1" si="483"/>
        <v>0</v>
      </c>
      <c r="BK290" s="36">
        <f t="shared" ca="1" si="484"/>
        <v>0</v>
      </c>
      <c r="BL290" s="36">
        <f t="shared" ca="1" si="485"/>
        <v>0</v>
      </c>
      <c r="BM290" s="36">
        <f t="shared" ca="1" si="486"/>
        <v>0</v>
      </c>
      <c r="BN290" s="36">
        <f t="shared" ca="1" si="487"/>
        <v>0</v>
      </c>
      <c r="BO290" s="36">
        <f t="shared" ca="1" si="488"/>
        <v>0</v>
      </c>
      <c r="BP290" s="36">
        <f t="shared" ca="1" si="489"/>
        <v>0</v>
      </c>
      <c r="BQ290" s="36">
        <f t="shared" ca="1" si="490"/>
        <v>0</v>
      </c>
      <c r="BR290" s="36">
        <f t="shared" ca="1" si="491"/>
        <v>0</v>
      </c>
      <c r="BS290" s="36">
        <f t="shared" ca="1" si="492"/>
        <v>0</v>
      </c>
      <c r="BT290" s="36">
        <f t="shared" ca="1" si="493"/>
        <v>0</v>
      </c>
      <c r="BU290" s="36">
        <f t="shared" ca="1" si="494"/>
        <v>0</v>
      </c>
      <c r="BV290" s="36">
        <f t="shared" ca="1" si="495"/>
        <v>0</v>
      </c>
      <c r="BW290" s="36">
        <f t="shared" ca="1" si="496"/>
        <v>0</v>
      </c>
      <c r="BX290" s="36">
        <f t="shared" ca="1" si="497"/>
        <v>0</v>
      </c>
      <c r="BY290" s="36">
        <f t="shared" ca="1" si="498"/>
        <v>0</v>
      </c>
      <c r="BZ290" s="36">
        <f t="shared" ca="1" si="499"/>
        <v>0</v>
      </c>
      <c r="CA290" s="36">
        <f t="shared" ca="1" si="500"/>
        <v>0</v>
      </c>
      <c r="CB290" s="36">
        <f t="shared" ca="1" si="501"/>
        <v>0</v>
      </c>
      <c r="CC290" s="36">
        <f t="shared" ca="1" si="502"/>
        <v>0</v>
      </c>
      <c r="CD290" s="36">
        <f t="shared" ca="1" si="503"/>
        <v>0</v>
      </c>
      <c r="CE290" s="36">
        <f t="shared" ca="1" si="504"/>
        <v>0</v>
      </c>
      <c r="CF290" s="36">
        <f t="shared" ca="1" si="505"/>
        <v>0</v>
      </c>
      <c r="CG290" s="36">
        <f t="shared" ca="1" si="506"/>
        <v>0</v>
      </c>
      <c r="CH290" s="36">
        <f t="shared" ca="1" si="507"/>
        <v>0</v>
      </c>
      <c r="CI290" s="36">
        <f t="shared" ca="1" si="508"/>
        <v>0</v>
      </c>
      <c r="CJ290" s="36">
        <f t="shared" ca="1" si="509"/>
        <v>0</v>
      </c>
      <c r="CK290" s="36">
        <f t="shared" ca="1" si="510"/>
        <v>0</v>
      </c>
      <c r="CL290" s="36">
        <f t="shared" ca="1" si="511"/>
        <v>0</v>
      </c>
      <c r="CM290" s="36">
        <f t="shared" ca="1" si="512"/>
        <v>0</v>
      </c>
      <c r="CN290" s="36">
        <f t="shared" ca="1" si="513"/>
        <v>0</v>
      </c>
      <c r="CO290" s="36">
        <f t="shared" ca="1" si="514"/>
        <v>0</v>
      </c>
      <c r="CP290" s="36">
        <f t="shared" ca="1" si="515"/>
        <v>0</v>
      </c>
      <c r="CQ290" s="36">
        <f t="shared" ca="1" si="516"/>
        <v>0</v>
      </c>
      <c r="CR290" s="36">
        <f t="shared" ca="1" si="517"/>
        <v>0</v>
      </c>
      <c r="CS290" s="36">
        <f t="shared" ca="1" si="518"/>
        <v>0</v>
      </c>
      <c r="CT290" s="36">
        <f t="shared" ca="1" si="519"/>
        <v>0</v>
      </c>
      <c r="CU290" s="36">
        <f t="shared" ca="1" si="536"/>
        <v>0</v>
      </c>
      <c r="CV290" s="36">
        <f t="shared" ca="1" si="536"/>
        <v>0</v>
      </c>
      <c r="CW290" s="21"/>
    </row>
    <row r="291" spans="3:101" x14ac:dyDescent="0.25">
      <c r="C291" s="49" t="str">
        <f t="shared" si="520"/>
        <v>NEW PARTNER 2DTC</v>
      </c>
      <c r="D291" s="35" t="str">
        <f>[1]Key!C$29</f>
        <v>NEW PARTNER 2</v>
      </c>
      <c r="E291" s="35" t="str">
        <f>[1]contras!H169</f>
        <v>DTC</v>
      </c>
      <c r="F291" s="41"/>
      <c r="G291" s="21"/>
      <c r="H291" s="21"/>
      <c r="I291" s="21"/>
      <c r="J291" s="21"/>
      <c r="K291" s="21"/>
      <c r="L291" s="21"/>
      <c r="M291" s="21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36">
        <f t="shared" ref="Z291:CV291" ca="1" si="537">Y291+Z171-Z231</f>
        <v>0</v>
      </c>
      <c r="AA291" s="36">
        <f t="shared" ca="1" si="537"/>
        <v>0</v>
      </c>
      <c r="AB291" s="36">
        <f t="shared" ca="1" si="537"/>
        <v>0</v>
      </c>
      <c r="AC291" s="36">
        <f t="shared" ca="1" si="537"/>
        <v>0</v>
      </c>
      <c r="AD291" s="36">
        <f t="shared" ca="1" si="537"/>
        <v>0</v>
      </c>
      <c r="AE291" s="36">
        <f t="shared" ca="1" si="537"/>
        <v>0</v>
      </c>
      <c r="AF291" s="36">
        <f t="shared" ca="1" si="537"/>
        <v>0</v>
      </c>
      <c r="AG291" s="36">
        <f t="shared" ca="1" si="537"/>
        <v>0</v>
      </c>
      <c r="AH291" s="36">
        <f t="shared" ca="1" si="537"/>
        <v>0</v>
      </c>
      <c r="AI291" s="36">
        <f t="shared" ca="1" si="537"/>
        <v>0</v>
      </c>
      <c r="AJ291" s="36">
        <f t="shared" ca="1" si="537"/>
        <v>0</v>
      </c>
      <c r="AK291" s="36">
        <f t="shared" ca="1" si="537"/>
        <v>0</v>
      </c>
      <c r="AL291" s="36">
        <f t="shared" ca="1" si="537"/>
        <v>0</v>
      </c>
      <c r="AM291" s="36">
        <f t="shared" ca="1" si="537"/>
        <v>0</v>
      </c>
      <c r="AN291" s="36">
        <f t="shared" ca="1" si="537"/>
        <v>0</v>
      </c>
      <c r="AO291" s="36">
        <f t="shared" ca="1" si="537"/>
        <v>0</v>
      </c>
      <c r="AP291" s="36">
        <f t="shared" ca="1" si="537"/>
        <v>0</v>
      </c>
      <c r="AQ291" s="36">
        <f t="shared" ca="1" si="537"/>
        <v>0</v>
      </c>
      <c r="AR291" s="36">
        <f t="shared" ca="1" si="537"/>
        <v>0</v>
      </c>
      <c r="AS291" s="36">
        <f t="shared" ca="1" si="537"/>
        <v>0</v>
      </c>
      <c r="AT291" s="36">
        <f t="shared" ca="1" si="537"/>
        <v>0</v>
      </c>
      <c r="AU291" s="36">
        <f t="shared" ca="1" si="537"/>
        <v>0</v>
      </c>
      <c r="AV291" s="36">
        <f t="shared" ca="1" si="537"/>
        <v>0</v>
      </c>
      <c r="AW291" s="36">
        <f t="shared" ca="1" si="537"/>
        <v>0</v>
      </c>
      <c r="AX291" s="36">
        <f t="shared" ca="1" si="537"/>
        <v>0</v>
      </c>
      <c r="AY291" s="36">
        <f t="shared" ca="1" si="537"/>
        <v>0</v>
      </c>
      <c r="AZ291" s="36">
        <f t="shared" ca="1" si="537"/>
        <v>0</v>
      </c>
      <c r="BA291" s="36">
        <f t="shared" ca="1" si="537"/>
        <v>0</v>
      </c>
      <c r="BB291" s="36">
        <f t="shared" ca="1" si="537"/>
        <v>0</v>
      </c>
      <c r="BC291" s="36">
        <f t="shared" ca="1" si="537"/>
        <v>0</v>
      </c>
      <c r="BD291" s="36">
        <f t="shared" ca="1" si="537"/>
        <v>0</v>
      </c>
      <c r="BE291" s="36">
        <f t="shared" ca="1" si="537"/>
        <v>0</v>
      </c>
      <c r="BF291" s="36">
        <f t="shared" ca="1" si="537"/>
        <v>0</v>
      </c>
      <c r="BG291" s="36">
        <f t="shared" ca="1" si="537"/>
        <v>0</v>
      </c>
      <c r="BH291" s="36">
        <f t="shared" ca="1" si="537"/>
        <v>0</v>
      </c>
      <c r="BI291" s="36">
        <f t="shared" ca="1" si="537"/>
        <v>0</v>
      </c>
      <c r="BJ291" s="36">
        <f t="shared" ca="1" si="483"/>
        <v>0</v>
      </c>
      <c r="BK291" s="36">
        <f t="shared" ca="1" si="484"/>
        <v>0</v>
      </c>
      <c r="BL291" s="36">
        <f t="shared" ca="1" si="485"/>
        <v>0</v>
      </c>
      <c r="BM291" s="36">
        <f t="shared" ca="1" si="486"/>
        <v>0</v>
      </c>
      <c r="BN291" s="36">
        <f t="shared" ca="1" si="487"/>
        <v>0</v>
      </c>
      <c r="BO291" s="36">
        <f t="shared" ca="1" si="488"/>
        <v>0</v>
      </c>
      <c r="BP291" s="36">
        <f t="shared" ca="1" si="489"/>
        <v>0</v>
      </c>
      <c r="BQ291" s="36">
        <f t="shared" ca="1" si="490"/>
        <v>0</v>
      </c>
      <c r="BR291" s="36">
        <f t="shared" ca="1" si="491"/>
        <v>0</v>
      </c>
      <c r="BS291" s="36">
        <f t="shared" ca="1" si="492"/>
        <v>0</v>
      </c>
      <c r="BT291" s="36">
        <f t="shared" ca="1" si="493"/>
        <v>0</v>
      </c>
      <c r="BU291" s="36">
        <f t="shared" ca="1" si="494"/>
        <v>0</v>
      </c>
      <c r="BV291" s="36">
        <f t="shared" ca="1" si="495"/>
        <v>0</v>
      </c>
      <c r="BW291" s="36">
        <f t="shared" ca="1" si="496"/>
        <v>0</v>
      </c>
      <c r="BX291" s="36">
        <f t="shared" ca="1" si="497"/>
        <v>0</v>
      </c>
      <c r="BY291" s="36">
        <f t="shared" ca="1" si="498"/>
        <v>0</v>
      </c>
      <c r="BZ291" s="36">
        <f t="shared" ca="1" si="499"/>
        <v>0</v>
      </c>
      <c r="CA291" s="36">
        <f t="shared" ca="1" si="500"/>
        <v>0</v>
      </c>
      <c r="CB291" s="36">
        <f t="shared" ca="1" si="501"/>
        <v>0</v>
      </c>
      <c r="CC291" s="36">
        <f t="shared" ca="1" si="502"/>
        <v>0</v>
      </c>
      <c r="CD291" s="36">
        <f t="shared" ca="1" si="503"/>
        <v>0</v>
      </c>
      <c r="CE291" s="36">
        <f t="shared" ca="1" si="504"/>
        <v>0</v>
      </c>
      <c r="CF291" s="36">
        <f t="shared" ca="1" si="505"/>
        <v>0</v>
      </c>
      <c r="CG291" s="36">
        <f t="shared" ca="1" si="506"/>
        <v>0</v>
      </c>
      <c r="CH291" s="36">
        <f t="shared" ca="1" si="507"/>
        <v>0</v>
      </c>
      <c r="CI291" s="36">
        <f t="shared" ca="1" si="508"/>
        <v>0</v>
      </c>
      <c r="CJ291" s="36">
        <f t="shared" ca="1" si="509"/>
        <v>0</v>
      </c>
      <c r="CK291" s="36">
        <f t="shared" ca="1" si="510"/>
        <v>0</v>
      </c>
      <c r="CL291" s="36">
        <f t="shared" ca="1" si="511"/>
        <v>0</v>
      </c>
      <c r="CM291" s="36">
        <f t="shared" ca="1" si="512"/>
        <v>0</v>
      </c>
      <c r="CN291" s="36">
        <f t="shared" ca="1" si="513"/>
        <v>0</v>
      </c>
      <c r="CO291" s="36">
        <f t="shared" ca="1" si="514"/>
        <v>0</v>
      </c>
      <c r="CP291" s="36">
        <f t="shared" ca="1" si="515"/>
        <v>0</v>
      </c>
      <c r="CQ291" s="36">
        <f t="shared" ca="1" si="516"/>
        <v>0</v>
      </c>
      <c r="CR291" s="36">
        <f t="shared" ca="1" si="517"/>
        <v>0</v>
      </c>
      <c r="CS291" s="36">
        <f t="shared" ca="1" si="518"/>
        <v>0</v>
      </c>
      <c r="CT291" s="36">
        <f t="shared" ca="1" si="519"/>
        <v>0</v>
      </c>
      <c r="CU291" s="36">
        <f t="shared" ca="1" si="537"/>
        <v>0</v>
      </c>
      <c r="CV291" s="36">
        <f t="shared" ca="1" si="537"/>
        <v>0</v>
      </c>
      <c r="CW291" s="21"/>
    </row>
    <row r="292" spans="3:101" x14ac:dyDescent="0.25">
      <c r="C292" s="49" t="str">
        <f t="shared" si="520"/>
        <v>PIGALLEDTC</v>
      </c>
      <c r="D292" s="35" t="str">
        <f>[1]Key!C$30</f>
        <v>PIGALLE</v>
      </c>
      <c r="E292" s="35" t="str">
        <f>[1]contras!H170</f>
        <v>DTC</v>
      </c>
      <c r="F292" s="41"/>
      <c r="G292" s="21"/>
      <c r="H292" s="21"/>
      <c r="I292" s="21"/>
      <c r="J292" s="21"/>
      <c r="K292" s="21"/>
      <c r="L292" s="21"/>
      <c r="M292" s="21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36">
        <f t="shared" ref="Z292:CV292" ca="1" si="538">Y292+Z172-Z232</f>
        <v>0</v>
      </c>
      <c r="AA292" s="36">
        <f t="shared" ca="1" si="538"/>
        <v>0</v>
      </c>
      <c r="AB292" s="36">
        <f t="shared" ca="1" si="538"/>
        <v>0</v>
      </c>
      <c r="AC292" s="36">
        <f t="shared" ca="1" si="538"/>
        <v>0</v>
      </c>
      <c r="AD292" s="36">
        <f t="shared" ca="1" si="538"/>
        <v>0</v>
      </c>
      <c r="AE292" s="36">
        <f t="shared" ca="1" si="538"/>
        <v>0</v>
      </c>
      <c r="AF292" s="36">
        <f t="shared" ca="1" si="538"/>
        <v>0</v>
      </c>
      <c r="AG292" s="36">
        <f t="shared" ca="1" si="538"/>
        <v>0</v>
      </c>
      <c r="AH292" s="36">
        <f t="shared" ca="1" si="538"/>
        <v>0</v>
      </c>
      <c r="AI292" s="36">
        <f t="shared" ca="1" si="538"/>
        <v>0</v>
      </c>
      <c r="AJ292" s="36">
        <f t="shared" ca="1" si="538"/>
        <v>0</v>
      </c>
      <c r="AK292" s="36">
        <f t="shared" ca="1" si="538"/>
        <v>0</v>
      </c>
      <c r="AL292" s="36">
        <f t="shared" ca="1" si="538"/>
        <v>0</v>
      </c>
      <c r="AM292" s="36">
        <f t="shared" ca="1" si="538"/>
        <v>0</v>
      </c>
      <c r="AN292" s="36">
        <f t="shared" ca="1" si="538"/>
        <v>0</v>
      </c>
      <c r="AO292" s="36">
        <f t="shared" ca="1" si="538"/>
        <v>0</v>
      </c>
      <c r="AP292" s="36">
        <f t="shared" ca="1" si="538"/>
        <v>0</v>
      </c>
      <c r="AQ292" s="36">
        <f t="shared" ca="1" si="538"/>
        <v>0</v>
      </c>
      <c r="AR292" s="36">
        <f t="shared" ca="1" si="538"/>
        <v>0</v>
      </c>
      <c r="AS292" s="36">
        <f t="shared" ca="1" si="538"/>
        <v>0</v>
      </c>
      <c r="AT292" s="36">
        <f t="shared" ca="1" si="538"/>
        <v>0</v>
      </c>
      <c r="AU292" s="36">
        <f t="shared" ca="1" si="538"/>
        <v>0</v>
      </c>
      <c r="AV292" s="36">
        <f t="shared" ca="1" si="538"/>
        <v>0</v>
      </c>
      <c r="AW292" s="36">
        <f t="shared" ca="1" si="538"/>
        <v>0</v>
      </c>
      <c r="AX292" s="36">
        <f t="shared" ca="1" si="538"/>
        <v>0</v>
      </c>
      <c r="AY292" s="36">
        <f t="shared" ca="1" si="538"/>
        <v>0</v>
      </c>
      <c r="AZ292" s="36">
        <f t="shared" ca="1" si="538"/>
        <v>0</v>
      </c>
      <c r="BA292" s="36">
        <f t="shared" ca="1" si="538"/>
        <v>0</v>
      </c>
      <c r="BB292" s="36">
        <f t="shared" ca="1" si="538"/>
        <v>0</v>
      </c>
      <c r="BC292" s="36">
        <f t="shared" ca="1" si="538"/>
        <v>0</v>
      </c>
      <c r="BD292" s="36">
        <f t="shared" ca="1" si="538"/>
        <v>0</v>
      </c>
      <c r="BE292" s="36">
        <f t="shared" ca="1" si="538"/>
        <v>0</v>
      </c>
      <c r="BF292" s="36">
        <f t="shared" ca="1" si="538"/>
        <v>0</v>
      </c>
      <c r="BG292" s="36">
        <f t="shared" ca="1" si="538"/>
        <v>0</v>
      </c>
      <c r="BH292" s="36">
        <f t="shared" ca="1" si="538"/>
        <v>0</v>
      </c>
      <c r="BI292" s="36">
        <f t="shared" ca="1" si="538"/>
        <v>0</v>
      </c>
      <c r="BJ292" s="36">
        <f t="shared" ca="1" si="483"/>
        <v>0</v>
      </c>
      <c r="BK292" s="36">
        <f t="shared" ca="1" si="484"/>
        <v>0</v>
      </c>
      <c r="BL292" s="36">
        <f t="shared" ca="1" si="485"/>
        <v>0</v>
      </c>
      <c r="BM292" s="36">
        <f t="shared" ca="1" si="486"/>
        <v>0</v>
      </c>
      <c r="BN292" s="36">
        <f t="shared" ca="1" si="487"/>
        <v>0</v>
      </c>
      <c r="BO292" s="36">
        <f t="shared" ca="1" si="488"/>
        <v>0</v>
      </c>
      <c r="BP292" s="36">
        <f t="shared" ca="1" si="489"/>
        <v>0</v>
      </c>
      <c r="BQ292" s="36">
        <f t="shared" ca="1" si="490"/>
        <v>0</v>
      </c>
      <c r="BR292" s="36">
        <f t="shared" ca="1" si="491"/>
        <v>0</v>
      </c>
      <c r="BS292" s="36">
        <f t="shared" ca="1" si="492"/>
        <v>0</v>
      </c>
      <c r="BT292" s="36">
        <f t="shared" ca="1" si="493"/>
        <v>0</v>
      </c>
      <c r="BU292" s="36">
        <f t="shared" ca="1" si="494"/>
        <v>0</v>
      </c>
      <c r="BV292" s="36">
        <f t="shared" ca="1" si="495"/>
        <v>0</v>
      </c>
      <c r="BW292" s="36">
        <f t="shared" ca="1" si="496"/>
        <v>0</v>
      </c>
      <c r="BX292" s="36">
        <f t="shared" ca="1" si="497"/>
        <v>0</v>
      </c>
      <c r="BY292" s="36">
        <f t="shared" ca="1" si="498"/>
        <v>0</v>
      </c>
      <c r="BZ292" s="36">
        <f t="shared" ca="1" si="499"/>
        <v>0</v>
      </c>
      <c r="CA292" s="36">
        <f t="shared" ca="1" si="500"/>
        <v>0</v>
      </c>
      <c r="CB292" s="36">
        <f t="shared" ca="1" si="501"/>
        <v>0</v>
      </c>
      <c r="CC292" s="36">
        <f t="shared" ca="1" si="502"/>
        <v>0</v>
      </c>
      <c r="CD292" s="36">
        <f t="shared" ca="1" si="503"/>
        <v>0</v>
      </c>
      <c r="CE292" s="36">
        <f t="shared" ca="1" si="504"/>
        <v>0</v>
      </c>
      <c r="CF292" s="36">
        <f t="shared" ca="1" si="505"/>
        <v>0</v>
      </c>
      <c r="CG292" s="36">
        <f t="shared" ca="1" si="506"/>
        <v>0</v>
      </c>
      <c r="CH292" s="36">
        <f t="shared" ca="1" si="507"/>
        <v>0</v>
      </c>
      <c r="CI292" s="36">
        <f t="shared" ca="1" si="508"/>
        <v>0</v>
      </c>
      <c r="CJ292" s="36">
        <f t="shared" ca="1" si="509"/>
        <v>0</v>
      </c>
      <c r="CK292" s="36">
        <f t="shared" ca="1" si="510"/>
        <v>0</v>
      </c>
      <c r="CL292" s="36">
        <f t="shared" ca="1" si="511"/>
        <v>0</v>
      </c>
      <c r="CM292" s="36">
        <f t="shared" ca="1" si="512"/>
        <v>0</v>
      </c>
      <c r="CN292" s="36">
        <f t="shared" ca="1" si="513"/>
        <v>0</v>
      </c>
      <c r="CO292" s="36">
        <f t="shared" ca="1" si="514"/>
        <v>0</v>
      </c>
      <c r="CP292" s="36">
        <f t="shared" ca="1" si="515"/>
        <v>0</v>
      </c>
      <c r="CQ292" s="36">
        <f t="shared" ca="1" si="516"/>
        <v>0</v>
      </c>
      <c r="CR292" s="36">
        <f t="shared" ca="1" si="517"/>
        <v>0</v>
      </c>
      <c r="CS292" s="36">
        <f t="shared" ca="1" si="518"/>
        <v>0</v>
      </c>
      <c r="CT292" s="36">
        <f t="shared" ca="1" si="519"/>
        <v>0</v>
      </c>
      <c r="CU292" s="36">
        <f t="shared" ca="1" si="538"/>
        <v>0</v>
      </c>
      <c r="CV292" s="36">
        <f t="shared" ca="1" si="538"/>
        <v>0</v>
      </c>
      <c r="CW292" s="21"/>
    </row>
    <row r="293" spans="3:101" x14ac:dyDescent="0.25">
      <c r="C293" s="49" t="str">
        <f t="shared" si="520"/>
        <v>SPORT PLACEHOLDERDTC</v>
      </c>
      <c r="D293" s="35" t="str">
        <f>[1]Key!C$31</f>
        <v>SPORT PLACEHOLDER</v>
      </c>
      <c r="E293" s="35" t="str">
        <f>[1]contras!H171</f>
        <v>DTC</v>
      </c>
      <c r="F293" s="41"/>
      <c r="G293" s="21"/>
      <c r="H293" s="21"/>
      <c r="I293" s="21"/>
      <c r="J293" s="21"/>
      <c r="K293" s="21"/>
      <c r="L293" s="21"/>
      <c r="M293" s="21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36">
        <f t="shared" ref="Z293:CV293" ca="1" si="539">Y293+Z173-Z233</f>
        <v>0</v>
      </c>
      <c r="AA293" s="36">
        <f t="shared" ca="1" si="539"/>
        <v>0</v>
      </c>
      <c r="AB293" s="36">
        <f t="shared" ca="1" si="539"/>
        <v>0</v>
      </c>
      <c r="AC293" s="36">
        <f t="shared" ca="1" si="539"/>
        <v>0</v>
      </c>
      <c r="AD293" s="36">
        <f t="shared" ca="1" si="539"/>
        <v>0</v>
      </c>
      <c r="AE293" s="36">
        <f t="shared" ca="1" si="539"/>
        <v>0</v>
      </c>
      <c r="AF293" s="36">
        <f t="shared" ca="1" si="539"/>
        <v>0</v>
      </c>
      <c r="AG293" s="36">
        <f t="shared" ca="1" si="539"/>
        <v>0</v>
      </c>
      <c r="AH293" s="36">
        <f t="shared" ca="1" si="539"/>
        <v>0</v>
      </c>
      <c r="AI293" s="36">
        <f t="shared" ca="1" si="539"/>
        <v>0</v>
      </c>
      <c r="AJ293" s="36">
        <f t="shared" ca="1" si="539"/>
        <v>0</v>
      </c>
      <c r="AK293" s="36">
        <f t="shared" ca="1" si="539"/>
        <v>0</v>
      </c>
      <c r="AL293" s="36">
        <f t="shared" ca="1" si="539"/>
        <v>0</v>
      </c>
      <c r="AM293" s="36">
        <f t="shared" ca="1" si="539"/>
        <v>0</v>
      </c>
      <c r="AN293" s="36">
        <f t="shared" ca="1" si="539"/>
        <v>0</v>
      </c>
      <c r="AO293" s="36">
        <f t="shared" ca="1" si="539"/>
        <v>0</v>
      </c>
      <c r="AP293" s="36">
        <f t="shared" ca="1" si="539"/>
        <v>0</v>
      </c>
      <c r="AQ293" s="36">
        <f t="shared" ca="1" si="539"/>
        <v>0</v>
      </c>
      <c r="AR293" s="36">
        <f t="shared" ca="1" si="539"/>
        <v>0</v>
      </c>
      <c r="AS293" s="36">
        <f t="shared" ca="1" si="539"/>
        <v>0</v>
      </c>
      <c r="AT293" s="36">
        <f t="shared" ca="1" si="539"/>
        <v>0</v>
      </c>
      <c r="AU293" s="36">
        <f t="shared" ca="1" si="539"/>
        <v>0</v>
      </c>
      <c r="AV293" s="36">
        <f t="shared" ca="1" si="539"/>
        <v>0</v>
      </c>
      <c r="AW293" s="36">
        <f t="shared" ca="1" si="539"/>
        <v>0</v>
      </c>
      <c r="AX293" s="36">
        <f t="shared" ca="1" si="539"/>
        <v>0</v>
      </c>
      <c r="AY293" s="36">
        <f t="shared" ca="1" si="539"/>
        <v>0</v>
      </c>
      <c r="AZ293" s="36">
        <f t="shared" ca="1" si="539"/>
        <v>0</v>
      </c>
      <c r="BA293" s="36">
        <f t="shared" ca="1" si="539"/>
        <v>0</v>
      </c>
      <c r="BB293" s="36">
        <f t="shared" ca="1" si="539"/>
        <v>0</v>
      </c>
      <c r="BC293" s="36">
        <f t="shared" ca="1" si="539"/>
        <v>0</v>
      </c>
      <c r="BD293" s="36">
        <f t="shared" ca="1" si="539"/>
        <v>0</v>
      </c>
      <c r="BE293" s="36">
        <f t="shared" ca="1" si="539"/>
        <v>0</v>
      </c>
      <c r="BF293" s="36">
        <f t="shared" ca="1" si="539"/>
        <v>0</v>
      </c>
      <c r="BG293" s="36">
        <f t="shared" ca="1" si="539"/>
        <v>0</v>
      </c>
      <c r="BH293" s="36">
        <f t="shared" ca="1" si="539"/>
        <v>0</v>
      </c>
      <c r="BI293" s="36">
        <f t="shared" ca="1" si="539"/>
        <v>0</v>
      </c>
      <c r="BJ293" s="36">
        <f t="shared" ca="1" si="483"/>
        <v>0</v>
      </c>
      <c r="BK293" s="36">
        <f t="shared" ca="1" si="484"/>
        <v>0</v>
      </c>
      <c r="BL293" s="36">
        <f t="shared" ca="1" si="485"/>
        <v>0</v>
      </c>
      <c r="BM293" s="36">
        <f t="shared" ca="1" si="486"/>
        <v>0</v>
      </c>
      <c r="BN293" s="36">
        <f t="shared" ca="1" si="487"/>
        <v>0</v>
      </c>
      <c r="BO293" s="36">
        <f t="shared" ca="1" si="488"/>
        <v>0</v>
      </c>
      <c r="BP293" s="36">
        <f t="shared" ca="1" si="489"/>
        <v>0</v>
      </c>
      <c r="BQ293" s="36">
        <f t="shared" ca="1" si="490"/>
        <v>0</v>
      </c>
      <c r="BR293" s="36">
        <f t="shared" ca="1" si="491"/>
        <v>0</v>
      </c>
      <c r="BS293" s="36">
        <f t="shared" ca="1" si="492"/>
        <v>0</v>
      </c>
      <c r="BT293" s="36">
        <f t="shared" ca="1" si="493"/>
        <v>0</v>
      </c>
      <c r="BU293" s="36">
        <f t="shared" ca="1" si="494"/>
        <v>0</v>
      </c>
      <c r="BV293" s="36">
        <f t="shared" ca="1" si="495"/>
        <v>0</v>
      </c>
      <c r="BW293" s="36">
        <f t="shared" ca="1" si="496"/>
        <v>0</v>
      </c>
      <c r="BX293" s="36">
        <f t="shared" ca="1" si="497"/>
        <v>0</v>
      </c>
      <c r="BY293" s="36">
        <f t="shared" ca="1" si="498"/>
        <v>0</v>
      </c>
      <c r="BZ293" s="36">
        <f t="shared" ca="1" si="499"/>
        <v>0</v>
      </c>
      <c r="CA293" s="36">
        <f t="shared" ca="1" si="500"/>
        <v>0</v>
      </c>
      <c r="CB293" s="36">
        <f t="shared" ca="1" si="501"/>
        <v>0</v>
      </c>
      <c r="CC293" s="36">
        <f t="shared" ca="1" si="502"/>
        <v>0</v>
      </c>
      <c r="CD293" s="36">
        <f t="shared" ca="1" si="503"/>
        <v>0</v>
      </c>
      <c r="CE293" s="36">
        <f t="shared" ca="1" si="504"/>
        <v>0</v>
      </c>
      <c r="CF293" s="36">
        <f t="shared" ca="1" si="505"/>
        <v>0</v>
      </c>
      <c r="CG293" s="36">
        <f t="shared" ca="1" si="506"/>
        <v>0</v>
      </c>
      <c r="CH293" s="36">
        <f t="shared" ca="1" si="507"/>
        <v>0</v>
      </c>
      <c r="CI293" s="36">
        <f t="shared" ca="1" si="508"/>
        <v>0</v>
      </c>
      <c r="CJ293" s="36">
        <f t="shared" ca="1" si="509"/>
        <v>0</v>
      </c>
      <c r="CK293" s="36">
        <f t="shared" ca="1" si="510"/>
        <v>0</v>
      </c>
      <c r="CL293" s="36">
        <f t="shared" ca="1" si="511"/>
        <v>0</v>
      </c>
      <c r="CM293" s="36">
        <f t="shared" ca="1" si="512"/>
        <v>0</v>
      </c>
      <c r="CN293" s="36">
        <f t="shared" ca="1" si="513"/>
        <v>0</v>
      </c>
      <c r="CO293" s="36">
        <f t="shared" ca="1" si="514"/>
        <v>0</v>
      </c>
      <c r="CP293" s="36">
        <f t="shared" ca="1" si="515"/>
        <v>0</v>
      </c>
      <c r="CQ293" s="36">
        <f t="shared" ca="1" si="516"/>
        <v>0</v>
      </c>
      <c r="CR293" s="36">
        <f t="shared" ca="1" si="517"/>
        <v>0</v>
      </c>
      <c r="CS293" s="36">
        <f t="shared" ca="1" si="518"/>
        <v>0</v>
      </c>
      <c r="CT293" s="36">
        <f t="shared" ca="1" si="519"/>
        <v>0</v>
      </c>
      <c r="CU293" s="36">
        <f t="shared" ca="1" si="539"/>
        <v>0</v>
      </c>
      <c r="CV293" s="36">
        <f t="shared" ca="1" si="539"/>
        <v>0</v>
      </c>
      <c r="CW293" s="21"/>
    </row>
    <row r="294" spans="3:101" x14ac:dyDescent="0.25">
      <c r="C294" s="49" t="str">
        <f t="shared" si="520"/>
        <v>SPUNGEDTC</v>
      </c>
      <c r="D294" s="35" t="str">
        <f>[1]Key!C$32</f>
        <v>SPUNGE</v>
      </c>
      <c r="E294" s="35" t="str">
        <f>[1]contras!H172</f>
        <v>DTC</v>
      </c>
      <c r="F294" s="41"/>
      <c r="G294" s="21"/>
      <c r="H294" s="21"/>
      <c r="I294" s="21"/>
      <c r="J294" s="21"/>
      <c r="K294" s="21"/>
      <c r="L294" s="21"/>
      <c r="M294" s="21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36">
        <f t="shared" ref="Z294:CV294" ca="1" si="540">Y294+Z174-Z234</f>
        <v>0</v>
      </c>
      <c r="AA294" s="36">
        <f t="shared" ca="1" si="540"/>
        <v>0</v>
      </c>
      <c r="AB294" s="36">
        <f t="shared" ca="1" si="540"/>
        <v>0</v>
      </c>
      <c r="AC294" s="36">
        <f t="shared" ca="1" si="540"/>
        <v>0</v>
      </c>
      <c r="AD294" s="36">
        <f t="shared" ca="1" si="540"/>
        <v>0</v>
      </c>
      <c r="AE294" s="36">
        <f t="shared" ca="1" si="540"/>
        <v>0</v>
      </c>
      <c r="AF294" s="36">
        <f t="shared" ca="1" si="540"/>
        <v>0</v>
      </c>
      <c r="AG294" s="36">
        <f t="shared" ca="1" si="540"/>
        <v>0</v>
      </c>
      <c r="AH294" s="36">
        <f t="shared" ca="1" si="540"/>
        <v>0</v>
      </c>
      <c r="AI294" s="36">
        <f t="shared" ca="1" si="540"/>
        <v>0</v>
      </c>
      <c r="AJ294" s="36">
        <f t="shared" ca="1" si="540"/>
        <v>0</v>
      </c>
      <c r="AK294" s="36">
        <f t="shared" ca="1" si="540"/>
        <v>0</v>
      </c>
      <c r="AL294" s="36">
        <f t="shared" ca="1" si="540"/>
        <v>0</v>
      </c>
      <c r="AM294" s="36">
        <f t="shared" ca="1" si="540"/>
        <v>0</v>
      </c>
      <c r="AN294" s="36">
        <f t="shared" ca="1" si="540"/>
        <v>0</v>
      </c>
      <c r="AO294" s="36">
        <f t="shared" ca="1" si="540"/>
        <v>0</v>
      </c>
      <c r="AP294" s="36">
        <f t="shared" ca="1" si="540"/>
        <v>0</v>
      </c>
      <c r="AQ294" s="36">
        <f t="shared" ca="1" si="540"/>
        <v>0</v>
      </c>
      <c r="AR294" s="36">
        <f t="shared" ca="1" si="540"/>
        <v>0</v>
      </c>
      <c r="AS294" s="36">
        <f t="shared" ca="1" si="540"/>
        <v>0</v>
      </c>
      <c r="AT294" s="36">
        <f t="shared" ca="1" si="540"/>
        <v>0</v>
      </c>
      <c r="AU294" s="36">
        <f t="shared" ca="1" si="540"/>
        <v>0</v>
      </c>
      <c r="AV294" s="36">
        <f t="shared" ca="1" si="540"/>
        <v>0</v>
      </c>
      <c r="AW294" s="36">
        <f t="shared" ca="1" si="540"/>
        <v>0</v>
      </c>
      <c r="AX294" s="36">
        <f t="shared" ca="1" si="540"/>
        <v>0</v>
      </c>
      <c r="AY294" s="36">
        <f t="shared" ca="1" si="540"/>
        <v>0</v>
      </c>
      <c r="AZ294" s="36">
        <f t="shared" ca="1" si="540"/>
        <v>0</v>
      </c>
      <c r="BA294" s="36">
        <f t="shared" ca="1" si="540"/>
        <v>0</v>
      </c>
      <c r="BB294" s="36">
        <f t="shared" ca="1" si="540"/>
        <v>0</v>
      </c>
      <c r="BC294" s="36">
        <f t="shared" ca="1" si="540"/>
        <v>0</v>
      </c>
      <c r="BD294" s="36">
        <f t="shared" ca="1" si="540"/>
        <v>0</v>
      </c>
      <c r="BE294" s="36">
        <f t="shared" ca="1" si="540"/>
        <v>0</v>
      </c>
      <c r="BF294" s="36">
        <f t="shared" ca="1" si="540"/>
        <v>0</v>
      </c>
      <c r="BG294" s="36">
        <f t="shared" ca="1" si="540"/>
        <v>0</v>
      </c>
      <c r="BH294" s="36">
        <f t="shared" ca="1" si="540"/>
        <v>0</v>
      </c>
      <c r="BI294" s="36">
        <f t="shared" ca="1" si="540"/>
        <v>0</v>
      </c>
      <c r="BJ294" s="36">
        <f t="shared" ca="1" si="483"/>
        <v>0</v>
      </c>
      <c r="BK294" s="36">
        <f t="shared" ca="1" si="484"/>
        <v>0</v>
      </c>
      <c r="BL294" s="36">
        <f t="shared" ca="1" si="485"/>
        <v>0</v>
      </c>
      <c r="BM294" s="36">
        <f t="shared" ca="1" si="486"/>
        <v>0</v>
      </c>
      <c r="BN294" s="36">
        <f t="shared" ca="1" si="487"/>
        <v>0</v>
      </c>
      <c r="BO294" s="36">
        <f t="shared" ca="1" si="488"/>
        <v>0</v>
      </c>
      <c r="BP294" s="36">
        <f t="shared" ca="1" si="489"/>
        <v>0</v>
      </c>
      <c r="BQ294" s="36">
        <f t="shared" ca="1" si="490"/>
        <v>0</v>
      </c>
      <c r="BR294" s="36">
        <f t="shared" ca="1" si="491"/>
        <v>0</v>
      </c>
      <c r="BS294" s="36">
        <f t="shared" ca="1" si="492"/>
        <v>0</v>
      </c>
      <c r="BT294" s="36">
        <f t="shared" ca="1" si="493"/>
        <v>0</v>
      </c>
      <c r="BU294" s="36">
        <f t="shared" ca="1" si="494"/>
        <v>0</v>
      </c>
      <c r="BV294" s="36">
        <f t="shared" ca="1" si="495"/>
        <v>0</v>
      </c>
      <c r="BW294" s="36">
        <f t="shared" ca="1" si="496"/>
        <v>0</v>
      </c>
      <c r="BX294" s="36">
        <f t="shared" ca="1" si="497"/>
        <v>0</v>
      </c>
      <c r="BY294" s="36">
        <f t="shared" ca="1" si="498"/>
        <v>0</v>
      </c>
      <c r="BZ294" s="36">
        <f t="shared" ca="1" si="499"/>
        <v>0</v>
      </c>
      <c r="CA294" s="36">
        <f t="shared" ca="1" si="500"/>
        <v>0</v>
      </c>
      <c r="CB294" s="36">
        <f t="shared" ca="1" si="501"/>
        <v>0</v>
      </c>
      <c r="CC294" s="36">
        <f t="shared" ca="1" si="502"/>
        <v>0</v>
      </c>
      <c r="CD294" s="36">
        <f t="shared" ca="1" si="503"/>
        <v>0</v>
      </c>
      <c r="CE294" s="36">
        <f t="shared" ca="1" si="504"/>
        <v>0</v>
      </c>
      <c r="CF294" s="36">
        <f t="shared" ca="1" si="505"/>
        <v>0</v>
      </c>
      <c r="CG294" s="36">
        <f t="shared" ca="1" si="506"/>
        <v>0</v>
      </c>
      <c r="CH294" s="36">
        <f t="shared" ca="1" si="507"/>
        <v>0</v>
      </c>
      <c r="CI294" s="36">
        <f t="shared" ca="1" si="508"/>
        <v>0</v>
      </c>
      <c r="CJ294" s="36">
        <f t="shared" ca="1" si="509"/>
        <v>0</v>
      </c>
      <c r="CK294" s="36">
        <f t="shared" ca="1" si="510"/>
        <v>0</v>
      </c>
      <c r="CL294" s="36">
        <f t="shared" ca="1" si="511"/>
        <v>0</v>
      </c>
      <c r="CM294" s="36">
        <f t="shared" ca="1" si="512"/>
        <v>0</v>
      </c>
      <c r="CN294" s="36">
        <f t="shared" ca="1" si="513"/>
        <v>0</v>
      </c>
      <c r="CO294" s="36">
        <f t="shared" ca="1" si="514"/>
        <v>0</v>
      </c>
      <c r="CP294" s="36">
        <f t="shared" ca="1" si="515"/>
        <v>0</v>
      </c>
      <c r="CQ294" s="36">
        <f t="shared" ca="1" si="516"/>
        <v>0</v>
      </c>
      <c r="CR294" s="36">
        <f t="shared" ca="1" si="517"/>
        <v>0</v>
      </c>
      <c r="CS294" s="36">
        <f t="shared" ca="1" si="518"/>
        <v>0</v>
      </c>
      <c r="CT294" s="36">
        <f t="shared" ca="1" si="519"/>
        <v>0</v>
      </c>
      <c r="CU294" s="36">
        <f t="shared" ca="1" si="540"/>
        <v>0</v>
      </c>
      <c r="CV294" s="36">
        <f t="shared" ca="1" si="540"/>
        <v>0</v>
      </c>
      <c r="CW294" s="21"/>
    </row>
    <row r="295" spans="3:101" x14ac:dyDescent="0.25">
      <c r="C295" s="49" t="str">
        <f t="shared" si="520"/>
        <v>SUNFLOWERDTC</v>
      </c>
      <c r="D295" s="35" t="str">
        <f>[1]Key!C$33</f>
        <v>SUNFLOWER</v>
      </c>
      <c r="E295" s="35" t="str">
        <f>[1]contras!H173</f>
        <v>DTC</v>
      </c>
      <c r="F295" s="41"/>
      <c r="G295" s="21"/>
      <c r="H295" s="21"/>
      <c r="I295" s="21"/>
      <c r="J295" s="21"/>
      <c r="K295" s="21"/>
      <c r="L295" s="21"/>
      <c r="M295" s="21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36">
        <f t="shared" ref="Z295:CV295" ca="1" si="541">Y295+Z175-Z235</f>
        <v>0</v>
      </c>
      <c r="AA295" s="36">
        <f t="shared" ca="1" si="541"/>
        <v>0</v>
      </c>
      <c r="AB295" s="36">
        <f t="shared" ca="1" si="541"/>
        <v>0</v>
      </c>
      <c r="AC295" s="36">
        <f t="shared" ca="1" si="541"/>
        <v>0</v>
      </c>
      <c r="AD295" s="36">
        <f t="shared" ca="1" si="541"/>
        <v>0</v>
      </c>
      <c r="AE295" s="36">
        <f t="shared" ca="1" si="541"/>
        <v>0</v>
      </c>
      <c r="AF295" s="36">
        <f t="shared" ca="1" si="541"/>
        <v>0</v>
      </c>
      <c r="AG295" s="36">
        <f t="shared" ca="1" si="541"/>
        <v>0</v>
      </c>
      <c r="AH295" s="36">
        <f t="shared" ca="1" si="541"/>
        <v>0</v>
      </c>
      <c r="AI295" s="36">
        <f t="shared" ca="1" si="541"/>
        <v>0</v>
      </c>
      <c r="AJ295" s="36">
        <f t="shared" ca="1" si="541"/>
        <v>0</v>
      </c>
      <c r="AK295" s="36">
        <f t="shared" ca="1" si="541"/>
        <v>0</v>
      </c>
      <c r="AL295" s="36">
        <f t="shared" ca="1" si="541"/>
        <v>0</v>
      </c>
      <c r="AM295" s="36">
        <f t="shared" ca="1" si="541"/>
        <v>0</v>
      </c>
      <c r="AN295" s="36">
        <f t="shared" ca="1" si="541"/>
        <v>0</v>
      </c>
      <c r="AO295" s="36">
        <f t="shared" ca="1" si="541"/>
        <v>0</v>
      </c>
      <c r="AP295" s="36">
        <f t="shared" ca="1" si="541"/>
        <v>0</v>
      </c>
      <c r="AQ295" s="36">
        <f t="shared" ca="1" si="541"/>
        <v>0</v>
      </c>
      <c r="AR295" s="36">
        <f t="shared" ca="1" si="541"/>
        <v>0</v>
      </c>
      <c r="AS295" s="36">
        <f t="shared" ca="1" si="541"/>
        <v>0</v>
      </c>
      <c r="AT295" s="36">
        <f t="shared" ca="1" si="541"/>
        <v>0</v>
      </c>
      <c r="AU295" s="36">
        <f t="shared" ca="1" si="541"/>
        <v>0</v>
      </c>
      <c r="AV295" s="36">
        <f t="shared" ca="1" si="541"/>
        <v>0</v>
      </c>
      <c r="AW295" s="36">
        <f t="shared" ca="1" si="541"/>
        <v>0</v>
      </c>
      <c r="AX295" s="36">
        <f t="shared" ca="1" si="541"/>
        <v>0</v>
      </c>
      <c r="AY295" s="36">
        <f t="shared" ca="1" si="541"/>
        <v>0</v>
      </c>
      <c r="AZ295" s="36">
        <f t="shared" ca="1" si="541"/>
        <v>0</v>
      </c>
      <c r="BA295" s="36">
        <f t="shared" ca="1" si="541"/>
        <v>0</v>
      </c>
      <c r="BB295" s="36">
        <f t="shared" ca="1" si="541"/>
        <v>0</v>
      </c>
      <c r="BC295" s="36">
        <f t="shared" ca="1" si="541"/>
        <v>0</v>
      </c>
      <c r="BD295" s="36">
        <f t="shared" ca="1" si="541"/>
        <v>0</v>
      </c>
      <c r="BE295" s="36">
        <f t="shared" ca="1" si="541"/>
        <v>0</v>
      </c>
      <c r="BF295" s="36">
        <f t="shared" ca="1" si="541"/>
        <v>0</v>
      </c>
      <c r="BG295" s="36">
        <f t="shared" ca="1" si="541"/>
        <v>0</v>
      </c>
      <c r="BH295" s="36">
        <f t="shared" ca="1" si="541"/>
        <v>0</v>
      </c>
      <c r="BI295" s="36">
        <f t="shared" ca="1" si="541"/>
        <v>0</v>
      </c>
      <c r="BJ295" s="36">
        <f t="shared" ca="1" si="483"/>
        <v>0</v>
      </c>
      <c r="BK295" s="36">
        <f t="shared" ca="1" si="484"/>
        <v>0</v>
      </c>
      <c r="BL295" s="36">
        <f t="shared" ca="1" si="485"/>
        <v>0</v>
      </c>
      <c r="BM295" s="36">
        <f t="shared" ca="1" si="486"/>
        <v>0</v>
      </c>
      <c r="BN295" s="36">
        <f t="shared" ca="1" si="487"/>
        <v>0</v>
      </c>
      <c r="BO295" s="36">
        <f t="shared" ca="1" si="488"/>
        <v>0</v>
      </c>
      <c r="BP295" s="36">
        <f t="shared" ca="1" si="489"/>
        <v>0</v>
      </c>
      <c r="BQ295" s="36">
        <f t="shared" ca="1" si="490"/>
        <v>0</v>
      </c>
      <c r="BR295" s="36">
        <f t="shared" ca="1" si="491"/>
        <v>0</v>
      </c>
      <c r="BS295" s="36">
        <f t="shared" ca="1" si="492"/>
        <v>0</v>
      </c>
      <c r="BT295" s="36">
        <f t="shared" ca="1" si="493"/>
        <v>0</v>
      </c>
      <c r="BU295" s="36">
        <f t="shared" ca="1" si="494"/>
        <v>0</v>
      </c>
      <c r="BV295" s="36">
        <f t="shared" ca="1" si="495"/>
        <v>0</v>
      </c>
      <c r="BW295" s="36">
        <f t="shared" ca="1" si="496"/>
        <v>0</v>
      </c>
      <c r="BX295" s="36">
        <f t="shared" ca="1" si="497"/>
        <v>0</v>
      </c>
      <c r="BY295" s="36">
        <f t="shared" ca="1" si="498"/>
        <v>0</v>
      </c>
      <c r="BZ295" s="36">
        <f t="shared" ca="1" si="499"/>
        <v>0</v>
      </c>
      <c r="CA295" s="36">
        <f t="shared" ca="1" si="500"/>
        <v>0</v>
      </c>
      <c r="CB295" s="36">
        <f t="shared" ca="1" si="501"/>
        <v>0</v>
      </c>
      <c r="CC295" s="36">
        <f t="shared" ca="1" si="502"/>
        <v>0</v>
      </c>
      <c r="CD295" s="36">
        <f t="shared" ca="1" si="503"/>
        <v>0</v>
      </c>
      <c r="CE295" s="36">
        <f t="shared" ca="1" si="504"/>
        <v>0</v>
      </c>
      <c r="CF295" s="36">
        <f t="shared" ca="1" si="505"/>
        <v>0</v>
      </c>
      <c r="CG295" s="36">
        <f t="shared" ca="1" si="506"/>
        <v>0</v>
      </c>
      <c r="CH295" s="36">
        <f t="shared" ca="1" si="507"/>
        <v>0</v>
      </c>
      <c r="CI295" s="36">
        <f t="shared" ca="1" si="508"/>
        <v>0</v>
      </c>
      <c r="CJ295" s="36">
        <f t="shared" ca="1" si="509"/>
        <v>0</v>
      </c>
      <c r="CK295" s="36">
        <f t="shared" ca="1" si="510"/>
        <v>0</v>
      </c>
      <c r="CL295" s="36">
        <f t="shared" ca="1" si="511"/>
        <v>0</v>
      </c>
      <c r="CM295" s="36">
        <f t="shared" ca="1" si="512"/>
        <v>0</v>
      </c>
      <c r="CN295" s="36">
        <f t="shared" ca="1" si="513"/>
        <v>0</v>
      </c>
      <c r="CO295" s="36">
        <f t="shared" ca="1" si="514"/>
        <v>0</v>
      </c>
      <c r="CP295" s="36">
        <f t="shared" ca="1" si="515"/>
        <v>0</v>
      </c>
      <c r="CQ295" s="36">
        <f t="shared" ca="1" si="516"/>
        <v>0</v>
      </c>
      <c r="CR295" s="36">
        <f t="shared" ca="1" si="517"/>
        <v>0</v>
      </c>
      <c r="CS295" s="36">
        <f t="shared" ca="1" si="518"/>
        <v>0</v>
      </c>
      <c r="CT295" s="36">
        <f t="shared" ca="1" si="519"/>
        <v>0</v>
      </c>
      <c r="CU295" s="36">
        <f t="shared" ca="1" si="541"/>
        <v>0</v>
      </c>
      <c r="CV295" s="36">
        <f t="shared" ca="1" si="541"/>
        <v>0</v>
      </c>
      <c r="CW295" s="21"/>
    </row>
    <row r="296" spans="3:101" x14ac:dyDescent="0.25">
      <c r="C296" s="49" t="str">
        <f t="shared" ref="C296" si="542">CONCATENATE(D296,E296)</f>
        <v>CorporateN/A</v>
      </c>
      <c r="D296" s="35" t="str">
        <f>[1]Key!C$34</f>
        <v>Corporate</v>
      </c>
      <c r="E296" s="35" t="str">
        <f>[1]Key!D$34</f>
        <v>N/A</v>
      </c>
      <c r="F296" s="41"/>
      <c r="G296" s="21"/>
      <c r="H296" s="21"/>
      <c r="I296" s="21"/>
      <c r="J296" s="21"/>
      <c r="K296" s="21"/>
      <c r="L296" s="21"/>
      <c r="M296" s="21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60">
        <f>Y7</f>
        <v>0</v>
      </c>
      <c r="Z296" s="36">
        <f t="shared" ref="Z296:CV297" ca="1" si="543">Y296+Z176-Z236</f>
        <v>0</v>
      </c>
      <c r="AA296" s="36">
        <f t="shared" ca="1" si="543"/>
        <v>0</v>
      </c>
      <c r="AB296" s="36">
        <f t="shared" ca="1" si="543"/>
        <v>0</v>
      </c>
      <c r="AC296" s="36">
        <f t="shared" ca="1" si="543"/>
        <v>0</v>
      </c>
      <c r="AD296" s="36">
        <f t="shared" ca="1" si="543"/>
        <v>0</v>
      </c>
      <c r="AE296" s="36">
        <f t="shared" ca="1" si="543"/>
        <v>0</v>
      </c>
      <c r="AF296" s="36">
        <f t="shared" ca="1" si="543"/>
        <v>0</v>
      </c>
      <c r="AG296" s="36">
        <f t="shared" ca="1" si="543"/>
        <v>0</v>
      </c>
      <c r="AH296" s="36">
        <f t="shared" ca="1" si="543"/>
        <v>0</v>
      </c>
      <c r="AI296" s="36">
        <f t="shared" ca="1" si="543"/>
        <v>0</v>
      </c>
      <c r="AJ296" s="36">
        <f t="shared" ca="1" si="543"/>
        <v>0</v>
      </c>
      <c r="AK296" s="36">
        <f t="shared" ca="1" si="543"/>
        <v>0</v>
      </c>
      <c r="AL296" s="36">
        <f t="shared" ca="1" si="543"/>
        <v>0</v>
      </c>
      <c r="AM296" s="36">
        <f t="shared" ca="1" si="543"/>
        <v>0</v>
      </c>
      <c r="AN296" s="36">
        <f t="shared" ca="1" si="543"/>
        <v>0</v>
      </c>
      <c r="AO296" s="36">
        <f t="shared" ca="1" si="543"/>
        <v>0</v>
      </c>
      <c r="AP296" s="36">
        <f t="shared" ca="1" si="543"/>
        <v>0</v>
      </c>
      <c r="AQ296" s="36">
        <f t="shared" ca="1" si="543"/>
        <v>0</v>
      </c>
      <c r="AR296" s="36">
        <f t="shared" ca="1" si="543"/>
        <v>0</v>
      </c>
      <c r="AS296" s="36">
        <f t="shared" ca="1" si="543"/>
        <v>0</v>
      </c>
      <c r="AT296" s="36">
        <f t="shared" ca="1" si="543"/>
        <v>0</v>
      </c>
      <c r="AU296" s="36">
        <f t="shared" ca="1" si="543"/>
        <v>0</v>
      </c>
      <c r="AV296" s="36">
        <f t="shared" ca="1" si="543"/>
        <v>0</v>
      </c>
      <c r="AW296" s="36">
        <f t="shared" ca="1" si="543"/>
        <v>0</v>
      </c>
      <c r="AX296" s="36">
        <f t="shared" ca="1" si="543"/>
        <v>0</v>
      </c>
      <c r="AY296" s="36">
        <f t="shared" ca="1" si="543"/>
        <v>0</v>
      </c>
      <c r="AZ296" s="36">
        <f t="shared" ca="1" si="543"/>
        <v>0</v>
      </c>
      <c r="BA296" s="36">
        <f t="shared" ca="1" si="543"/>
        <v>0</v>
      </c>
      <c r="BB296" s="36">
        <f t="shared" ca="1" si="543"/>
        <v>0</v>
      </c>
      <c r="BC296" s="36">
        <f t="shared" ca="1" si="543"/>
        <v>0</v>
      </c>
      <c r="BD296" s="36">
        <f t="shared" ca="1" si="543"/>
        <v>0</v>
      </c>
      <c r="BE296" s="36">
        <f t="shared" ca="1" si="543"/>
        <v>0</v>
      </c>
      <c r="BF296" s="36">
        <f t="shared" ca="1" si="543"/>
        <v>0</v>
      </c>
      <c r="BG296" s="36">
        <f t="shared" ca="1" si="543"/>
        <v>0</v>
      </c>
      <c r="BH296" s="36">
        <f t="shared" ca="1" si="543"/>
        <v>0</v>
      </c>
      <c r="BI296" s="36">
        <f t="shared" ca="1" si="543"/>
        <v>0</v>
      </c>
      <c r="BJ296" s="36">
        <f t="shared" ca="1" si="483"/>
        <v>0</v>
      </c>
      <c r="BK296" s="36">
        <f t="shared" ca="1" si="484"/>
        <v>0</v>
      </c>
      <c r="BL296" s="36">
        <f t="shared" ca="1" si="485"/>
        <v>0</v>
      </c>
      <c r="BM296" s="36">
        <f t="shared" ca="1" si="486"/>
        <v>0</v>
      </c>
      <c r="BN296" s="36">
        <f t="shared" ca="1" si="487"/>
        <v>0</v>
      </c>
      <c r="BO296" s="36">
        <f t="shared" ca="1" si="488"/>
        <v>0</v>
      </c>
      <c r="BP296" s="36">
        <f t="shared" ca="1" si="489"/>
        <v>0</v>
      </c>
      <c r="BQ296" s="36">
        <f t="shared" ca="1" si="490"/>
        <v>0</v>
      </c>
      <c r="BR296" s="36">
        <f t="shared" ca="1" si="491"/>
        <v>0</v>
      </c>
      <c r="BS296" s="36">
        <f t="shared" ca="1" si="492"/>
        <v>0</v>
      </c>
      <c r="BT296" s="36">
        <f t="shared" ca="1" si="493"/>
        <v>0</v>
      </c>
      <c r="BU296" s="36">
        <f t="shared" ca="1" si="494"/>
        <v>0</v>
      </c>
      <c r="BV296" s="36">
        <f t="shared" ca="1" si="495"/>
        <v>0</v>
      </c>
      <c r="BW296" s="36">
        <f t="shared" ca="1" si="496"/>
        <v>0</v>
      </c>
      <c r="BX296" s="36">
        <f t="shared" ca="1" si="497"/>
        <v>0</v>
      </c>
      <c r="BY296" s="36">
        <f t="shared" ca="1" si="498"/>
        <v>0</v>
      </c>
      <c r="BZ296" s="36">
        <f t="shared" ca="1" si="499"/>
        <v>0</v>
      </c>
      <c r="CA296" s="36">
        <f t="shared" ca="1" si="500"/>
        <v>0</v>
      </c>
      <c r="CB296" s="36">
        <f t="shared" ca="1" si="501"/>
        <v>0</v>
      </c>
      <c r="CC296" s="36">
        <f t="shared" ca="1" si="502"/>
        <v>0</v>
      </c>
      <c r="CD296" s="36">
        <f t="shared" ca="1" si="503"/>
        <v>0</v>
      </c>
      <c r="CE296" s="36">
        <f t="shared" ca="1" si="504"/>
        <v>0</v>
      </c>
      <c r="CF296" s="36">
        <f t="shared" ca="1" si="505"/>
        <v>0</v>
      </c>
      <c r="CG296" s="36">
        <f t="shared" ca="1" si="506"/>
        <v>0</v>
      </c>
      <c r="CH296" s="36">
        <f t="shared" ca="1" si="507"/>
        <v>0</v>
      </c>
      <c r="CI296" s="36">
        <f t="shared" ca="1" si="508"/>
        <v>0</v>
      </c>
      <c r="CJ296" s="36">
        <f t="shared" ca="1" si="509"/>
        <v>0</v>
      </c>
      <c r="CK296" s="36">
        <f t="shared" ca="1" si="510"/>
        <v>0</v>
      </c>
      <c r="CL296" s="36">
        <f t="shared" ca="1" si="511"/>
        <v>0</v>
      </c>
      <c r="CM296" s="36">
        <f t="shared" ca="1" si="512"/>
        <v>0</v>
      </c>
      <c r="CN296" s="36">
        <f t="shared" ca="1" si="513"/>
        <v>0</v>
      </c>
      <c r="CO296" s="36">
        <f t="shared" ca="1" si="514"/>
        <v>0</v>
      </c>
      <c r="CP296" s="36">
        <f t="shared" ca="1" si="515"/>
        <v>0</v>
      </c>
      <c r="CQ296" s="36">
        <f t="shared" ca="1" si="516"/>
        <v>0</v>
      </c>
      <c r="CR296" s="36">
        <f t="shared" ca="1" si="517"/>
        <v>0</v>
      </c>
      <c r="CS296" s="36">
        <f t="shared" ca="1" si="518"/>
        <v>0</v>
      </c>
      <c r="CT296" s="36">
        <f t="shared" ca="1" si="519"/>
        <v>0</v>
      </c>
      <c r="CU296" s="36">
        <f t="shared" ca="1" si="543"/>
        <v>0</v>
      </c>
      <c r="CV296" s="36">
        <f t="shared" ca="1" si="543"/>
        <v>0</v>
      </c>
      <c r="CW296" s="21"/>
    </row>
    <row r="297" spans="3:101" x14ac:dyDescent="0.25">
      <c r="C297" s="49" t="str">
        <f t="shared" ref="C297" si="544">CONCATENATE(D297,E297)</f>
        <v>Other RevenueN/A</v>
      </c>
      <c r="D297" s="35" t="str">
        <f>[1]Key!C$35</f>
        <v>Other Revenue</v>
      </c>
      <c r="E297" s="35" t="str">
        <f>[1]Key!D$35</f>
        <v>N/A</v>
      </c>
      <c r="F297" s="21"/>
      <c r="G297" s="21"/>
      <c r="H297" s="21"/>
      <c r="I297" s="21"/>
      <c r="J297" s="21"/>
      <c r="K297" s="21"/>
      <c r="L297" s="21"/>
      <c r="M297" s="21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36">
        <f t="shared" ca="1" si="543"/>
        <v>0</v>
      </c>
      <c r="AA297" s="36">
        <f t="shared" ca="1" si="543"/>
        <v>0</v>
      </c>
      <c r="AB297" s="36">
        <f t="shared" ca="1" si="543"/>
        <v>0</v>
      </c>
      <c r="AC297" s="36">
        <f t="shared" ca="1" si="543"/>
        <v>0</v>
      </c>
      <c r="AD297" s="36">
        <f t="shared" ca="1" si="543"/>
        <v>0</v>
      </c>
      <c r="AE297" s="36">
        <f t="shared" ca="1" si="543"/>
        <v>0</v>
      </c>
      <c r="AF297" s="36">
        <f t="shared" ca="1" si="543"/>
        <v>0</v>
      </c>
      <c r="AG297" s="36">
        <f t="shared" ca="1" si="543"/>
        <v>0</v>
      </c>
      <c r="AH297" s="36">
        <f t="shared" ca="1" si="543"/>
        <v>0</v>
      </c>
      <c r="AI297" s="36">
        <f t="shared" ca="1" si="543"/>
        <v>0</v>
      </c>
      <c r="AJ297" s="36">
        <f t="shared" ca="1" si="543"/>
        <v>0</v>
      </c>
      <c r="AK297" s="36">
        <f t="shared" ca="1" si="543"/>
        <v>0</v>
      </c>
      <c r="AL297" s="36">
        <f t="shared" ca="1" si="543"/>
        <v>0</v>
      </c>
      <c r="AM297" s="36">
        <f t="shared" ca="1" si="543"/>
        <v>0</v>
      </c>
      <c r="AN297" s="36">
        <f t="shared" ca="1" si="543"/>
        <v>0</v>
      </c>
      <c r="AO297" s="36">
        <f t="shared" ca="1" si="543"/>
        <v>0</v>
      </c>
      <c r="AP297" s="36">
        <f t="shared" ca="1" si="543"/>
        <v>0</v>
      </c>
      <c r="AQ297" s="36">
        <f t="shared" ca="1" si="543"/>
        <v>0</v>
      </c>
      <c r="AR297" s="36">
        <f t="shared" ca="1" si="543"/>
        <v>0</v>
      </c>
      <c r="AS297" s="36">
        <f t="shared" ca="1" si="543"/>
        <v>0</v>
      </c>
      <c r="AT297" s="36">
        <f t="shared" ca="1" si="543"/>
        <v>0</v>
      </c>
      <c r="AU297" s="36">
        <f t="shared" ca="1" si="543"/>
        <v>0</v>
      </c>
      <c r="AV297" s="36">
        <f t="shared" ca="1" si="543"/>
        <v>0</v>
      </c>
      <c r="AW297" s="36">
        <f t="shared" ca="1" si="543"/>
        <v>0</v>
      </c>
      <c r="AX297" s="36">
        <f t="shared" ca="1" si="543"/>
        <v>0</v>
      </c>
      <c r="AY297" s="36">
        <f t="shared" ca="1" si="543"/>
        <v>0</v>
      </c>
      <c r="AZ297" s="36">
        <f t="shared" ca="1" si="543"/>
        <v>0</v>
      </c>
      <c r="BA297" s="36">
        <f t="shared" ca="1" si="543"/>
        <v>0</v>
      </c>
      <c r="BB297" s="36">
        <f t="shared" ca="1" si="543"/>
        <v>0</v>
      </c>
      <c r="BC297" s="36">
        <f t="shared" ca="1" si="543"/>
        <v>0</v>
      </c>
      <c r="BD297" s="36">
        <f t="shared" ca="1" si="543"/>
        <v>0</v>
      </c>
      <c r="BE297" s="36">
        <f t="shared" ca="1" si="543"/>
        <v>0</v>
      </c>
      <c r="BF297" s="36">
        <f t="shared" ca="1" si="543"/>
        <v>0</v>
      </c>
      <c r="BG297" s="36">
        <f t="shared" ca="1" si="543"/>
        <v>0</v>
      </c>
      <c r="BH297" s="36">
        <f t="shared" ca="1" si="543"/>
        <v>0</v>
      </c>
      <c r="BI297" s="36">
        <f t="shared" ca="1" si="543"/>
        <v>0</v>
      </c>
      <c r="BJ297" s="36">
        <f t="shared" ca="1" si="483"/>
        <v>0</v>
      </c>
      <c r="BK297" s="36">
        <f t="shared" ca="1" si="484"/>
        <v>0</v>
      </c>
      <c r="BL297" s="36">
        <f t="shared" ca="1" si="485"/>
        <v>0</v>
      </c>
      <c r="BM297" s="36">
        <f t="shared" ca="1" si="486"/>
        <v>0</v>
      </c>
      <c r="BN297" s="36">
        <f t="shared" ca="1" si="487"/>
        <v>0</v>
      </c>
      <c r="BO297" s="36">
        <f t="shared" ca="1" si="488"/>
        <v>0</v>
      </c>
      <c r="BP297" s="36">
        <f t="shared" ca="1" si="489"/>
        <v>0</v>
      </c>
      <c r="BQ297" s="36">
        <f t="shared" ca="1" si="490"/>
        <v>0</v>
      </c>
      <c r="BR297" s="36">
        <f t="shared" ca="1" si="491"/>
        <v>0</v>
      </c>
      <c r="BS297" s="36">
        <f t="shared" ca="1" si="492"/>
        <v>0</v>
      </c>
      <c r="BT297" s="36">
        <f t="shared" ca="1" si="493"/>
        <v>0</v>
      </c>
      <c r="BU297" s="36">
        <f t="shared" ca="1" si="494"/>
        <v>0</v>
      </c>
      <c r="BV297" s="36">
        <f t="shared" ca="1" si="495"/>
        <v>0</v>
      </c>
      <c r="BW297" s="36">
        <f t="shared" ca="1" si="496"/>
        <v>0</v>
      </c>
      <c r="BX297" s="36">
        <f t="shared" ca="1" si="497"/>
        <v>0</v>
      </c>
      <c r="BY297" s="36">
        <f t="shared" ca="1" si="498"/>
        <v>0</v>
      </c>
      <c r="BZ297" s="36">
        <f t="shared" ca="1" si="499"/>
        <v>0</v>
      </c>
      <c r="CA297" s="36">
        <f t="shared" ca="1" si="500"/>
        <v>0</v>
      </c>
      <c r="CB297" s="36">
        <f t="shared" ca="1" si="501"/>
        <v>0</v>
      </c>
      <c r="CC297" s="36">
        <f t="shared" ca="1" si="502"/>
        <v>0</v>
      </c>
      <c r="CD297" s="36">
        <f t="shared" ca="1" si="503"/>
        <v>0</v>
      </c>
      <c r="CE297" s="36">
        <f t="shared" ca="1" si="504"/>
        <v>0</v>
      </c>
      <c r="CF297" s="36">
        <f t="shared" ca="1" si="505"/>
        <v>0</v>
      </c>
      <c r="CG297" s="36">
        <f t="shared" ca="1" si="506"/>
        <v>0</v>
      </c>
      <c r="CH297" s="36">
        <f t="shared" ca="1" si="507"/>
        <v>0</v>
      </c>
      <c r="CI297" s="36">
        <f t="shared" ca="1" si="508"/>
        <v>0</v>
      </c>
      <c r="CJ297" s="36">
        <f t="shared" ca="1" si="509"/>
        <v>0</v>
      </c>
      <c r="CK297" s="36">
        <f t="shared" ca="1" si="510"/>
        <v>0</v>
      </c>
      <c r="CL297" s="36">
        <f t="shared" ca="1" si="511"/>
        <v>0</v>
      </c>
      <c r="CM297" s="36">
        <f t="shared" ca="1" si="512"/>
        <v>0</v>
      </c>
      <c r="CN297" s="36">
        <f t="shared" ca="1" si="513"/>
        <v>0</v>
      </c>
      <c r="CO297" s="36">
        <f t="shared" ca="1" si="514"/>
        <v>0</v>
      </c>
      <c r="CP297" s="36">
        <f t="shared" ca="1" si="515"/>
        <v>0</v>
      </c>
      <c r="CQ297" s="36">
        <f t="shared" ca="1" si="516"/>
        <v>0</v>
      </c>
      <c r="CR297" s="36">
        <f t="shared" ca="1" si="517"/>
        <v>0</v>
      </c>
      <c r="CS297" s="36">
        <f t="shared" ca="1" si="518"/>
        <v>0</v>
      </c>
      <c r="CT297" s="36">
        <f t="shared" ca="1" si="519"/>
        <v>0</v>
      </c>
      <c r="CU297" s="36">
        <f t="shared" ca="1" si="543"/>
        <v>0</v>
      </c>
      <c r="CV297" s="36">
        <f t="shared" ca="1" si="543"/>
        <v>0</v>
      </c>
      <c r="CW297" s="21"/>
    </row>
    <row r="298" spans="3:101" x14ac:dyDescent="0.25">
      <c r="F298" s="21"/>
      <c r="G298" s="21"/>
      <c r="H298" s="21"/>
      <c r="I298" s="21"/>
      <c r="J298" s="21"/>
      <c r="K298" s="21"/>
      <c r="L298" s="21"/>
      <c r="M298" s="21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21"/>
    </row>
    <row r="299" spans="3:101" x14ac:dyDescent="0.25">
      <c r="D299" s="38" t="s">
        <v>152</v>
      </c>
      <c r="F299" s="21"/>
      <c r="G299" s="21"/>
      <c r="H299" s="21"/>
      <c r="I299" s="21"/>
      <c r="J299" s="21"/>
      <c r="K299" s="21"/>
      <c r="L299" s="21"/>
      <c r="M299" s="21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37">
        <f t="shared" ref="Z299:BI299" ca="1" si="545">SUM(Z274:Z298)</f>
        <v>0</v>
      </c>
      <c r="AA299" s="37">
        <f t="shared" ca="1" si="545"/>
        <v>0</v>
      </c>
      <c r="AB299" s="37">
        <f t="shared" ca="1" si="545"/>
        <v>43200</v>
      </c>
      <c r="AC299" s="37">
        <f t="shared" ca="1" si="545"/>
        <v>47700</v>
      </c>
      <c r="AD299" s="37">
        <f t="shared" ca="1" si="545"/>
        <v>4500</v>
      </c>
      <c r="AE299" s="37">
        <f t="shared" ca="1" si="545"/>
        <v>0</v>
      </c>
      <c r="AF299" s="37">
        <f t="shared" ca="1" si="545"/>
        <v>0</v>
      </c>
      <c r="AG299" s="37">
        <f t="shared" ca="1" si="545"/>
        <v>0</v>
      </c>
      <c r="AH299" s="37">
        <f t="shared" ca="1" si="545"/>
        <v>0</v>
      </c>
      <c r="AI299" s="37">
        <f t="shared" ca="1" si="545"/>
        <v>0</v>
      </c>
      <c r="AJ299" s="37">
        <f t="shared" ca="1" si="545"/>
        <v>4500</v>
      </c>
      <c r="AK299" s="37">
        <f t="shared" ca="1" si="545"/>
        <v>12600</v>
      </c>
      <c r="AL299" s="37">
        <f t="shared" ca="1" si="545"/>
        <v>12600</v>
      </c>
      <c r="AM299" s="37">
        <f t="shared" ca="1" si="545"/>
        <v>30840</v>
      </c>
      <c r="AN299" s="37">
        <f t="shared" ca="1" si="545"/>
        <v>35340</v>
      </c>
      <c r="AO299" s="37">
        <f t="shared" ca="1" si="545"/>
        <v>9000</v>
      </c>
      <c r="AP299" s="37">
        <f t="shared" ca="1" si="545"/>
        <v>18750</v>
      </c>
      <c r="AQ299" s="37">
        <f t="shared" ca="1" si="545"/>
        <v>56775</v>
      </c>
      <c r="AR299" s="37">
        <f t="shared" ca="1" si="545"/>
        <v>43875</v>
      </c>
      <c r="AS299" s="37">
        <f t="shared" ca="1" si="545"/>
        <v>32550</v>
      </c>
      <c r="AT299" s="37">
        <f t="shared" ca="1" si="545"/>
        <v>66300</v>
      </c>
      <c r="AU299" s="37">
        <f t="shared" ca="1" si="545"/>
        <v>93600</v>
      </c>
      <c r="AV299" s="37">
        <f t="shared" ca="1" si="545"/>
        <v>89895</v>
      </c>
      <c r="AW299" s="37">
        <f t="shared" ca="1" si="545"/>
        <v>103560</v>
      </c>
      <c r="AX299" s="37">
        <f t="shared" ca="1" si="545"/>
        <v>271485</v>
      </c>
      <c r="AY299" s="37">
        <f t="shared" ca="1" si="545"/>
        <v>314454</v>
      </c>
      <c r="AZ299" s="37">
        <f t="shared" ca="1" si="545"/>
        <v>132234</v>
      </c>
      <c r="BA299" s="37">
        <f t="shared" ca="1" si="545"/>
        <v>112725</v>
      </c>
      <c r="BB299" s="37">
        <f t="shared" ca="1" si="545"/>
        <v>162303</v>
      </c>
      <c r="BC299" s="37">
        <f t="shared" ca="1" si="545"/>
        <v>173958</v>
      </c>
      <c r="BD299" s="37">
        <f t="shared" ca="1" si="545"/>
        <v>425520</v>
      </c>
      <c r="BE299" s="37">
        <f t="shared" ca="1" si="545"/>
        <v>358440</v>
      </c>
      <c r="BF299" s="37">
        <f t="shared" ca="1" si="545"/>
        <v>124884</v>
      </c>
      <c r="BG299" s="37">
        <f t="shared" ca="1" si="545"/>
        <v>265809</v>
      </c>
      <c r="BH299" s="37">
        <f t="shared" ca="1" si="545"/>
        <v>283413</v>
      </c>
      <c r="BI299" s="37">
        <f t="shared" ca="1" si="545"/>
        <v>205623</v>
      </c>
      <c r="BJ299" s="37">
        <f t="shared" ref="BJ299:CS299" ca="1" si="546">SUM(BJ274:BJ298)</f>
        <v>593025</v>
      </c>
      <c r="BK299" s="37">
        <f t="shared" ca="1" si="546"/>
        <v>790647</v>
      </c>
      <c r="BL299" s="37">
        <f t="shared" ca="1" si="546"/>
        <v>345957</v>
      </c>
      <c r="BM299" s="37">
        <f t="shared" ca="1" si="546"/>
        <v>232312.5</v>
      </c>
      <c r="BN299" s="37">
        <f t="shared" ca="1" si="546"/>
        <v>383221.5</v>
      </c>
      <c r="BO299" s="37">
        <f t="shared" ca="1" si="546"/>
        <v>446109</v>
      </c>
      <c r="BP299" s="37">
        <f t="shared" ca="1" si="546"/>
        <v>1099170</v>
      </c>
      <c r="BQ299" s="37">
        <f t="shared" ca="1" si="546"/>
        <v>942720</v>
      </c>
      <c r="BR299" s="37">
        <f t="shared" ca="1" si="546"/>
        <v>310302</v>
      </c>
      <c r="BS299" s="37">
        <f t="shared" ca="1" si="546"/>
        <v>574864.5</v>
      </c>
      <c r="BT299" s="37">
        <f t="shared" ca="1" si="546"/>
        <v>660022.5</v>
      </c>
      <c r="BU299" s="37">
        <f t="shared" ca="1" si="546"/>
        <v>554340</v>
      </c>
      <c r="BV299" s="37">
        <f t="shared" ca="1" si="546"/>
        <v>1323967.5</v>
      </c>
      <c r="BW299" s="37">
        <f t="shared" ca="1" si="546"/>
        <v>1730861.25</v>
      </c>
      <c r="BX299" s="37">
        <f t="shared" ca="1" si="546"/>
        <v>737148.75</v>
      </c>
      <c r="BY299" s="37">
        <f t="shared" ca="1" si="546"/>
        <v>357046.875</v>
      </c>
      <c r="BZ299" s="37">
        <f t="shared" ca="1" si="546"/>
        <v>726725.625</v>
      </c>
      <c r="CA299" s="37">
        <f t="shared" ca="1" si="546"/>
        <v>946128.75</v>
      </c>
      <c r="CB299" s="37">
        <f t="shared" ca="1" si="546"/>
        <v>2534962.5</v>
      </c>
      <c r="CC299" s="37">
        <f t="shared" ca="1" si="546"/>
        <v>2196825</v>
      </c>
      <c r="CD299" s="37">
        <f t="shared" ca="1" si="546"/>
        <v>628192.5</v>
      </c>
      <c r="CE299" s="37">
        <f t="shared" ca="1" si="546"/>
        <v>1003426.875</v>
      </c>
      <c r="CF299" s="37">
        <f t="shared" ca="1" si="546"/>
        <v>1249629.375</v>
      </c>
      <c r="CG299" s="37">
        <f t="shared" ca="1" si="546"/>
        <v>1254157.5</v>
      </c>
      <c r="CH299" s="37">
        <f t="shared" ca="1" si="546"/>
        <v>2589918.75</v>
      </c>
      <c r="CI299" s="37">
        <f t="shared" ca="1" si="546"/>
        <v>3163674.375</v>
      </c>
      <c r="CJ299" s="37">
        <f t="shared" ca="1" si="546"/>
        <v>1227493.125</v>
      </c>
      <c r="CK299" s="37">
        <f t="shared" ca="1" si="546"/>
        <v>476170.3125</v>
      </c>
      <c r="CL299" s="37">
        <f t="shared" ca="1" si="546"/>
        <v>1120328.4375</v>
      </c>
      <c r="CM299" s="37">
        <f t="shared" ca="1" si="546"/>
        <v>1574983.125</v>
      </c>
      <c r="CN299" s="37">
        <f t="shared" ca="1" si="546"/>
        <v>4859156.25</v>
      </c>
      <c r="CO299" s="37">
        <f t="shared" ca="1" si="546"/>
        <v>4280400</v>
      </c>
      <c r="CP299" s="37">
        <f t="shared" ca="1" si="546"/>
        <v>1034358.75</v>
      </c>
      <c r="CQ299" s="37">
        <f t="shared" ca="1" si="546"/>
        <v>1491910.3125</v>
      </c>
      <c r="CR299" s="37">
        <f t="shared" ca="1" si="546"/>
        <v>1922774.0625</v>
      </c>
      <c r="CS299" s="37">
        <f t="shared" ca="1" si="546"/>
        <v>2140391.25</v>
      </c>
      <c r="CT299" s="37">
        <f t="shared" ref="CT299" ca="1" si="547">SUM(CT274:CT298)</f>
        <v>909450</v>
      </c>
      <c r="CU299" s="37">
        <f t="shared" ref="CU299" ca="1" si="548">SUM(CU274:CU298)</f>
        <v>0</v>
      </c>
      <c r="CV299" s="37">
        <f t="shared" ref="CV299" ca="1" si="549">SUM(CV274:CV298)</f>
        <v>0</v>
      </c>
      <c r="CW299" s="21"/>
    </row>
    <row r="300" spans="3:101" x14ac:dyDescent="0.25">
      <c r="D300" t="s">
        <v>168</v>
      </c>
      <c r="Z300" s="48">
        <f ca="1">Z179-Z239+Y299-Z299</f>
        <v>0</v>
      </c>
      <c r="AA300" s="48">
        <f t="shared" ref="AA300:CV300" ca="1" si="550">AA179-AA239+Z299-AA299</f>
        <v>0</v>
      </c>
      <c r="AB300" s="48">
        <f t="shared" ca="1" si="550"/>
        <v>0</v>
      </c>
      <c r="AC300" s="48">
        <f t="shared" ca="1" si="550"/>
        <v>0</v>
      </c>
      <c r="AD300" s="48">
        <f t="shared" ca="1" si="550"/>
        <v>0</v>
      </c>
      <c r="AE300" s="48">
        <f t="shared" ca="1" si="550"/>
        <v>0</v>
      </c>
      <c r="AF300" s="48">
        <f t="shared" ca="1" si="550"/>
        <v>0</v>
      </c>
      <c r="AG300" s="48">
        <f t="shared" ca="1" si="550"/>
        <v>0</v>
      </c>
      <c r="AH300" s="48">
        <f t="shared" ca="1" si="550"/>
        <v>0</v>
      </c>
      <c r="AI300" s="48">
        <f t="shared" ca="1" si="550"/>
        <v>0</v>
      </c>
      <c r="AJ300" s="48">
        <f t="shared" ca="1" si="550"/>
        <v>0</v>
      </c>
      <c r="AK300" s="48">
        <f t="shared" ca="1" si="550"/>
        <v>0</v>
      </c>
      <c r="AL300" s="48">
        <f t="shared" ca="1" si="550"/>
        <v>0</v>
      </c>
      <c r="AM300" s="48">
        <f t="shared" ca="1" si="550"/>
        <v>0</v>
      </c>
      <c r="AN300" s="48">
        <f t="shared" ca="1" si="550"/>
        <v>0</v>
      </c>
      <c r="AO300" s="48">
        <f t="shared" ca="1" si="550"/>
        <v>0</v>
      </c>
      <c r="AP300" s="48">
        <f t="shared" ca="1" si="550"/>
        <v>0</v>
      </c>
      <c r="AQ300" s="48">
        <f t="shared" ca="1" si="550"/>
        <v>0</v>
      </c>
      <c r="AR300" s="48">
        <f t="shared" ca="1" si="550"/>
        <v>0</v>
      </c>
      <c r="AS300" s="48">
        <f t="shared" ca="1" si="550"/>
        <v>0</v>
      </c>
      <c r="AT300" s="48">
        <f t="shared" ca="1" si="550"/>
        <v>0</v>
      </c>
      <c r="AU300" s="48">
        <f t="shared" ca="1" si="550"/>
        <v>0</v>
      </c>
      <c r="AV300" s="48">
        <f t="shared" ca="1" si="550"/>
        <v>0</v>
      </c>
      <c r="AW300" s="48">
        <f t="shared" ca="1" si="550"/>
        <v>0</v>
      </c>
      <c r="AX300" s="48">
        <f t="shared" ca="1" si="550"/>
        <v>0</v>
      </c>
      <c r="AY300" s="48">
        <f t="shared" ca="1" si="550"/>
        <v>0</v>
      </c>
      <c r="AZ300" s="48">
        <f t="shared" ca="1" si="550"/>
        <v>0</v>
      </c>
      <c r="BA300" s="48">
        <f t="shared" ca="1" si="550"/>
        <v>0</v>
      </c>
      <c r="BB300" s="48">
        <f t="shared" ca="1" si="550"/>
        <v>0</v>
      </c>
      <c r="BC300" s="48">
        <f t="shared" ca="1" si="550"/>
        <v>0</v>
      </c>
      <c r="BD300" s="48">
        <f t="shared" ca="1" si="550"/>
        <v>0</v>
      </c>
      <c r="BE300" s="48">
        <f t="shared" ca="1" si="550"/>
        <v>0</v>
      </c>
      <c r="BF300" s="48">
        <f t="shared" ca="1" si="550"/>
        <v>0</v>
      </c>
      <c r="BG300" s="48">
        <f t="shared" ca="1" si="550"/>
        <v>0</v>
      </c>
      <c r="BH300" s="48">
        <f t="shared" ca="1" si="550"/>
        <v>0</v>
      </c>
      <c r="BI300" s="48">
        <f t="shared" ca="1" si="550"/>
        <v>0</v>
      </c>
      <c r="BJ300" s="48">
        <f t="shared" ref="BJ300" ca="1" si="551">BJ179-BJ239+BI299-BJ299</f>
        <v>0</v>
      </c>
      <c r="BK300" s="48">
        <f t="shared" ref="BK300" ca="1" si="552">BK179-BK239+BJ299-BK299</f>
        <v>0</v>
      </c>
      <c r="BL300" s="48">
        <f t="shared" ref="BL300" ca="1" si="553">BL179-BL239+BK299-BL299</f>
        <v>0</v>
      </c>
      <c r="BM300" s="48">
        <f t="shared" ref="BM300" ca="1" si="554">BM179-BM239+BL299-BM299</f>
        <v>0</v>
      </c>
      <c r="BN300" s="48">
        <f t="shared" ref="BN300" ca="1" si="555">BN179-BN239+BM299-BN299</f>
        <v>0</v>
      </c>
      <c r="BO300" s="48">
        <f t="shared" ref="BO300" ca="1" si="556">BO179-BO239+BN299-BO299</f>
        <v>0</v>
      </c>
      <c r="BP300" s="48">
        <f t="shared" ref="BP300" ca="1" si="557">BP179-BP239+BO299-BP299</f>
        <v>0</v>
      </c>
      <c r="BQ300" s="48">
        <f t="shared" ref="BQ300" ca="1" si="558">BQ179-BQ239+BP299-BQ299</f>
        <v>0</v>
      </c>
      <c r="BR300" s="48">
        <f t="shared" ref="BR300" ca="1" si="559">BR179-BR239+BQ299-BR299</f>
        <v>0</v>
      </c>
      <c r="BS300" s="48">
        <f t="shared" ref="BS300" ca="1" si="560">BS179-BS239+BR299-BS299</f>
        <v>0</v>
      </c>
      <c r="BT300" s="48">
        <f t="shared" ref="BT300" ca="1" si="561">BT179-BT239+BS299-BT299</f>
        <v>0</v>
      </c>
      <c r="BU300" s="48">
        <f t="shared" ref="BU300" ca="1" si="562">BU179-BU239+BT299-BU299</f>
        <v>0</v>
      </c>
      <c r="BV300" s="48">
        <f t="shared" ref="BV300" ca="1" si="563">BV179-BV239+BU299-BV299</f>
        <v>0</v>
      </c>
      <c r="BW300" s="48">
        <f t="shared" ref="BW300" ca="1" si="564">BW179-BW239+BV299-BW299</f>
        <v>0</v>
      </c>
      <c r="BX300" s="48">
        <f t="shared" ref="BX300" ca="1" si="565">BX179-BX239+BW299-BX299</f>
        <v>0</v>
      </c>
      <c r="BY300" s="48">
        <f t="shared" ref="BY300" ca="1" si="566">BY179-BY239+BX299-BY299</f>
        <v>0</v>
      </c>
      <c r="BZ300" s="48">
        <f t="shared" ref="BZ300" ca="1" si="567">BZ179-BZ239+BY299-BZ299</f>
        <v>0</v>
      </c>
      <c r="CA300" s="48">
        <f t="shared" ref="CA300" ca="1" si="568">CA179-CA239+BZ299-CA299</f>
        <v>0</v>
      </c>
      <c r="CB300" s="48">
        <f t="shared" ref="CB300" ca="1" si="569">CB179-CB239+CA299-CB299</f>
        <v>0</v>
      </c>
      <c r="CC300" s="48">
        <f t="shared" ref="CC300" ca="1" si="570">CC179-CC239+CB299-CC299</f>
        <v>0</v>
      </c>
      <c r="CD300" s="48">
        <f t="shared" ref="CD300" ca="1" si="571">CD179-CD239+CC299-CD299</f>
        <v>0</v>
      </c>
      <c r="CE300" s="48">
        <f t="shared" ref="CE300" ca="1" si="572">CE179-CE239+CD299-CE299</f>
        <v>0</v>
      </c>
      <c r="CF300" s="48">
        <f t="shared" ref="CF300" ca="1" si="573">CF179-CF239+CE299-CF299</f>
        <v>0</v>
      </c>
      <c r="CG300" s="48">
        <f t="shared" ref="CG300" ca="1" si="574">CG179-CG239+CF299-CG299</f>
        <v>0</v>
      </c>
      <c r="CH300" s="48">
        <f t="shared" ref="CH300" ca="1" si="575">CH179-CH239+CG299-CH299</f>
        <v>0</v>
      </c>
      <c r="CI300" s="48">
        <f t="shared" ref="CI300" ca="1" si="576">CI179-CI239+CH299-CI299</f>
        <v>0</v>
      </c>
      <c r="CJ300" s="48">
        <f t="shared" ref="CJ300" ca="1" si="577">CJ179-CJ239+CI299-CJ299</f>
        <v>0</v>
      </c>
      <c r="CK300" s="48">
        <f t="shared" ref="CK300" ca="1" si="578">CK179-CK239+CJ299-CK299</f>
        <v>0</v>
      </c>
      <c r="CL300" s="48">
        <f t="shared" ref="CL300" ca="1" si="579">CL179-CL239+CK299-CL299</f>
        <v>0</v>
      </c>
      <c r="CM300" s="48">
        <f t="shared" ref="CM300" ca="1" si="580">CM179-CM239+CL299-CM299</f>
        <v>0</v>
      </c>
      <c r="CN300" s="48">
        <f t="shared" ref="CN300" ca="1" si="581">CN179-CN239+CM299-CN299</f>
        <v>0</v>
      </c>
      <c r="CO300" s="48">
        <f t="shared" ref="CO300" ca="1" si="582">CO179-CO239+CN299-CO299</f>
        <v>0</v>
      </c>
      <c r="CP300" s="48">
        <f t="shared" ref="CP300" ca="1" si="583">CP179-CP239+CO299-CP299</f>
        <v>0</v>
      </c>
      <c r="CQ300" s="48">
        <f t="shared" ref="CQ300" ca="1" si="584">CQ179-CQ239+CP299-CQ299</f>
        <v>0</v>
      </c>
      <c r="CR300" s="48">
        <f t="shared" ref="CR300" ca="1" si="585">CR179-CR239+CQ299-CR299</f>
        <v>0</v>
      </c>
      <c r="CS300" s="48">
        <f t="shared" ref="CS300" ca="1" si="586">CS179-CS239+CR299-CS299</f>
        <v>0</v>
      </c>
      <c r="CT300" s="48">
        <f ca="1">CT179-CT239+CS299-CT299</f>
        <v>0</v>
      </c>
      <c r="CU300" s="48">
        <f t="shared" ca="1" si="550"/>
        <v>0</v>
      </c>
      <c r="CV300" s="48">
        <f t="shared" ca="1" si="550"/>
        <v>0</v>
      </c>
    </row>
    <row r="301" spans="3:101" x14ac:dyDescent="0.25">
      <c r="F301" s="21"/>
      <c r="G301" s="21"/>
      <c r="H301" s="21"/>
      <c r="I301" s="21"/>
      <c r="J301" s="21"/>
      <c r="K301" s="21"/>
      <c r="L301" s="21"/>
      <c r="M301" s="21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21"/>
      <c r="CU301" s="21"/>
      <c r="CV301" s="21"/>
      <c r="CW301" s="21"/>
    </row>
    <row r="302" spans="3:101" x14ac:dyDescent="0.25">
      <c r="F302" s="21"/>
      <c r="G302" s="21"/>
      <c r="H302" s="21"/>
      <c r="I302" s="21"/>
      <c r="J302" s="21"/>
      <c r="K302" s="21"/>
      <c r="L302" s="21"/>
      <c r="M302" s="21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21"/>
      <c r="CU302" s="21"/>
      <c r="CV302" s="21"/>
      <c r="CW302" s="21"/>
    </row>
    <row r="303" spans="3:101" s="53" customFormat="1" x14ac:dyDescent="0.25">
      <c r="F303" s="54"/>
      <c r="G303" s="54"/>
      <c r="H303" s="54"/>
      <c r="I303" s="54"/>
      <c r="J303" s="54"/>
      <c r="K303" s="54"/>
      <c r="L303" s="54"/>
      <c r="M303" s="54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  <c r="BI303" s="56"/>
      <c r="BJ303" s="56"/>
      <c r="BK303" s="56"/>
      <c r="BL303" s="56"/>
      <c r="BM303" s="56"/>
      <c r="BN303" s="56"/>
      <c r="BO303" s="56"/>
      <c r="BP303" s="56"/>
      <c r="BQ303" s="56"/>
      <c r="BR303" s="56"/>
      <c r="BS303" s="56"/>
      <c r="BT303" s="56"/>
      <c r="BU303" s="56"/>
      <c r="BV303" s="56"/>
      <c r="BW303" s="56"/>
      <c r="BX303" s="56"/>
      <c r="BY303" s="56"/>
      <c r="BZ303" s="56"/>
      <c r="CA303" s="56"/>
      <c r="CB303" s="56"/>
      <c r="CC303" s="56"/>
      <c r="CD303" s="56"/>
      <c r="CE303" s="56"/>
      <c r="CF303" s="56"/>
      <c r="CG303" s="56"/>
      <c r="CH303" s="56"/>
      <c r="CI303" s="56"/>
      <c r="CJ303" s="56"/>
      <c r="CK303" s="56"/>
      <c r="CL303" s="56"/>
      <c r="CM303" s="56"/>
      <c r="CN303" s="56"/>
      <c r="CO303" s="56"/>
      <c r="CP303" s="56"/>
      <c r="CQ303" s="56"/>
      <c r="CR303" s="56"/>
      <c r="CS303" s="56"/>
      <c r="CT303" s="54"/>
      <c r="CU303" s="54"/>
      <c r="CV303" s="54"/>
      <c r="CW303" s="54"/>
    </row>
    <row r="304" spans="3:101" x14ac:dyDescent="0.25">
      <c r="F304" s="115"/>
      <c r="G304" s="115"/>
      <c r="H304" s="115"/>
      <c r="I304" s="115"/>
      <c r="J304" s="115"/>
      <c r="K304" s="115"/>
      <c r="L304" s="115"/>
      <c r="M304" s="115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7"/>
      <c r="AA304" s="117"/>
      <c r="AB304" s="117"/>
      <c r="AC304" s="117"/>
      <c r="AD304" s="117"/>
      <c r="AE304" s="117"/>
      <c r="AF304" s="117"/>
      <c r="AG304" s="117"/>
      <c r="AH304" s="117"/>
      <c r="AI304" s="117"/>
      <c r="AJ304" s="117"/>
      <c r="AK304" s="117"/>
      <c r="AL304" s="117"/>
      <c r="AM304" s="117"/>
      <c r="AN304" s="117"/>
      <c r="AO304" s="117"/>
      <c r="AP304" s="117"/>
      <c r="AQ304" s="117"/>
      <c r="AR304" s="117"/>
      <c r="AS304" s="117"/>
      <c r="AT304" s="117"/>
      <c r="AU304" s="117"/>
      <c r="AV304" s="117"/>
      <c r="AW304" s="117"/>
      <c r="AX304" s="117"/>
      <c r="AY304" s="117"/>
      <c r="AZ304" s="117"/>
      <c r="BA304" s="117"/>
      <c r="BB304" s="117"/>
      <c r="BC304" s="117"/>
      <c r="BD304" s="117"/>
      <c r="BE304" s="117"/>
      <c r="BF304" s="117"/>
      <c r="BG304" s="117"/>
      <c r="BH304" s="117"/>
      <c r="BI304" s="117"/>
      <c r="BJ304" s="117"/>
      <c r="BK304" s="117"/>
      <c r="BL304" s="117"/>
      <c r="BM304" s="117"/>
      <c r="BN304" s="117"/>
      <c r="BO304" s="117"/>
      <c r="BP304" s="117"/>
      <c r="BQ304" s="117"/>
      <c r="BR304" s="117"/>
      <c r="BS304" s="117"/>
      <c r="BT304" s="117"/>
      <c r="BU304" s="117"/>
      <c r="BV304" s="117"/>
      <c r="BW304" s="117"/>
      <c r="BX304" s="117"/>
      <c r="BY304" s="117"/>
      <c r="BZ304" s="117"/>
      <c r="CA304" s="117"/>
      <c r="CB304" s="117"/>
      <c r="CC304" s="117"/>
      <c r="CD304" s="117"/>
      <c r="CE304" s="117"/>
      <c r="CF304" s="117"/>
      <c r="CG304" s="117"/>
      <c r="CH304" s="117"/>
      <c r="CI304" s="117"/>
      <c r="CJ304" s="117"/>
      <c r="CK304" s="117"/>
      <c r="CL304" s="117"/>
      <c r="CM304" s="117"/>
      <c r="CN304" s="117"/>
      <c r="CO304" s="117"/>
      <c r="CP304" s="117"/>
      <c r="CQ304" s="117"/>
      <c r="CR304" s="117"/>
      <c r="CS304" s="117"/>
      <c r="CT304" s="115"/>
      <c r="CU304" s="115"/>
      <c r="CV304" s="115"/>
      <c r="CW304" s="115"/>
    </row>
    <row r="305" spans="2:101" x14ac:dyDescent="0.25">
      <c r="B305" t="s">
        <v>158</v>
      </c>
      <c r="C305" s="40" t="s">
        <v>12</v>
      </c>
      <c r="D305" s="40"/>
      <c r="F305" s="21"/>
      <c r="G305" s="21"/>
      <c r="H305" s="21"/>
      <c r="I305" s="21"/>
      <c r="J305" s="21"/>
      <c r="K305" s="21"/>
      <c r="L305" s="21"/>
      <c r="M305" s="21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21"/>
      <c r="CU305" s="21"/>
      <c r="CV305" s="21"/>
      <c r="CW305" s="21"/>
    </row>
    <row r="306" spans="2:101" x14ac:dyDescent="0.25">
      <c r="D306" s="38"/>
      <c r="F306" s="21"/>
      <c r="G306" s="21"/>
      <c r="H306" s="21"/>
      <c r="I306" s="21"/>
      <c r="J306" s="21"/>
      <c r="K306" s="21"/>
      <c r="L306" s="21"/>
      <c r="M306" s="21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21"/>
      <c r="CU306" s="21"/>
      <c r="CV306" s="21"/>
      <c r="CW306" s="21"/>
    </row>
    <row r="307" spans="2:101" x14ac:dyDescent="0.25">
      <c r="D307" s="38" t="s">
        <v>170</v>
      </c>
      <c r="F307" s="21"/>
      <c r="G307" s="21"/>
      <c r="H307" s="21"/>
      <c r="I307" s="21"/>
      <c r="J307" s="21"/>
      <c r="K307" s="21"/>
      <c r="L307" s="21"/>
      <c r="M307" s="21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21"/>
      <c r="CU307" s="21"/>
      <c r="CV307" s="21"/>
      <c r="CW307" s="21"/>
    </row>
    <row r="308" spans="2:101" x14ac:dyDescent="0.25">
      <c r="D308" s="35" t="str">
        <f>[1]Key!$W$12</f>
        <v>BARI</v>
      </c>
      <c r="F308" s="21"/>
      <c r="G308" s="21"/>
      <c r="H308" s="21"/>
      <c r="I308" s="21"/>
      <c r="J308" s="21"/>
      <c r="K308" s="21"/>
      <c r="L308" s="21"/>
      <c r="M308" s="21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39">
        <f ca="1">Z55</f>
        <v>0</v>
      </c>
      <c r="AA308" s="39">
        <f t="shared" ref="AA308:CV308" ca="1" si="587">AA55</f>
        <v>0</v>
      </c>
      <c r="AB308" s="39">
        <f t="shared" ca="1" si="587"/>
        <v>0</v>
      </c>
      <c r="AC308" s="39">
        <f t="shared" ca="1" si="587"/>
        <v>0</v>
      </c>
      <c r="AD308" s="39">
        <f t="shared" ca="1" si="587"/>
        <v>0</v>
      </c>
      <c r="AE308" s="39">
        <f t="shared" ca="1" si="587"/>
        <v>0</v>
      </c>
      <c r="AF308" s="39">
        <f t="shared" ca="1" si="587"/>
        <v>0</v>
      </c>
      <c r="AG308" s="39">
        <f t="shared" ca="1" si="587"/>
        <v>24300</v>
      </c>
      <c r="AH308" s="39">
        <f t="shared" ca="1" si="587"/>
        <v>24300</v>
      </c>
      <c r="AI308" s="39">
        <f t="shared" ca="1" si="587"/>
        <v>58320</v>
      </c>
      <c r="AJ308" s="39">
        <f t="shared" ca="1" si="587"/>
        <v>58320</v>
      </c>
      <c r="AK308" s="39">
        <f t="shared" ca="1" si="587"/>
        <v>0</v>
      </c>
      <c r="AL308" s="39">
        <f t="shared" ca="1" si="587"/>
        <v>58320</v>
      </c>
      <c r="AM308" s="39">
        <f t="shared" ca="1" si="587"/>
        <v>0</v>
      </c>
      <c r="AN308" s="39">
        <f t="shared" ca="1" si="587"/>
        <v>0</v>
      </c>
      <c r="AO308" s="39">
        <f t="shared" ca="1" si="587"/>
        <v>116640</v>
      </c>
      <c r="AP308" s="39">
        <f t="shared" ca="1" si="587"/>
        <v>0</v>
      </c>
      <c r="AQ308" s="39">
        <f t="shared" ca="1" si="587"/>
        <v>58320</v>
      </c>
      <c r="AR308" s="39">
        <f t="shared" ca="1" si="587"/>
        <v>116640</v>
      </c>
      <c r="AS308" s="39">
        <f t="shared" ca="1" si="587"/>
        <v>116640</v>
      </c>
      <c r="AT308" s="39">
        <f t="shared" ca="1" si="587"/>
        <v>21600</v>
      </c>
      <c r="AU308" s="39">
        <f t="shared" ca="1" si="587"/>
        <v>116640</v>
      </c>
      <c r="AV308" s="39">
        <f t="shared" ca="1" si="587"/>
        <v>168480</v>
      </c>
      <c r="AW308" s="39">
        <f t="shared" ca="1" si="587"/>
        <v>0</v>
      </c>
      <c r="AX308" s="39">
        <f t="shared" ca="1" si="587"/>
        <v>116640</v>
      </c>
      <c r="AY308" s="39">
        <f t="shared" ca="1" si="587"/>
        <v>0</v>
      </c>
      <c r="AZ308" s="39">
        <f t="shared" ca="1" si="587"/>
        <v>0</v>
      </c>
      <c r="BA308" s="39">
        <f t="shared" ca="1" si="587"/>
        <v>285120</v>
      </c>
      <c r="BB308" s="39">
        <f t="shared" ca="1" si="587"/>
        <v>0</v>
      </c>
      <c r="BC308" s="39">
        <f t="shared" ca="1" si="587"/>
        <v>0</v>
      </c>
      <c r="BD308" s="39">
        <f t="shared" ca="1" si="587"/>
        <v>116640</v>
      </c>
      <c r="BE308" s="39">
        <f t="shared" ca="1" si="587"/>
        <v>220320</v>
      </c>
      <c r="BF308" s="39">
        <f t="shared" ca="1" si="587"/>
        <v>0</v>
      </c>
      <c r="BG308" s="39">
        <f t="shared" ca="1" si="587"/>
        <v>138240</v>
      </c>
      <c r="BH308" s="39">
        <f t="shared" ca="1" si="587"/>
        <v>320112</v>
      </c>
      <c r="BI308" s="39">
        <f t="shared" ca="1" si="587"/>
        <v>0</v>
      </c>
      <c r="BJ308" s="39">
        <f t="shared" ref="BJ308:CS308" ca="1" si="588">BJ55</f>
        <v>221616</v>
      </c>
      <c r="BK308" s="39">
        <f t="shared" ca="1" si="588"/>
        <v>0</v>
      </c>
      <c r="BL308" s="39">
        <f t="shared" ca="1" si="588"/>
        <v>0</v>
      </c>
      <c r="BM308" s="39">
        <f t="shared" ca="1" si="588"/>
        <v>541728</v>
      </c>
      <c r="BN308" s="39">
        <f t="shared" ca="1" si="588"/>
        <v>0</v>
      </c>
      <c r="BO308" s="39">
        <f t="shared" ca="1" si="588"/>
        <v>0</v>
      </c>
      <c r="BP308" s="39">
        <f t="shared" ca="1" si="588"/>
        <v>221616</v>
      </c>
      <c r="BQ308" s="39">
        <f t="shared" ca="1" si="588"/>
        <v>418608</v>
      </c>
      <c r="BR308" s="39">
        <f t="shared" ca="1" si="588"/>
        <v>0</v>
      </c>
      <c r="BS308" s="39">
        <f t="shared" ca="1" si="588"/>
        <v>262656</v>
      </c>
      <c r="BT308" s="39">
        <f t="shared" ca="1" si="588"/>
        <v>480168</v>
      </c>
      <c r="BU308" s="39">
        <f t="shared" ca="1" si="588"/>
        <v>0</v>
      </c>
      <c r="BV308" s="39">
        <f t="shared" ca="1" si="588"/>
        <v>332424</v>
      </c>
      <c r="BW308" s="39">
        <f t="shared" ca="1" si="588"/>
        <v>0</v>
      </c>
      <c r="BX308" s="39">
        <f t="shared" ca="1" si="588"/>
        <v>0</v>
      </c>
      <c r="BY308" s="39">
        <f t="shared" ca="1" si="588"/>
        <v>812592</v>
      </c>
      <c r="BZ308" s="39">
        <f t="shared" ca="1" si="588"/>
        <v>0</v>
      </c>
      <c r="CA308" s="39">
        <f t="shared" ca="1" si="588"/>
        <v>0</v>
      </c>
      <c r="CB308" s="39">
        <f t="shared" ca="1" si="588"/>
        <v>332424</v>
      </c>
      <c r="CC308" s="39">
        <f t="shared" ca="1" si="588"/>
        <v>627912</v>
      </c>
      <c r="CD308" s="39">
        <f t="shared" ca="1" si="588"/>
        <v>0</v>
      </c>
      <c r="CE308" s="39">
        <f t="shared" ca="1" si="588"/>
        <v>393984</v>
      </c>
      <c r="CF308" s="39">
        <f t="shared" ca="1" si="588"/>
        <v>624218.40000000014</v>
      </c>
      <c r="CG308" s="39">
        <f t="shared" ca="1" si="588"/>
        <v>0</v>
      </c>
      <c r="CH308" s="39">
        <f t="shared" ca="1" si="588"/>
        <v>432151.2</v>
      </c>
      <c r="CI308" s="39">
        <f t="shared" ca="1" si="588"/>
        <v>0</v>
      </c>
      <c r="CJ308" s="39">
        <f t="shared" ca="1" si="588"/>
        <v>0</v>
      </c>
      <c r="CK308" s="39">
        <f t="shared" ca="1" si="588"/>
        <v>1056369.6000000001</v>
      </c>
      <c r="CL308" s="39">
        <f t="shared" ca="1" si="588"/>
        <v>0</v>
      </c>
      <c r="CM308" s="39">
        <f t="shared" ca="1" si="588"/>
        <v>0</v>
      </c>
      <c r="CN308" s="39">
        <f t="shared" ca="1" si="588"/>
        <v>432151.2</v>
      </c>
      <c r="CO308" s="39">
        <f t="shared" ca="1" si="588"/>
        <v>816285.6</v>
      </c>
      <c r="CP308" s="39">
        <f t="shared" ca="1" si="588"/>
        <v>0</v>
      </c>
      <c r="CQ308" s="39">
        <f t="shared" ca="1" si="588"/>
        <v>512179.20000000001</v>
      </c>
      <c r="CR308" s="39">
        <f t="shared" ca="1" si="588"/>
        <v>293436</v>
      </c>
      <c r="CS308" s="39">
        <f t="shared" ca="1" si="588"/>
        <v>293436</v>
      </c>
      <c r="CT308" s="39">
        <f t="shared" ca="1" si="587"/>
        <v>293436</v>
      </c>
      <c r="CU308" s="39">
        <f t="shared" ca="1" si="587"/>
        <v>0</v>
      </c>
      <c r="CV308" s="39">
        <f t="shared" ca="1" si="587"/>
        <v>0</v>
      </c>
      <c r="CW308" s="21"/>
    </row>
    <row r="309" spans="2:101" x14ac:dyDescent="0.25">
      <c r="D309" s="35" t="str">
        <f>[1]Key!$W$13</f>
        <v>BRAIN DEAD OAKLEY</v>
      </c>
      <c r="F309" s="21"/>
      <c r="G309" s="21"/>
      <c r="H309" s="21"/>
      <c r="I309" s="21"/>
      <c r="J309" s="21"/>
      <c r="K309" s="21"/>
      <c r="L309" s="21"/>
      <c r="M309" s="21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39">
        <f t="shared" ref="Z309:CV309" ca="1" si="589">Z56</f>
        <v>0</v>
      </c>
      <c r="AA309" s="39">
        <f t="shared" ca="1" si="589"/>
        <v>0</v>
      </c>
      <c r="AB309" s="39">
        <f t="shared" ca="1" si="589"/>
        <v>0</v>
      </c>
      <c r="AC309" s="39">
        <f t="shared" ca="1" si="589"/>
        <v>0</v>
      </c>
      <c r="AD309" s="39">
        <f t="shared" ca="1" si="589"/>
        <v>0</v>
      </c>
      <c r="AE309" s="39">
        <f t="shared" ca="1" si="589"/>
        <v>0</v>
      </c>
      <c r="AF309" s="39">
        <f t="shared" ca="1" si="589"/>
        <v>0</v>
      </c>
      <c r="AG309" s="39">
        <f t="shared" ca="1" si="589"/>
        <v>0</v>
      </c>
      <c r="AH309" s="39">
        <f t="shared" ca="1" si="589"/>
        <v>34560</v>
      </c>
      <c r="AI309" s="39">
        <f t="shared" ca="1" si="589"/>
        <v>0</v>
      </c>
      <c r="AJ309" s="39">
        <f t="shared" ca="1" si="589"/>
        <v>0</v>
      </c>
      <c r="AK309" s="39">
        <f t="shared" ca="1" si="589"/>
        <v>103680</v>
      </c>
      <c r="AL309" s="39">
        <f t="shared" ca="1" si="589"/>
        <v>16200</v>
      </c>
      <c r="AM309" s="39">
        <f t="shared" ca="1" si="589"/>
        <v>0</v>
      </c>
      <c r="AN309" s="39">
        <f t="shared" ca="1" si="589"/>
        <v>0</v>
      </c>
      <c r="AO309" s="39">
        <f t="shared" ca="1" si="589"/>
        <v>0</v>
      </c>
      <c r="AP309" s="39">
        <f t="shared" ca="1" si="589"/>
        <v>32400</v>
      </c>
      <c r="AQ309" s="39">
        <f t="shared" ca="1" si="589"/>
        <v>0</v>
      </c>
      <c r="AR309" s="39">
        <f t="shared" ca="1" si="589"/>
        <v>207360</v>
      </c>
      <c r="AS309" s="39">
        <f t="shared" ca="1" si="589"/>
        <v>0</v>
      </c>
      <c r="AT309" s="39">
        <f t="shared" ca="1" si="589"/>
        <v>0</v>
      </c>
      <c r="AU309" s="39">
        <f t="shared" ca="1" si="589"/>
        <v>0</v>
      </c>
      <c r="AV309" s="39">
        <f t="shared" ca="1" si="589"/>
        <v>0</v>
      </c>
      <c r="AW309" s="39">
        <f t="shared" ca="1" si="589"/>
        <v>194400.00000000003</v>
      </c>
      <c r="AX309" s="39">
        <f t="shared" ca="1" si="589"/>
        <v>0</v>
      </c>
      <c r="AY309" s="39">
        <f t="shared" ca="1" si="589"/>
        <v>0</v>
      </c>
      <c r="AZ309" s="39">
        <f t="shared" ca="1" si="589"/>
        <v>0</v>
      </c>
      <c r="BA309" s="39">
        <f t="shared" ca="1" si="589"/>
        <v>0</v>
      </c>
      <c r="BB309" s="39">
        <f t="shared" ca="1" si="589"/>
        <v>0</v>
      </c>
      <c r="BC309" s="39">
        <f t="shared" ca="1" si="589"/>
        <v>0</v>
      </c>
      <c r="BD309" s="39">
        <f t="shared" ca="1" si="589"/>
        <v>427680</v>
      </c>
      <c r="BE309" s="39">
        <f t="shared" ca="1" si="589"/>
        <v>0</v>
      </c>
      <c r="BF309" s="39">
        <f t="shared" ca="1" si="589"/>
        <v>0</v>
      </c>
      <c r="BG309" s="39">
        <f t="shared" ca="1" si="589"/>
        <v>0</v>
      </c>
      <c r="BH309" s="39">
        <f t="shared" ca="1" si="589"/>
        <v>0</v>
      </c>
      <c r="BI309" s="39">
        <f t="shared" ca="1" si="589"/>
        <v>369360</v>
      </c>
      <c r="BJ309" s="39">
        <f t="shared" ref="BJ309:CS309" ca="1" si="590">BJ56</f>
        <v>0</v>
      </c>
      <c r="BK309" s="39">
        <f t="shared" ca="1" si="590"/>
        <v>0</v>
      </c>
      <c r="BL309" s="39">
        <f t="shared" ca="1" si="590"/>
        <v>0</v>
      </c>
      <c r="BM309" s="39">
        <f t="shared" ca="1" si="590"/>
        <v>0</v>
      </c>
      <c r="BN309" s="39">
        <f t="shared" ca="1" si="590"/>
        <v>0</v>
      </c>
      <c r="BO309" s="39">
        <f t="shared" ca="1" si="590"/>
        <v>0</v>
      </c>
      <c r="BP309" s="39">
        <f t="shared" ca="1" si="590"/>
        <v>812592</v>
      </c>
      <c r="BQ309" s="39">
        <f t="shared" ca="1" si="590"/>
        <v>0</v>
      </c>
      <c r="BR309" s="39">
        <f t="shared" ca="1" si="590"/>
        <v>0</v>
      </c>
      <c r="BS309" s="39">
        <f t="shared" ca="1" si="590"/>
        <v>0</v>
      </c>
      <c r="BT309" s="39">
        <f t="shared" ca="1" si="590"/>
        <v>0</v>
      </c>
      <c r="BU309" s="39">
        <f t="shared" ca="1" si="590"/>
        <v>554040</v>
      </c>
      <c r="BV309" s="39">
        <f t="shared" ca="1" si="590"/>
        <v>0</v>
      </c>
      <c r="BW309" s="39">
        <f t="shared" ca="1" si="590"/>
        <v>0</v>
      </c>
      <c r="BX309" s="39">
        <f t="shared" ca="1" si="590"/>
        <v>0</v>
      </c>
      <c r="BY309" s="39">
        <f t="shared" ca="1" si="590"/>
        <v>0</v>
      </c>
      <c r="BZ309" s="39">
        <f t="shared" ca="1" si="590"/>
        <v>0</v>
      </c>
      <c r="CA309" s="39">
        <f t="shared" ca="1" si="590"/>
        <v>0</v>
      </c>
      <c r="CB309" s="39">
        <f t="shared" ca="1" si="590"/>
        <v>1218888</v>
      </c>
      <c r="CC309" s="39">
        <f t="shared" ca="1" si="590"/>
        <v>0</v>
      </c>
      <c r="CD309" s="39">
        <f t="shared" ca="1" si="590"/>
        <v>0</v>
      </c>
      <c r="CE309" s="39">
        <f t="shared" ca="1" si="590"/>
        <v>0</v>
      </c>
      <c r="CF309" s="39">
        <f t="shared" ca="1" si="590"/>
        <v>0</v>
      </c>
      <c r="CG309" s="39">
        <f t="shared" ca="1" si="590"/>
        <v>720252</v>
      </c>
      <c r="CH309" s="39">
        <f t="shared" ca="1" si="590"/>
        <v>0</v>
      </c>
      <c r="CI309" s="39">
        <f t="shared" ca="1" si="590"/>
        <v>0</v>
      </c>
      <c r="CJ309" s="39">
        <f t="shared" ca="1" si="590"/>
        <v>0</v>
      </c>
      <c r="CK309" s="39">
        <f t="shared" ca="1" si="590"/>
        <v>0</v>
      </c>
      <c r="CL309" s="39">
        <f t="shared" ca="1" si="590"/>
        <v>0</v>
      </c>
      <c r="CM309" s="39">
        <f t="shared" ca="1" si="590"/>
        <v>0</v>
      </c>
      <c r="CN309" s="39">
        <f t="shared" ca="1" si="590"/>
        <v>1584554.4</v>
      </c>
      <c r="CO309" s="39">
        <f t="shared" ca="1" si="590"/>
        <v>0</v>
      </c>
      <c r="CP309" s="39">
        <f t="shared" ca="1" si="590"/>
        <v>0</v>
      </c>
      <c r="CQ309" s="39">
        <f t="shared" ca="1" si="590"/>
        <v>0</v>
      </c>
      <c r="CR309" s="39">
        <f t="shared" ca="1" si="590"/>
        <v>264092.39999999997</v>
      </c>
      <c r="CS309" s="39">
        <f t="shared" ca="1" si="590"/>
        <v>264092.39999999997</v>
      </c>
      <c r="CT309" s="39">
        <f t="shared" ca="1" si="589"/>
        <v>264092.39999999997</v>
      </c>
      <c r="CU309" s="39">
        <f t="shared" ca="1" si="589"/>
        <v>0</v>
      </c>
      <c r="CV309" s="39">
        <f t="shared" ca="1" si="589"/>
        <v>0</v>
      </c>
      <c r="CW309" s="21"/>
    </row>
    <row r="310" spans="2:101" x14ac:dyDescent="0.25">
      <c r="D310" s="35" t="str">
        <f>[1]Key!$W$14</f>
        <v>GROWTH "HIT" PH</v>
      </c>
      <c r="F310" s="21"/>
      <c r="G310" s="21"/>
      <c r="H310" s="21"/>
      <c r="I310" s="21"/>
      <c r="J310" s="21"/>
      <c r="K310" s="21"/>
      <c r="L310" s="21"/>
      <c r="M310" s="21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39">
        <f t="shared" ref="Z310:CV310" ca="1" si="591">Z57</f>
        <v>0</v>
      </c>
      <c r="AA310" s="39">
        <f t="shared" ca="1" si="591"/>
        <v>0</v>
      </c>
      <c r="AB310" s="39">
        <f t="shared" ca="1" si="591"/>
        <v>0</v>
      </c>
      <c r="AC310" s="39">
        <f t="shared" ca="1" si="591"/>
        <v>0</v>
      </c>
      <c r="AD310" s="39">
        <f t="shared" ca="1" si="591"/>
        <v>0</v>
      </c>
      <c r="AE310" s="39">
        <f t="shared" ca="1" si="591"/>
        <v>0</v>
      </c>
      <c r="AF310" s="39">
        <f t="shared" ca="1" si="591"/>
        <v>0</v>
      </c>
      <c r="AG310" s="39">
        <f t="shared" ca="1" si="591"/>
        <v>0</v>
      </c>
      <c r="AH310" s="39">
        <f t="shared" ca="1" si="591"/>
        <v>0</v>
      </c>
      <c r="AI310" s="39">
        <f t="shared" ca="1" si="591"/>
        <v>0</v>
      </c>
      <c r="AJ310" s="39">
        <f t="shared" ca="1" si="591"/>
        <v>0</v>
      </c>
      <c r="AK310" s="39">
        <f t="shared" ca="1" si="591"/>
        <v>0</v>
      </c>
      <c r="AL310" s="39">
        <f t="shared" ca="1" si="591"/>
        <v>0</v>
      </c>
      <c r="AM310" s="39">
        <f t="shared" ca="1" si="591"/>
        <v>0</v>
      </c>
      <c r="AN310" s="39">
        <f t="shared" ca="1" si="591"/>
        <v>0</v>
      </c>
      <c r="AO310" s="39">
        <f t="shared" ca="1" si="591"/>
        <v>0</v>
      </c>
      <c r="AP310" s="39">
        <f t="shared" ca="1" si="591"/>
        <v>0</v>
      </c>
      <c r="AQ310" s="39">
        <f t="shared" ca="1" si="591"/>
        <v>0</v>
      </c>
      <c r="AR310" s="39">
        <f t="shared" ca="1" si="591"/>
        <v>0</v>
      </c>
      <c r="AS310" s="39">
        <f t="shared" ca="1" si="591"/>
        <v>432000</v>
      </c>
      <c r="AT310" s="39">
        <f t="shared" ca="1" si="591"/>
        <v>0</v>
      </c>
      <c r="AU310" s="39">
        <f t="shared" ca="1" si="591"/>
        <v>0</v>
      </c>
      <c r="AV310" s="39">
        <f t="shared" ca="1" si="591"/>
        <v>864000</v>
      </c>
      <c r="AW310" s="39">
        <f t="shared" ca="1" si="591"/>
        <v>0</v>
      </c>
      <c r="AX310" s="39">
        <f t="shared" ca="1" si="591"/>
        <v>0</v>
      </c>
      <c r="AY310" s="39">
        <f t="shared" ca="1" si="591"/>
        <v>864000</v>
      </c>
      <c r="AZ310" s="39">
        <f t="shared" ca="1" si="591"/>
        <v>0</v>
      </c>
      <c r="BA310" s="39">
        <f t="shared" ca="1" si="591"/>
        <v>0</v>
      </c>
      <c r="BB310" s="39">
        <f t="shared" ca="1" si="591"/>
        <v>1080000</v>
      </c>
      <c r="BC310" s="39">
        <f t="shared" ca="1" si="591"/>
        <v>0</v>
      </c>
      <c r="BD310" s="39">
        <f t="shared" ca="1" si="591"/>
        <v>0</v>
      </c>
      <c r="BE310" s="39">
        <f t="shared" ca="1" si="591"/>
        <v>1512000</v>
      </c>
      <c r="BF310" s="39">
        <f t="shared" ca="1" si="591"/>
        <v>0</v>
      </c>
      <c r="BG310" s="39">
        <f t="shared" ca="1" si="591"/>
        <v>0</v>
      </c>
      <c r="BH310" s="39">
        <f t="shared" ca="1" si="591"/>
        <v>1641600</v>
      </c>
      <c r="BI310" s="39">
        <f t="shared" ca="1" si="591"/>
        <v>0</v>
      </c>
      <c r="BJ310" s="39">
        <f t="shared" ref="BJ310:CS310" ca="1" si="592">BJ57</f>
        <v>0</v>
      </c>
      <c r="BK310" s="39">
        <f t="shared" ca="1" si="592"/>
        <v>1641600</v>
      </c>
      <c r="BL310" s="39">
        <f t="shared" ca="1" si="592"/>
        <v>0</v>
      </c>
      <c r="BM310" s="39">
        <f t="shared" ca="1" si="592"/>
        <v>0</v>
      </c>
      <c r="BN310" s="39">
        <f t="shared" ca="1" si="592"/>
        <v>2052000</v>
      </c>
      <c r="BO310" s="39">
        <f t="shared" ca="1" si="592"/>
        <v>0</v>
      </c>
      <c r="BP310" s="39">
        <f t="shared" ca="1" si="592"/>
        <v>0</v>
      </c>
      <c r="BQ310" s="39">
        <f t="shared" ca="1" si="592"/>
        <v>2872800</v>
      </c>
      <c r="BR310" s="39">
        <f t="shared" ca="1" si="592"/>
        <v>0</v>
      </c>
      <c r="BS310" s="39">
        <f t="shared" ca="1" si="592"/>
        <v>0</v>
      </c>
      <c r="BT310" s="39">
        <f t="shared" ca="1" si="592"/>
        <v>2462400</v>
      </c>
      <c r="BU310" s="39">
        <f t="shared" ca="1" si="592"/>
        <v>0</v>
      </c>
      <c r="BV310" s="39">
        <f t="shared" ca="1" si="592"/>
        <v>0</v>
      </c>
      <c r="BW310" s="39">
        <f t="shared" ca="1" si="592"/>
        <v>2462400</v>
      </c>
      <c r="BX310" s="39">
        <f t="shared" ca="1" si="592"/>
        <v>0</v>
      </c>
      <c r="BY310" s="39">
        <f t="shared" ca="1" si="592"/>
        <v>0</v>
      </c>
      <c r="BZ310" s="39">
        <f t="shared" ca="1" si="592"/>
        <v>3078000</v>
      </c>
      <c r="CA310" s="39">
        <f t="shared" ca="1" si="592"/>
        <v>0</v>
      </c>
      <c r="CB310" s="39">
        <f t="shared" ca="1" si="592"/>
        <v>0</v>
      </c>
      <c r="CC310" s="39">
        <f t="shared" ca="1" si="592"/>
        <v>4309200</v>
      </c>
      <c r="CD310" s="39">
        <f t="shared" ca="1" si="592"/>
        <v>0</v>
      </c>
      <c r="CE310" s="39">
        <f t="shared" ca="1" si="592"/>
        <v>0</v>
      </c>
      <c r="CF310" s="39">
        <f t="shared" ca="1" si="592"/>
        <v>3201120</v>
      </c>
      <c r="CG310" s="39">
        <f t="shared" ca="1" si="592"/>
        <v>0</v>
      </c>
      <c r="CH310" s="39">
        <f t="shared" ca="1" si="592"/>
        <v>0</v>
      </c>
      <c r="CI310" s="39">
        <f t="shared" ca="1" si="592"/>
        <v>3201120</v>
      </c>
      <c r="CJ310" s="39">
        <f t="shared" ca="1" si="592"/>
        <v>0</v>
      </c>
      <c r="CK310" s="39">
        <f t="shared" ca="1" si="592"/>
        <v>0</v>
      </c>
      <c r="CL310" s="39">
        <f t="shared" ca="1" si="592"/>
        <v>4001400</v>
      </c>
      <c r="CM310" s="39">
        <f t="shared" ca="1" si="592"/>
        <v>0</v>
      </c>
      <c r="CN310" s="39">
        <f t="shared" ca="1" si="592"/>
        <v>0</v>
      </c>
      <c r="CO310" s="39">
        <f t="shared" ca="1" si="592"/>
        <v>5601960</v>
      </c>
      <c r="CP310" s="39">
        <f t="shared" ca="1" si="592"/>
        <v>0</v>
      </c>
      <c r="CQ310" s="39">
        <f t="shared" ca="1" si="592"/>
        <v>0</v>
      </c>
      <c r="CR310" s="39">
        <f t="shared" ca="1" si="592"/>
        <v>1600560</v>
      </c>
      <c r="CS310" s="39">
        <f t="shared" ca="1" si="592"/>
        <v>1600560</v>
      </c>
      <c r="CT310" s="39">
        <f t="shared" ca="1" si="591"/>
        <v>1600560</v>
      </c>
      <c r="CU310" s="39">
        <f t="shared" ca="1" si="591"/>
        <v>0</v>
      </c>
      <c r="CV310" s="39">
        <f t="shared" ca="1" si="591"/>
        <v>0</v>
      </c>
      <c r="CW310" s="21"/>
    </row>
    <row r="311" spans="2:101" x14ac:dyDescent="0.25">
      <c r="D311" s="35" t="str">
        <f>[1]Key!$W$15</f>
        <v>ICE STUDIOS</v>
      </c>
      <c r="F311" s="21"/>
      <c r="G311" s="21"/>
      <c r="H311" s="21"/>
      <c r="I311" s="21"/>
      <c r="J311" s="21"/>
      <c r="K311" s="21"/>
      <c r="L311" s="21"/>
      <c r="M311" s="21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39">
        <f t="shared" ref="Z311:CV311" ca="1" si="593">Z58</f>
        <v>0</v>
      </c>
      <c r="AA311" s="39">
        <f t="shared" ca="1" si="593"/>
        <v>0</v>
      </c>
      <c r="AB311" s="39">
        <f t="shared" ca="1" si="593"/>
        <v>0</v>
      </c>
      <c r="AC311" s="39">
        <f t="shared" ca="1" si="593"/>
        <v>0</v>
      </c>
      <c r="AD311" s="39">
        <f t="shared" ca="1" si="593"/>
        <v>0</v>
      </c>
      <c r="AE311" s="39">
        <f t="shared" ca="1" si="593"/>
        <v>0</v>
      </c>
      <c r="AF311" s="39">
        <f t="shared" ca="1" si="593"/>
        <v>0</v>
      </c>
      <c r="AG311" s="39">
        <f t="shared" ca="1" si="593"/>
        <v>0</v>
      </c>
      <c r="AH311" s="39">
        <f t="shared" ca="1" si="593"/>
        <v>0</v>
      </c>
      <c r="AI311" s="39">
        <f t="shared" ca="1" si="593"/>
        <v>110700</v>
      </c>
      <c r="AJ311" s="39">
        <f t="shared" ca="1" si="593"/>
        <v>0</v>
      </c>
      <c r="AK311" s="39">
        <f t="shared" ca="1" si="593"/>
        <v>213840</v>
      </c>
      <c r="AL311" s="39">
        <f t="shared" ca="1" si="593"/>
        <v>0</v>
      </c>
      <c r="AM311" s="39">
        <f t="shared" ca="1" si="593"/>
        <v>0</v>
      </c>
      <c r="AN311" s="39">
        <f t="shared" ca="1" si="593"/>
        <v>0</v>
      </c>
      <c r="AO311" s="39">
        <f t="shared" ca="1" si="593"/>
        <v>356400</v>
      </c>
      <c r="AP311" s="39">
        <f t="shared" ca="1" si="593"/>
        <v>0</v>
      </c>
      <c r="AQ311" s="39">
        <f t="shared" ca="1" si="593"/>
        <v>0</v>
      </c>
      <c r="AR311" s="39">
        <f t="shared" ca="1" si="593"/>
        <v>567000</v>
      </c>
      <c r="AS311" s="39">
        <f t="shared" ca="1" si="593"/>
        <v>0</v>
      </c>
      <c r="AT311" s="39">
        <f t="shared" ca="1" si="593"/>
        <v>0</v>
      </c>
      <c r="AU311" s="39">
        <f t="shared" ca="1" si="593"/>
        <v>684720</v>
      </c>
      <c r="AV311" s="39">
        <f t="shared" ca="1" si="593"/>
        <v>259200</v>
      </c>
      <c r="AW311" s="39">
        <f t="shared" ca="1" si="593"/>
        <v>453600</v>
      </c>
      <c r="AX311" s="39">
        <f t="shared" ca="1" si="593"/>
        <v>0</v>
      </c>
      <c r="AY311" s="39">
        <f t="shared" ca="1" si="593"/>
        <v>0</v>
      </c>
      <c r="AZ311" s="39">
        <f t="shared" ca="1" si="593"/>
        <v>0</v>
      </c>
      <c r="BA311" s="39">
        <f t="shared" ca="1" si="593"/>
        <v>712800</v>
      </c>
      <c r="BB311" s="39">
        <f t="shared" ca="1" si="593"/>
        <v>0</v>
      </c>
      <c r="BC311" s="39">
        <f t="shared" ca="1" si="593"/>
        <v>0</v>
      </c>
      <c r="BD311" s="39">
        <f t="shared" ca="1" si="593"/>
        <v>723600</v>
      </c>
      <c r="BE311" s="39">
        <f t="shared" ca="1" si="593"/>
        <v>0</v>
      </c>
      <c r="BF311" s="39">
        <f t="shared" ca="1" si="593"/>
        <v>51840</v>
      </c>
      <c r="BG311" s="39">
        <f t="shared" ca="1" si="593"/>
        <v>723600</v>
      </c>
      <c r="BH311" s="39">
        <f t="shared" ca="1" si="593"/>
        <v>615600</v>
      </c>
      <c r="BI311" s="39">
        <f t="shared" ca="1" si="593"/>
        <v>1077300</v>
      </c>
      <c r="BJ311" s="39">
        <f t="shared" ref="BJ311:CS311" ca="1" si="594">BJ58</f>
        <v>0</v>
      </c>
      <c r="BK311" s="39">
        <f t="shared" ca="1" si="594"/>
        <v>0</v>
      </c>
      <c r="BL311" s="39">
        <f t="shared" ca="1" si="594"/>
        <v>0</v>
      </c>
      <c r="BM311" s="39">
        <f t="shared" ca="1" si="594"/>
        <v>1692900</v>
      </c>
      <c r="BN311" s="39">
        <f t="shared" ca="1" si="594"/>
        <v>0</v>
      </c>
      <c r="BO311" s="39">
        <f t="shared" ca="1" si="594"/>
        <v>0</v>
      </c>
      <c r="BP311" s="39">
        <f t="shared" ca="1" si="594"/>
        <v>1718550</v>
      </c>
      <c r="BQ311" s="39">
        <f t="shared" ca="1" si="594"/>
        <v>0</v>
      </c>
      <c r="BR311" s="39">
        <f t="shared" ca="1" si="594"/>
        <v>123120</v>
      </c>
      <c r="BS311" s="39">
        <f t="shared" ca="1" si="594"/>
        <v>1718550</v>
      </c>
      <c r="BT311" s="39">
        <f t="shared" ca="1" si="594"/>
        <v>1385100</v>
      </c>
      <c r="BU311" s="39">
        <f t="shared" ca="1" si="594"/>
        <v>2423925</v>
      </c>
      <c r="BV311" s="39">
        <f t="shared" ca="1" si="594"/>
        <v>0</v>
      </c>
      <c r="BW311" s="39">
        <f t="shared" ca="1" si="594"/>
        <v>0</v>
      </c>
      <c r="BX311" s="39">
        <f t="shared" ca="1" si="594"/>
        <v>0</v>
      </c>
      <c r="BY311" s="39">
        <f t="shared" ca="1" si="594"/>
        <v>3809025</v>
      </c>
      <c r="BZ311" s="39">
        <f t="shared" ca="1" si="594"/>
        <v>0</v>
      </c>
      <c r="CA311" s="39">
        <f t="shared" ca="1" si="594"/>
        <v>0</v>
      </c>
      <c r="CB311" s="39">
        <f t="shared" ca="1" si="594"/>
        <v>3866737.5</v>
      </c>
      <c r="CC311" s="39">
        <f t="shared" ca="1" si="594"/>
        <v>0</v>
      </c>
      <c r="CD311" s="39">
        <f t="shared" ca="1" si="594"/>
        <v>277020</v>
      </c>
      <c r="CE311" s="39">
        <f t="shared" ca="1" si="594"/>
        <v>3866737.5</v>
      </c>
      <c r="CF311" s="39">
        <f t="shared" ca="1" si="594"/>
        <v>2423925</v>
      </c>
      <c r="CG311" s="39">
        <f t="shared" ca="1" si="594"/>
        <v>4241868.75</v>
      </c>
      <c r="CH311" s="39">
        <f t="shared" ca="1" si="594"/>
        <v>0</v>
      </c>
      <c r="CI311" s="39">
        <f t="shared" ca="1" si="594"/>
        <v>0</v>
      </c>
      <c r="CJ311" s="39">
        <f t="shared" ca="1" si="594"/>
        <v>0</v>
      </c>
      <c r="CK311" s="39">
        <f t="shared" ca="1" si="594"/>
        <v>6665793.75</v>
      </c>
      <c r="CL311" s="39">
        <f t="shared" ca="1" si="594"/>
        <v>0</v>
      </c>
      <c r="CM311" s="39">
        <f t="shared" ca="1" si="594"/>
        <v>0</v>
      </c>
      <c r="CN311" s="39">
        <f t="shared" ca="1" si="594"/>
        <v>6766790.625</v>
      </c>
      <c r="CO311" s="39">
        <f t="shared" ca="1" si="594"/>
        <v>0</v>
      </c>
      <c r="CP311" s="39">
        <f t="shared" ca="1" si="594"/>
        <v>484785</v>
      </c>
      <c r="CQ311" s="39">
        <f t="shared" ca="1" si="594"/>
        <v>6766790.625</v>
      </c>
      <c r="CR311" s="39">
        <f t="shared" ca="1" si="594"/>
        <v>2336394.375</v>
      </c>
      <c r="CS311" s="39">
        <f t="shared" ca="1" si="594"/>
        <v>2336394.375</v>
      </c>
      <c r="CT311" s="39">
        <f t="shared" ca="1" si="593"/>
        <v>2336394.375</v>
      </c>
      <c r="CU311" s="39">
        <f t="shared" ca="1" si="593"/>
        <v>0</v>
      </c>
      <c r="CV311" s="39">
        <f t="shared" ca="1" si="593"/>
        <v>0</v>
      </c>
      <c r="CW311" s="21"/>
    </row>
    <row r="312" spans="2:101" x14ac:dyDescent="0.25">
      <c r="D312" s="35" t="str">
        <f>[1]Key!$W$16</f>
        <v>MURAKAMI / TORITON</v>
      </c>
      <c r="F312" s="21"/>
      <c r="G312" s="21"/>
      <c r="H312" s="21"/>
      <c r="I312" s="21"/>
      <c r="J312" s="21"/>
      <c r="K312" s="21"/>
      <c r="L312" s="21"/>
      <c r="M312" s="21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39">
        <f t="shared" ref="Z312:CV312" ca="1" si="595">Z59</f>
        <v>138720</v>
      </c>
      <c r="AA312" s="39">
        <f t="shared" ca="1" si="595"/>
        <v>14450</v>
      </c>
      <c r="AB312" s="39">
        <f t="shared" ca="1" si="595"/>
        <v>0</v>
      </c>
      <c r="AC312" s="39">
        <f t="shared" ca="1" si="595"/>
        <v>14450</v>
      </c>
      <c r="AD312" s="39">
        <f t="shared" ca="1" si="595"/>
        <v>346800</v>
      </c>
      <c r="AE312" s="39">
        <f t="shared" ca="1" si="595"/>
        <v>0</v>
      </c>
      <c r="AF312" s="39">
        <f t="shared" ca="1" si="595"/>
        <v>28900</v>
      </c>
      <c r="AG312" s="39">
        <f t="shared" ca="1" si="595"/>
        <v>0</v>
      </c>
      <c r="AH312" s="39">
        <f t="shared" ca="1" si="595"/>
        <v>78000</v>
      </c>
      <c r="AI312" s="39">
        <f t="shared" ca="1" si="595"/>
        <v>106900</v>
      </c>
      <c r="AJ312" s="39">
        <f t="shared" ca="1" si="595"/>
        <v>0</v>
      </c>
      <c r="AK312" s="39">
        <f t="shared" ca="1" si="595"/>
        <v>260000</v>
      </c>
      <c r="AL312" s="39">
        <f t="shared" ca="1" si="595"/>
        <v>57800</v>
      </c>
      <c r="AM312" s="39">
        <f t="shared" ca="1" si="595"/>
        <v>0</v>
      </c>
      <c r="AN312" s="39">
        <f t="shared" ca="1" si="595"/>
        <v>325000</v>
      </c>
      <c r="AO312" s="39">
        <f t="shared" ca="1" si="595"/>
        <v>154300</v>
      </c>
      <c r="AP312" s="39">
        <f t="shared" ca="1" si="595"/>
        <v>88840</v>
      </c>
      <c r="AQ312" s="39">
        <f t="shared" ca="1" si="595"/>
        <v>363680</v>
      </c>
      <c r="AR312" s="39">
        <f t="shared" ca="1" si="595"/>
        <v>0</v>
      </c>
      <c r="AS312" s="39">
        <f t="shared" ca="1" si="595"/>
        <v>43200</v>
      </c>
      <c r="AT312" s="39">
        <f t="shared" ca="1" si="595"/>
        <v>387520</v>
      </c>
      <c r="AU312" s="39">
        <f t="shared" ca="1" si="595"/>
        <v>277700</v>
      </c>
      <c r="AV312" s="39">
        <f t="shared" ca="1" si="595"/>
        <v>57800</v>
      </c>
      <c r="AW312" s="39">
        <f t="shared" ca="1" si="595"/>
        <v>530280</v>
      </c>
      <c r="AX312" s="39">
        <f t="shared" ca="1" si="595"/>
        <v>259200</v>
      </c>
      <c r="AY312" s="39">
        <f t="shared" ca="1" si="595"/>
        <v>18500</v>
      </c>
      <c r="AZ312" s="39">
        <f t="shared" ca="1" si="595"/>
        <v>422000</v>
      </c>
      <c r="BA312" s="39">
        <f t="shared" ca="1" si="595"/>
        <v>362880</v>
      </c>
      <c r="BB312" s="39">
        <f t="shared" ca="1" si="595"/>
        <v>57800</v>
      </c>
      <c r="BC312" s="39">
        <f t="shared" ca="1" si="595"/>
        <v>562680</v>
      </c>
      <c r="BD312" s="39">
        <f t="shared" ca="1" si="595"/>
        <v>259200</v>
      </c>
      <c r="BE312" s="39">
        <f t="shared" ca="1" si="595"/>
        <v>18500</v>
      </c>
      <c r="BF312" s="39">
        <f t="shared" ca="1" si="595"/>
        <v>363280</v>
      </c>
      <c r="BG312" s="39">
        <f t="shared" ca="1" si="595"/>
        <v>259200</v>
      </c>
      <c r="BH312" s="39">
        <f t="shared" ca="1" si="595"/>
        <v>137275</v>
      </c>
      <c r="BI312" s="39">
        <f t="shared" ca="1" si="595"/>
        <v>1259415</v>
      </c>
      <c r="BJ312" s="39">
        <f t="shared" ref="BJ312:CS312" ca="1" si="596">BJ59</f>
        <v>615600</v>
      </c>
      <c r="BK312" s="39">
        <f t="shared" ca="1" si="596"/>
        <v>43937.5</v>
      </c>
      <c r="BL312" s="39">
        <f t="shared" ca="1" si="596"/>
        <v>1002250</v>
      </c>
      <c r="BM312" s="39">
        <f t="shared" ca="1" si="596"/>
        <v>861840</v>
      </c>
      <c r="BN312" s="39">
        <f t="shared" ca="1" si="596"/>
        <v>137275</v>
      </c>
      <c r="BO312" s="39">
        <f t="shared" ca="1" si="596"/>
        <v>1336365</v>
      </c>
      <c r="BP312" s="39">
        <f t="shared" ca="1" si="596"/>
        <v>615600</v>
      </c>
      <c r="BQ312" s="39">
        <f t="shared" ca="1" si="596"/>
        <v>43937.5</v>
      </c>
      <c r="BR312" s="39">
        <f t="shared" ca="1" si="596"/>
        <v>862790</v>
      </c>
      <c r="BS312" s="39">
        <f t="shared" ca="1" si="596"/>
        <v>615600</v>
      </c>
      <c r="BT312" s="39">
        <f t="shared" ca="1" si="596"/>
        <v>240231.25</v>
      </c>
      <c r="BU312" s="39">
        <f t="shared" ca="1" si="596"/>
        <v>2203976.25</v>
      </c>
      <c r="BV312" s="39">
        <f t="shared" ca="1" si="596"/>
        <v>1077300</v>
      </c>
      <c r="BW312" s="39">
        <f t="shared" ca="1" si="596"/>
        <v>76890.625</v>
      </c>
      <c r="BX312" s="39">
        <f t="shared" ca="1" si="596"/>
        <v>1753937.5</v>
      </c>
      <c r="BY312" s="39">
        <f t="shared" ca="1" si="596"/>
        <v>1508220</v>
      </c>
      <c r="BZ312" s="39">
        <f t="shared" ca="1" si="596"/>
        <v>240231.25</v>
      </c>
      <c r="CA312" s="39">
        <f t="shared" ca="1" si="596"/>
        <v>2338638.75</v>
      </c>
      <c r="CB312" s="39">
        <f t="shared" ca="1" si="596"/>
        <v>1077300</v>
      </c>
      <c r="CC312" s="39">
        <f t="shared" ca="1" si="596"/>
        <v>76890.625</v>
      </c>
      <c r="CD312" s="39">
        <f t="shared" ca="1" si="596"/>
        <v>1509882.5</v>
      </c>
      <c r="CE312" s="39">
        <f t="shared" ca="1" si="596"/>
        <v>1077300</v>
      </c>
      <c r="CF312" s="39">
        <f t="shared" ca="1" si="596"/>
        <v>360346.875</v>
      </c>
      <c r="CG312" s="39">
        <f t="shared" ca="1" si="596"/>
        <v>3305964.375</v>
      </c>
      <c r="CH312" s="39">
        <f t="shared" ca="1" si="596"/>
        <v>1615950</v>
      </c>
      <c r="CI312" s="39">
        <f t="shared" ca="1" si="596"/>
        <v>115335.9375</v>
      </c>
      <c r="CJ312" s="39">
        <f t="shared" ca="1" si="596"/>
        <v>2630906.25</v>
      </c>
      <c r="CK312" s="39">
        <f t="shared" ca="1" si="596"/>
        <v>2262330</v>
      </c>
      <c r="CL312" s="39">
        <f t="shared" ca="1" si="596"/>
        <v>360346.875</v>
      </c>
      <c r="CM312" s="39">
        <f t="shared" ca="1" si="596"/>
        <v>3507958.125</v>
      </c>
      <c r="CN312" s="39">
        <f t="shared" ca="1" si="596"/>
        <v>1615950</v>
      </c>
      <c r="CO312" s="39">
        <f t="shared" ca="1" si="596"/>
        <v>115335.9375</v>
      </c>
      <c r="CP312" s="39">
        <f t="shared" ca="1" si="596"/>
        <v>2264823.75</v>
      </c>
      <c r="CQ312" s="39">
        <f t="shared" ca="1" si="596"/>
        <v>1615950</v>
      </c>
      <c r="CR312" s="39">
        <f t="shared" ca="1" si="596"/>
        <v>1580060.78125</v>
      </c>
      <c r="CS312" s="39">
        <f t="shared" ca="1" si="596"/>
        <v>1580060.78125</v>
      </c>
      <c r="CT312" s="39">
        <f t="shared" ca="1" si="595"/>
        <v>1580060.78125</v>
      </c>
      <c r="CU312" s="39">
        <f t="shared" ca="1" si="595"/>
        <v>0</v>
      </c>
      <c r="CV312" s="39">
        <f t="shared" ca="1" si="595"/>
        <v>0</v>
      </c>
      <c r="CW312" s="21"/>
    </row>
    <row r="313" spans="2:101" x14ac:dyDescent="0.25">
      <c r="D313" s="35" t="str">
        <f>[1]Key!$W$17</f>
        <v>NEW PARTNER 1</v>
      </c>
      <c r="F313" s="21"/>
      <c r="G313" s="21"/>
      <c r="H313" s="21"/>
      <c r="I313" s="21"/>
      <c r="J313" s="21"/>
      <c r="K313" s="21"/>
      <c r="L313" s="21"/>
      <c r="M313" s="21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39">
        <f t="shared" ref="Z313:CV313" ca="1" si="597">Z60</f>
        <v>0</v>
      </c>
      <c r="AA313" s="39">
        <f t="shared" ca="1" si="597"/>
        <v>0</v>
      </c>
      <c r="AB313" s="39">
        <f t="shared" ca="1" si="597"/>
        <v>0</v>
      </c>
      <c r="AC313" s="39">
        <f t="shared" ca="1" si="597"/>
        <v>0</v>
      </c>
      <c r="AD313" s="39">
        <f t="shared" ca="1" si="597"/>
        <v>0</v>
      </c>
      <c r="AE313" s="39">
        <f t="shared" ca="1" si="597"/>
        <v>0</v>
      </c>
      <c r="AF313" s="39">
        <f t="shared" ca="1" si="597"/>
        <v>0</v>
      </c>
      <c r="AG313" s="39">
        <f t="shared" ca="1" si="597"/>
        <v>0</v>
      </c>
      <c r="AH313" s="39">
        <f t="shared" ca="1" si="597"/>
        <v>0</v>
      </c>
      <c r="AI313" s="39">
        <f t="shared" ca="1" si="597"/>
        <v>0</v>
      </c>
      <c r="AJ313" s="39">
        <f t="shared" ca="1" si="597"/>
        <v>0</v>
      </c>
      <c r="AK313" s="39">
        <f t="shared" ca="1" si="597"/>
        <v>0</v>
      </c>
      <c r="AL313" s="39">
        <f t="shared" ca="1" si="597"/>
        <v>0</v>
      </c>
      <c r="AM313" s="39">
        <f t="shared" ca="1" si="597"/>
        <v>0</v>
      </c>
      <c r="AN313" s="39">
        <f t="shared" ca="1" si="597"/>
        <v>0</v>
      </c>
      <c r="AO313" s="39">
        <f t="shared" ca="1" si="597"/>
        <v>0</v>
      </c>
      <c r="AP313" s="39">
        <f t="shared" ca="1" si="597"/>
        <v>0</v>
      </c>
      <c r="AQ313" s="39">
        <f t="shared" ca="1" si="597"/>
        <v>0</v>
      </c>
      <c r="AR313" s="39">
        <f t="shared" ca="1" si="597"/>
        <v>0</v>
      </c>
      <c r="AS313" s="39">
        <f t="shared" ca="1" si="597"/>
        <v>0</v>
      </c>
      <c r="AT313" s="39">
        <f t="shared" ca="1" si="597"/>
        <v>0</v>
      </c>
      <c r="AU313" s="39">
        <f t="shared" ca="1" si="597"/>
        <v>0</v>
      </c>
      <c r="AV313" s="39">
        <f t="shared" ca="1" si="597"/>
        <v>103680</v>
      </c>
      <c r="AW313" s="39">
        <f t="shared" ca="1" si="597"/>
        <v>0</v>
      </c>
      <c r="AX313" s="39">
        <f t="shared" ca="1" si="597"/>
        <v>0</v>
      </c>
      <c r="AY313" s="39">
        <f t="shared" ca="1" si="597"/>
        <v>0</v>
      </c>
      <c r="AZ313" s="39">
        <f t="shared" ca="1" si="597"/>
        <v>0</v>
      </c>
      <c r="BA313" s="39">
        <f t="shared" ca="1" si="597"/>
        <v>0</v>
      </c>
      <c r="BB313" s="39">
        <f t="shared" ca="1" si="597"/>
        <v>216000</v>
      </c>
      <c r="BC313" s="39">
        <f t="shared" ca="1" si="597"/>
        <v>0</v>
      </c>
      <c r="BD313" s="39">
        <f t="shared" ca="1" si="597"/>
        <v>0</v>
      </c>
      <c r="BE313" s="39">
        <f t="shared" ca="1" si="597"/>
        <v>0</v>
      </c>
      <c r="BF313" s="39">
        <f t="shared" ca="1" si="597"/>
        <v>0</v>
      </c>
      <c r="BG313" s="39">
        <f t="shared" ca="1" si="597"/>
        <v>0</v>
      </c>
      <c r="BH313" s="39">
        <f t="shared" ca="1" si="597"/>
        <v>295488</v>
      </c>
      <c r="BI313" s="39">
        <f t="shared" ca="1" si="597"/>
        <v>0</v>
      </c>
      <c r="BJ313" s="39">
        <f t="shared" ref="BJ313:CS313" ca="1" si="598">BJ60</f>
        <v>0</v>
      </c>
      <c r="BK313" s="39">
        <f t="shared" ca="1" si="598"/>
        <v>0</v>
      </c>
      <c r="BL313" s="39">
        <f t="shared" ca="1" si="598"/>
        <v>0</v>
      </c>
      <c r="BM313" s="39">
        <f t="shared" ca="1" si="598"/>
        <v>0</v>
      </c>
      <c r="BN313" s="39">
        <f t="shared" ca="1" si="598"/>
        <v>615600</v>
      </c>
      <c r="BO313" s="39">
        <f t="shared" ca="1" si="598"/>
        <v>0</v>
      </c>
      <c r="BP313" s="39">
        <f t="shared" ca="1" si="598"/>
        <v>0</v>
      </c>
      <c r="BQ313" s="39">
        <f t="shared" ca="1" si="598"/>
        <v>0</v>
      </c>
      <c r="BR313" s="39">
        <f t="shared" ca="1" si="598"/>
        <v>0</v>
      </c>
      <c r="BS313" s="39">
        <f t="shared" ca="1" si="598"/>
        <v>0</v>
      </c>
      <c r="BT313" s="39">
        <f t="shared" ca="1" si="598"/>
        <v>738720</v>
      </c>
      <c r="BU313" s="39">
        <f t="shared" ca="1" si="598"/>
        <v>0</v>
      </c>
      <c r="BV313" s="39">
        <f t="shared" ca="1" si="598"/>
        <v>0</v>
      </c>
      <c r="BW313" s="39">
        <f t="shared" ca="1" si="598"/>
        <v>0</v>
      </c>
      <c r="BX313" s="39">
        <f t="shared" ca="1" si="598"/>
        <v>0</v>
      </c>
      <c r="BY313" s="39">
        <f t="shared" ca="1" si="598"/>
        <v>0</v>
      </c>
      <c r="BZ313" s="39">
        <f t="shared" ca="1" si="598"/>
        <v>1539000</v>
      </c>
      <c r="CA313" s="39">
        <f t="shared" ca="1" si="598"/>
        <v>0</v>
      </c>
      <c r="CB313" s="39">
        <f t="shared" ca="1" si="598"/>
        <v>0</v>
      </c>
      <c r="CC313" s="39">
        <f t="shared" ca="1" si="598"/>
        <v>0</v>
      </c>
      <c r="CD313" s="39">
        <f t="shared" ca="1" si="598"/>
        <v>0</v>
      </c>
      <c r="CE313" s="39">
        <f t="shared" ca="1" si="598"/>
        <v>0</v>
      </c>
      <c r="CF313" s="39">
        <f t="shared" ca="1" si="598"/>
        <v>1292760</v>
      </c>
      <c r="CG313" s="39">
        <f t="shared" ca="1" si="598"/>
        <v>0</v>
      </c>
      <c r="CH313" s="39">
        <f t="shared" ca="1" si="598"/>
        <v>0</v>
      </c>
      <c r="CI313" s="39">
        <f t="shared" ca="1" si="598"/>
        <v>0</v>
      </c>
      <c r="CJ313" s="39">
        <f t="shared" ca="1" si="598"/>
        <v>0</v>
      </c>
      <c r="CK313" s="39">
        <f t="shared" ca="1" si="598"/>
        <v>0</v>
      </c>
      <c r="CL313" s="39">
        <f t="shared" ca="1" si="598"/>
        <v>2693250</v>
      </c>
      <c r="CM313" s="39">
        <f t="shared" ca="1" si="598"/>
        <v>0</v>
      </c>
      <c r="CN313" s="39">
        <f t="shared" ca="1" si="598"/>
        <v>0</v>
      </c>
      <c r="CO313" s="39">
        <f t="shared" ca="1" si="598"/>
        <v>0</v>
      </c>
      <c r="CP313" s="39">
        <f t="shared" ca="1" si="598"/>
        <v>0</v>
      </c>
      <c r="CQ313" s="39">
        <f t="shared" ca="1" si="598"/>
        <v>0</v>
      </c>
      <c r="CR313" s="39">
        <f t="shared" ca="1" si="598"/>
        <v>448875</v>
      </c>
      <c r="CS313" s="39">
        <f t="shared" ca="1" si="598"/>
        <v>448875</v>
      </c>
      <c r="CT313" s="39">
        <f t="shared" ca="1" si="597"/>
        <v>448875</v>
      </c>
      <c r="CU313" s="39">
        <f t="shared" ca="1" si="597"/>
        <v>0</v>
      </c>
      <c r="CV313" s="39">
        <f t="shared" ca="1" si="597"/>
        <v>0</v>
      </c>
      <c r="CW313" s="21"/>
    </row>
    <row r="314" spans="2:101" x14ac:dyDescent="0.25">
      <c r="D314" s="35" t="str">
        <f>[1]Key!$W$18</f>
        <v>NEW PARTNER 2</v>
      </c>
      <c r="F314" s="21"/>
      <c r="G314" s="21"/>
      <c r="H314" s="21"/>
      <c r="I314" s="21"/>
      <c r="J314" s="21"/>
      <c r="K314" s="21"/>
      <c r="L314" s="21"/>
      <c r="M314" s="21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39">
        <f t="shared" ref="Z314:CV314" ca="1" si="599">Z61</f>
        <v>0</v>
      </c>
      <c r="AA314" s="39">
        <f t="shared" ca="1" si="599"/>
        <v>0</v>
      </c>
      <c r="AB314" s="39">
        <f t="shared" ca="1" si="599"/>
        <v>0</v>
      </c>
      <c r="AC314" s="39">
        <f t="shared" ca="1" si="599"/>
        <v>0</v>
      </c>
      <c r="AD314" s="39">
        <f t="shared" ca="1" si="599"/>
        <v>0</v>
      </c>
      <c r="AE314" s="39">
        <f t="shared" ca="1" si="599"/>
        <v>0</v>
      </c>
      <c r="AF314" s="39">
        <f t="shared" ca="1" si="599"/>
        <v>0</v>
      </c>
      <c r="AG314" s="39">
        <f t="shared" ca="1" si="599"/>
        <v>0</v>
      </c>
      <c r="AH314" s="39">
        <f t="shared" ca="1" si="599"/>
        <v>0</v>
      </c>
      <c r="AI314" s="39">
        <f t="shared" ca="1" si="599"/>
        <v>0</v>
      </c>
      <c r="AJ314" s="39">
        <f t="shared" ca="1" si="599"/>
        <v>0</v>
      </c>
      <c r="AK314" s="39">
        <f t="shared" ca="1" si="599"/>
        <v>0</v>
      </c>
      <c r="AL314" s="39">
        <f t="shared" ca="1" si="599"/>
        <v>0</v>
      </c>
      <c r="AM314" s="39">
        <f t="shared" ca="1" si="599"/>
        <v>0</v>
      </c>
      <c r="AN314" s="39">
        <f t="shared" ca="1" si="599"/>
        <v>0</v>
      </c>
      <c r="AO314" s="39">
        <f t="shared" ca="1" si="599"/>
        <v>0</v>
      </c>
      <c r="AP314" s="39">
        <f t="shared" ca="1" si="599"/>
        <v>0</v>
      </c>
      <c r="AQ314" s="39">
        <f t="shared" ca="1" si="599"/>
        <v>0</v>
      </c>
      <c r="AR314" s="39">
        <f t="shared" ca="1" si="599"/>
        <v>0</v>
      </c>
      <c r="AS314" s="39">
        <f t="shared" ca="1" si="599"/>
        <v>0</v>
      </c>
      <c r="AT314" s="39">
        <f t="shared" ca="1" si="599"/>
        <v>0</v>
      </c>
      <c r="AU314" s="39">
        <f t="shared" ca="1" si="599"/>
        <v>0</v>
      </c>
      <c r="AV314" s="39">
        <f t="shared" ca="1" si="599"/>
        <v>216000</v>
      </c>
      <c r="AW314" s="39">
        <f t="shared" ca="1" si="599"/>
        <v>0</v>
      </c>
      <c r="AX314" s="39">
        <f t="shared" ca="1" si="599"/>
        <v>0</v>
      </c>
      <c r="AY314" s="39">
        <f t="shared" ca="1" si="599"/>
        <v>0</v>
      </c>
      <c r="AZ314" s="39">
        <f t="shared" ca="1" si="599"/>
        <v>0</v>
      </c>
      <c r="BA314" s="39">
        <f t="shared" ca="1" si="599"/>
        <v>0</v>
      </c>
      <c r="BB314" s="39">
        <f t="shared" ca="1" si="599"/>
        <v>518400.00000000006</v>
      </c>
      <c r="BC314" s="39">
        <f t="shared" ca="1" si="599"/>
        <v>0</v>
      </c>
      <c r="BD314" s="39">
        <f t="shared" ca="1" si="599"/>
        <v>0</v>
      </c>
      <c r="BE314" s="39">
        <f t="shared" ca="1" si="599"/>
        <v>0</v>
      </c>
      <c r="BF314" s="39">
        <f t="shared" ca="1" si="599"/>
        <v>103680</v>
      </c>
      <c r="BG314" s="39">
        <f t="shared" ca="1" si="599"/>
        <v>0</v>
      </c>
      <c r="BH314" s="39">
        <f t="shared" ca="1" si="599"/>
        <v>615600</v>
      </c>
      <c r="BI314" s="39">
        <f t="shared" ca="1" si="599"/>
        <v>0</v>
      </c>
      <c r="BJ314" s="39">
        <f t="shared" ref="BJ314:CS314" ca="1" si="600">BJ61</f>
        <v>0</v>
      </c>
      <c r="BK314" s="39">
        <f t="shared" ca="1" si="600"/>
        <v>0</v>
      </c>
      <c r="BL314" s="39">
        <f t="shared" ca="1" si="600"/>
        <v>0</v>
      </c>
      <c r="BM314" s="39">
        <f t="shared" ca="1" si="600"/>
        <v>0</v>
      </c>
      <c r="BN314" s="39">
        <f t="shared" ca="1" si="600"/>
        <v>1477440</v>
      </c>
      <c r="BO314" s="39">
        <f t="shared" ca="1" si="600"/>
        <v>0</v>
      </c>
      <c r="BP314" s="39">
        <f t="shared" ca="1" si="600"/>
        <v>0</v>
      </c>
      <c r="BQ314" s="39">
        <f t="shared" ca="1" si="600"/>
        <v>0</v>
      </c>
      <c r="BR314" s="39">
        <f t="shared" ca="1" si="600"/>
        <v>295488</v>
      </c>
      <c r="BS314" s="39">
        <f t="shared" ca="1" si="600"/>
        <v>0</v>
      </c>
      <c r="BT314" s="39">
        <f t="shared" ca="1" si="600"/>
        <v>1539000</v>
      </c>
      <c r="BU314" s="39">
        <f t="shared" ca="1" si="600"/>
        <v>0</v>
      </c>
      <c r="BV314" s="39">
        <f t="shared" ca="1" si="600"/>
        <v>0</v>
      </c>
      <c r="BW314" s="39">
        <f t="shared" ca="1" si="600"/>
        <v>0</v>
      </c>
      <c r="BX314" s="39">
        <f t="shared" ca="1" si="600"/>
        <v>0</v>
      </c>
      <c r="BY314" s="39">
        <f t="shared" ca="1" si="600"/>
        <v>0</v>
      </c>
      <c r="BZ314" s="39">
        <f t="shared" ca="1" si="600"/>
        <v>3693600</v>
      </c>
      <c r="CA314" s="39">
        <f t="shared" ca="1" si="600"/>
        <v>0</v>
      </c>
      <c r="CB314" s="39">
        <f t="shared" ca="1" si="600"/>
        <v>0</v>
      </c>
      <c r="CC314" s="39">
        <f t="shared" ca="1" si="600"/>
        <v>0</v>
      </c>
      <c r="CD314" s="39">
        <f t="shared" ca="1" si="600"/>
        <v>738720</v>
      </c>
      <c r="CE314" s="39">
        <f t="shared" ca="1" si="600"/>
        <v>0</v>
      </c>
      <c r="CF314" s="39">
        <f t="shared" ca="1" si="600"/>
        <v>2693250</v>
      </c>
      <c r="CG314" s="39">
        <f t="shared" ca="1" si="600"/>
        <v>0</v>
      </c>
      <c r="CH314" s="39">
        <f t="shared" ca="1" si="600"/>
        <v>0</v>
      </c>
      <c r="CI314" s="39">
        <f t="shared" ca="1" si="600"/>
        <v>0</v>
      </c>
      <c r="CJ314" s="39">
        <f t="shared" ca="1" si="600"/>
        <v>0</v>
      </c>
      <c r="CK314" s="39">
        <f t="shared" ca="1" si="600"/>
        <v>0</v>
      </c>
      <c r="CL314" s="39">
        <f t="shared" ca="1" si="600"/>
        <v>6463800</v>
      </c>
      <c r="CM314" s="39">
        <f t="shared" ca="1" si="600"/>
        <v>0</v>
      </c>
      <c r="CN314" s="39">
        <f t="shared" ca="1" si="600"/>
        <v>0</v>
      </c>
      <c r="CO314" s="39">
        <f t="shared" ca="1" si="600"/>
        <v>0</v>
      </c>
      <c r="CP314" s="39">
        <f t="shared" ca="1" si="600"/>
        <v>1292760</v>
      </c>
      <c r="CQ314" s="39">
        <f t="shared" ca="1" si="600"/>
        <v>0</v>
      </c>
      <c r="CR314" s="39">
        <f t="shared" ca="1" si="600"/>
        <v>1292760</v>
      </c>
      <c r="CS314" s="39">
        <f t="shared" ca="1" si="600"/>
        <v>1292760</v>
      </c>
      <c r="CT314" s="39">
        <f t="shared" ca="1" si="599"/>
        <v>1292760</v>
      </c>
      <c r="CU314" s="39">
        <f t="shared" ca="1" si="599"/>
        <v>0</v>
      </c>
      <c r="CV314" s="39">
        <f t="shared" ca="1" si="599"/>
        <v>0</v>
      </c>
      <c r="CW314" s="21"/>
    </row>
    <row r="315" spans="2:101" x14ac:dyDescent="0.25">
      <c r="D315" s="35" t="str">
        <f>[1]Key!$W$19</f>
        <v>PIGALLE</v>
      </c>
      <c r="F315" s="21"/>
      <c r="G315" s="21"/>
      <c r="H315" s="21"/>
      <c r="I315" s="21"/>
      <c r="J315" s="21"/>
      <c r="K315" s="21"/>
      <c r="L315" s="21"/>
      <c r="M315" s="21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39">
        <f t="shared" ref="Z315:CV315" ca="1" si="601">Z62</f>
        <v>0</v>
      </c>
      <c r="AA315" s="39">
        <f t="shared" ca="1" si="601"/>
        <v>0</v>
      </c>
      <c r="AB315" s="39">
        <f t="shared" ca="1" si="601"/>
        <v>0</v>
      </c>
      <c r="AC315" s="39">
        <f t="shared" ca="1" si="601"/>
        <v>0</v>
      </c>
      <c r="AD315" s="39">
        <f t="shared" ca="1" si="601"/>
        <v>0</v>
      </c>
      <c r="AE315" s="39">
        <f t="shared" ca="1" si="601"/>
        <v>0</v>
      </c>
      <c r="AF315" s="39">
        <f t="shared" ca="1" si="601"/>
        <v>0</v>
      </c>
      <c r="AG315" s="39">
        <f t="shared" ca="1" si="601"/>
        <v>0</v>
      </c>
      <c r="AH315" s="39">
        <f t="shared" ca="1" si="601"/>
        <v>0</v>
      </c>
      <c r="AI315" s="39">
        <f t="shared" ca="1" si="601"/>
        <v>0</v>
      </c>
      <c r="AJ315" s="39">
        <f t="shared" ca="1" si="601"/>
        <v>0</v>
      </c>
      <c r="AK315" s="39">
        <f t="shared" ca="1" si="601"/>
        <v>0</v>
      </c>
      <c r="AL315" s="39">
        <f t="shared" ca="1" si="601"/>
        <v>0</v>
      </c>
      <c r="AM315" s="39">
        <f t="shared" ca="1" si="601"/>
        <v>0</v>
      </c>
      <c r="AN315" s="39">
        <f t="shared" ca="1" si="601"/>
        <v>32400</v>
      </c>
      <c r="AO315" s="39">
        <f t="shared" ca="1" si="601"/>
        <v>0</v>
      </c>
      <c r="AP315" s="39">
        <f t="shared" ca="1" si="601"/>
        <v>64800</v>
      </c>
      <c r="AQ315" s="39">
        <f t="shared" ca="1" si="601"/>
        <v>0</v>
      </c>
      <c r="AR315" s="39">
        <f t="shared" ca="1" si="601"/>
        <v>0</v>
      </c>
      <c r="AS315" s="39">
        <f t="shared" ca="1" si="601"/>
        <v>0</v>
      </c>
      <c r="AT315" s="39">
        <f t="shared" ca="1" si="601"/>
        <v>129600</v>
      </c>
      <c r="AU315" s="39">
        <f t="shared" ca="1" si="601"/>
        <v>0</v>
      </c>
      <c r="AV315" s="39">
        <f t="shared" ca="1" si="601"/>
        <v>0</v>
      </c>
      <c r="AW315" s="39">
        <f t="shared" ca="1" si="601"/>
        <v>129600</v>
      </c>
      <c r="AX315" s="39">
        <f t="shared" ca="1" si="601"/>
        <v>0</v>
      </c>
      <c r="AY315" s="39">
        <f t="shared" ca="1" si="601"/>
        <v>0</v>
      </c>
      <c r="AZ315" s="39">
        <f t="shared" ca="1" si="601"/>
        <v>129600</v>
      </c>
      <c r="BA315" s="39">
        <f t="shared" ca="1" si="601"/>
        <v>0</v>
      </c>
      <c r="BB315" s="39">
        <f t="shared" ca="1" si="601"/>
        <v>0</v>
      </c>
      <c r="BC315" s="39">
        <f t="shared" ca="1" si="601"/>
        <v>129600</v>
      </c>
      <c r="BD315" s="39">
        <f t="shared" ca="1" si="601"/>
        <v>0</v>
      </c>
      <c r="BE315" s="39">
        <f t="shared" ca="1" si="601"/>
        <v>0</v>
      </c>
      <c r="BF315" s="39">
        <f t="shared" ca="1" si="601"/>
        <v>129600</v>
      </c>
      <c r="BG315" s="39">
        <f t="shared" ca="1" si="601"/>
        <v>0</v>
      </c>
      <c r="BH315" s="39">
        <f t="shared" ca="1" si="601"/>
        <v>0</v>
      </c>
      <c r="BI315" s="39">
        <f t="shared" ca="1" si="601"/>
        <v>246240</v>
      </c>
      <c r="BJ315" s="39">
        <f t="shared" ref="BJ315:CS315" ca="1" si="602">BJ62</f>
        <v>0</v>
      </c>
      <c r="BK315" s="39">
        <f t="shared" ca="1" si="602"/>
        <v>0</v>
      </c>
      <c r="BL315" s="39">
        <f t="shared" ca="1" si="602"/>
        <v>246240</v>
      </c>
      <c r="BM315" s="39">
        <f t="shared" ca="1" si="602"/>
        <v>0</v>
      </c>
      <c r="BN315" s="39">
        <f t="shared" ca="1" si="602"/>
        <v>0</v>
      </c>
      <c r="BO315" s="39">
        <f t="shared" ca="1" si="602"/>
        <v>246240</v>
      </c>
      <c r="BP315" s="39">
        <f t="shared" ca="1" si="602"/>
        <v>0</v>
      </c>
      <c r="BQ315" s="39">
        <f t="shared" ca="1" si="602"/>
        <v>0</v>
      </c>
      <c r="BR315" s="39">
        <f t="shared" ca="1" si="602"/>
        <v>246240</v>
      </c>
      <c r="BS315" s="39">
        <f t="shared" ca="1" si="602"/>
        <v>0</v>
      </c>
      <c r="BT315" s="39">
        <f t="shared" ca="1" si="602"/>
        <v>0</v>
      </c>
      <c r="BU315" s="39">
        <f t="shared" ca="1" si="602"/>
        <v>369360</v>
      </c>
      <c r="BV315" s="39">
        <f t="shared" ca="1" si="602"/>
        <v>0</v>
      </c>
      <c r="BW315" s="39">
        <f t="shared" ca="1" si="602"/>
        <v>0</v>
      </c>
      <c r="BX315" s="39">
        <f t="shared" ca="1" si="602"/>
        <v>369360</v>
      </c>
      <c r="BY315" s="39">
        <f t="shared" ca="1" si="602"/>
        <v>0</v>
      </c>
      <c r="BZ315" s="39">
        <f t="shared" ca="1" si="602"/>
        <v>0</v>
      </c>
      <c r="CA315" s="39">
        <f t="shared" ca="1" si="602"/>
        <v>369360</v>
      </c>
      <c r="CB315" s="39">
        <f t="shared" ca="1" si="602"/>
        <v>0</v>
      </c>
      <c r="CC315" s="39">
        <f t="shared" ca="1" si="602"/>
        <v>0</v>
      </c>
      <c r="CD315" s="39">
        <f t="shared" ca="1" si="602"/>
        <v>369360</v>
      </c>
      <c r="CE315" s="39">
        <f t="shared" ca="1" si="602"/>
        <v>0</v>
      </c>
      <c r="CF315" s="39">
        <f t="shared" ca="1" si="602"/>
        <v>0</v>
      </c>
      <c r="CG315" s="39">
        <f t="shared" ca="1" si="602"/>
        <v>480168</v>
      </c>
      <c r="CH315" s="39">
        <f t="shared" ca="1" si="602"/>
        <v>0</v>
      </c>
      <c r="CI315" s="39">
        <f t="shared" ca="1" si="602"/>
        <v>0</v>
      </c>
      <c r="CJ315" s="39">
        <f t="shared" ca="1" si="602"/>
        <v>480168</v>
      </c>
      <c r="CK315" s="39">
        <f t="shared" ca="1" si="602"/>
        <v>0</v>
      </c>
      <c r="CL315" s="39">
        <f t="shared" ca="1" si="602"/>
        <v>0</v>
      </c>
      <c r="CM315" s="39">
        <f t="shared" ca="1" si="602"/>
        <v>480168</v>
      </c>
      <c r="CN315" s="39">
        <f t="shared" ca="1" si="602"/>
        <v>0</v>
      </c>
      <c r="CO315" s="39">
        <f t="shared" ca="1" si="602"/>
        <v>0</v>
      </c>
      <c r="CP315" s="39">
        <f t="shared" ca="1" si="602"/>
        <v>480168</v>
      </c>
      <c r="CQ315" s="39">
        <f t="shared" ca="1" si="602"/>
        <v>0</v>
      </c>
      <c r="CR315" s="39">
        <f t="shared" ca="1" si="602"/>
        <v>160056</v>
      </c>
      <c r="CS315" s="39">
        <f t="shared" ca="1" si="602"/>
        <v>160056</v>
      </c>
      <c r="CT315" s="39">
        <f t="shared" ca="1" si="601"/>
        <v>160056</v>
      </c>
      <c r="CU315" s="39">
        <f t="shared" ca="1" si="601"/>
        <v>0</v>
      </c>
      <c r="CV315" s="39">
        <f t="shared" ca="1" si="601"/>
        <v>0</v>
      </c>
      <c r="CW315" s="21"/>
    </row>
    <row r="316" spans="2:101" x14ac:dyDescent="0.25">
      <c r="D316" s="35" t="str">
        <f>[1]Key!$W$20</f>
        <v>SPORT PLACEHOLDER</v>
      </c>
      <c r="F316" s="21"/>
      <c r="G316" s="21"/>
      <c r="H316" s="21"/>
      <c r="I316" s="21"/>
      <c r="J316" s="21"/>
      <c r="K316" s="21"/>
      <c r="L316" s="21"/>
      <c r="M316" s="21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39">
        <f t="shared" ref="Z316:CV316" ca="1" si="603">Z63</f>
        <v>0</v>
      </c>
      <c r="AA316" s="39">
        <f t="shared" ca="1" si="603"/>
        <v>0</v>
      </c>
      <c r="AB316" s="39">
        <f t="shared" ca="1" si="603"/>
        <v>0</v>
      </c>
      <c r="AC316" s="39">
        <f t="shared" ca="1" si="603"/>
        <v>0</v>
      </c>
      <c r="AD316" s="39">
        <f t="shared" ca="1" si="603"/>
        <v>0</v>
      </c>
      <c r="AE316" s="39">
        <f t="shared" ca="1" si="603"/>
        <v>0</v>
      </c>
      <c r="AF316" s="39">
        <f t="shared" ca="1" si="603"/>
        <v>0</v>
      </c>
      <c r="AG316" s="39">
        <f t="shared" ca="1" si="603"/>
        <v>0</v>
      </c>
      <c r="AH316" s="39">
        <f t="shared" ca="1" si="603"/>
        <v>0</v>
      </c>
      <c r="AI316" s="39">
        <f t="shared" ca="1" si="603"/>
        <v>0</v>
      </c>
      <c r="AJ316" s="39">
        <f t="shared" ca="1" si="603"/>
        <v>0</v>
      </c>
      <c r="AK316" s="39">
        <f t="shared" ca="1" si="603"/>
        <v>0</v>
      </c>
      <c r="AL316" s="39">
        <f t="shared" ca="1" si="603"/>
        <v>0</v>
      </c>
      <c r="AM316" s="39">
        <f t="shared" ca="1" si="603"/>
        <v>0</v>
      </c>
      <c r="AN316" s="39">
        <f t="shared" ca="1" si="603"/>
        <v>0</v>
      </c>
      <c r="AO316" s="39">
        <f t="shared" ca="1" si="603"/>
        <v>0</v>
      </c>
      <c r="AP316" s="39">
        <f t="shared" ca="1" si="603"/>
        <v>0</v>
      </c>
      <c r="AQ316" s="39">
        <f t="shared" ca="1" si="603"/>
        <v>0</v>
      </c>
      <c r="AR316" s="39">
        <f t="shared" ca="1" si="603"/>
        <v>0</v>
      </c>
      <c r="AS316" s="39">
        <f t="shared" ca="1" si="603"/>
        <v>0</v>
      </c>
      <c r="AT316" s="39">
        <f t="shared" ca="1" si="603"/>
        <v>0</v>
      </c>
      <c r="AU316" s="39">
        <f t="shared" ca="1" si="603"/>
        <v>0</v>
      </c>
      <c r="AV316" s="39">
        <f t="shared" ca="1" si="603"/>
        <v>648000</v>
      </c>
      <c r="AW316" s="39">
        <f t="shared" ca="1" si="603"/>
        <v>0</v>
      </c>
      <c r="AX316" s="39">
        <f t="shared" ca="1" si="603"/>
        <v>0</v>
      </c>
      <c r="AY316" s="39">
        <f t="shared" ca="1" si="603"/>
        <v>0</v>
      </c>
      <c r="AZ316" s="39">
        <f t="shared" ca="1" si="603"/>
        <v>0</v>
      </c>
      <c r="BA316" s="39">
        <f t="shared" ca="1" si="603"/>
        <v>0</v>
      </c>
      <c r="BB316" s="39">
        <f t="shared" ca="1" si="603"/>
        <v>1296000</v>
      </c>
      <c r="BC316" s="39">
        <f t="shared" ca="1" si="603"/>
        <v>0</v>
      </c>
      <c r="BD316" s="39">
        <f t="shared" ca="1" si="603"/>
        <v>0</v>
      </c>
      <c r="BE316" s="39">
        <f t="shared" ca="1" si="603"/>
        <v>0</v>
      </c>
      <c r="BF316" s="39">
        <f t="shared" ca="1" si="603"/>
        <v>0</v>
      </c>
      <c r="BG316" s="39">
        <f t="shared" ca="1" si="603"/>
        <v>0</v>
      </c>
      <c r="BH316" s="39">
        <f t="shared" ca="1" si="603"/>
        <v>1846800</v>
      </c>
      <c r="BI316" s="39">
        <f t="shared" ca="1" si="603"/>
        <v>0</v>
      </c>
      <c r="BJ316" s="39">
        <f t="shared" ref="BJ316:CS316" ca="1" si="604">BJ63</f>
        <v>0</v>
      </c>
      <c r="BK316" s="39">
        <f t="shared" ca="1" si="604"/>
        <v>0</v>
      </c>
      <c r="BL316" s="39">
        <f t="shared" ca="1" si="604"/>
        <v>0</v>
      </c>
      <c r="BM316" s="39">
        <f t="shared" ca="1" si="604"/>
        <v>0</v>
      </c>
      <c r="BN316" s="39">
        <f t="shared" ca="1" si="604"/>
        <v>3693600</v>
      </c>
      <c r="BO316" s="39">
        <f t="shared" ca="1" si="604"/>
        <v>0</v>
      </c>
      <c r="BP316" s="39">
        <f t="shared" ca="1" si="604"/>
        <v>0</v>
      </c>
      <c r="BQ316" s="39">
        <f t="shared" ca="1" si="604"/>
        <v>0</v>
      </c>
      <c r="BR316" s="39">
        <f t="shared" ca="1" si="604"/>
        <v>0</v>
      </c>
      <c r="BS316" s="39">
        <f t="shared" ca="1" si="604"/>
        <v>0</v>
      </c>
      <c r="BT316" s="39">
        <f t="shared" ca="1" si="604"/>
        <v>5540400</v>
      </c>
      <c r="BU316" s="39">
        <f t="shared" ca="1" si="604"/>
        <v>0</v>
      </c>
      <c r="BV316" s="39">
        <f t="shared" ca="1" si="604"/>
        <v>0</v>
      </c>
      <c r="BW316" s="39">
        <f t="shared" ca="1" si="604"/>
        <v>0</v>
      </c>
      <c r="BX316" s="39">
        <f t="shared" ca="1" si="604"/>
        <v>0</v>
      </c>
      <c r="BY316" s="39">
        <f t="shared" ca="1" si="604"/>
        <v>0</v>
      </c>
      <c r="BZ316" s="39">
        <f t="shared" ca="1" si="604"/>
        <v>11080800</v>
      </c>
      <c r="CA316" s="39">
        <f t="shared" ca="1" si="604"/>
        <v>0</v>
      </c>
      <c r="CB316" s="39">
        <f t="shared" ca="1" si="604"/>
        <v>0</v>
      </c>
      <c r="CC316" s="39">
        <f t="shared" ca="1" si="604"/>
        <v>0</v>
      </c>
      <c r="CD316" s="39">
        <f t="shared" ca="1" si="604"/>
        <v>0</v>
      </c>
      <c r="CE316" s="39">
        <f t="shared" ca="1" si="604"/>
        <v>0</v>
      </c>
      <c r="CF316" s="39">
        <f t="shared" ca="1" si="604"/>
        <v>13851000</v>
      </c>
      <c r="CG316" s="39">
        <f t="shared" ca="1" si="604"/>
        <v>0</v>
      </c>
      <c r="CH316" s="39">
        <f t="shared" ca="1" si="604"/>
        <v>0</v>
      </c>
      <c r="CI316" s="39">
        <f t="shared" ca="1" si="604"/>
        <v>0</v>
      </c>
      <c r="CJ316" s="39">
        <f t="shared" ca="1" si="604"/>
        <v>0</v>
      </c>
      <c r="CK316" s="39">
        <f t="shared" ca="1" si="604"/>
        <v>0</v>
      </c>
      <c r="CL316" s="39">
        <f t="shared" ca="1" si="604"/>
        <v>27702000</v>
      </c>
      <c r="CM316" s="39">
        <f t="shared" ca="1" si="604"/>
        <v>0</v>
      </c>
      <c r="CN316" s="39">
        <f t="shared" ca="1" si="604"/>
        <v>0</v>
      </c>
      <c r="CO316" s="39">
        <f t="shared" ca="1" si="604"/>
        <v>0</v>
      </c>
      <c r="CP316" s="39">
        <f t="shared" ca="1" si="604"/>
        <v>0</v>
      </c>
      <c r="CQ316" s="39">
        <f t="shared" ca="1" si="604"/>
        <v>0</v>
      </c>
      <c r="CR316" s="39">
        <f t="shared" ca="1" si="604"/>
        <v>4617000</v>
      </c>
      <c r="CS316" s="39">
        <f t="shared" ca="1" si="604"/>
        <v>4617000</v>
      </c>
      <c r="CT316" s="39">
        <f t="shared" ca="1" si="603"/>
        <v>4617000</v>
      </c>
      <c r="CU316" s="39">
        <f t="shared" ca="1" si="603"/>
        <v>0</v>
      </c>
      <c r="CV316" s="39">
        <f t="shared" ca="1" si="603"/>
        <v>0</v>
      </c>
      <c r="CW316" s="21"/>
    </row>
    <row r="317" spans="2:101" x14ac:dyDescent="0.25">
      <c r="D317" s="35" t="str">
        <f>[1]Key!$W$21</f>
        <v>SPUNGE</v>
      </c>
      <c r="F317" s="21"/>
      <c r="G317" s="21"/>
      <c r="H317" s="21"/>
      <c r="I317" s="21"/>
      <c r="J317" s="21"/>
      <c r="K317" s="21"/>
      <c r="L317" s="21"/>
      <c r="M317" s="21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39">
        <f t="shared" ref="Z317:CV317" ca="1" si="605">Z64</f>
        <v>0</v>
      </c>
      <c r="AA317" s="39">
        <f t="shared" ca="1" si="605"/>
        <v>0</v>
      </c>
      <c r="AB317" s="39">
        <f t="shared" ca="1" si="605"/>
        <v>0</v>
      </c>
      <c r="AC317" s="39">
        <f t="shared" ca="1" si="605"/>
        <v>0</v>
      </c>
      <c r="AD317" s="39">
        <f t="shared" ca="1" si="605"/>
        <v>0</v>
      </c>
      <c r="AE317" s="39">
        <f t="shared" ca="1" si="605"/>
        <v>0</v>
      </c>
      <c r="AF317" s="39">
        <f t="shared" ca="1" si="605"/>
        <v>0</v>
      </c>
      <c r="AG317" s="39">
        <f t="shared" ca="1" si="605"/>
        <v>0</v>
      </c>
      <c r="AH317" s="39">
        <f t="shared" ca="1" si="605"/>
        <v>0</v>
      </c>
      <c r="AI317" s="39">
        <f t="shared" ca="1" si="605"/>
        <v>0</v>
      </c>
      <c r="AJ317" s="39">
        <f t="shared" ca="1" si="605"/>
        <v>0</v>
      </c>
      <c r="AK317" s="39">
        <f t="shared" ca="1" si="605"/>
        <v>0</v>
      </c>
      <c r="AL317" s="39">
        <f t="shared" ca="1" si="605"/>
        <v>0</v>
      </c>
      <c r="AM317" s="39">
        <f t="shared" ca="1" si="605"/>
        <v>0</v>
      </c>
      <c r="AN317" s="39">
        <f t="shared" ca="1" si="605"/>
        <v>0</v>
      </c>
      <c r="AO317" s="39">
        <f t="shared" ca="1" si="605"/>
        <v>0</v>
      </c>
      <c r="AP317" s="39">
        <f t="shared" ca="1" si="605"/>
        <v>0</v>
      </c>
      <c r="AQ317" s="39">
        <f t="shared" ca="1" si="605"/>
        <v>0</v>
      </c>
      <c r="AR317" s="39">
        <f t="shared" ca="1" si="605"/>
        <v>51840</v>
      </c>
      <c r="AS317" s="39">
        <f t="shared" ca="1" si="605"/>
        <v>0</v>
      </c>
      <c r="AT317" s="39">
        <f t="shared" ca="1" si="605"/>
        <v>51840</v>
      </c>
      <c r="AU317" s="39">
        <f t="shared" ca="1" si="605"/>
        <v>129600</v>
      </c>
      <c r="AV317" s="39">
        <f t="shared" ca="1" si="605"/>
        <v>0</v>
      </c>
      <c r="AW317" s="39">
        <f t="shared" ca="1" si="605"/>
        <v>397440</v>
      </c>
      <c r="AX317" s="39">
        <f t="shared" ca="1" si="605"/>
        <v>0</v>
      </c>
      <c r="AY317" s="39">
        <f t="shared" ca="1" si="605"/>
        <v>0</v>
      </c>
      <c r="AZ317" s="39">
        <f t="shared" ca="1" si="605"/>
        <v>449280</v>
      </c>
      <c r="BA317" s="39">
        <f t="shared" ca="1" si="605"/>
        <v>0</v>
      </c>
      <c r="BB317" s="39">
        <f t="shared" ca="1" si="605"/>
        <v>518400</v>
      </c>
      <c r="BC317" s="39">
        <f t="shared" ca="1" si="605"/>
        <v>0</v>
      </c>
      <c r="BD317" s="39">
        <f t="shared" ca="1" si="605"/>
        <v>51840</v>
      </c>
      <c r="BE317" s="39">
        <f t="shared" ca="1" si="605"/>
        <v>0</v>
      </c>
      <c r="BF317" s="39">
        <f t="shared" ca="1" si="605"/>
        <v>691200</v>
      </c>
      <c r="BG317" s="39">
        <f t="shared" ca="1" si="605"/>
        <v>129600</v>
      </c>
      <c r="BH317" s="39">
        <f t="shared" ca="1" si="605"/>
        <v>0</v>
      </c>
      <c r="BI317" s="39">
        <f t="shared" ca="1" si="605"/>
        <v>1132704</v>
      </c>
      <c r="BJ317" s="39">
        <f t="shared" ref="BJ317:CS317" ca="1" si="606">BJ64</f>
        <v>0</v>
      </c>
      <c r="BK317" s="39">
        <f t="shared" ca="1" si="606"/>
        <v>0</v>
      </c>
      <c r="BL317" s="39">
        <f t="shared" ca="1" si="606"/>
        <v>1280448</v>
      </c>
      <c r="BM317" s="39">
        <f t="shared" ca="1" si="606"/>
        <v>0</v>
      </c>
      <c r="BN317" s="39">
        <f t="shared" ca="1" si="606"/>
        <v>1477440</v>
      </c>
      <c r="BO317" s="39">
        <f t="shared" ca="1" si="606"/>
        <v>0</v>
      </c>
      <c r="BP317" s="39">
        <f t="shared" ca="1" si="606"/>
        <v>147744</v>
      </c>
      <c r="BQ317" s="39">
        <f t="shared" ca="1" si="606"/>
        <v>0</v>
      </c>
      <c r="BR317" s="39">
        <f t="shared" ca="1" si="606"/>
        <v>1969920</v>
      </c>
      <c r="BS317" s="39">
        <f t="shared" ca="1" si="606"/>
        <v>369360</v>
      </c>
      <c r="BT317" s="39">
        <f t="shared" ca="1" si="606"/>
        <v>0</v>
      </c>
      <c r="BU317" s="39">
        <f t="shared" ca="1" si="606"/>
        <v>2831760</v>
      </c>
      <c r="BV317" s="39">
        <f t="shared" ca="1" si="606"/>
        <v>0</v>
      </c>
      <c r="BW317" s="39">
        <f t="shared" ca="1" si="606"/>
        <v>0</v>
      </c>
      <c r="BX317" s="39">
        <f t="shared" ca="1" si="606"/>
        <v>3201120</v>
      </c>
      <c r="BY317" s="39">
        <f t="shared" ca="1" si="606"/>
        <v>0</v>
      </c>
      <c r="BZ317" s="39">
        <f t="shared" ca="1" si="606"/>
        <v>3693600</v>
      </c>
      <c r="CA317" s="39">
        <f t="shared" ca="1" si="606"/>
        <v>0</v>
      </c>
      <c r="CB317" s="39">
        <f t="shared" ca="1" si="606"/>
        <v>369360</v>
      </c>
      <c r="CC317" s="39">
        <f t="shared" ca="1" si="606"/>
        <v>0</v>
      </c>
      <c r="CD317" s="39">
        <f t="shared" ca="1" si="606"/>
        <v>4924800</v>
      </c>
      <c r="CE317" s="39">
        <f t="shared" ca="1" si="606"/>
        <v>923400</v>
      </c>
      <c r="CF317" s="39">
        <f t="shared" ca="1" si="606"/>
        <v>0</v>
      </c>
      <c r="CG317" s="39">
        <f t="shared" ca="1" si="606"/>
        <v>4955580</v>
      </c>
      <c r="CH317" s="39">
        <f t="shared" ca="1" si="606"/>
        <v>0</v>
      </c>
      <c r="CI317" s="39">
        <f t="shared" ca="1" si="606"/>
        <v>0</v>
      </c>
      <c r="CJ317" s="39">
        <f t="shared" ca="1" si="606"/>
        <v>5601960</v>
      </c>
      <c r="CK317" s="39">
        <f t="shared" ca="1" si="606"/>
        <v>0</v>
      </c>
      <c r="CL317" s="39">
        <f t="shared" ca="1" si="606"/>
        <v>6463800</v>
      </c>
      <c r="CM317" s="39">
        <f t="shared" ca="1" si="606"/>
        <v>0</v>
      </c>
      <c r="CN317" s="39">
        <f t="shared" ca="1" si="606"/>
        <v>646380</v>
      </c>
      <c r="CO317" s="39">
        <f t="shared" ca="1" si="606"/>
        <v>0</v>
      </c>
      <c r="CP317" s="39">
        <f t="shared" ca="1" si="606"/>
        <v>8618400</v>
      </c>
      <c r="CQ317" s="39">
        <f t="shared" ca="1" si="606"/>
        <v>1615950</v>
      </c>
      <c r="CR317" s="39">
        <f t="shared" ca="1" si="606"/>
        <v>2890755</v>
      </c>
      <c r="CS317" s="39">
        <f t="shared" ca="1" si="606"/>
        <v>2890755</v>
      </c>
      <c r="CT317" s="39">
        <f t="shared" ca="1" si="605"/>
        <v>2890755</v>
      </c>
      <c r="CU317" s="39">
        <f t="shared" ca="1" si="605"/>
        <v>0</v>
      </c>
      <c r="CV317" s="39">
        <f t="shared" ca="1" si="605"/>
        <v>0</v>
      </c>
      <c r="CW317" s="21"/>
    </row>
    <row r="318" spans="2:101" x14ac:dyDescent="0.25">
      <c r="D318" s="35" t="str">
        <f>[1]Key!$W$22</f>
        <v>SUNFLOWER</v>
      </c>
      <c r="F318" s="21"/>
      <c r="G318" s="21"/>
      <c r="H318" s="21"/>
      <c r="I318" s="21"/>
      <c r="J318" s="21"/>
      <c r="K318" s="21"/>
      <c r="L318" s="21"/>
      <c r="M318" s="21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39">
        <f t="shared" ref="Z318:CV318" ca="1" si="607">Z65</f>
        <v>0</v>
      </c>
      <c r="AA318" s="39">
        <f t="shared" ca="1" si="607"/>
        <v>0</v>
      </c>
      <c r="AB318" s="39">
        <f t="shared" ca="1" si="607"/>
        <v>0</v>
      </c>
      <c r="AC318" s="39">
        <f t="shared" ca="1" si="607"/>
        <v>0</v>
      </c>
      <c r="AD318" s="39">
        <f t="shared" ca="1" si="607"/>
        <v>0</v>
      </c>
      <c r="AE318" s="39">
        <f t="shared" ca="1" si="607"/>
        <v>0</v>
      </c>
      <c r="AF318" s="39">
        <f t="shared" ca="1" si="607"/>
        <v>0</v>
      </c>
      <c r="AG318" s="39">
        <f t="shared" ca="1" si="607"/>
        <v>0</v>
      </c>
      <c r="AH318" s="39">
        <f t="shared" ca="1" si="607"/>
        <v>0</v>
      </c>
      <c r="AI318" s="39">
        <f t="shared" ca="1" si="607"/>
        <v>0</v>
      </c>
      <c r="AJ318" s="39">
        <f t="shared" ca="1" si="607"/>
        <v>0</v>
      </c>
      <c r="AK318" s="39">
        <f t="shared" ca="1" si="607"/>
        <v>283500.00000000006</v>
      </c>
      <c r="AL318" s="39">
        <f t="shared" ca="1" si="607"/>
        <v>0</v>
      </c>
      <c r="AM318" s="39">
        <f t="shared" ca="1" si="607"/>
        <v>0</v>
      </c>
      <c r="AN318" s="39">
        <f t="shared" ca="1" si="607"/>
        <v>0</v>
      </c>
      <c r="AO318" s="39">
        <f t="shared" ca="1" si="607"/>
        <v>0</v>
      </c>
      <c r="AP318" s="39">
        <f t="shared" ca="1" si="607"/>
        <v>0</v>
      </c>
      <c r="AQ318" s="39">
        <f t="shared" ca="1" si="607"/>
        <v>567000.00000000012</v>
      </c>
      <c r="AR318" s="39">
        <f t="shared" ca="1" si="607"/>
        <v>0</v>
      </c>
      <c r="AS318" s="39">
        <f t="shared" ca="1" si="607"/>
        <v>0</v>
      </c>
      <c r="AT318" s="39">
        <f t="shared" ca="1" si="607"/>
        <v>0</v>
      </c>
      <c r="AU318" s="39">
        <f t="shared" ca="1" si="607"/>
        <v>0</v>
      </c>
      <c r="AV318" s="39">
        <f t="shared" ca="1" si="607"/>
        <v>0</v>
      </c>
      <c r="AW318" s="39">
        <f t="shared" ca="1" si="607"/>
        <v>567000.00000000012</v>
      </c>
      <c r="AX318" s="39">
        <f t="shared" ca="1" si="607"/>
        <v>0</v>
      </c>
      <c r="AY318" s="39">
        <f t="shared" ca="1" si="607"/>
        <v>0</v>
      </c>
      <c r="AZ318" s="39">
        <f t="shared" ca="1" si="607"/>
        <v>0</v>
      </c>
      <c r="BA318" s="39">
        <f t="shared" ca="1" si="607"/>
        <v>0</v>
      </c>
      <c r="BB318" s="39">
        <f t="shared" ca="1" si="607"/>
        <v>0</v>
      </c>
      <c r="BC318" s="39">
        <f t="shared" ca="1" si="607"/>
        <v>756000.00000000012</v>
      </c>
      <c r="BD318" s="39">
        <f t="shared" ca="1" si="607"/>
        <v>0</v>
      </c>
      <c r="BE318" s="39">
        <f t="shared" ca="1" si="607"/>
        <v>0</v>
      </c>
      <c r="BF318" s="39">
        <f t="shared" ca="1" si="607"/>
        <v>0</v>
      </c>
      <c r="BG318" s="39">
        <f t="shared" ca="1" si="607"/>
        <v>0</v>
      </c>
      <c r="BH318" s="39">
        <f t="shared" ca="1" si="607"/>
        <v>0</v>
      </c>
      <c r="BI318" s="39">
        <f t="shared" ca="1" si="607"/>
        <v>1077300</v>
      </c>
      <c r="BJ318" s="39">
        <f t="shared" ref="BJ318:CS318" ca="1" si="608">BJ65</f>
        <v>0</v>
      </c>
      <c r="BK318" s="39">
        <f t="shared" ca="1" si="608"/>
        <v>0</v>
      </c>
      <c r="BL318" s="39">
        <f t="shared" ca="1" si="608"/>
        <v>0</v>
      </c>
      <c r="BM318" s="39">
        <f t="shared" ca="1" si="608"/>
        <v>0</v>
      </c>
      <c r="BN318" s="39">
        <f t="shared" ca="1" si="608"/>
        <v>0</v>
      </c>
      <c r="BO318" s="39">
        <f t="shared" ca="1" si="608"/>
        <v>1436400.0000000002</v>
      </c>
      <c r="BP318" s="39">
        <f t="shared" ca="1" si="608"/>
        <v>0</v>
      </c>
      <c r="BQ318" s="39">
        <f t="shared" ca="1" si="608"/>
        <v>0</v>
      </c>
      <c r="BR318" s="39">
        <f t="shared" ca="1" si="608"/>
        <v>0</v>
      </c>
      <c r="BS318" s="39">
        <f t="shared" ca="1" si="608"/>
        <v>0</v>
      </c>
      <c r="BT318" s="39">
        <f t="shared" ca="1" si="608"/>
        <v>0</v>
      </c>
      <c r="BU318" s="39">
        <f t="shared" ca="1" si="608"/>
        <v>1615950.0000000002</v>
      </c>
      <c r="BV318" s="39">
        <f t="shared" ca="1" si="608"/>
        <v>0</v>
      </c>
      <c r="BW318" s="39">
        <f t="shared" ca="1" si="608"/>
        <v>0</v>
      </c>
      <c r="BX318" s="39">
        <f t="shared" ca="1" si="608"/>
        <v>0</v>
      </c>
      <c r="BY318" s="39">
        <f t="shared" ca="1" si="608"/>
        <v>0</v>
      </c>
      <c r="BZ318" s="39">
        <f t="shared" ca="1" si="608"/>
        <v>0</v>
      </c>
      <c r="CA318" s="39">
        <f t="shared" ca="1" si="608"/>
        <v>2154600</v>
      </c>
      <c r="CB318" s="39">
        <f t="shared" ca="1" si="608"/>
        <v>0</v>
      </c>
      <c r="CC318" s="39">
        <f t="shared" ca="1" si="608"/>
        <v>0</v>
      </c>
      <c r="CD318" s="39">
        <f t="shared" ca="1" si="608"/>
        <v>0</v>
      </c>
      <c r="CE318" s="39">
        <f t="shared" ca="1" si="608"/>
        <v>0</v>
      </c>
      <c r="CF318" s="39">
        <f t="shared" ca="1" si="608"/>
        <v>0</v>
      </c>
      <c r="CG318" s="39">
        <f t="shared" ca="1" si="608"/>
        <v>2100735</v>
      </c>
      <c r="CH318" s="39">
        <f t="shared" ca="1" si="608"/>
        <v>0</v>
      </c>
      <c r="CI318" s="39">
        <f t="shared" ca="1" si="608"/>
        <v>0</v>
      </c>
      <c r="CJ318" s="39">
        <f t="shared" ca="1" si="608"/>
        <v>0</v>
      </c>
      <c r="CK318" s="39">
        <f t="shared" ca="1" si="608"/>
        <v>0</v>
      </c>
      <c r="CL318" s="39">
        <f t="shared" ca="1" si="608"/>
        <v>0</v>
      </c>
      <c r="CM318" s="39">
        <f t="shared" ca="1" si="608"/>
        <v>2800980.0000000005</v>
      </c>
      <c r="CN318" s="39">
        <f t="shared" ca="1" si="608"/>
        <v>0</v>
      </c>
      <c r="CO318" s="39">
        <f t="shared" ca="1" si="608"/>
        <v>0</v>
      </c>
      <c r="CP318" s="39">
        <f t="shared" ca="1" si="608"/>
        <v>0</v>
      </c>
      <c r="CQ318" s="39">
        <f t="shared" ca="1" si="608"/>
        <v>0</v>
      </c>
      <c r="CR318" s="39">
        <f t="shared" ca="1" si="608"/>
        <v>466830.00000000006</v>
      </c>
      <c r="CS318" s="39">
        <f t="shared" ca="1" si="608"/>
        <v>466830.00000000006</v>
      </c>
      <c r="CT318" s="39">
        <f t="shared" ca="1" si="607"/>
        <v>466830.00000000006</v>
      </c>
      <c r="CU318" s="39">
        <f t="shared" ca="1" si="607"/>
        <v>0</v>
      </c>
      <c r="CV318" s="39">
        <f t="shared" ca="1" si="607"/>
        <v>0</v>
      </c>
      <c r="CW318" s="21"/>
    </row>
    <row r="319" spans="2:101" x14ac:dyDescent="0.25">
      <c r="D319" s="35" t="str">
        <f>[1]Key!$W$23</f>
        <v>Corporate</v>
      </c>
      <c r="F319" s="21"/>
      <c r="G319" s="21"/>
      <c r="H319" s="21"/>
      <c r="I319" s="21"/>
      <c r="J319" s="21"/>
      <c r="K319" s="21"/>
      <c r="L319" s="21"/>
      <c r="M319" s="21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60">
        <f>$Y$6</f>
        <v>644400.83000000007</v>
      </c>
      <c r="Z319" s="39">
        <f t="shared" ref="Z319:CV319" si="609">Z66</f>
        <v>0</v>
      </c>
      <c r="AA319" s="39">
        <f t="shared" si="609"/>
        <v>0</v>
      </c>
      <c r="AB319" s="39">
        <f t="shared" si="609"/>
        <v>0</v>
      </c>
      <c r="AC319" s="39">
        <f t="shared" si="609"/>
        <v>0</v>
      </c>
      <c r="AD319" s="39">
        <f t="shared" si="609"/>
        <v>0</v>
      </c>
      <c r="AE319" s="39">
        <f t="shared" si="609"/>
        <v>0</v>
      </c>
      <c r="AF319" s="39">
        <f t="shared" si="609"/>
        <v>0</v>
      </c>
      <c r="AG319" s="39">
        <f t="shared" si="609"/>
        <v>0</v>
      </c>
      <c r="AH319" s="39">
        <f t="shared" si="609"/>
        <v>0</v>
      </c>
      <c r="AI319" s="39">
        <f t="shared" si="609"/>
        <v>0</v>
      </c>
      <c r="AJ319" s="39">
        <f t="shared" si="609"/>
        <v>0</v>
      </c>
      <c r="AK319" s="39">
        <f t="shared" si="609"/>
        <v>0</v>
      </c>
      <c r="AL319" s="39">
        <f t="shared" si="609"/>
        <v>0</v>
      </c>
      <c r="AM319" s="39">
        <f t="shared" si="609"/>
        <v>0</v>
      </c>
      <c r="AN319" s="39">
        <f t="shared" si="609"/>
        <v>0</v>
      </c>
      <c r="AO319" s="39">
        <f t="shared" si="609"/>
        <v>0</v>
      </c>
      <c r="AP319" s="39">
        <f t="shared" si="609"/>
        <v>0</v>
      </c>
      <c r="AQ319" s="39">
        <f t="shared" si="609"/>
        <v>0</v>
      </c>
      <c r="AR319" s="39">
        <f t="shared" si="609"/>
        <v>0</v>
      </c>
      <c r="AS319" s="39">
        <f t="shared" si="609"/>
        <v>0</v>
      </c>
      <c r="AT319" s="39">
        <f t="shared" si="609"/>
        <v>0</v>
      </c>
      <c r="AU319" s="39">
        <f t="shared" si="609"/>
        <v>0</v>
      </c>
      <c r="AV319" s="39">
        <f t="shared" si="609"/>
        <v>0</v>
      </c>
      <c r="AW319" s="39">
        <f t="shared" si="609"/>
        <v>0</v>
      </c>
      <c r="AX319" s="39">
        <f t="shared" si="609"/>
        <v>0</v>
      </c>
      <c r="AY319" s="39">
        <f t="shared" si="609"/>
        <v>0</v>
      </c>
      <c r="AZ319" s="39">
        <f t="shared" si="609"/>
        <v>0</v>
      </c>
      <c r="BA319" s="39">
        <f t="shared" si="609"/>
        <v>0</v>
      </c>
      <c r="BB319" s="39">
        <f t="shared" si="609"/>
        <v>0</v>
      </c>
      <c r="BC319" s="39">
        <f t="shared" si="609"/>
        <v>0</v>
      </c>
      <c r="BD319" s="39">
        <f t="shared" si="609"/>
        <v>0</v>
      </c>
      <c r="BE319" s="39">
        <f t="shared" si="609"/>
        <v>0</v>
      </c>
      <c r="BF319" s="39">
        <f t="shared" si="609"/>
        <v>0</v>
      </c>
      <c r="BG319" s="39">
        <f t="shared" si="609"/>
        <v>0</v>
      </c>
      <c r="BH319" s="39">
        <f t="shared" si="609"/>
        <v>0</v>
      </c>
      <c r="BI319" s="39">
        <f t="shared" si="609"/>
        <v>0</v>
      </c>
      <c r="BJ319" s="39">
        <f t="shared" ref="BJ319:CS319" si="610">BJ66</f>
        <v>0</v>
      </c>
      <c r="BK319" s="39">
        <f t="shared" si="610"/>
        <v>0</v>
      </c>
      <c r="BL319" s="39">
        <f t="shared" si="610"/>
        <v>0</v>
      </c>
      <c r="BM319" s="39">
        <f t="shared" si="610"/>
        <v>0</v>
      </c>
      <c r="BN319" s="39">
        <f t="shared" si="610"/>
        <v>0</v>
      </c>
      <c r="BO319" s="39">
        <f t="shared" si="610"/>
        <v>0</v>
      </c>
      <c r="BP319" s="39">
        <f t="shared" si="610"/>
        <v>0</v>
      </c>
      <c r="BQ319" s="39">
        <f t="shared" si="610"/>
        <v>0</v>
      </c>
      <c r="BR319" s="39">
        <f t="shared" si="610"/>
        <v>0</v>
      </c>
      <c r="BS319" s="39">
        <f t="shared" si="610"/>
        <v>0</v>
      </c>
      <c r="BT319" s="39">
        <f t="shared" si="610"/>
        <v>0</v>
      </c>
      <c r="BU319" s="39">
        <f t="shared" si="610"/>
        <v>0</v>
      </c>
      <c r="BV319" s="39">
        <f t="shared" si="610"/>
        <v>0</v>
      </c>
      <c r="BW319" s="39">
        <f t="shared" si="610"/>
        <v>0</v>
      </c>
      <c r="BX319" s="39">
        <f t="shared" si="610"/>
        <v>0</v>
      </c>
      <c r="BY319" s="39">
        <f t="shared" si="610"/>
        <v>0</v>
      </c>
      <c r="BZ319" s="39">
        <f t="shared" si="610"/>
        <v>0</v>
      </c>
      <c r="CA319" s="39">
        <f t="shared" si="610"/>
        <v>0</v>
      </c>
      <c r="CB319" s="39">
        <f t="shared" si="610"/>
        <v>0</v>
      </c>
      <c r="CC319" s="39">
        <f t="shared" si="610"/>
        <v>0</v>
      </c>
      <c r="CD319" s="39">
        <f t="shared" si="610"/>
        <v>0</v>
      </c>
      <c r="CE319" s="39">
        <f t="shared" si="610"/>
        <v>0</v>
      </c>
      <c r="CF319" s="39">
        <f t="shared" si="610"/>
        <v>0</v>
      </c>
      <c r="CG319" s="39">
        <f t="shared" si="610"/>
        <v>0</v>
      </c>
      <c r="CH319" s="39">
        <f t="shared" si="610"/>
        <v>0</v>
      </c>
      <c r="CI319" s="39">
        <f t="shared" si="610"/>
        <v>0</v>
      </c>
      <c r="CJ319" s="39">
        <f t="shared" si="610"/>
        <v>0</v>
      </c>
      <c r="CK319" s="39">
        <f t="shared" si="610"/>
        <v>0</v>
      </c>
      <c r="CL319" s="39">
        <f t="shared" si="610"/>
        <v>0</v>
      </c>
      <c r="CM319" s="39">
        <f t="shared" si="610"/>
        <v>0</v>
      </c>
      <c r="CN319" s="39">
        <f t="shared" si="610"/>
        <v>0</v>
      </c>
      <c r="CO319" s="39">
        <f t="shared" si="610"/>
        <v>0</v>
      </c>
      <c r="CP319" s="39">
        <f t="shared" si="610"/>
        <v>0</v>
      </c>
      <c r="CQ319" s="39">
        <f t="shared" si="610"/>
        <v>0</v>
      </c>
      <c r="CR319" s="39">
        <f t="shared" si="610"/>
        <v>0</v>
      </c>
      <c r="CS319" s="39">
        <f t="shared" si="610"/>
        <v>0</v>
      </c>
      <c r="CT319" s="39">
        <f t="shared" si="609"/>
        <v>0</v>
      </c>
      <c r="CU319" s="39">
        <f t="shared" si="609"/>
        <v>0</v>
      </c>
      <c r="CV319" s="39">
        <f t="shared" si="609"/>
        <v>0</v>
      </c>
      <c r="CW319" s="21"/>
    </row>
    <row r="320" spans="2:101" x14ac:dyDescent="0.25">
      <c r="F320" s="21"/>
      <c r="G320" s="21"/>
      <c r="H320" s="21"/>
      <c r="I320" s="21"/>
      <c r="J320" s="21"/>
      <c r="K320" s="21"/>
      <c r="L320" s="21"/>
      <c r="M320" s="21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36"/>
      <c r="Z320" s="16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21"/>
    </row>
    <row r="321" spans="4:101" x14ac:dyDescent="0.25">
      <c r="D321" s="38" t="s">
        <v>152</v>
      </c>
      <c r="F321" s="21"/>
      <c r="G321" s="21"/>
      <c r="H321" s="21"/>
      <c r="I321" s="21"/>
      <c r="J321" s="21"/>
      <c r="K321" s="21"/>
      <c r="L321" s="21"/>
      <c r="M321" s="21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36"/>
      <c r="Z321" s="37">
        <f ca="1">SUM(Z308:Z320)</f>
        <v>138720</v>
      </c>
      <c r="AA321" s="37">
        <f t="shared" ref="AA321:CV321" ca="1" si="611">SUM(AA308:AA320)</f>
        <v>14450</v>
      </c>
      <c r="AB321" s="37">
        <f t="shared" ca="1" si="611"/>
        <v>0</v>
      </c>
      <c r="AC321" s="37">
        <f t="shared" ca="1" si="611"/>
        <v>14450</v>
      </c>
      <c r="AD321" s="37">
        <f t="shared" ca="1" si="611"/>
        <v>346800</v>
      </c>
      <c r="AE321" s="37">
        <f t="shared" ca="1" si="611"/>
        <v>0</v>
      </c>
      <c r="AF321" s="37">
        <f t="shared" ca="1" si="611"/>
        <v>28900</v>
      </c>
      <c r="AG321" s="37">
        <f t="shared" ca="1" si="611"/>
        <v>24300</v>
      </c>
      <c r="AH321" s="37">
        <f t="shared" ca="1" si="611"/>
        <v>136860</v>
      </c>
      <c r="AI321" s="37">
        <f t="shared" ca="1" si="611"/>
        <v>275920</v>
      </c>
      <c r="AJ321" s="37">
        <f t="shared" ca="1" si="611"/>
        <v>58320</v>
      </c>
      <c r="AK321" s="37">
        <f t="shared" ca="1" si="611"/>
        <v>861020</v>
      </c>
      <c r="AL321" s="37">
        <f t="shared" ca="1" si="611"/>
        <v>132320</v>
      </c>
      <c r="AM321" s="37">
        <f t="shared" ca="1" si="611"/>
        <v>0</v>
      </c>
      <c r="AN321" s="37">
        <f t="shared" ca="1" si="611"/>
        <v>357400</v>
      </c>
      <c r="AO321" s="37">
        <f t="shared" ca="1" si="611"/>
        <v>627340</v>
      </c>
      <c r="AP321" s="37">
        <f t="shared" ca="1" si="611"/>
        <v>186040</v>
      </c>
      <c r="AQ321" s="37">
        <f t="shared" ca="1" si="611"/>
        <v>989000.00000000012</v>
      </c>
      <c r="AR321" s="37">
        <f t="shared" ca="1" si="611"/>
        <v>942840</v>
      </c>
      <c r="AS321" s="37">
        <f t="shared" ca="1" si="611"/>
        <v>591840</v>
      </c>
      <c r="AT321" s="37">
        <f t="shared" ca="1" si="611"/>
        <v>590560</v>
      </c>
      <c r="AU321" s="37">
        <f t="shared" ca="1" si="611"/>
        <v>1208660</v>
      </c>
      <c r="AV321" s="37">
        <f t="shared" ca="1" si="611"/>
        <v>2317160</v>
      </c>
      <c r="AW321" s="37">
        <f t="shared" ca="1" si="611"/>
        <v>2272320</v>
      </c>
      <c r="AX321" s="37">
        <f t="shared" ca="1" si="611"/>
        <v>375840</v>
      </c>
      <c r="AY321" s="37">
        <f t="shared" ca="1" si="611"/>
        <v>882500</v>
      </c>
      <c r="AZ321" s="37">
        <f t="shared" ca="1" si="611"/>
        <v>1000880</v>
      </c>
      <c r="BA321" s="37">
        <f t="shared" ca="1" si="611"/>
        <v>1360800</v>
      </c>
      <c r="BB321" s="37">
        <f t="shared" ca="1" si="611"/>
        <v>3686600</v>
      </c>
      <c r="BC321" s="37">
        <f t="shared" ca="1" si="611"/>
        <v>1448280</v>
      </c>
      <c r="BD321" s="37">
        <f t="shared" ca="1" si="611"/>
        <v>1578960</v>
      </c>
      <c r="BE321" s="37">
        <f t="shared" ca="1" si="611"/>
        <v>1750820</v>
      </c>
      <c r="BF321" s="37">
        <f t="shared" ca="1" si="611"/>
        <v>1339600</v>
      </c>
      <c r="BG321" s="37">
        <f t="shared" ca="1" si="611"/>
        <v>1250640</v>
      </c>
      <c r="BH321" s="37">
        <f t="shared" ca="1" si="611"/>
        <v>5472475</v>
      </c>
      <c r="BI321" s="37">
        <f t="shared" ca="1" si="611"/>
        <v>5162319</v>
      </c>
      <c r="BJ321" s="37">
        <f t="shared" ref="BJ321:CS321" ca="1" si="612">SUM(BJ308:BJ320)</f>
        <v>837216</v>
      </c>
      <c r="BK321" s="37">
        <f t="shared" ca="1" si="612"/>
        <v>1685537.5</v>
      </c>
      <c r="BL321" s="37">
        <f t="shared" ca="1" si="612"/>
        <v>2528938</v>
      </c>
      <c r="BM321" s="37">
        <f t="shared" ca="1" si="612"/>
        <v>3096468</v>
      </c>
      <c r="BN321" s="37">
        <f t="shared" ca="1" si="612"/>
        <v>9453355</v>
      </c>
      <c r="BO321" s="37">
        <f t="shared" ca="1" si="612"/>
        <v>3019005</v>
      </c>
      <c r="BP321" s="37">
        <f t="shared" ca="1" si="612"/>
        <v>3516102</v>
      </c>
      <c r="BQ321" s="37">
        <f t="shared" ca="1" si="612"/>
        <v>3335345.5</v>
      </c>
      <c r="BR321" s="37">
        <f t="shared" ca="1" si="612"/>
        <v>3497558</v>
      </c>
      <c r="BS321" s="37">
        <f t="shared" ca="1" si="612"/>
        <v>2966166</v>
      </c>
      <c r="BT321" s="37">
        <f t="shared" ca="1" si="612"/>
        <v>12386019.25</v>
      </c>
      <c r="BU321" s="37">
        <f t="shared" ca="1" si="612"/>
        <v>9999011.25</v>
      </c>
      <c r="BV321" s="37">
        <f t="shared" ca="1" si="612"/>
        <v>1409724</v>
      </c>
      <c r="BW321" s="37">
        <f t="shared" ca="1" si="612"/>
        <v>2539290.625</v>
      </c>
      <c r="BX321" s="37">
        <f t="shared" ca="1" si="612"/>
        <v>5324417.5</v>
      </c>
      <c r="BY321" s="37">
        <f t="shared" ca="1" si="612"/>
        <v>6129837</v>
      </c>
      <c r="BZ321" s="37">
        <f t="shared" ca="1" si="612"/>
        <v>23325231.25</v>
      </c>
      <c r="CA321" s="37">
        <f t="shared" ca="1" si="612"/>
        <v>4862598.75</v>
      </c>
      <c r="CB321" s="37">
        <f t="shared" ca="1" si="612"/>
        <v>6864709.5</v>
      </c>
      <c r="CC321" s="37">
        <f t="shared" ca="1" si="612"/>
        <v>5014002.625</v>
      </c>
      <c r="CD321" s="37">
        <f t="shared" ca="1" si="612"/>
        <v>7819782.5</v>
      </c>
      <c r="CE321" s="37">
        <f t="shared" ca="1" si="612"/>
        <v>6261421.5</v>
      </c>
      <c r="CF321" s="37">
        <f t="shared" ca="1" si="612"/>
        <v>24446620.274999999</v>
      </c>
      <c r="CG321" s="37">
        <f t="shared" ca="1" si="612"/>
        <v>15804568.125</v>
      </c>
      <c r="CH321" s="37">
        <f t="shared" ca="1" si="612"/>
        <v>2048101.2</v>
      </c>
      <c r="CI321" s="37">
        <f t="shared" ca="1" si="612"/>
        <v>3316455.9375</v>
      </c>
      <c r="CJ321" s="37">
        <f t="shared" ca="1" si="612"/>
        <v>8713034.25</v>
      </c>
      <c r="CK321" s="37">
        <f t="shared" ca="1" si="612"/>
        <v>9984493.3499999996</v>
      </c>
      <c r="CL321" s="37">
        <f t="shared" ca="1" si="612"/>
        <v>47684596.875</v>
      </c>
      <c r="CM321" s="37">
        <f t="shared" ca="1" si="612"/>
        <v>6789106.125</v>
      </c>
      <c r="CN321" s="37">
        <f t="shared" ca="1" si="612"/>
        <v>11045826.225</v>
      </c>
      <c r="CO321" s="37">
        <f t="shared" ca="1" si="612"/>
        <v>6533581.5374999996</v>
      </c>
      <c r="CP321" s="37">
        <f t="shared" ca="1" si="612"/>
        <v>13140936.75</v>
      </c>
      <c r="CQ321" s="37">
        <f t="shared" ca="1" si="612"/>
        <v>10510869.824999999</v>
      </c>
      <c r="CR321" s="37">
        <f t="shared" ca="1" si="612"/>
        <v>15950819.55625</v>
      </c>
      <c r="CS321" s="37">
        <f t="shared" ca="1" si="612"/>
        <v>15950819.55625</v>
      </c>
      <c r="CT321" s="37">
        <f t="shared" ca="1" si="611"/>
        <v>15950819.55625</v>
      </c>
      <c r="CU321" s="37">
        <f t="shared" ca="1" si="611"/>
        <v>0</v>
      </c>
      <c r="CV321" s="37">
        <f t="shared" ca="1" si="611"/>
        <v>0</v>
      </c>
      <c r="CW321" s="21"/>
    </row>
    <row r="322" spans="4:101" x14ac:dyDescent="0.25">
      <c r="D322" t="s">
        <v>177</v>
      </c>
      <c r="F322" s="21"/>
      <c r="G322" s="21"/>
      <c r="H322" s="21"/>
      <c r="I322" s="21"/>
      <c r="J322" s="21"/>
      <c r="K322" s="21"/>
      <c r="L322" s="21"/>
      <c r="M322" s="21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21"/>
      <c r="CU322" s="21"/>
      <c r="CV322" s="21"/>
      <c r="CW322" s="21"/>
    </row>
    <row r="323" spans="4:101" x14ac:dyDescent="0.25">
      <c r="F323" s="21"/>
      <c r="G323" s="21"/>
      <c r="H323" s="21"/>
      <c r="I323" s="21"/>
      <c r="J323" s="21"/>
      <c r="K323" s="21"/>
      <c r="L323" s="21"/>
      <c r="M323" s="21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21"/>
      <c r="CU323" s="21"/>
      <c r="CV323" s="21"/>
      <c r="CW323" s="21"/>
    </row>
    <row r="324" spans="4:101" x14ac:dyDescent="0.25">
      <c r="F324" s="21"/>
      <c r="G324" s="21"/>
      <c r="H324" s="21"/>
      <c r="I324" s="21"/>
      <c r="J324" s="21"/>
      <c r="K324" s="21"/>
      <c r="L324" s="21"/>
      <c r="M324" s="21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3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21"/>
      <c r="CU324" s="21"/>
      <c r="CV324" s="21"/>
      <c r="CW324" s="21"/>
    </row>
    <row r="325" spans="4:101" x14ac:dyDescent="0.25">
      <c r="D325" s="38" t="s">
        <v>171</v>
      </c>
      <c r="F325" s="21"/>
      <c r="G325" s="21"/>
      <c r="H325" s="21"/>
      <c r="I325" s="21"/>
      <c r="J325" s="21"/>
      <c r="K325" s="21"/>
      <c r="L325" s="21"/>
      <c r="M325" s="21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3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21"/>
      <c r="CU325" s="21"/>
      <c r="CV325" s="21"/>
      <c r="CW325" s="21"/>
    </row>
    <row r="326" spans="4:101" x14ac:dyDescent="0.25">
      <c r="D326" s="35" t="str">
        <f>[1]Key!$W$12</f>
        <v>BARI</v>
      </c>
      <c r="F326" s="23">
        <f>[1]Key!$AE$12</f>
        <v>60</v>
      </c>
      <c r="G326" s="21"/>
      <c r="H326" s="21"/>
      <c r="I326" s="21"/>
      <c r="J326" s="21"/>
      <c r="K326" s="21"/>
      <c r="L326" s="21"/>
      <c r="M326" s="21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36"/>
      <c r="Z326" s="36">
        <f t="shared" ref="Z326:AI337" ca="1" si="613">IF($F326&lt;=0,OFFSET(INDEX($Z$308:$CV$320,MATCH($D326,$D$308:$D$320,0),MATCH(Z$11,$Z$11:$CV$11,0)),0,-ROUNDUP($F326/30,0)),OFFSET(INDEX($Z$308:$CV$320,MATCH($D326,$D$308:$D$320,0),MATCH(Z$11,$Z$11:$CV$11,0)),0,-ROUNDUP($F326/30,0)))</f>
        <v>0</v>
      </c>
      <c r="AA326" s="36">
        <f t="shared" ca="1" si="613"/>
        <v>0</v>
      </c>
      <c r="AB326" s="36">
        <f t="shared" ca="1" si="613"/>
        <v>0</v>
      </c>
      <c r="AC326" s="36">
        <f t="shared" ca="1" si="613"/>
        <v>0</v>
      </c>
      <c r="AD326" s="36">
        <f t="shared" ca="1" si="613"/>
        <v>0</v>
      </c>
      <c r="AE326" s="36">
        <f t="shared" ca="1" si="613"/>
        <v>0</v>
      </c>
      <c r="AF326" s="36">
        <f t="shared" ca="1" si="613"/>
        <v>0</v>
      </c>
      <c r="AG326" s="36">
        <f t="shared" ca="1" si="613"/>
        <v>0</v>
      </c>
      <c r="AH326" s="36">
        <f t="shared" ca="1" si="613"/>
        <v>0</v>
      </c>
      <c r="AI326" s="36">
        <f t="shared" ca="1" si="613"/>
        <v>24300</v>
      </c>
      <c r="AJ326" s="36">
        <f t="shared" ref="AJ326:AS337" ca="1" si="614">IF($F326&lt;=0,OFFSET(INDEX($Z$308:$CV$320,MATCH($D326,$D$308:$D$320,0),MATCH(AJ$11,$Z$11:$CV$11,0)),0,-ROUNDUP($F326/30,0)),OFFSET(INDEX($Z$308:$CV$320,MATCH($D326,$D$308:$D$320,0),MATCH(AJ$11,$Z$11:$CV$11,0)),0,-ROUNDUP($F326/30,0)))</f>
        <v>24300</v>
      </c>
      <c r="AK326" s="36">
        <f t="shared" ca="1" si="614"/>
        <v>58320</v>
      </c>
      <c r="AL326" s="36">
        <f t="shared" ca="1" si="614"/>
        <v>58320</v>
      </c>
      <c r="AM326" s="36">
        <f t="shared" ca="1" si="614"/>
        <v>0</v>
      </c>
      <c r="AN326" s="36">
        <f t="shared" ca="1" si="614"/>
        <v>58320</v>
      </c>
      <c r="AO326" s="36">
        <f t="shared" ca="1" si="614"/>
        <v>0</v>
      </c>
      <c r="AP326" s="36">
        <f t="shared" ca="1" si="614"/>
        <v>0</v>
      </c>
      <c r="AQ326" s="36">
        <f t="shared" ca="1" si="614"/>
        <v>116640</v>
      </c>
      <c r="AR326" s="36">
        <f t="shared" ca="1" si="614"/>
        <v>0</v>
      </c>
      <c r="AS326" s="36">
        <f t="shared" ca="1" si="614"/>
        <v>58320</v>
      </c>
      <c r="AT326" s="36">
        <f t="shared" ref="AT326:BC337" ca="1" si="615">IF($F326&lt;=0,OFFSET(INDEX($Z$308:$CV$320,MATCH($D326,$D$308:$D$320,0),MATCH(AT$11,$Z$11:$CV$11,0)),0,-ROUNDUP($F326/30,0)),OFFSET(INDEX($Z$308:$CV$320,MATCH($D326,$D$308:$D$320,0),MATCH(AT$11,$Z$11:$CV$11,0)),0,-ROUNDUP($F326/30,0)))</f>
        <v>116640</v>
      </c>
      <c r="AU326" s="36">
        <f t="shared" ca="1" si="615"/>
        <v>116640</v>
      </c>
      <c r="AV326" s="36">
        <f t="shared" ca="1" si="615"/>
        <v>21600</v>
      </c>
      <c r="AW326" s="36">
        <f t="shared" ca="1" si="615"/>
        <v>116640</v>
      </c>
      <c r="AX326" s="36">
        <f t="shared" ca="1" si="615"/>
        <v>168480</v>
      </c>
      <c r="AY326" s="36">
        <f t="shared" ca="1" si="615"/>
        <v>0</v>
      </c>
      <c r="AZ326" s="36">
        <f t="shared" ca="1" si="615"/>
        <v>116640</v>
      </c>
      <c r="BA326" s="36">
        <f t="shared" ca="1" si="615"/>
        <v>0</v>
      </c>
      <c r="BB326" s="36">
        <f t="shared" ca="1" si="615"/>
        <v>0</v>
      </c>
      <c r="BC326" s="36">
        <f t="shared" ca="1" si="615"/>
        <v>285120</v>
      </c>
      <c r="BD326" s="36">
        <f t="shared" ref="BD326:BM337" ca="1" si="616">IF($F326&lt;=0,OFFSET(INDEX($Z$308:$CV$320,MATCH($D326,$D$308:$D$320,0),MATCH(BD$11,$Z$11:$CV$11,0)),0,-ROUNDUP($F326/30,0)),OFFSET(INDEX($Z$308:$CV$320,MATCH($D326,$D$308:$D$320,0),MATCH(BD$11,$Z$11:$CV$11,0)),0,-ROUNDUP($F326/30,0)))</f>
        <v>0</v>
      </c>
      <c r="BE326" s="36">
        <f t="shared" ca="1" si="616"/>
        <v>0</v>
      </c>
      <c r="BF326" s="36">
        <f t="shared" ca="1" si="616"/>
        <v>116640</v>
      </c>
      <c r="BG326" s="36">
        <f t="shared" ca="1" si="616"/>
        <v>220320</v>
      </c>
      <c r="BH326" s="36">
        <f t="shared" ca="1" si="616"/>
        <v>0</v>
      </c>
      <c r="BI326" s="36">
        <f t="shared" ca="1" si="616"/>
        <v>138240</v>
      </c>
      <c r="BJ326" s="36">
        <f t="shared" ca="1" si="616"/>
        <v>320112</v>
      </c>
      <c r="BK326" s="36">
        <f t="shared" ca="1" si="616"/>
        <v>0</v>
      </c>
      <c r="BL326" s="36">
        <f t="shared" ca="1" si="616"/>
        <v>221616</v>
      </c>
      <c r="BM326" s="36">
        <f t="shared" ca="1" si="616"/>
        <v>0</v>
      </c>
      <c r="BN326" s="36">
        <f t="shared" ref="BN326:BW337" ca="1" si="617">IF($F326&lt;=0,OFFSET(INDEX($Z$308:$CV$320,MATCH($D326,$D$308:$D$320,0),MATCH(BN$11,$Z$11:$CV$11,0)),0,-ROUNDUP($F326/30,0)),OFFSET(INDEX($Z$308:$CV$320,MATCH($D326,$D$308:$D$320,0),MATCH(BN$11,$Z$11:$CV$11,0)),0,-ROUNDUP($F326/30,0)))</f>
        <v>0</v>
      </c>
      <c r="BO326" s="36">
        <f t="shared" ca="1" si="617"/>
        <v>541728</v>
      </c>
      <c r="BP326" s="36">
        <f t="shared" ca="1" si="617"/>
        <v>0</v>
      </c>
      <c r="BQ326" s="36">
        <f t="shared" ca="1" si="617"/>
        <v>0</v>
      </c>
      <c r="BR326" s="36">
        <f t="shared" ca="1" si="617"/>
        <v>221616</v>
      </c>
      <c r="BS326" s="36">
        <f t="shared" ca="1" si="617"/>
        <v>418608</v>
      </c>
      <c r="BT326" s="36">
        <f t="shared" ca="1" si="617"/>
        <v>0</v>
      </c>
      <c r="BU326" s="36">
        <f t="shared" ca="1" si="617"/>
        <v>262656</v>
      </c>
      <c r="BV326" s="36">
        <f t="shared" ca="1" si="617"/>
        <v>480168</v>
      </c>
      <c r="BW326" s="36">
        <f t="shared" ca="1" si="617"/>
        <v>0</v>
      </c>
      <c r="BX326" s="36">
        <f t="shared" ref="BX326:CG337" ca="1" si="618">IF($F326&lt;=0,OFFSET(INDEX($Z$308:$CV$320,MATCH($D326,$D$308:$D$320,0),MATCH(BX$11,$Z$11:$CV$11,0)),0,-ROUNDUP($F326/30,0)),OFFSET(INDEX($Z$308:$CV$320,MATCH($D326,$D$308:$D$320,0),MATCH(BX$11,$Z$11:$CV$11,0)),0,-ROUNDUP($F326/30,0)))</f>
        <v>332424</v>
      </c>
      <c r="BY326" s="36">
        <f t="shared" ca="1" si="618"/>
        <v>0</v>
      </c>
      <c r="BZ326" s="36">
        <f t="shared" ca="1" si="618"/>
        <v>0</v>
      </c>
      <c r="CA326" s="36">
        <f t="shared" ca="1" si="618"/>
        <v>812592</v>
      </c>
      <c r="CB326" s="36">
        <f t="shared" ca="1" si="618"/>
        <v>0</v>
      </c>
      <c r="CC326" s="36">
        <f t="shared" ca="1" si="618"/>
        <v>0</v>
      </c>
      <c r="CD326" s="36">
        <f t="shared" ca="1" si="618"/>
        <v>332424</v>
      </c>
      <c r="CE326" s="36">
        <f t="shared" ca="1" si="618"/>
        <v>627912</v>
      </c>
      <c r="CF326" s="36">
        <f t="shared" ca="1" si="618"/>
        <v>0</v>
      </c>
      <c r="CG326" s="36">
        <f t="shared" ca="1" si="618"/>
        <v>393984</v>
      </c>
      <c r="CH326" s="36">
        <f t="shared" ref="CH326:CV337" ca="1" si="619">IF($F326&lt;=0,OFFSET(INDEX($Z$308:$CV$320,MATCH($D326,$D$308:$D$320,0),MATCH(CH$11,$Z$11:$CV$11,0)),0,-ROUNDUP($F326/30,0)),OFFSET(INDEX($Z$308:$CV$320,MATCH($D326,$D$308:$D$320,0),MATCH(CH$11,$Z$11:$CV$11,0)),0,-ROUNDUP($F326/30,0)))</f>
        <v>624218.40000000014</v>
      </c>
      <c r="CI326" s="36">
        <f t="shared" ca="1" si="619"/>
        <v>0</v>
      </c>
      <c r="CJ326" s="36">
        <f t="shared" ca="1" si="619"/>
        <v>432151.2</v>
      </c>
      <c r="CK326" s="36">
        <f t="shared" ca="1" si="619"/>
        <v>0</v>
      </c>
      <c r="CL326" s="36">
        <f t="shared" ca="1" si="619"/>
        <v>0</v>
      </c>
      <c r="CM326" s="36">
        <f t="shared" ca="1" si="619"/>
        <v>1056369.6000000001</v>
      </c>
      <c r="CN326" s="36">
        <f t="shared" ca="1" si="619"/>
        <v>0</v>
      </c>
      <c r="CO326" s="36">
        <f t="shared" ca="1" si="619"/>
        <v>0</v>
      </c>
      <c r="CP326" s="36">
        <f t="shared" ca="1" si="619"/>
        <v>432151.2</v>
      </c>
      <c r="CQ326" s="36">
        <f t="shared" ca="1" si="619"/>
        <v>816285.6</v>
      </c>
      <c r="CR326" s="36">
        <f t="shared" ca="1" si="619"/>
        <v>0</v>
      </c>
      <c r="CS326" s="36">
        <f t="shared" ca="1" si="619"/>
        <v>512179.20000000001</v>
      </c>
      <c r="CT326" s="36">
        <f t="shared" ca="1" si="619"/>
        <v>293436</v>
      </c>
      <c r="CU326" s="36">
        <f t="shared" ca="1" si="619"/>
        <v>293436</v>
      </c>
      <c r="CV326" s="36">
        <f t="shared" ca="1" si="619"/>
        <v>293436</v>
      </c>
      <c r="CW326" s="21"/>
    </row>
    <row r="327" spans="4:101" x14ac:dyDescent="0.25">
      <c r="D327" s="35" t="str">
        <f>[1]Key!$W$13</f>
        <v>BRAIN DEAD OAKLEY</v>
      </c>
      <c r="F327" s="23">
        <f>[1]Key!$AE$12</f>
        <v>60</v>
      </c>
      <c r="G327" s="21"/>
      <c r="H327" s="21"/>
      <c r="I327" s="21"/>
      <c r="J327" s="21"/>
      <c r="K327" s="21"/>
      <c r="L327" s="21"/>
      <c r="M327" s="21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36"/>
      <c r="Z327" s="36">
        <f t="shared" ca="1" si="613"/>
        <v>0</v>
      </c>
      <c r="AA327" s="36">
        <f t="shared" ca="1" si="613"/>
        <v>0</v>
      </c>
      <c r="AB327" s="36">
        <f t="shared" ca="1" si="613"/>
        <v>0</v>
      </c>
      <c r="AC327" s="36">
        <f t="shared" ca="1" si="613"/>
        <v>0</v>
      </c>
      <c r="AD327" s="36">
        <f t="shared" ca="1" si="613"/>
        <v>0</v>
      </c>
      <c r="AE327" s="36">
        <f t="shared" ca="1" si="613"/>
        <v>0</v>
      </c>
      <c r="AF327" s="36">
        <f t="shared" ca="1" si="613"/>
        <v>0</v>
      </c>
      <c r="AG327" s="36">
        <f t="shared" ca="1" si="613"/>
        <v>0</v>
      </c>
      <c r="AH327" s="36">
        <f t="shared" ca="1" si="613"/>
        <v>0</v>
      </c>
      <c r="AI327" s="36">
        <f t="shared" ca="1" si="613"/>
        <v>0</v>
      </c>
      <c r="AJ327" s="36">
        <f t="shared" ca="1" si="614"/>
        <v>34560</v>
      </c>
      <c r="AK327" s="36">
        <f t="shared" ca="1" si="614"/>
        <v>0</v>
      </c>
      <c r="AL327" s="36">
        <f t="shared" ca="1" si="614"/>
        <v>0</v>
      </c>
      <c r="AM327" s="36">
        <f t="shared" ca="1" si="614"/>
        <v>103680</v>
      </c>
      <c r="AN327" s="36">
        <f t="shared" ca="1" si="614"/>
        <v>16200</v>
      </c>
      <c r="AO327" s="36">
        <f t="shared" ca="1" si="614"/>
        <v>0</v>
      </c>
      <c r="AP327" s="36">
        <f t="shared" ca="1" si="614"/>
        <v>0</v>
      </c>
      <c r="AQ327" s="36">
        <f t="shared" ca="1" si="614"/>
        <v>0</v>
      </c>
      <c r="AR327" s="36">
        <f t="shared" ca="1" si="614"/>
        <v>32400</v>
      </c>
      <c r="AS327" s="36">
        <f t="shared" ca="1" si="614"/>
        <v>0</v>
      </c>
      <c r="AT327" s="36">
        <f t="shared" ca="1" si="615"/>
        <v>207360</v>
      </c>
      <c r="AU327" s="36">
        <f t="shared" ca="1" si="615"/>
        <v>0</v>
      </c>
      <c r="AV327" s="36">
        <f t="shared" ca="1" si="615"/>
        <v>0</v>
      </c>
      <c r="AW327" s="36">
        <f t="shared" ca="1" si="615"/>
        <v>0</v>
      </c>
      <c r="AX327" s="36">
        <f t="shared" ca="1" si="615"/>
        <v>0</v>
      </c>
      <c r="AY327" s="36">
        <f t="shared" ca="1" si="615"/>
        <v>194400.00000000003</v>
      </c>
      <c r="AZ327" s="36">
        <f t="shared" ca="1" si="615"/>
        <v>0</v>
      </c>
      <c r="BA327" s="36">
        <f t="shared" ca="1" si="615"/>
        <v>0</v>
      </c>
      <c r="BB327" s="36">
        <f t="shared" ca="1" si="615"/>
        <v>0</v>
      </c>
      <c r="BC327" s="36">
        <f t="shared" ca="1" si="615"/>
        <v>0</v>
      </c>
      <c r="BD327" s="36">
        <f t="shared" ca="1" si="616"/>
        <v>0</v>
      </c>
      <c r="BE327" s="36">
        <f t="shared" ca="1" si="616"/>
        <v>0</v>
      </c>
      <c r="BF327" s="36">
        <f t="shared" ca="1" si="616"/>
        <v>427680</v>
      </c>
      <c r="BG327" s="36">
        <f t="shared" ca="1" si="616"/>
        <v>0</v>
      </c>
      <c r="BH327" s="36">
        <f t="shared" ca="1" si="616"/>
        <v>0</v>
      </c>
      <c r="BI327" s="36">
        <f t="shared" ca="1" si="616"/>
        <v>0</v>
      </c>
      <c r="BJ327" s="36">
        <f t="shared" ca="1" si="616"/>
        <v>0</v>
      </c>
      <c r="BK327" s="36">
        <f t="shared" ca="1" si="616"/>
        <v>369360</v>
      </c>
      <c r="BL327" s="36">
        <f t="shared" ca="1" si="616"/>
        <v>0</v>
      </c>
      <c r="BM327" s="36">
        <f t="shared" ca="1" si="616"/>
        <v>0</v>
      </c>
      <c r="BN327" s="36">
        <f t="shared" ca="1" si="617"/>
        <v>0</v>
      </c>
      <c r="BO327" s="36">
        <f t="shared" ca="1" si="617"/>
        <v>0</v>
      </c>
      <c r="BP327" s="36">
        <f t="shared" ca="1" si="617"/>
        <v>0</v>
      </c>
      <c r="BQ327" s="36">
        <f t="shared" ca="1" si="617"/>
        <v>0</v>
      </c>
      <c r="BR327" s="36">
        <f t="shared" ca="1" si="617"/>
        <v>812592</v>
      </c>
      <c r="BS327" s="36">
        <f t="shared" ca="1" si="617"/>
        <v>0</v>
      </c>
      <c r="BT327" s="36">
        <f t="shared" ca="1" si="617"/>
        <v>0</v>
      </c>
      <c r="BU327" s="36">
        <f t="shared" ca="1" si="617"/>
        <v>0</v>
      </c>
      <c r="BV327" s="36">
        <f t="shared" ca="1" si="617"/>
        <v>0</v>
      </c>
      <c r="BW327" s="36">
        <f t="shared" ca="1" si="617"/>
        <v>554040</v>
      </c>
      <c r="BX327" s="36">
        <f t="shared" ca="1" si="618"/>
        <v>0</v>
      </c>
      <c r="BY327" s="36">
        <f t="shared" ca="1" si="618"/>
        <v>0</v>
      </c>
      <c r="BZ327" s="36">
        <f t="shared" ca="1" si="618"/>
        <v>0</v>
      </c>
      <c r="CA327" s="36">
        <f t="shared" ca="1" si="618"/>
        <v>0</v>
      </c>
      <c r="CB327" s="36">
        <f t="shared" ca="1" si="618"/>
        <v>0</v>
      </c>
      <c r="CC327" s="36">
        <f t="shared" ca="1" si="618"/>
        <v>0</v>
      </c>
      <c r="CD327" s="36">
        <f t="shared" ca="1" si="618"/>
        <v>1218888</v>
      </c>
      <c r="CE327" s="36">
        <f t="shared" ca="1" si="618"/>
        <v>0</v>
      </c>
      <c r="CF327" s="36">
        <f t="shared" ca="1" si="618"/>
        <v>0</v>
      </c>
      <c r="CG327" s="36">
        <f t="shared" ca="1" si="618"/>
        <v>0</v>
      </c>
      <c r="CH327" s="36">
        <f t="shared" ca="1" si="619"/>
        <v>0</v>
      </c>
      <c r="CI327" s="36">
        <f t="shared" ca="1" si="619"/>
        <v>720252</v>
      </c>
      <c r="CJ327" s="36">
        <f t="shared" ca="1" si="619"/>
        <v>0</v>
      </c>
      <c r="CK327" s="36">
        <f t="shared" ca="1" si="619"/>
        <v>0</v>
      </c>
      <c r="CL327" s="36">
        <f t="shared" ca="1" si="619"/>
        <v>0</v>
      </c>
      <c r="CM327" s="36">
        <f t="shared" ca="1" si="619"/>
        <v>0</v>
      </c>
      <c r="CN327" s="36">
        <f t="shared" ca="1" si="619"/>
        <v>0</v>
      </c>
      <c r="CO327" s="36">
        <f t="shared" ca="1" si="619"/>
        <v>0</v>
      </c>
      <c r="CP327" s="36">
        <f t="shared" ca="1" si="619"/>
        <v>1584554.4</v>
      </c>
      <c r="CQ327" s="36">
        <f t="shared" ca="1" si="619"/>
        <v>0</v>
      </c>
      <c r="CR327" s="36">
        <f t="shared" ca="1" si="619"/>
        <v>0</v>
      </c>
      <c r="CS327" s="36">
        <f t="shared" ca="1" si="619"/>
        <v>0</v>
      </c>
      <c r="CT327" s="36">
        <f t="shared" ca="1" si="619"/>
        <v>264092.39999999997</v>
      </c>
      <c r="CU327" s="36">
        <f t="shared" ca="1" si="619"/>
        <v>264092.39999999997</v>
      </c>
      <c r="CV327" s="36">
        <f t="shared" ca="1" si="619"/>
        <v>264092.39999999997</v>
      </c>
      <c r="CW327" s="21"/>
    </row>
    <row r="328" spans="4:101" x14ac:dyDescent="0.25">
      <c r="D328" s="35" t="str">
        <f>[1]Key!$W$14</f>
        <v>GROWTH "HIT" PH</v>
      </c>
      <c r="F328" s="23">
        <f>[1]Key!$AE$12</f>
        <v>60</v>
      </c>
      <c r="G328" s="21"/>
      <c r="H328" s="21"/>
      <c r="I328" s="21"/>
      <c r="J328" s="21"/>
      <c r="K328" s="21"/>
      <c r="L328" s="21"/>
      <c r="M328" s="21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36"/>
      <c r="Z328" s="36">
        <f t="shared" ca="1" si="613"/>
        <v>0</v>
      </c>
      <c r="AA328" s="36">
        <f t="shared" ca="1" si="613"/>
        <v>0</v>
      </c>
      <c r="AB328" s="36">
        <f t="shared" ca="1" si="613"/>
        <v>0</v>
      </c>
      <c r="AC328" s="36">
        <f t="shared" ca="1" si="613"/>
        <v>0</v>
      </c>
      <c r="AD328" s="36">
        <f t="shared" ca="1" si="613"/>
        <v>0</v>
      </c>
      <c r="AE328" s="36">
        <f t="shared" ca="1" si="613"/>
        <v>0</v>
      </c>
      <c r="AF328" s="36">
        <f t="shared" ca="1" si="613"/>
        <v>0</v>
      </c>
      <c r="AG328" s="36">
        <f t="shared" ca="1" si="613"/>
        <v>0</v>
      </c>
      <c r="AH328" s="36">
        <f t="shared" ca="1" si="613"/>
        <v>0</v>
      </c>
      <c r="AI328" s="36">
        <f t="shared" ca="1" si="613"/>
        <v>0</v>
      </c>
      <c r="AJ328" s="36">
        <f t="shared" ca="1" si="614"/>
        <v>0</v>
      </c>
      <c r="AK328" s="36">
        <f t="shared" ca="1" si="614"/>
        <v>0</v>
      </c>
      <c r="AL328" s="36">
        <f t="shared" ca="1" si="614"/>
        <v>0</v>
      </c>
      <c r="AM328" s="36">
        <f t="shared" ca="1" si="614"/>
        <v>0</v>
      </c>
      <c r="AN328" s="36">
        <f t="shared" ca="1" si="614"/>
        <v>0</v>
      </c>
      <c r="AO328" s="36">
        <f t="shared" ca="1" si="614"/>
        <v>0</v>
      </c>
      <c r="AP328" s="36">
        <f t="shared" ca="1" si="614"/>
        <v>0</v>
      </c>
      <c r="AQ328" s="36">
        <f t="shared" ca="1" si="614"/>
        <v>0</v>
      </c>
      <c r="AR328" s="36">
        <f t="shared" ca="1" si="614"/>
        <v>0</v>
      </c>
      <c r="AS328" s="36">
        <f t="shared" ca="1" si="614"/>
        <v>0</v>
      </c>
      <c r="AT328" s="36">
        <f t="shared" ca="1" si="615"/>
        <v>0</v>
      </c>
      <c r="AU328" s="36">
        <f t="shared" ca="1" si="615"/>
        <v>432000</v>
      </c>
      <c r="AV328" s="36">
        <f t="shared" ca="1" si="615"/>
        <v>0</v>
      </c>
      <c r="AW328" s="36">
        <f t="shared" ca="1" si="615"/>
        <v>0</v>
      </c>
      <c r="AX328" s="36">
        <f t="shared" ca="1" si="615"/>
        <v>864000</v>
      </c>
      <c r="AY328" s="36">
        <f t="shared" ca="1" si="615"/>
        <v>0</v>
      </c>
      <c r="AZ328" s="36">
        <f t="shared" ca="1" si="615"/>
        <v>0</v>
      </c>
      <c r="BA328" s="36">
        <f t="shared" ca="1" si="615"/>
        <v>864000</v>
      </c>
      <c r="BB328" s="36">
        <f t="shared" ca="1" si="615"/>
        <v>0</v>
      </c>
      <c r="BC328" s="36">
        <f t="shared" ca="1" si="615"/>
        <v>0</v>
      </c>
      <c r="BD328" s="36">
        <f t="shared" ca="1" si="616"/>
        <v>1080000</v>
      </c>
      <c r="BE328" s="36">
        <f t="shared" ca="1" si="616"/>
        <v>0</v>
      </c>
      <c r="BF328" s="36">
        <f t="shared" ca="1" si="616"/>
        <v>0</v>
      </c>
      <c r="BG328" s="36">
        <f t="shared" ca="1" si="616"/>
        <v>1512000</v>
      </c>
      <c r="BH328" s="36">
        <f t="shared" ca="1" si="616"/>
        <v>0</v>
      </c>
      <c r="BI328" s="36">
        <f t="shared" ca="1" si="616"/>
        <v>0</v>
      </c>
      <c r="BJ328" s="36">
        <f t="shared" ca="1" si="616"/>
        <v>1641600</v>
      </c>
      <c r="BK328" s="36">
        <f t="shared" ca="1" si="616"/>
        <v>0</v>
      </c>
      <c r="BL328" s="36">
        <f t="shared" ca="1" si="616"/>
        <v>0</v>
      </c>
      <c r="BM328" s="36">
        <f t="shared" ca="1" si="616"/>
        <v>1641600</v>
      </c>
      <c r="BN328" s="36">
        <f t="shared" ca="1" si="617"/>
        <v>0</v>
      </c>
      <c r="BO328" s="36">
        <f t="shared" ca="1" si="617"/>
        <v>0</v>
      </c>
      <c r="BP328" s="36">
        <f t="shared" ca="1" si="617"/>
        <v>2052000</v>
      </c>
      <c r="BQ328" s="36">
        <f t="shared" ca="1" si="617"/>
        <v>0</v>
      </c>
      <c r="BR328" s="36">
        <f t="shared" ca="1" si="617"/>
        <v>0</v>
      </c>
      <c r="BS328" s="36">
        <f t="shared" ca="1" si="617"/>
        <v>2872800</v>
      </c>
      <c r="BT328" s="36">
        <f t="shared" ca="1" si="617"/>
        <v>0</v>
      </c>
      <c r="BU328" s="36">
        <f t="shared" ca="1" si="617"/>
        <v>0</v>
      </c>
      <c r="BV328" s="36">
        <f t="shared" ca="1" si="617"/>
        <v>2462400</v>
      </c>
      <c r="BW328" s="36">
        <f t="shared" ca="1" si="617"/>
        <v>0</v>
      </c>
      <c r="BX328" s="36">
        <f t="shared" ca="1" si="618"/>
        <v>0</v>
      </c>
      <c r="BY328" s="36">
        <f t="shared" ca="1" si="618"/>
        <v>2462400</v>
      </c>
      <c r="BZ328" s="36">
        <f t="shared" ca="1" si="618"/>
        <v>0</v>
      </c>
      <c r="CA328" s="36">
        <f t="shared" ca="1" si="618"/>
        <v>0</v>
      </c>
      <c r="CB328" s="36">
        <f t="shared" ca="1" si="618"/>
        <v>3078000</v>
      </c>
      <c r="CC328" s="36">
        <f t="shared" ca="1" si="618"/>
        <v>0</v>
      </c>
      <c r="CD328" s="36">
        <f t="shared" ca="1" si="618"/>
        <v>0</v>
      </c>
      <c r="CE328" s="36">
        <f t="shared" ca="1" si="618"/>
        <v>4309200</v>
      </c>
      <c r="CF328" s="36">
        <f t="shared" ca="1" si="618"/>
        <v>0</v>
      </c>
      <c r="CG328" s="36">
        <f t="shared" ca="1" si="618"/>
        <v>0</v>
      </c>
      <c r="CH328" s="36">
        <f t="shared" ca="1" si="619"/>
        <v>3201120</v>
      </c>
      <c r="CI328" s="36">
        <f t="shared" ca="1" si="619"/>
        <v>0</v>
      </c>
      <c r="CJ328" s="36">
        <f t="shared" ca="1" si="619"/>
        <v>0</v>
      </c>
      <c r="CK328" s="36">
        <f t="shared" ca="1" si="619"/>
        <v>3201120</v>
      </c>
      <c r="CL328" s="36">
        <f t="shared" ca="1" si="619"/>
        <v>0</v>
      </c>
      <c r="CM328" s="36">
        <f t="shared" ca="1" si="619"/>
        <v>0</v>
      </c>
      <c r="CN328" s="36">
        <f t="shared" ca="1" si="619"/>
        <v>4001400</v>
      </c>
      <c r="CO328" s="36">
        <f t="shared" ca="1" si="619"/>
        <v>0</v>
      </c>
      <c r="CP328" s="36">
        <f t="shared" ca="1" si="619"/>
        <v>0</v>
      </c>
      <c r="CQ328" s="36">
        <f t="shared" ca="1" si="619"/>
        <v>5601960</v>
      </c>
      <c r="CR328" s="36">
        <f t="shared" ca="1" si="619"/>
        <v>0</v>
      </c>
      <c r="CS328" s="36">
        <f t="shared" ca="1" si="619"/>
        <v>0</v>
      </c>
      <c r="CT328" s="36">
        <f t="shared" ca="1" si="619"/>
        <v>1600560</v>
      </c>
      <c r="CU328" s="36">
        <f t="shared" ca="1" si="619"/>
        <v>1600560</v>
      </c>
      <c r="CV328" s="36">
        <f t="shared" ca="1" si="619"/>
        <v>1600560</v>
      </c>
      <c r="CW328" s="21"/>
    </row>
    <row r="329" spans="4:101" x14ac:dyDescent="0.25">
      <c r="D329" s="35" t="str">
        <f>[1]Key!$W$15</f>
        <v>ICE STUDIOS</v>
      </c>
      <c r="F329" s="23">
        <f>[1]Key!$AE$12</f>
        <v>60</v>
      </c>
      <c r="G329" s="21"/>
      <c r="H329" s="21"/>
      <c r="I329" s="21"/>
      <c r="J329" s="21"/>
      <c r="K329" s="21"/>
      <c r="L329" s="21"/>
      <c r="M329" s="21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36"/>
      <c r="Z329" s="36">
        <f t="shared" ca="1" si="613"/>
        <v>0</v>
      </c>
      <c r="AA329" s="36">
        <f t="shared" ca="1" si="613"/>
        <v>0</v>
      </c>
      <c r="AB329" s="36">
        <f t="shared" ca="1" si="613"/>
        <v>0</v>
      </c>
      <c r="AC329" s="36">
        <f t="shared" ca="1" si="613"/>
        <v>0</v>
      </c>
      <c r="AD329" s="36">
        <f t="shared" ca="1" si="613"/>
        <v>0</v>
      </c>
      <c r="AE329" s="36">
        <f t="shared" ca="1" si="613"/>
        <v>0</v>
      </c>
      <c r="AF329" s="36">
        <f t="shared" ca="1" si="613"/>
        <v>0</v>
      </c>
      <c r="AG329" s="36">
        <f t="shared" ca="1" si="613"/>
        <v>0</v>
      </c>
      <c r="AH329" s="36">
        <f t="shared" ca="1" si="613"/>
        <v>0</v>
      </c>
      <c r="AI329" s="36">
        <f t="shared" ca="1" si="613"/>
        <v>0</v>
      </c>
      <c r="AJ329" s="36">
        <f t="shared" ca="1" si="614"/>
        <v>0</v>
      </c>
      <c r="AK329" s="36">
        <f t="shared" ca="1" si="614"/>
        <v>110700</v>
      </c>
      <c r="AL329" s="36">
        <f t="shared" ca="1" si="614"/>
        <v>0</v>
      </c>
      <c r="AM329" s="36">
        <f t="shared" ca="1" si="614"/>
        <v>213840</v>
      </c>
      <c r="AN329" s="36">
        <f t="shared" ca="1" si="614"/>
        <v>0</v>
      </c>
      <c r="AO329" s="36">
        <f t="shared" ca="1" si="614"/>
        <v>0</v>
      </c>
      <c r="AP329" s="36">
        <f t="shared" ca="1" si="614"/>
        <v>0</v>
      </c>
      <c r="AQ329" s="36">
        <f t="shared" ca="1" si="614"/>
        <v>356400</v>
      </c>
      <c r="AR329" s="36">
        <f t="shared" ca="1" si="614"/>
        <v>0</v>
      </c>
      <c r="AS329" s="36">
        <f t="shared" ca="1" si="614"/>
        <v>0</v>
      </c>
      <c r="AT329" s="36">
        <f t="shared" ca="1" si="615"/>
        <v>567000</v>
      </c>
      <c r="AU329" s="36">
        <f t="shared" ca="1" si="615"/>
        <v>0</v>
      </c>
      <c r="AV329" s="36">
        <f t="shared" ca="1" si="615"/>
        <v>0</v>
      </c>
      <c r="AW329" s="36">
        <f t="shared" ca="1" si="615"/>
        <v>684720</v>
      </c>
      <c r="AX329" s="36">
        <f t="shared" ca="1" si="615"/>
        <v>259200</v>
      </c>
      <c r="AY329" s="36">
        <f t="shared" ca="1" si="615"/>
        <v>453600</v>
      </c>
      <c r="AZ329" s="36">
        <f t="shared" ca="1" si="615"/>
        <v>0</v>
      </c>
      <c r="BA329" s="36">
        <f t="shared" ca="1" si="615"/>
        <v>0</v>
      </c>
      <c r="BB329" s="36">
        <f t="shared" ca="1" si="615"/>
        <v>0</v>
      </c>
      <c r="BC329" s="36">
        <f t="shared" ca="1" si="615"/>
        <v>712800</v>
      </c>
      <c r="BD329" s="36">
        <f t="shared" ca="1" si="616"/>
        <v>0</v>
      </c>
      <c r="BE329" s="36">
        <f t="shared" ca="1" si="616"/>
        <v>0</v>
      </c>
      <c r="BF329" s="36">
        <f t="shared" ca="1" si="616"/>
        <v>723600</v>
      </c>
      <c r="BG329" s="36">
        <f t="shared" ca="1" si="616"/>
        <v>0</v>
      </c>
      <c r="BH329" s="36">
        <f t="shared" ca="1" si="616"/>
        <v>51840</v>
      </c>
      <c r="BI329" s="36">
        <f t="shared" ca="1" si="616"/>
        <v>723600</v>
      </c>
      <c r="BJ329" s="36">
        <f t="shared" ca="1" si="616"/>
        <v>615600</v>
      </c>
      <c r="BK329" s="36">
        <f t="shared" ca="1" si="616"/>
        <v>1077300</v>
      </c>
      <c r="BL329" s="36">
        <f t="shared" ca="1" si="616"/>
        <v>0</v>
      </c>
      <c r="BM329" s="36">
        <f t="shared" ca="1" si="616"/>
        <v>0</v>
      </c>
      <c r="BN329" s="36">
        <f t="shared" ca="1" si="617"/>
        <v>0</v>
      </c>
      <c r="BO329" s="36">
        <f t="shared" ca="1" si="617"/>
        <v>1692900</v>
      </c>
      <c r="BP329" s="36">
        <f t="shared" ca="1" si="617"/>
        <v>0</v>
      </c>
      <c r="BQ329" s="36">
        <f t="shared" ca="1" si="617"/>
        <v>0</v>
      </c>
      <c r="BR329" s="36">
        <f t="shared" ca="1" si="617"/>
        <v>1718550</v>
      </c>
      <c r="BS329" s="36">
        <f t="shared" ca="1" si="617"/>
        <v>0</v>
      </c>
      <c r="BT329" s="36">
        <f t="shared" ca="1" si="617"/>
        <v>123120</v>
      </c>
      <c r="BU329" s="36">
        <f t="shared" ca="1" si="617"/>
        <v>1718550</v>
      </c>
      <c r="BV329" s="36">
        <f t="shared" ca="1" si="617"/>
        <v>1385100</v>
      </c>
      <c r="BW329" s="36">
        <f t="shared" ca="1" si="617"/>
        <v>2423925</v>
      </c>
      <c r="BX329" s="36">
        <f t="shared" ca="1" si="618"/>
        <v>0</v>
      </c>
      <c r="BY329" s="36">
        <f t="shared" ca="1" si="618"/>
        <v>0</v>
      </c>
      <c r="BZ329" s="36">
        <f t="shared" ca="1" si="618"/>
        <v>0</v>
      </c>
      <c r="CA329" s="36">
        <f t="shared" ca="1" si="618"/>
        <v>3809025</v>
      </c>
      <c r="CB329" s="36">
        <f t="shared" ca="1" si="618"/>
        <v>0</v>
      </c>
      <c r="CC329" s="36">
        <f t="shared" ca="1" si="618"/>
        <v>0</v>
      </c>
      <c r="CD329" s="36">
        <f t="shared" ca="1" si="618"/>
        <v>3866737.5</v>
      </c>
      <c r="CE329" s="36">
        <f t="shared" ca="1" si="618"/>
        <v>0</v>
      </c>
      <c r="CF329" s="36">
        <f t="shared" ca="1" si="618"/>
        <v>277020</v>
      </c>
      <c r="CG329" s="36">
        <f t="shared" ca="1" si="618"/>
        <v>3866737.5</v>
      </c>
      <c r="CH329" s="36">
        <f t="shared" ca="1" si="619"/>
        <v>2423925</v>
      </c>
      <c r="CI329" s="36">
        <f t="shared" ca="1" si="619"/>
        <v>4241868.75</v>
      </c>
      <c r="CJ329" s="36">
        <f t="shared" ca="1" si="619"/>
        <v>0</v>
      </c>
      <c r="CK329" s="36">
        <f t="shared" ca="1" si="619"/>
        <v>0</v>
      </c>
      <c r="CL329" s="36">
        <f t="shared" ca="1" si="619"/>
        <v>0</v>
      </c>
      <c r="CM329" s="36">
        <f t="shared" ca="1" si="619"/>
        <v>6665793.75</v>
      </c>
      <c r="CN329" s="36">
        <f t="shared" ca="1" si="619"/>
        <v>0</v>
      </c>
      <c r="CO329" s="36">
        <f t="shared" ca="1" si="619"/>
        <v>0</v>
      </c>
      <c r="CP329" s="36">
        <f t="shared" ca="1" si="619"/>
        <v>6766790.625</v>
      </c>
      <c r="CQ329" s="36">
        <f t="shared" ca="1" si="619"/>
        <v>0</v>
      </c>
      <c r="CR329" s="36">
        <f t="shared" ca="1" si="619"/>
        <v>484785</v>
      </c>
      <c r="CS329" s="36">
        <f t="shared" ca="1" si="619"/>
        <v>6766790.625</v>
      </c>
      <c r="CT329" s="36">
        <f t="shared" ca="1" si="619"/>
        <v>2336394.375</v>
      </c>
      <c r="CU329" s="36">
        <f t="shared" ca="1" si="619"/>
        <v>2336394.375</v>
      </c>
      <c r="CV329" s="36">
        <f t="shared" ca="1" si="619"/>
        <v>2336394.375</v>
      </c>
      <c r="CW329" s="21"/>
    </row>
    <row r="330" spans="4:101" x14ac:dyDescent="0.25">
      <c r="D330" s="35" t="str">
        <f>[1]Key!$W$16</f>
        <v>MURAKAMI / TORITON</v>
      </c>
      <c r="F330" s="23">
        <f>[1]Key!$AE$12</f>
        <v>60</v>
      </c>
      <c r="G330" s="21"/>
      <c r="H330" s="21"/>
      <c r="I330" s="21"/>
      <c r="J330" s="21"/>
      <c r="K330" s="21"/>
      <c r="L330" s="21"/>
      <c r="M330" s="21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36"/>
      <c r="Z330" s="36">
        <f t="shared" ca="1" si="613"/>
        <v>0</v>
      </c>
      <c r="AA330" s="36">
        <f t="shared" ca="1" si="613"/>
        <v>0</v>
      </c>
      <c r="AB330" s="36">
        <f t="shared" ca="1" si="613"/>
        <v>138720</v>
      </c>
      <c r="AC330" s="36">
        <f t="shared" ca="1" si="613"/>
        <v>14450</v>
      </c>
      <c r="AD330" s="36">
        <f t="shared" ca="1" si="613"/>
        <v>0</v>
      </c>
      <c r="AE330" s="36">
        <f t="shared" ca="1" si="613"/>
        <v>14450</v>
      </c>
      <c r="AF330" s="36">
        <f t="shared" ca="1" si="613"/>
        <v>346800</v>
      </c>
      <c r="AG330" s="36">
        <f t="shared" ca="1" si="613"/>
        <v>0</v>
      </c>
      <c r="AH330" s="36">
        <f t="shared" ca="1" si="613"/>
        <v>28900</v>
      </c>
      <c r="AI330" s="36">
        <f t="shared" ca="1" si="613"/>
        <v>0</v>
      </c>
      <c r="AJ330" s="36">
        <f t="shared" ca="1" si="614"/>
        <v>78000</v>
      </c>
      <c r="AK330" s="36">
        <f t="shared" ca="1" si="614"/>
        <v>106900</v>
      </c>
      <c r="AL330" s="36">
        <f t="shared" ca="1" si="614"/>
        <v>0</v>
      </c>
      <c r="AM330" s="36">
        <f t="shared" ca="1" si="614"/>
        <v>260000</v>
      </c>
      <c r="AN330" s="36">
        <f t="shared" ca="1" si="614"/>
        <v>57800</v>
      </c>
      <c r="AO330" s="36">
        <f t="shared" ca="1" si="614"/>
        <v>0</v>
      </c>
      <c r="AP330" s="36">
        <f t="shared" ca="1" si="614"/>
        <v>325000</v>
      </c>
      <c r="AQ330" s="36">
        <f t="shared" ca="1" si="614"/>
        <v>154300</v>
      </c>
      <c r="AR330" s="36">
        <f t="shared" ca="1" si="614"/>
        <v>88840</v>
      </c>
      <c r="AS330" s="36">
        <f t="shared" ca="1" si="614"/>
        <v>363680</v>
      </c>
      <c r="AT330" s="36">
        <f t="shared" ca="1" si="615"/>
        <v>0</v>
      </c>
      <c r="AU330" s="36">
        <f t="shared" ca="1" si="615"/>
        <v>43200</v>
      </c>
      <c r="AV330" s="36">
        <f t="shared" ca="1" si="615"/>
        <v>387520</v>
      </c>
      <c r="AW330" s="36">
        <f t="shared" ca="1" si="615"/>
        <v>277700</v>
      </c>
      <c r="AX330" s="36">
        <f t="shared" ca="1" si="615"/>
        <v>57800</v>
      </c>
      <c r="AY330" s="36">
        <f t="shared" ca="1" si="615"/>
        <v>530280</v>
      </c>
      <c r="AZ330" s="36">
        <f t="shared" ca="1" si="615"/>
        <v>259200</v>
      </c>
      <c r="BA330" s="36">
        <f t="shared" ca="1" si="615"/>
        <v>18500</v>
      </c>
      <c r="BB330" s="36">
        <f t="shared" ca="1" si="615"/>
        <v>422000</v>
      </c>
      <c r="BC330" s="36">
        <f t="shared" ca="1" si="615"/>
        <v>362880</v>
      </c>
      <c r="BD330" s="36">
        <f t="shared" ca="1" si="616"/>
        <v>57800</v>
      </c>
      <c r="BE330" s="36">
        <f t="shared" ca="1" si="616"/>
        <v>562680</v>
      </c>
      <c r="BF330" s="36">
        <f t="shared" ca="1" si="616"/>
        <v>259200</v>
      </c>
      <c r="BG330" s="36">
        <f t="shared" ca="1" si="616"/>
        <v>18500</v>
      </c>
      <c r="BH330" s="36">
        <f t="shared" ca="1" si="616"/>
        <v>363280</v>
      </c>
      <c r="BI330" s="36">
        <f t="shared" ca="1" si="616"/>
        <v>259200</v>
      </c>
      <c r="BJ330" s="36">
        <f t="shared" ca="1" si="616"/>
        <v>137275</v>
      </c>
      <c r="BK330" s="36">
        <f t="shared" ca="1" si="616"/>
        <v>1259415</v>
      </c>
      <c r="BL330" s="36">
        <f t="shared" ca="1" si="616"/>
        <v>615600</v>
      </c>
      <c r="BM330" s="36">
        <f t="shared" ca="1" si="616"/>
        <v>43937.5</v>
      </c>
      <c r="BN330" s="36">
        <f t="shared" ca="1" si="617"/>
        <v>1002250</v>
      </c>
      <c r="BO330" s="36">
        <f t="shared" ca="1" si="617"/>
        <v>861840</v>
      </c>
      <c r="BP330" s="36">
        <f t="shared" ca="1" si="617"/>
        <v>137275</v>
      </c>
      <c r="BQ330" s="36">
        <f t="shared" ca="1" si="617"/>
        <v>1336365</v>
      </c>
      <c r="BR330" s="36">
        <f t="shared" ca="1" si="617"/>
        <v>615600</v>
      </c>
      <c r="BS330" s="36">
        <f t="shared" ca="1" si="617"/>
        <v>43937.5</v>
      </c>
      <c r="BT330" s="36">
        <f t="shared" ca="1" si="617"/>
        <v>862790</v>
      </c>
      <c r="BU330" s="36">
        <f t="shared" ca="1" si="617"/>
        <v>615600</v>
      </c>
      <c r="BV330" s="36">
        <f t="shared" ca="1" si="617"/>
        <v>240231.25</v>
      </c>
      <c r="BW330" s="36">
        <f t="shared" ca="1" si="617"/>
        <v>2203976.25</v>
      </c>
      <c r="BX330" s="36">
        <f t="shared" ca="1" si="618"/>
        <v>1077300</v>
      </c>
      <c r="BY330" s="36">
        <f t="shared" ca="1" si="618"/>
        <v>76890.625</v>
      </c>
      <c r="BZ330" s="36">
        <f t="shared" ca="1" si="618"/>
        <v>1753937.5</v>
      </c>
      <c r="CA330" s="36">
        <f t="shared" ca="1" si="618"/>
        <v>1508220</v>
      </c>
      <c r="CB330" s="36">
        <f t="shared" ca="1" si="618"/>
        <v>240231.25</v>
      </c>
      <c r="CC330" s="36">
        <f t="shared" ca="1" si="618"/>
        <v>2338638.75</v>
      </c>
      <c r="CD330" s="36">
        <f t="shared" ca="1" si="618"/>
        <v>1077300</v>
      </c>
      <c r="CE330" s="36">
        <f t="shared" ca="1" si="618"/>
        <v>76890.625</v>
      </c>
      <c r="CF330" s="36">
        <f t="shared" ca="1" si="618"/>
        <v>1509882.5</v>
      </c>
      <c r="CG330" s="36">
        <f t="shared" ca="1" si="618"/>
        <v>1077300</v>
      </c>
      <c r="CH330" s="36">
        <f t="shared" ca="1" si="619"/>
        <v>360346.875</v>
      </c>
      <c r="CI330" s="36">
        <f t="shared" ca="1" si="619"/>
        <v>3305964.375</v>
      </c>
      <c r="CJ330" s="36">
        <f t="shared" ca="1" si="619"/>
        <v>1615950</v>
      </c>
      <c r="CK330" s="36">
        <f t="shared" ca="1" si="619"/>
        <v>115335.9375</v>
      </c>
      <c r="CL330" s="36">
        <f t="shared" ca="1" si="619"/>
        <v>2630906.25</v>
      </c>
      <c r="CM330" s="36">
        <f t="shared" ca="1" si="619"/>
        <v>2262330</v>
      </c>
      <c r="CN330" s="36">
        <f t="shared" ca="1" si="619"/>
        <v>360346.875</v>
      </c>
      <c r="CO330" s="36">
        <f t="shared" ca="1" si="619"/>
        <v>3507958.125</v>
      </c>
      <c r="CP330" s="36">
        <f t="shared" ca="1" si="619"/>
        <v>1615950</v>
      </c>
      <c r="CQ330" s="36">
        <f t="shared" ca="1" si="619"/>
        <v>115335.9375</v>
      </c>
      <c r="CR330" s="36">
        <f t="shared" ca="1" si="619"/>
        <v>2264823.75</v>
      </c>
      <c r="CS330" s="36">
        <f t="shared" ca="1" si="619"/>
        <v>1615950</v>
      </c>
      <c r="CT330" s="36">
        <f t="shared" ca="1" si="619"/>
        <v>1580060.78125</v>
      </c>
      <c r="CU330" s="36">
        <f t="shared" ca="1" si="619"/>
        <v>1580060.78125</v>
      </c>
      <c r="CV330" s="36">
        <f t="shared" ca="1" si="619"/>
        <v>1580060.78125</v>
      </c>
      <c r="CW330" s="21"/>
    </row>
    <row r="331" spans="4:101" x14ac:dyDescent="0.25">
      <c r="D331" s="35" t="str">
        <f>[1]Key!$W$17</f>
        <v>NEW PARTNER 1</v>
      </c>
      <c r="F331" s="23">
        <f>[1]Key!$AE$12</f>
        <v>60</v>
      </c>
      <c r="G331" s="21"/>
      <c r="H331" s="21"/>
      <c r="I331" s="21"/>
      <c r="J331" s="21"/>
      <c r="K331" s="21"/>
      <c r="L331" s="21"/>
      <c r="M331" s="21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36"/>
      <c r="Z331" s="36">
        <f t="shared" ca="1" si="613"/>
        <v>0</v>
      </c>
      <c r="AA331" s="36">
        <f t="shared" ca="1" si="613"/>
        <v>0</v>
      </c>
      <c r="AB331" s="36">
        <f t="shared" ca="1" si="613"/>
        <v>0</v>
      </c>
      <c r="AC331" s="36">
        <f t="shared" ca="1" si="613"/>
        <v>0</v>
      </c>
      <c r="AD331" s="36">
        <f t="shared" ca="1" si="613"/>
        <v>0</v>
      </c>
      <c r="AE331" s="36">
        <f t="shared" ca="1" si="613"/>
        <v>0</v>
      </c>
      <c r="AF331" s="36">
        <f t="shared" ca="1" si="613"/>
        <v>0</v>
      </c>
      <c r="AG331" s="36">
        <f t="shared" ca="1" si="613"/>
        <v>0</v>
      </c>
      <c r="AH331" s="36">
        <f t="shared" ca="1" si="613"/>
        <v>0</v>
      </c>
      <c r="AI331" s="36">
        <f t="shared" ca="1" si="613"/>
        <v>0</v>
      </c>
      <c r="AJ331" s="36">
        <f t="shared" ca="1" si="614"/>
        <v>0</v>
      </c>
      <c r="AK331" s="36">
        <f t="shared" ca="1" si="614"/>
        <v>0</v>
      </c>
      <c r="AL331" s="36">
        <f t="shared" ca="1" si="614"/>
        <v>0</v>
      </c>
      <c r="AM331" s="36">
        <f t="shared" ca="1" si="614"/>
        <v>0</v>
      </c>
      <c r="AN331" s="36">
        <f t="shared" ca="1" si="614"/>
        <v>0</v>
      </c>
      <c r="AO331" s="36">
        <f t="shared" ca="1" si="614"/>
        <v>0</v>
      </c>
      <c r="AP331" s="36">
        <f t="shared" ca="1" si="614"/>
        <v>0</v>
      </c>
      <c r="AQ331" s="36">
        <f t="shared" ca="1" si="614"/>
        <v>0</v>
      </c>
      <c r="AR331" s="36">
        <f t="shared" ca="1" si="614"/>
        <v>0</v>
      </c>
      <c r="AS331" s="36">
        <f t="shared" ca="1" si="614"/>
        <v>0</v>
      </c>
      <c r="AT331" s="36">
        <f t="shared" ca="1" si="615"/>
        <v>0</v>
      </c>
      <c r="AU331" s="36">
        <f t="shared" ca="1" si="615"/>
        <v>0</v>
      </c>
      <c r="AV331" s="36">
        <f t="shared" ca="1" si="615"/>
        <v>0</v>
      </c>
      <c r="AW331" s="36">
        <f t="shared" ca="1" si="615"/>
        <v>0</v>
      </c>
      <c r="AX331" s="36">
        <f t="shared" ca="1" si="615"/>
        <v>103680</v>
      </c>
      <c r="AY331" s="36">
        <f t="shared" ca="1" si="615"/>
        <v>0</v>
      </c>
      <c r="AZ331" s="36">
        <f t="shared" ca="1" si="615"/>
        <v>0</v>
      </c>
      <c r="BA331" s="36">
        <f t="shared" ca="1" si="615"/>
        <v>0</v>
      </c>
      <c r="BB331" s="36">
        <f t="shared" ca="1" si="615"/>
        <v>0</v>
      </c>
      <c r="BC331" s="36">
        <f t="shared" ca="1" si="615"/>
        <v>0</v>
      </c>
      <c r="BD331" s="36">
        <f t="shared" ca="1" si="616"/>
        <v>216000</v>
      </c>
      <c r="BE331" s="36">
        <f t="shared" ca="1" si="616"/>
        <v>0</v>
      </c>
      <c r="BF331" s="36">
        <f t="shared" ca="1" si="616"/>
        <v>0</v>
      </c>
      <c r="BG331" s="36">
        <f t="shared" ca="1" si="616"/>
        <v>0</v>
      </c>
      <c r="BH331" s="36">
        <f t="shared" ca="1" si="616"/>
        <v>0</v>
      </c>
      <c r="BI331" s="36">
        <f t="shared" ca="1" si="616"/>
        <v>0</v>
      </c>
      <c r="BJ331" s="36">
        <f t="shared" ca="1" si="616"/>
        <v>295488</v>
      </c>
      <c r="BK331" s="36">
        <f t="shared" ca="1" si="616"/>
        <v>0</v>
      </c>
      <c r="BL331" s="36">
        <f t="shared" ca="1" si="616"/>
        <v>0</v>
      </c>
      <c r="BM331" s="36">
        <f t="shared" ca="1" si="616"/>
        <v>0</v>
      </c>
      <c r="BN331" s="36">
        <f t="shared" ca="1" si="617"/>
        <v>0</v>
      </c>
      <c r="BO331" s="36">
        <f t="shared" ca="1" si="617"/>
        <v>0</v>
      </c>
      <c r="BP331" s="36">
        <f t="shared" ca="1" si="617"/>
        <v>615600</v>
      </c>
      <c r="BQ331" s="36">
        <f t="shared" ca="1" si="617"/>
        <v>0</v>
      </c>
      <c r="BR331" s="36">
        <f t="shared" ca="1" si="617"/>
        <v>0</v>
      </c>
      <c r="BS331" s="36">
        <f t="shared" ca="1" si="617"/>
        <v>0</v>
      </c>
      <c r="BT331" s="36">
        <f t="shared" ca="1" si="617"/>
        <v>0</v>
      </c>
      <c r="BU331" s="36">
        <f t="shared" ca="1" si="617"/>
        <v>0</v>
      </c>
      <c r="BV331" s="36">
        <f t="shared" ca="1" si="617"/>
        <v>738720</v>
      </c>
      <c r="BW331" s="36">
        <f t="shared" ca="1" si="617"/>
        <v>0</v>
      </c>
      <c r="BX331" s="36">
        <f t="shared" ca="1" si="618"/>
        <v>0</v>
      </c>
      <c r="BY331" s="36">
        <f t="shared" ca="1" si="618"/>
        <v>0</v>
      </c>
      <c r="BZ331" s="36">
        <f t="shared" ca="1" si="618"/>
        <v>0</v>
      </c>
      <c r="CA331" s="36">
        <f t="shared" ca="1" si="618"/>
        <v>0</v>
      </c>
      <c r="CB331" s="36">
        <f t="shared" ca="1" si="618"/>
        <v>1539000</v>
      </c>
      <c r="CC331" s="36">
        <f t="shared" ca="1" si="618"/>
        <v>0</v>
      </c>
      <c r="CD331" s="36">
        <f t="shared" ca="1" si="618"/>
        <v>0</v>
      </c>
      <c r="CE331" s="36">
        <f t="shared" ca="1" si="618"/>
        <v>0</v>
      </c>
      <c r="CF331" s="36">
        <f t="shared" ca="1" si="618"/>
        <v>0</v>
      </c>
      <c r="CG331" s="36">
        <f t="shared" ca="1" si="618"/>
        <v>0</v>
      </c>
      <c r="CH331" s="36">
        <f t="shared" ca="1" si="619"/>
        <v>1292760</v>
      </c>
      <c r="CI331" s="36">
        <f t="shared" ca="1" si="619"/>
        <v>0</v>
      </c>
      <c r="CJ331" s="36">
        <f t="shared" ca="1" si="619"/>
        <v>0</v>
      </c>
      <c r="CK331" s="36">
        <f t="shared" ca="1" si="619"/>
        <v>0</v>
      </c>
      <c r="CL331" s="36">
        <f t="shared" ca="1" si="619"/>
        <v>0</v>
      </c>
      <c r="CM331" s="36">
        <f t="shared" ca="1" si="619"/>
        <v>0</v>
      </c>
      <c r="CN331" s="36">
        <f t="shared" ca="1" si="619"/>
        <v>2693250</v>
      </c>
      <c r="CO331" s="36">
        <f t="shared" ca="1" si="619"/>
        <v>0</v>
      </c>
      <c r="CP331" s="36">
        <f t="shared" ca="1" si="619"/>
        <v>0</v>
      </c>
      <c r="CQ331" s="36">
        <f t="shared" ca="1" si="619"/>
        <v>0</v>
      </c>
      <c r="CR331" s="36">
        <f t="shared" ca="1" si="619"/>
        <v>0</v>
      </c>
      <c r="CS331" s="36">
        <f t="shared" ca="1" si="619"/>
        <v>0</v>
      </c>
      <c r="CT331" s="36">
        <f t="shared" ca="1" si="619"/>
        <v>448875</v>
      </c>
      <c r="CU331" s="36">
        <f t="shared" ca="1" si="619"/>
        <v>448875</v>
      </c>
      <c r="CV331" s="36">
        <f t="shared" ca="1" si="619"/>
        <v>448875</v>
      </c>
      <c r="CW331" s="21"/>
    </row>
    <row r="332" spans="4:101" x14ac:dyDescent="0.25">
      <c r="D332" s="35" t="str">
        <f>[1]Key!$W$18</f>
        <v>NEW PARTNER 2</v>
      </c>
      <c r="F332" s="23">
        <f>[1]Key!$AE$12</f>
        <v>60</v>
      </c>
      <c r="G332" s="21"/>
      <c r="H332" s="21"/>
      <c r="I332" s="21"/>
      <c r="J332" s="21"/>
      <c r="K332" s="21"/>
      <c r="L332" s="21"/>
      <c r="M332" s="21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36"/>
      <c r="Z332" s="36">
        <f t="shared" ca="1" si="613"/>
        <v>0</v>
      </c>
      <c r="AA332" s="36">
        <f t="shared" ca="1" si="613"/>
        <v>0</v>
      </c>
      <c r="AB332" s="36">
        <f t="shared" ca="1" si="613"/>
        <v>0</v>
      </c>
      <c r="AC332" s="36">
        <f t="shared" ca="1" si="613"/>
        <v>0</v>
      </c>
      <c r="AD332" s="36">
        <f t="shared" ca="1" si="613"/>
        <v>0</v>
      </c>
      <c r="AE332" s="36">
        <f t="shared" ca="1" si="613"/>
        <v>0</v>
      </c>
      <c r="AF332" s="36">
        <f t="shared" ca="1" si="613"/>
        <v>0</v>
      </c>
      <c r="AG332" s="36">
        <f t="shared" ca="1" si="613"/>
        <v>0</v>
      </c>
      <c r="AH332" s="36">
        <f t="shared" ca="1" si="613"/>
        <v>0</v>
      </c>
      <c r="AI332" s="36">
        <f t="shared" ca="1" si="613"/>
        <v>0</v>
      </c>
      <c r="AJ332" s="36">
        <f t="shared" ca="1" si="614"/>
        <v>0</v>
      </c>
      <c r="AK332" s="36">
        <f t="shared" ca="1" si="614"/>
        <v>0</v>
      </c>
      <c r="AL332" s="36">
        <f t="shared" ca="1" si="614"/>
        <v>0</v>
      </c>
      <c r="AM332" s="36">
        <f t="shared" ca="1" si="614"/>
        <v>0</v>
      </c>
      <c r="AN332" s="36">
        <f t="shared" ca="1" si="614"/>
        <v>0</v>
      </c>
      <c r="AO332" s="36">
        <f t="shared" ca="1" si="614"/>
        <v>0</v>
      </c>
      <c r="AP332" s="36">
        <f t="shared" ca="1" si="614"/>
        <v>0</v>
      </c>
      <c r="AQ332" s="36">
        <f t="shared" ca="1" si="614"/>
        <v>0</v>
      </c>
      <c r="AR332" s="36">
        <f t="shared" ca="1" si="614"/>
        <v>0</v>
      </c>
      <c r="AS332" s="36">
        <f t="shared" ca="1" si="614"/>
        <v>0</v>
      </c>
      <c r="AT332" s="36">
        <f t="shared" ca="1" si="615"/>
        <v>0</v>
      </c>
      <c r="AU332" s="36">
        <f t="shared" ca="1" si="615"/>
        <v>0</v>
      </c>
      <c r="AV332" s="36">
        <f t="shared" ca="1" si="615"/>
        <v>0</v>
      </c>
      <c r="AW332" s="36">
        <f t="shared" ca="1" si="615"/>
        <v>0</v>
      </c>
      <c r="AX332" s="36">
        <f t="shared" ca="1" si="615"/>
        <v>216000</v>
      </c>
      <c r="AY332" s="36">
        <f t="shared" ca="1" si="615"/>
        <v>0</v>
      </c>
      <c r="AZ332" s="36">
        <f t="shared" ca="1" si="615"/>
        <v>0</v>
      </c>
      <c r="BA332" s="36">
        <f t="shared" ca="1" si="615"/>
        <v>0</v>
      </c>
      <c r="BB332" s="36">
        <f t="shared" ca="1" si="615"/>
        <v>0</v>
      </c>
      <c r="BC332" s="36">
        <f t="shared" ca="1" si="615"/>
        <v>0</v>
      </c>
      <c r="BD332" s="36">
        <f t="shared" ca="1" si="616"/>
        <v>518400.00000000006</v>
      </c>
      <c r="BE332" s="36">
        <f t="shared" ca="1" si="616"/>
        <v>0</v>
      </c>
      <c r="BF332" s="36">
        <f t="shared" ca="1" si="616"/>
        <v>0</v>
      </c>
      <c r="BG332" s="36">
        <f t="shared" ca="1" si="616"/>
        <v>0</v>
      </c>
      <c r="BH332" s="36">
        <f t="shared" ca="1" si="616"/>
        <v>103680</v>
      </c>
      <c r="BI332" s="36">
        <f t="shared" ca="1" si="616"/>
        <v>0</v>
      </c>
      <c r="BJ332" s="36">
        <f t="shared" ca="1" si="616"/>
        <v>615600</v>
      </c>
      <c r="BK332" s="36">
        <f t="shared" ca="1" si="616"/>
        <v>0</v>
      </c>
      <c r="BL332" s="36">
        <f t="shared" ca="1" si="616"/>
        <v>0</v>
      </c>
      <c r="BM332" s="36">
        <f t="shared" ca="1" si="616"/>
        <v>0</v>
      </c>
      <c r="BN332" s="36">
        <f t="shared" ca="1" si="617"/>
        <v>0</v>
      </c>
      <c r="BO332" s="36">
        <f t="shared" ca="1" si="617"/>
        <v>0</v>
      </c>
      <c r="BP332" s="36">
        <f t="shared" ca="1" si="617"/>
        <v>1477440</v>
      </c>
      <c r="BQ332" s="36">
        <f t="shared" ca="1" si="617"/>
        <v>0</v>
      </c>
      <c r="BR332" s="36">
        <f t="shared" ca="1" si="617"/>
        <v>0</v>
      </c>
      <c r="BS332" s="36">
        <f t="shared" ca="1" si="617"/>
        <v>0</v>
      </c>
      <c r="BT332" s="36">
        <f t="shared" ca="1" si="617"/>
        <v>295488</v>
      </c>
      <c r="BU332" s="36">
        <f t="shared" ca="1" si="617"/>
        <v>0</v>
      </c>
      <c r="BV332" s="36">
        <f t="shared" ca="1" si="617"/>
        <v>1539000</v>
      </c>
      <c r="BW332" s="36">
        <f t="shared" ca="1" si="617"/>
        <v>0</v>
      </c>
      <c r="BX332" s="36">
        <f t="shared" ca="1" si="618"/>
        <v>0</v>
      </c>
      <c r="BY332" s="36">
        <f t="shared" ca="1" si="618"/>
        <v>0</v>
      </c>
      <c r="BZ332" s="36">
        <f t="shared" ca="1" si="618"/>
        <v>0</v>
      </c>
      <c r="CA332" s="36">
        <f t="shared" ca="1" si="618"/>
        <v>0</v>
      </c>
      <c r="CB332" s="36">
        <f t="shared" ca="1" si="618"/>
        <v>3693600</v>
      </c>
      <c r="CC332" s="36">
        <f t="shared" ca="1" si="618"/>
        <v>0</v>
      </c>
      <c r="CD332" s="36">
        <f t="shared" ca="1" si="618"/>
        <v>0</v>
      </c>
      <c r="CE332" s="36">
        <f t="shared" ca="1" si="618"/>
        <v>0</v>
      </c>
      <c r="CF332" s="36">
        <f t="shared" ca="1" si="618"/>
        <v>738720</v>
      </c>
      <c r="CG332" s="36">
        <f t="shared" ca="1" si="618"/>
        <v>0</v>
      </c>
      <c r="CH332" s="36">
        <f t="shared" ca="1" si="619"/>
        <v>2693250</v>
      </c>
      <c r="CI332" s="36">
        <f t="shared" ca="1" si="619"/>
        <v>0</v>
      </c>
      <c r="CJ332" s="36">
        <f t="shared" ca="1" si="619"/>
        <v>0</v>
      </c>
      <c r="CK332" s="36">
        <f t="shared" ca="1" si="619"/>
        <v>0</v>
      </c>
      <c r="CL332" s="36">
        <f t="shared" ca="1" si="619"/>
        <v>0</v>
      </c>
      <c r="CM332" s="36">
        <f t="shared" ca="1" si="619"/>
        <v>0</v>
      </c>
      <c r="CN332" s="36">
        <f t="shared" ca="1" si="619"/>
        <v>6463800</v>
      </c>
      <c r="CO332" s="36">
        <f t="shared" ca="1" si="619"/>
        <v>0</v>
      </c>
      <c r="CP332" s="36">
        <f t="shared" ca="1" si="619"/>
        <v>0</v>
      </c>
      <c r="CQ332" s="36">
        <f t="shared" ca="1" si="619"/>
        <v>0</v>
      </c>
      <c r="CR332" s="36">
        <f t="shared" ca="1" si="619"/>
        <v>1292760</v>
      </c>
      <c r="CS332" s="36">
        <f t="shared" ca="1" si="619"/>
        <v>0</v>
      </c>
      <c r="CT332" s="36">
        <f t="shared" ca="1" si="619"/>
        <v>1292760</v>
      </c>
      <c r="CU332" s="36">
        <f t="shared" ca="1" si="619"/>
        <v>1292760</v>
      </c>
      <c r="CV332" s="36">
        <f t="shared" ca="1" si="619"/>
        <v>1292760</v>
      </c>
      <c r="CW332" s="21"/>
    </row>
    <row r="333" spans="4:101" x14ac:dyDescent="0.25">
      <c r="D333" s="35" t="str">
        <f>[1]Key!$W$19</f>
        <v>PIGALLE</v>
      </c>
      <c r="F333" s="23">
        <f>[1]Key!$AE$12</f>
        <v>60</v>
      </c>
      <c r="G333" s="21"/>
      <c r="H333" s="21"/>
      <c r="I333" s="21"/>
      <c r="J333" s="21"/>
      <c r="K333" s="21"/>
      <c r="L333" s="21"/>
      <c r="M333" s="21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36"/>
      <c r="Z333" s="36">
        <f t="shared" ca="1" si="613"/>
        <v>0</v>
      </c>
      <c r="AA333" s="36">
        <f t="shared" ca="1" si="613"/>
        <v>0</v>
      </c>
      <c r="AB333" s="36">
        <f t="shared" ca="1" si="613"/>
        <v>0</v>
      </c>
      <c r="AC333" s="36">
        <f t="shared" ca="1" si="613"/>
        <v>0</v>
      </c>
      <c r="AD333" s="36">
        <f t="shared" ca="1" si="613"/>
        <v>0</v>
      </c>
      <c r="AE333" s="36">
        <f t="shared" ca="1" si="613"/>
        <v>0</v>
      </c>
      <c r="AF333" s="36">
        <f t="shared" ca="1" si="613"/>
        <v>0</v>
      </c>
      <c r="AG333" s="36">
        <f t="shared" ca="1" si="613"/>
        <v>0</v>
      </c>
      <c r="AH333" s="36">
        <f t="shared" ca="1" si="613"/>
        <v>0</v>
      </c>
      <c r="AI333" s="36">
        <f t="shared" ca="1" si="613"/>
        <v>0</v>
      </c>
      <c r="AJ333" s="36">
        <f t="shared" ca="1" si="614"/>
        <v>0</v>
      </c>
      <c r="AK333" s="36">
        <f t="shared" ca="1" si="614"/>
        <v>0</v>
      </c>
      <c r="AL333" s="36">
        <f t="shared" ca="1" si="614"/>
        <v>0</v>
      </c>
      <c r="AM333" s="36">
        <f t="shared" ca="1" si="614"/>
        <v>0</v>
      </c>
      <c r="AN333" s="36">
        <f t="shared" ca="1" si="614"/>
        <v>0</v>
      </c>
      <c r="AO333" s="36">
        <f t="shared" ca="1" si="614"/>
        <v>0</v>
      </c>
      <c r="AP333" s="36">
        <f t="shared" ca="1" si="614"/>
        <v>32400</v>
      </c>
      <c r="AQ333" s="36">
        <f t="shared" ca="1" si="614"/>
        <v>0</v>
      </c>
      <c r="AR333" s="36">
        <f t="shared" ca="1" si="614"/>
        <v>64800</v>
      </c>
      <c r="AS333" s="36">
        <f t="shared" ca="1" si="614"/>
        <v>0</v>
      </c>
      <c r="AT333" s="36">
        <f t="shared" ca="1" si="615"/>
        <v>0</v>
      </c>
      <c r="AU333" s="36">
        <f t="shared" ca="1" si="615"/>
        <v>0</v>
      </c>
      <c r="AV333" s="36">
        <f t="shared" ca="1" si="615"/>
        <v>129600</v>
      </c>
      <c r="AW333" s="36">
        <f t="shared" ca="1" si="615"/>
        <v>0</v>
      </c>
      <c r="AX333" s="36">
        <f t="shared" ca="1" si="615"/>
        <v>0</v>
      </c>
      <c r="AY333" s="36">
        <f t="shared" ca="1" si="615"/>
        <v>129600</v>
      </c>
      <c r="AZ333" s="36">
        <f t="shared" ca="1" si="615"/>
        <v>0</v>
      </c>
      <c r="BA333" s="36">
        <f t="shared" ca="1" si="615"/>
        <v>0</v>
      </c>
      <c r="BB333" s="36">
        <f t="shared" ca="1" si="615"/>
        <v>129600</v>
      </c>
      <c r="BC333" s="36">
        <f t="shared" ca="1" si="615"/>
        <v>0</v>
      </c>
      <c r="BD333" s="36">
        <f t="shared" ca="1" si="616"/>
        <v>0</v>
      </c>
      <c r="BE333" s="36">
        <f t="shared" ca="1" si="616"/>
        <v>129600</v>
      </c>
      <c r="BF333" s="36">
        <f t="shared" ca="1" si="616"/>
        <v>0</v>
      </c>
      <c r="BG333" s="36">
        <f t="shared" ca="1" si="616"/>
        <v>0</v>
      </c>
      <c r="BH333" s="36">
        <f t="shared" ca="1" si="616"/>
        <v>129600</v>
      </c>
      <c r="BI333" s="36">
        <f t="shared" ca="1" si="616"/>
        <v>0</v>
      </c>
      <c r="BJ333" s="36">
        <f t="shared" ca="1" si="616"/>
        <v>0</v>
      </c>
      <c r="BK333" s="36">
        <f t="shared" ca="1" si="616"/>
        <v>246240</v>
      </c>
      <c r="BL333" s="36">
        <f t="shared" ca="1" si="616"/>
        <v>0</v>
      </c>
      <c r="BM333" s="36">
        <f t="shared" ca="1" si="616"/>
        <v>0</v>
      </c>
      <c r="BN333" s="36">
        <f t="shared" ca="1" si="617"/>
        <v>246240</v>
      </c>
      <c r="BO333" s="36">
        <f t="shared" ca="1" si="617"/>
        <v>0</v>
      </c>
      <c r="BP333" s="36">
        <f t="shared" ca="1" si="617"/>
        <v>0</v>
      </c>
      <c r="BQ333" s="36">
        <f t="shared" ca="1" si="617"/>
        <v>246240</v>
      </c>
      <c r="BR333" s="36">
        <f t="shared" ca="1" si="617"/>
        <v>0</v>
      </c>
      <c r="BS333" s="36">
        <f t="shared" ca="1" si="617"/>
        <v>0</v>
      </c>
      <c r="BT333" s="36">
        <f t="shared" ca="1" si="617"/>
        <v>246240</v>
      </c>
      <c r="BU333" s="36">
        <f t="shared" ca="1" si="617"/>
        <v>0</v>
      </c>
      <c r="BV333" s="36">
        <f t="shared" ca="1" si="617"/>
        <v>0</v>
      </c>
      <c r="BW333" s="36">
        <f t="shared" ca="1" si="617"/>
        <v>369360</v>
      </c>
      <c r="BX333" s="36">
        <f t="shared" ca="1" si="618"/>
        <v>0</v>
      </c>
      <c r="BY333" s="36">
        <f t="shared" ca="1" si="618"/>
        <v>0</v>
      </c>
      <c r="BZ333" s="36">
        <f t="shared" ca="1" si="618"/>
        <v>369360</v>
      </c>
      <c r="CA333" s="36">
        <f t="shared" ca="1" si="618"/>
        <v>0</v>
      </c>
      <c r="CB333" s="36">
        <f t="shared" ca="1" si="618"/>
        <v>0</v>
      </c>
      <c r="CC333" s="36">
        <f t="shared" ca="1" si="618"/>
        <v>369360</v>
      </c>
      <c r="CD333" s="36">
        <f t="shared" ca="1" si="618"/>
        <v>0</v>
      </c>
      <c r="CE333" s="36">
        <f t="shared" ca="1" si="618"/>
        <v>0</v>
      </c>
      <c r="CF333" s="36">
        <f t="shared" ca="1" si="618"/>
        <v>369360</v>
      </c>
      <c r="CG333" s="36">
        <f t="shared" ca="1" si="618"/>
        <v>0</v>
      </c>
      <c r="CH333" s="36">
        <f t="shared" ca="1" si="619"/>
        <v>0</v>
      </c>
      <c r="CI333" s="36">
        <f t="shared" ca="1" si="619"/>
        <v>480168</v>
      </c>
      <c r="CJ333" s="36">
        <f t="shared" ca="1" si="619"/>
        <v>0</v>
      </c>
      <c r="CK333" s="36">
        <f t="shared" ca="1" si="619"/>
        <v>0</v>
      </c>
      <c r="CL333" s="36">
        <f t="shared" ca="1" si="619"/>
        <v>480168</v>
      </c>
      <c r="CM333" s="36">
        <f t="shared" ca="1" si="619"/>
        <v>0</v>
      </c>
      <c r="CN333" s="36">
        <f t="shared" ca="1" si="619"/>
        <v>0</v>
      </c>
      <c r="CO333" s="36">
        <f t="shared" ca="1" si="619"/>
        <v>480168</v>
      </c>
      <c r="CP333" s="36">
        <f t="shared" ca="1" si="619"/>
        <v>0</v>
      </c>
      <c r="CQ333" s="36">
        <f t="shared" ca="1" si="619"/>
        <v>0</v>
      </c>
      <c r="CR333" s="36">
        <f t="shared" ca="1" si="619"/>
        <v>480168</v>
      </c>
      <c r="CS333" s="36">
        <f t="shared" ca="1" si="619"/>
        <v>0</v>
      </c>
      <c r="CT333" s="36">
        <f t="shared" ca="1" si="619"/>
        <v>160056</v>
      </c>
      <c r="CU333" s="36">
        <f t="shared" ca="1" si="619"/>
        <v>160056</v>
      </c>
      <c r="CV333" s="36">
        <f t="shared" ca="1" si="619"/>
        <v>160056</v>
      </c>
      <c r="CW333" s="21"/>
    </row>
    <row r="334" spans="4:101" x14ac:dyDescent="0.25">
      <c r="D334" s="35" t="str">
        <f>[1]Key!$W$20</f>
        <v>SPORT PLACEHOLDER</v>
      </c>
      <c r="F334" s="23">
        <f>[1]Key!$AE$12</f>
        <v>60</v>
      </c>
      <c r="G334" s="21"/>
      <c r="H334" s="21"/>
      <c r="I334" s="21"/>
      <c r="J334" s="21"/>
      <c r="K334" s="21"/>
      <c r="L334" s="21"/>
      <c r="M334" s="21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36"/>
      <c r="Z334" s="36">
        <f t="shared" ca="1" si="613"/>
        <v>0</v>
      </c>
      <c r="AA334" s="36">
        <f t="shared" ca="1" si="613"/>
        <v>0</v>
      </c>
      <c r="AB334" s="36">
        <f t="shared" ca="1" si="613"/>
        <v>0</v>
      </c>
      <c r="AC334" s="36">
        <f t="shared" ca="1" si="613"/>
        <v>0</v>
      </c>
      <c r="AD334" s="36">
        <f t="shared" ca="1" si="613"/>
        <v>0</v>
      </c>
      <c r="AE334" s="36">
        <f t="shared" ca="1" si="613"/>
        <v>0</v>
      </c>
      <c r="AF334" s="36">
        <f t="shared" ca="1" si="613"/>
        <v>0</v>
      </c>
      <c r="AG334" s="36">
        <f t="shared" ca="1" si="613"/>
        <v>0</v>
      </c>
      <c r="AH334" s="36">
        <f t="shared" ca="1" si="613"/>
        <v>0</v>
      </c>
      <c r="AI334" s="36">
        <f t="shared" ca="1" si="613"/>
        <v>0</v>
      </c>
      <c r="AJ334" s="36">
        <f t="shared" ca="1" si="614"/>
        <v>0</v>
      </c>
      <c r="AK334" s="36">
        <f t="shared" ca="1" si="614"/>
        <v>0</v>
      </c>
      <c r="AL334" s="36">
        <f t="shared" ca="1" si="614"/>
        <v>0</v>
      </c>
      <c r="AM334" s="36">
        <f t="shared" ca="1" si="614"/>
        <v>0</v>
      </c>
      <c r="AN334" s="36">
        <f t="shared" ca="1" si="614"/>
        <v>0</v>
      </c>
      <c r="AO334" s="36">
        <f t="shared" ca="1" si="614"/>
        <v>0</v>
      </c>
      <c r="AP334" s="36">
        <f t="shared" ca="1" si="614"/>
        <v>0</v>
      </c>
      <c r="AQ334" s="36">
        <f t="shared" ca="1" si="614"/>
        <v>0</v>
      </c>
      <c r="AR334" s="36">
        <f t="shared" ca="1" si="614"/>
        <v>0</v>
      </c>
      <c r="AS334" s="36">
        <f t="shared" ca="1" si="614"/>
        <v>0</v>
      </c>
      <c r="AT334" s="36">
        <f t="shared" ca="1" si="615"/>
        <v>0</v>
      </c>
      <c r="AU334" s="36">
        <f t="shared" ca="1" si="615"/>
        <v>0</v>
      </c>
      <c r="AV334" s="36">
        <f t="shared" ca="1" si="615"/>
        <v>0</v>
      </c>
      <c r="AW334" s="36">
        <f t="shared" ca="1" si="615"/>
        <v>0</v>
      </c>
      <c r="AX334" s="36">
        <f t="shared" ca="1" si="615"/>
        <v>648000</v>
      </c>
      <c r="AY334" s="36">
        <f t="shared" ca="1" si="615"/>
        <v>0</v>
      </c>
      <c r="AZ334" s="36">
        <f t="shared" ca="1" si="615"/>
        <v>0</v>
      </c>
      <c r="BA334" s="36">
        <f t="shared" ca="1" si="615"/>
        <v>0</v>
      </c>
      <c r="BB334" s="36">
        <f t="shared" ca="1" si="615"/>
        <v>0</v>
      </c>
      <c r="BC334" s="36">
        <f t="shared" ca="1" si="615"/>
        <v>0</v>
      </c>
      <c r="BD334" s="36">
        <f t="shared" ca="1" si="616"/>
        <v>1296000</v>
      </c>
      <c r="BE334" s="36">
        <f t="shared" ca="1" si="616"/>
        <v>0</v>
      </c>
      <c r="BF334" s="36">
        <f t="shared" ca="1" si="616"/>
        <v>0</v>
      </c>
      <c r="BG334" s="36">
        <f t="shared" ca="1" si="616"/>
        <v>0</v>
      </c>
      <c r="BH334" s="36">
        <f t="shared" ca="1" si="616"/>
        <v>0</v>
      </c>
      <c r="BI334" s="36">
        <f t="shared" ca="1" si="616"/>
        <v>0</v>
      </c>
      <c r="BJ334" s="36">
        <f t="shared" ca="1" si="616"/>
        <v>1846800</v>
      </c>
      <c r="BK334" s="36">
        <f t="shared" ca="1" si="616"/>
        <v>0</v>
      </c>
      <c r="BL334" s="36">
        <f t="shared" ca="1" si="616"/>
        <v>0</v>
      </c>
      <c r="BM334" s="36">
        <f t="shared" ca="1" si="616"/>
        <v>0</v>
      </c>
      <c r="BN334" s="36">
        <f t="shared" ca="1" si="617"/>
        <v>0</v>
      </c>
      <c r="BO334" s="36">
        <f t="shared" ca="1" si="617"/>
        <v>0</v>
      </c>
      <c r="BP334" s="36">
        <f t="shared" ca="1" si="617"/>
        <v>3693600</v>
      </c>
      <c r="BQ334" s="36">
        <f t="shared" ca="1" si="617"/>
        <v>0</v>
      </c>
      <c r="BR334" s="36">
        <f t="shared" ca="1" si="617"/>
        <v>0</v>
      </c>
      <c r="BS334" s="36">
        <f t="shared" ca="1" si="617"/>
        <v>0</v>
      </c>
      <c r="BT334" s="36">
        <f t="shared" ca="1" si="617"/>
        <v>0</v>
      </c>
      <c r="BU334" s="36">
        <f t="shared" ca="1" si="617"/>
        <v>0</v>
      </c>
      <c r="BV334" s="36">
        <f t="shared" ca="1" si="617"/>
        <v>5540400</v>
      </c>
      <c r="BW334" s="36">
        <f t="shared" ca="1" si="617"/>
        <v>0</v>
      </c>
      <c r="BX334" s="36">
        <f t="shared" ca="1" si="618"/>
        <v>0</v>
      </c>
      <c r="BY334" s="36">
        <f t="shared" ca="1" si="618"/>
        <v>0</v>
      </c>
      <c r="BZ334" s="36">
        <f t="shared" ca="1" si="618"/>
        <v>0</v>
      </c>
      <c r="CA334" s="36">
        <f t="shared" ca="1" si="618"/>
        <v>0</v>
      </c>
      <c r="CB334" s="36">
        <f t="shared" ca="1" si="618"/>
        <v>11080800</v>
      </c>
      <c r="CC334" s="36">
        <f t="shared" ca="1" si="618"/>
        <v>0</v>
      </c>
      <c r="CD334" s="36">
        <f t="shared" ca="1" si="618"/>
        <v>0</v>
      </c>
      <c r="CE334" s="36">
        <f t="shared" ca="1" si="618"/>
        <v>0</v>
      </c>
      <c r="CF334" s="36">
        <f t="shared" ca="1" si="618"/>
        <v>0</v>
      </c>
      <c r="CG334" s="36">
        <f t="shared" ca="1" si="618"/>
        <v>0</v>
      </c>
      <c r="CH334" s="36">
        <f t="shared" ca="1" si="619"/>
        <v>13851000</v>
      </c>
      <c r="CI334" s="36">
        <f t="shared" ca="1" si="619"/>
        <v>0</v>
      </c>
      <c r="CJ334" s="36">
        <f t="shared" ca="1" si="619"/>
        <v>0</v>
      </c>
      <c r="CK334" s="36">
        <f t="shared" ca="1" si="619"/>
        <v>0</v>
      </c>
      <c r="CL334" s="36">
        <f t="shared" ca="1" si="619"/>
        <v>0</v>
      </c>
      <c r="CM334" s="36">
        <f t="shared" ca="1" si="619"/>
        <v>0</v>
      </c>
      <c r="CN334" s="36">
        <f t="shared" ca="1" si="619"/>
        <v>27702000</v>
      </c>
      <c r="CO334" s="36">
        <f t="shared" ca="1" si="619"/>
        <v>0</v>
      </c>
      <c r="CP334" s="36">
        <f t="shared" ca="1" si="619"/>
        <v>0</v>
      </c>
      <c r="CQ334" s="36">
        <f t="shared" ca="1" si="619"/>
        <v>0</v>
      </c>
      <c r="CR334" s="36">
        <f t="shared" ca="1" si="619"/>
        <v>0</v>
      </c>
      <c r="CS334" s="36">
        <f t="shared" ca="1" si="619"/>
        <v>0</v>
      </c>
      <c r="CT334" s="36">
        <f t="shared" ca="1" si="619"/>
        <v>4617000</v>
      </c>
      <c r="CU334" s="36">
        <f t="shared" ca="1" si="619"/>
        <v>4617000</v>
      </c>
      <c r="CV334" s="36">
        <f t="shared" ca="1" si="619"/>
        <v>4617000</v>
      </c>
      <c r="CW334" s="21"/>
    </row>
    <row r="335" spans="4:101" x14ac:dyDescent="0.25">
      <c r="D335" s="35" t="str">
        <f>[1]Key!$W$21</f>
        <v>SPUNGE</v>
      </c>
      <c r="F335" s="23">
        <f>[1]Key!$AE$12</f>
        <v>60</v>
      </c>
      <c r="G335" s="21"/>
      <c r="H335" s="21"/>
      <c r="I335" s="21"/>
      <c r="J335" s="21"/>
      <c r="K335" s="21"/>
      <c r="L335" s="21"/>
      <c r="M335" s="21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36"/>
      <c r="Z335" s="36">
        <f t="shared" ca="1" si="613"/>
        <v>0</v>
      </c>
      <c r="AA335" s="36">
        <f t="shared" ca="1" si="613"/>
        <v>0</v>
      </c>
      <c r="AB335" s="36">
        <f t="shared" ca="1" si="613"/>
        <v>0</v>
      </c>
      <c r="AC335" s="36">
        <f t="shared" ca="1" si="613"/>
        <v>0</v>
      </c>
      <c r="AD335" s="36">
        <f t="shared" ca="1" si="613"/>
        <v>0</v>
      </c>
      <c r="AE335" s="36">
        <f t="shared" ca="1" si="613"/>
        <v>0</v>
      </c>
      <c r="AF335" s="36">
        <f t="shared" ca="1" si="613"/>
        <v>0</v>
      </c>
      <c r="AG335" s="36">
        <f t="shared" ca="1" si="613"/>
        <v>0</v>
      </c>
      <c r="AH335" s="36">
        <f t="shared" ca="1" si="613"/>
        <v>0</v>
      </c>
      <c r="AI335" s="36">
        <f t="shared" ca="1" si="613"/>
        <v>0</v>
      </c>
      <c r="AJ335" s="36">
        <f t="shared" ca="1" si="614"/>
        <v>0</v>
      </c>
      <c r="AK335" s="36">
        <f t="shared" ca="1" si="614"/>
        <v>0</v>
      </c>
      <c r="AL335" s="36">
        <f t="shared" ca="1" si="614"/>
        <v>0</v>
      </c>
      <c r="AM335" s="36">
        <f t="shared" ca="1" si="614"/>
        <v>0</v>
      </c>
      <c r="AN335" s="36">
        <f t="shared" ca="1" si="614"/>
        <v>0</v>
      </c>
      <c r="AO335" s="36">
        <f t="shared" ca="1" si="614"/>
        <v>0</v>
      </c>
      <c r="AP335" s="36">
        <f t="shared" ca="1" si="614"/>
        <v>0</v>
      </c>
      <c r="AQ335" s="36">
        <f t="shared" ca="1" si="614"/>
        <v>0</v>
      </c>
      <c r="AR335" s="36">
        <f t="shared" ca="1" si="614"/>
        <v>0</v>
      </c>
      <c r="AS335" s="36">
        <f t="shared" ca="1" si="614"/>
        <v>0</v>
      </c>
      <c r="AT335" s="36">
        <f t="shared" ca="1" si="615"/>
        <v>51840</v>
      </c>
      <c r="AU335" s="36">
        <f t="shared" ca="1" si="615"/>
        <v>0</v>
      </c>
      <c r="AV335" s="36">
        <f t="shared" ca="1" si="615"/>
        <v>51840</v>
      </c>
      <c r="AW335" s="36">
        <f t="shared" ca="1" si="615"/>
        <v>129600</v>
      </c>
      <c r="AX335" s="36">
        <f t="shared" ca="1" si="615"/>
        <v>0</v>
      </c>
      <c r="AY335" s="36">
        <f t="shared" ca="1" si="615"/>
        <v>397440</v>
      </c>
      <c r="AZ335" s="36">
        <f t="shared" ca="1" si="615"/>
        <v>0</v>
      </c>
      <c r="BA335" s="36">
        <f t="shared" ca="1" si="615"/>
        <v>0</v>
      </c>
      <c r="BB335" s="36">
        <f t="shared" ca="1" si="615"/>
        <v>449280</v>
      </c>
      <c r="BC335" s="36">
        <f t="shared" ca="1" si="615"/>
        <v>0</v>
      </c>
      <c r="BD335" s="36">
        <f t="shared" ca="1" si="616"/>
        <v>518400</v>
      </c>
      <c r="BE335" s="36">
        <f t="shared" ca="1" si="616"/>
        <v>0</v>
      </c>
      <c r="BF335" s="36">
        <f t="shared" ca="1" si="616"/>
        <v>51840</v>
      </c>
      <c r="BG335" s="36">
        <f t="shared" ca="1" si="616"/>
        <v>0</v>
      </c>
      <c r="BH335" s="36">
        <f t="shared" ca="1" si="616"/>
        <v>691200</v>
      </c>
      <c r="BI335" s="36">
        <f t="shared" ca="1" si="616"/>
        <v>129600</v>
      </c>
      <c r="BJ335" s="36">
        <f t="shared" ca="1" si="616"/>
        <v>0</v>
      </c>
      <c r="BK335" s="36">
        <f t="shared" ca="1" si="616"/>
        <v>1132704</v>
      </c>
      <c r="BL335" s="36">
        <f t="shared" ca="1" si="616"/>
        <v>0</v>
      </c>
      <c r="BM335" s="36">
        <f t="shared" ca="1" si="616"/>
        <v>0</v>
      </c>
      <c r="BN335" s="36">
        <f t="shared" ca="1" si="617"/>
        <v>1280448</v>
      </c>
      <c r="BO335" s="36">
        <f t="shared" ca="1" si="617"/>
        <v>0</v>
      </c>
      <c r="BP335" s="36">
        <f t="shared" ca="1" si="617"/>
        <v>1477440</v>
      </c>
      <c r="BQ335" s="36">
        <f t="shared" ca="1" si="617"/>
        <v>0</v>
      </c>
      <c r="BR335" s="36">
        <f t="shared" ca="1" si="617"/>
        <v>147744</v>
      </c>
      <c r="BS335" s="36">
        <f t="shared" ca="1" si="617"/>
        <v>0</v>
      </c>
      <c r="BT335" s="36">
        <f t="shared" ca="1" si="617"/>
        <v>1969920</v>
      </c>
      <c r="BU335" s="36">
        <f t="shared" ca="1" si="617"/>
        <v>369360</v>
      </c>
      <c r="BV335" s="36">
        <f t="shared" ca="1" si="617"/>
        <v>0</v>
      </c>
      <c r="BW335" s="36">
        <f t="shared" ca="1" si="617"/>
        <v>2831760</v>
      </c>
      <c r="BX335" s="36">
        <f t="shared" ca="1" si="618"/>
        <v>0</v>
      </c>
      <c r="BY335" s="36">
        <f t="shared" ca="1" si="618"/>
        <v>0</v>
      </c>
      <c r="BZ335" s="36">
        <f t="shared" ca="1" si="618"/>
        <v>3201120</v>
      </c>
      <c r="CA335" s="36">
        <f t="shared" ca="1" si="618"/>
        <v>0</v>
      </c>
      <c r="CB335" s="36">
        <f t="shared" ca="1" si="618"/>
        <v>3693600</v>
      </c>
      <c r="CC335" s="36">
        <f t="shared" ca="1" si="618"/>
        <v>0</v>
      </c>
      <c r="CD335" s="36">
        <f t="shared" ca="1" si="618"/>
        <v>369360</v>
      </c>
      <c r="CE335" s="36">
        <f t="shared" ca="1" si="618"/>
        <v>0</v>
      </c>
      <c r="CF335" s="36">
        <f t="shared" ca="1" si="618"/>
        <v>4924800</v>
      </c>
      <c r="CG335" s="36">
        <f t="shared" ca="1" si="618"/>
        <v>923400</v>
      </c>
      <c r="CH335" s="36">
        <f t="shared" ca="1" si="619"/>
        <v>0</v>
      </c>
      <c r="CI335" s="36">
        <f t="shared" ca="1" si="619"/>
        <v>4955580</v>
      </c>
      <c r="CJ335" s="36">
        <f t="shared" ca="1" si="619"/>
        <v>0</v>
      </c>
      <c r="CK335" s="36">
        <f t="shared" ca="1" si="619"/>
        <v>0</v>
      </c>
      <c r="CL335" s="36">
        <f t="shared" ca="1" si="619"/>
        <v>5601960</v>
      </c>
      <c r="CM335" s="36">
        <f t="shared" ca="1" si="619"/>
        <v>0</v>
      </c>
      <c r="CN335" s="36">
        <f t="shared" ca="1" si="619"/>
        <v>6463800</v>
      </c>
      <c r="CO335" s="36">
        <f t="shared" ca="1" si="619"/>
        <v>0</v>
      </c>
      <c r="CP335" s="36">
        <f t="shared" ca="1" si="619"/>
        <v>646380</v>
      </c>
      <c r="CQ335" s="36">
        <f t="shared" ca="1" si="619"/>
        <v>0</v>
      </c>
      <c r="CR335" s="36">
        <f t="shared" ca="1" si="619"/>
        <v>8618400</v>
      </c>
      <c r="CS335" s="36">
        <f t="shared" ca="1" si="619"/>
        <v>1615950</v>
      </c>
      <c r="CT335" s="36">
        <f t="shared" ca="1" si="619"/>
        <v>2890755</v>
      </c>
      <c r="CU335" s="36">
        <f t="shared" ca="1" si="619"/>
        <v>2890755</v>
      </c>
      <c r="CV335" s="36">
        <f t="shared" ca="1" si="619"/>
        <v>2890755</v>
      </c>
      <c r="CW335" s="21"/>
    </row>
    <row r="336" spans="4:101" x14ac:dyDescent="0.25">
      <c r="D336" s="35" t="str">
        <f>[1]Key!$W$22</f>
        <v>SUNFLOWER</v>
      </c>
      <c r="F336" s="23">
        <f>[1]Key!$AE$12</f>
        <v>60</v>
      </c>
      <c r="G336" s="21"/>
      <c r="H336" s="21"/>
      <c r="I336" s="21"/>
      <c r="J336" s="21"/>
      <c r="K336" s="21"/>
      <c r="L336" s="21"/>
      <c r="M336" s="21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36"/>
      <c r="Z336" s="36">
        <f t="shared" ca="1" si="613"/>
        <v>0</v>
      </c>
      <c r="AA336" s="36">
        <f t="shared" ca="1" si="613"/>
        <v>0</v>
      </c>
      <c r="AB336" s="36">
        <f t="shared" ca="1" si="613"/>
        <v>0</v>
      </c>
      <c r="AC336" s="36">
        <f t="shared" ca="1" si="613"/>
        <v>0</v>
      </c>
      <c r="AD336" s="36">
        <f t="shared" ca="1" si="613"/>
        <v>0</v>
      </c>
      <c r="AE336" s="36">
        <f t="shared" ca="1" si="613"/>
        <v>0</v>
      </c>
      <c r="AF336" s="36">
        <f t="shared" ca="1" si="613"/>
        <v>0</v>
      </c>
      <c r="AG336" s="36">
        <f t="shared" ca="1" si="613"/>
        <v>0</v>
      </c>
      <c r="AH336" s="36">
        <f t="shared" ca="1" si="613"/>
        <v>0</v>
      </c>
      <c r="AI336" s="36">
        <f t="shared" ca="1" si="613"/>
        <v>0</v>
      </c>
      <c r="AJ336" s="36">
        <f t="shared" ca="1" si="614"/>
        <v>0</v>
      </c>
      <c r="AK336" s="36">
        <f t="shared" ca="1" si="614"/>
        <v>0</v>
      </c>
      <c r="AL336" s="36">
        <f t="shared" ca="1" si="614"/>
        <v>0</v>
      </c>
      <c r="AM336" s="36">
        <f t="shared" ca="1" si="614"/>
        <v>283500.00000000006</v>
      </c>
      <c r="AN336" s="36">
        <f t="shared" ca="1" si="614"/>
        <v>0</v>
      </c>
      <c r="AO336" s="36">
        <f t="shared" ca="1" si="614"/>
        <v>0</v>
      </c>
      <c r="AP336" s="36">
        <f t="shared" ca="1" si="614"/>
        <v>0</v>
      </c>
      <c r="AQ336" s="36">
        <f t="shared" ca="1" si="614"/>
        <v>0</v>
      </c>
      <c r="AR336" s="36">
        <f t="shared" ca="1" si="614"/>
        <v>0</v>
      </c>
      <c r="AS336" s="36">
        <f t="shared" ca="1" si="614"/>
        <v>567000.00000000012</v>
      </c>
      <c r="AT336" s="36">
        <f t="shared" ca="1" si="615"/>
        <v>0</v>
      </c>
      <c r="AU336" s="36">
        <f t="shared" ca="1" si="615"/>
        <v>0</v>
      </c>
      <c r="AV336" s="36">
        <f t="shared" ca="1" si="615"/>
        <v>0</v>
      </c>
      <c r="AW336" s="36">
        <f t="shared" ca="1" si="615"/>
        <v>0</v>
      </c>
      <c r="AX336" s="36">
        <f t="shared" ca="1" si="615"/>
        <v>0</v>
      </c>
      <c r="AY336" s="36">
        <f t="shared" ca="1" si="615"/>
        <v>567000.00000000012</v>
      </c>
      <c r="AZ336" s="36">
        <f t="shared" ca="1" si="615"/>
        <v>0</v>
      </c>
      <c r="BA336" s="36">
        <f t="shared" ca="1" si="615"/>
        <v>0</v>
      </c>
      <c r="BB336" s="36">
        <f t="shared" ca="1" si="615"/>
        <v>0</v>
      </c>
      <c r="BC336" s="36">
        <f t="shared" ca="1" si="615"/>
        <v>0</v>
      </c>
      <c r="BD336" s="36">
        <f t="shared" ca="1" si="616"/>
        <v>0</v>
      </c>
      <c r="BE336" s="36">
        <f t="shared" ca="1" si="616"/>
        <v>756000.00000000012</v>
      </c>
      <c r="BF336" s="36">
        <f t="shared" ca="1" si="616"/>
        <v>0</v>
      </c>
      <c r="BG336" s="36">
        <f t="shared" ca="1" si="616"/>
        <v>0</v>
      </c>
      <c r="BH336" s="36">
        <f t="shared" ca="1" si="616"/>
        <v>0</v>
      </c>
      <c r="BI336" s="36">
        <f t="shared" ca="1" si="616"/>
        <v>0</v>
      </c>
      <c r="BJ336" s="36">
        <f t="shared" ca="1" si="616"/>
        <v>0</v>
      </c>
      <c r="BK336" s="36">
        <f t="shared" ca="1" si="616"/>
        <v>1077300</v>
      </c>
      <c r="BL336" s="36">
        <f t="shared" ca="1" si="616"/>
        <v>0</v>
      </c>
      <c r="BM336" s="36">
        <f t="shared" ca="1" si="616"/>
        <v>0</v>
      </c>
      <c r="BN336" s="36">
        <f t="shared" ca="1" si="617"/>
        <v>0</v>
      </c>
      <c r="BO336" s="36">
        <f t="shared" ca="1" si="617"/>
        <v>0</v>
      </c>
      <c r="BP336" s="36">
        <f t="shared" ca="1" si="617"/>
        <v>0</v>
      </c>
      <c r="BQ336" s="36">
        <f t="shared" ca="1" si="617"/>
        <v>1436400.0000000002</v>
      </c>
      <c r="BR336" s="36">
        <f t="shared" ca="1" si="617"/>
        <v>0</v>
      </c>
      <c r="BS336" s="36">
        <f t="shared" ca="1" si="617"/>
        <v>0</v>
      </c>
      <c r="BT336" s="36">
        <f t="shared" ca="1" si="617"/>
        <v>0</v>
      </c>
      <c r="BU336" s="36">
        <f t="shared" ca="1" si="617"/>
        <v>0</v>
      </c>
      <c r="BV336" s="36">
        <f t="shared" ca="1" si="617"/>
        <v>0</v>
      </c>
      <c r="BW336" s="36">
        <f t="shared" ca="1" si="617"/>
        <v>1615950.0000000002</v>
      </c>
      <c r="BX336" s="36">
        <f t="shared" ca="1" si="618"/>
        <v>0</v>
      </c>
      <c r="BY336" s="36">
        <f t="shared" ca="1" si="618"/>
        <v>0</v>
      </c>
      <c r="BZ336" s="36">
        <f t="shared" ca="1" si="618"/>
        <v>0</v>
      </c>
      <c r="CA336" s="36">
        <f t="shared" ca="1" si="618"/>
        <v>0</v>
      </c>
      <c r="CB336" s="36">
        <f t="shared" ca="1" si="618"/>
        <v>0</v>
      </c>
      <c r="CC336" s="36">
        <f t="shared" ca="1" si="618"/>
        <v>2154600</v>
      </c>
      <c r="CD336" s="36">
        <f t="shared" ca="1" si="618"/>
        <v>0</v>
      </c>
      <c r="CE336" s="36">
        <f t="shared" ca="1" si="618"/>
        <v>0</v>
      </c>
      <c r="CF336" s="36">
        <f t="shared" ca="1" si="618"/>
        <v>0</v>
      </c>
      <c r="CG336" s="36">
        <f t="shared" ca="1" si="618"/>
        <v>0</v>
      </c>
      <c r="CH336" s="36">
        <f t="shared" ca="1" si="619"/>
        <v>0</v>
      </c>
      <c r="CI336" s="36">
        <f t="shared" ca="1" si="619"/>
        <v>2100735</v>
      </c>
      <c r="CJ336" s="36">
        <f t="shared" ca="1" si="619"/>
        <v>0</v>
      </c>
      <c r="CK336" s="36">
        <f t="shared" ca="1" si="619"/>
        <v>0</v>
      </c>
      <c r="CL336" s="36">
        <f t="shared" ca="1" si="619"/>
        <v>0</v>
      </c>
      <c r="CM336" s="36">
        <f t="shared" ca="1" si="619"/>
        <v>0</v>
      </c>
      <c r="CN336" s="36">
        <f t="shared" ca="1" si="619"/>
        <v>0</v>
      </c>
      <c r="CO336" s="36">
        <f t="shared" ca="1" si="619"/>
        <v>2800980.0000000005</v>
      </c>
      <c r="CP336" s="36">
        <f t="shared" ca="1" si="619"/>
        <v>0</v>
      </c>
      <c r="CQ336" s="36">
        <f t="shared" ca="1" si="619"/>
        <v>0</v>
      </c>
      <c r="CR336" s="36">
        <f t="shared" ca="1" si="619"/>
        <v>0</v>
      </c>
      <c r="CS336" s="36">
        <f t="shared" ca="1" si="619"/>
        <v>0</v>
      </c>
      <c r="CT336" s="36">
        <f t="shared" ca="1" si="619"/>
        <v>466830.00000000006</v>
      </c>
      <c r="CU336" s="36">
        <f t="shared" ca="1" si="619"/>
        <v>466830.00000000006</v>
      </c>
      <c r="CV336" s="36">
        <f t="shared" ca="1" si="619"/>
        <v>466830.00000000006</v>
      </c>
      <c r="CW336" s="21"/>
    </row>
    <row r="337" spans="4:101" x14ac:dyDescent="0.25">
      <c r="D337" s="35" t="str">
        <f>[1]Key!$W$23</f>
        <v>Corporate</v>
      </c>
      <c r="F337" s="23">
        <f>[1]Key!$AE$12</f>
        <v>60</v>
      </c>
      <c r="G337" s="21"/>
      <c r="H337" s="21"/>
      <c r="I337" s="21"/>
      <c r="J337" s="21"/>
      <c r="K337" s="21"/>
      <c r="L337" s="21"/>
      <c r="M337" s="21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36"/>
      <c r="Z337" s="36">
        <f t="shared" ca="1" si="613"/>
        <v>0</v>
      </c>
      <c r="AA337" s="36">
        <f t="shared" ca="1" si="613"/>
        <v>644400.83000000007</v>
      </c>
      <c r="AB337" s="36">
        <f t="shared" ca="1" si="613"/>
        <v>0</v>
      </c>
      <c r="AC337" s="36">
        <f t="shared" ca="1" si="613"/>
        <v>0</v>
      </c>
      <c r="AD337" s="36">
        <f t="shared" ca="1" si="613"/>
        <v>0</v>
      </c>
      <c r="AE337" s="36">
        <f t="shared" ca="1" si="613"/>
        <v>0</v>
      </c>
      <c r="AF337" s="36">
        <f t="shared" ca="1" si="613"/>
        <v>0</v>
      </c>
      <c r="AG337" s="36">
        <f t="shared" ca="1" si="613"/>
        <v>0</v>
      </c>
      <c r="AH337" s="36">
        <f t="shared" ca="1" si="613"/>
        <v>0</v>
      </c>
      <c r="AI337" s="36">
        <f t="shared" ca="1" si="613"/>
        <v>0</v>
      </c>
      <c r="AJ337" s="36">
        <f t="shared" ca="1" si="614"/>
        <v>0</v>
      </c>
      <c r="AK337" s="36">
        <f t="shared" ca="1" si="614"/>
        <v>0</v>
      </c>
      <c r="AL337" s="36">
        <f t="shared" ca="1" si="614"/>
        <v>0</v>
      </c>
      <c r="AM337" s="36">
        <f t="shared" ca="1" si="614"/>
        <v>0</v>
      </c>
      <c r="AN337" s="36">
        <f t="shared" ca="1" si="614"/>
        <v>0</v>
      </c>
      <c r="AO337" s="36">
        <f t="shared" ca="1" si="614"/>
        <v>0</v>
      </c>
      <c r="AP337" s="36">
        <f t="shared" ca="1" si="614"/>
        <v>0</v>
      </c>
      <c r="AQ337" s="36">
        <f t="shared" ca="1" si="614"/>
        <v>0</v>
      </c>
      <c r="AR337" s="36">
        <f t="shared" ca="1" si="614"/>
        <v>0</v>
      </c>
      <c r="AS337" s="36">
        <f t="shared" ca="1" si="614"/>
        <v>0</v>
      </c>
      <c r="AT337" s="36">
        <f t="shared" ca="1" si="615"/>
        <v>0</v>
      </c>
      <c r="AU337" s="36">
        <f t="shared" ca="1" si="615"/>
        <v>0</v>
      </c>
      <c r="AV337" s="36">
        <f t="shared" ca="1" si="615"/>
        <v>0</v>
      </c>
      <c r="AW337" s="36">
        <f t="shared" ca="1" si="615"/>
        <v>0</v>
      </c>
      <c r="AX337" s="36">
        <f t="shared" ca="1" si="615"/>
        <v>0</v>
      </c>
      <c r="AY337" s="36">
        <f t="shared" ca="1" si="615"/>
        <v>0</v>
      </c>
      <c r="AZ337" s="36">
        <f t="shared" ca="1" si="615"/>
        <v>0</v>
      </c>
      <c r="BA337" s="36">
        <f t="shared" ca="1" si="615"/>
        <v>0</v>
      </c>
      <c r="BB337" s="36">
        <f t="shared" ca="1" si="615"/>
        <v>0</v>
      </c>
      <c r="BC337" s="36">
        <f t="shared" ca="1" si="615"/>
        <v>0</v>
      </c>
      <c r="BD337" s="36">
        <f t="shared" ca="1" si="616"/>
        <v>0</v>
      </c>
      <c r="BE337" s="36">
        <f t="shared" ca="1" si="616"/>
        <v>0</v>
      </c>
      <c r="BF337" s="36">
        <f t="shared" ca="1" si="616"/>
        <v>0</v>
      </c>
      <c r="BG337" s="36">
        <f t="shared" ca="1" si="616"/>
        <v>0</v>
      </c>
      <c r="BH337" s="36">
        <f t="shared" ca="1" si="616"/>
        <v>0</v>
      </c>
      <c r="BI337" s="36">
        <f t="shared" ca="1" si="616"/>
        <v>0</v>
      </c>
      <c r="BJ337" s="36">
        <f t="shared" ca="1" si="616"/>
        <v>0</v>
      </c>
      <c r="BK337" s="36">
        <f t="shared" ca="1" si="616"/>
        <v>0</v>
      </c>
      <c r="BL337" s="36">
        <f t="shared" ca="1" si="616"/>
        <v>0</v>
      </c>
      <c r="BM337" s="36">
        <f t="shared" ca="1" si="616"/>
        <v>0</v>
      </c>
      <c r="BN337" s="36">
        <f t="shared" ca="1" si="617"/>
        <v>0</v>
      </c>
      <c r="BO337" s="36">
        <f t="shared" ca="1" si="617"/>
        <v>0</v>
      </c>
      <c r="BP337" s="36">
        <f t="shared" ca="1" si="617"/>
        <v>0</v>
      </c>
      <c r="BQ337" s="36">
        <f t="shared" ca="1" si="617"/>
        <v>0</v>
      </c>
      <c r="BR337" s="36">
        <f t="shared" ca="1" si="617"/>
        <v>0</v>
      </c>
      <c r="BS337" s="36">
        <f t="shared" ca="1" si="617"/>
        <v>0</v>
      </c>
      <c r="BT337" s="36">
        <f t="shared" ca="1" si="617"/>
        <v>0</v>
      </c>
      <c r="BU337" s="36">
        <f t="shared" ca="1" si="617"/>
        <v>0</v>
      </c>
      <c r="BV337" s="36">
        <f t="shared" ca="1" si="617"/>
        <v>0</v>
      </c>
      <c r="BW337" s="36">
        <f t="shared" ca="1" si="617"/>
        <v>0</v>
      </c>
      <c r="BX337" s="36">
        <f t="shared" ca="1" si="618"/>
        <v>0</v>
      </c>
      <c r="BY337" s="36">
        <f t="shared" ca="1" si="618"/>
        <v>0</v>
      </c>
      <c r="BZ337" s="36">
        <f t="shared" ca="1" si="618"/>
        <v>0</v>
      </c>
      <c r="CA337" s="36">
        <f t="shared" ca="1" si="618"/>
        <v>0</v>
      </c>
      <c r="CB337" s="36">
        <f t="shared" ca="1" si="618"/>
        <v>0</v>
      </c>
      <c r="CC337" s="36">
        <f t="shared" ca="1" si="618"/>
        <v>0</v>
      </c>
      <c r="CD337" s="36">
        <f t="shared" ca="1" si="618"/>
        <v>0</v>
      </c>
      <c r="CE337" s="36">
        <f t="shared" ca="1" si="618"/>
        <v>0</v>
      </c>
      <c r="CF337" s="36">
        <f t="shared" ca="1" si="618"/>
        <v>0</v>
      </c>
      <c r="CG337" s="36">
        <f t="shared" ca="1" si="618"/>
        <v>0</v>
      </c>
      <c r="CH337" s="36">
        <f t="shared" ca="1" si="619"/>
        <v>0</v>
      </c>
      <c r="CI337" s="36">
        <f t="shared" ca="1" si="619"/>
        <v>0</v>
      </c>
      <c r="CJ337" s="36">
        <f t="shared" ca="1" si="619"/>
        <v>0</v>
      </c>
      <c r="CK337" s="36">
        <f t="shared" ca="1" si="619"/>
        <v>0</v>
      </c>
      <c r="CL337" s="36">
        <f t="shared" ca="1" si="619"/>
        <v>0</v>
      </c>
      <c r="CM337" s="36">
        <f t="shared" ca="1" si="619"/>
        <v>0</v>
      </c>
      <c r="CN337" s="36">
        <f t="shared" ca="1" si="619"/>
        <v>0</v>
      </c>
      <c r="CO337" s="36">
        <f t="shared" ca="1" si="619"/>
        <v>0</v>
      </c>
      <c r="CP337" s="36">
        <f t="shared" ca="1" si="619"/>
        <v>0</v>
      </c>
      <c r="CQ337" s="36">
        <f t="shared" ca="1" si="619"/>
        <v>0</v>
      </c>
      <c r="CR337" s="36">
        <f t="shared" ca="1" si="619"/>
        <v>0</v>
      </c>
      <c r="CS337" s="36">
        <f t="shared" ca="1" si="619"/>
        <v>0</v>
      </c>
      <c r="CT337" s="36">
        <f t="shared" ca="1" si="619"/>
        <v>0</v>
      </c>
      <c r="CU337" s="36">
        <f t="shared" ca="1" si="619"/>
        <v>0</v>
      </c>
      <c r="CV337" s="36">
        <f t="shared" ca="1" si="619"/>
        <v>0</v>
      </c>
      <c r="CW337" s="21"/>
    </row>
    <row r="338" spans="4:101" x14ac:dyDescent="0.25">
      <c r="F338" s="21"/>
      <c r="G338" s="21"/>
      <c r="H338" s="21"/>
      <c r="I338" s="21"/>
      <c r="J338" s="21"/>
      <c r="K338" s="21"/>
      <c r="L338" s="21"/>
      <c r="M338" s="21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36"/>
      <c r="Z338" s="16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  <c r="CV338" s="39"/>
      <c r="CW338" s="21"/>
    </row>
    <row r="339" spans="4:101" x14ac:dyDescent="0.25">
      <c r="D339" s="38" t="s">
        <v>152</v>
      </c>
      <c r="F339" s="21"/>
      <c r="G339" s="21"/>
      <c r="H339" s="21"/>
      <c r="I339" s="21"/>
      <c r="J339" s="21"/>
      <c r="K339" s="21"/>
      <c r="L339" s="21"/>
      <c r="M339" s="21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36"/>
      <c r="Z339" s="37">
        <f ca="1">SUM(Z326:Z338)</f>
        <v>0</v>
      </c>
      <c r="AA339" s="37">
        <f t="shared" ref="AA339:CV339" ca="1" si="620">SUM(AA326:AA338)</f>
        <v>644400.83000000007</v>
      </c>
      <c r="AB339" s="37">
        <f t="shared" ca="1" si="620"/>
        <v>138720</v>
      </c>
      <c r="AC339" s="37">
        <f t="shared" ca="1" si="620"/>
        <v>14450</v>
      </c>
      <c r="AD339" s="37">
        <f t="shared" ca="1" si="620"/>
        <v>0</v>
      </c>
      <c r="AE339" s="37">
        <f t="shared" ca="1" si="620"/>
        <v>14450</v>
      </c>
      <c r="AF339" s="37">
        <f t="shared" ca="1" si="620"/>
        <v>346800</v>
      </c>
      <c r="AG339" s="37">
        <f t="shared" ca="1" si="620"/>
        <v>0</v>
      </c>
      <c r="AH339" s="37">
        <f t="shared" ca="1" si="620"/>
        <v>28900</v>
      </c>
      <c r="AI339" s="37">
        <f t="shared" ca="1" si="620"/>
        <v>24300</v>
      </c>
      <c r="AJ339" s="37">
        <f t="shared" ca="1" si="620"/>
        <v>136860</v>
      </c>
      <c r="AK339" s="37">
        <f t="shared" ca="1" si="620"/>
        <v>275920</v>
      </c>
      <c r="AL339" s="37">
        <f t="shared" ca="1" si="620"/>
        <v>58320</v>
      </c>
      <c r="AM339" s="37">
        <f t="shared" ca="1" si="620"/>
        <v>861020</v>
      </c>
      <c r="AN339" s="37">
        <f t="shared" ca="1" si="620"/>
        <v>132320</v>
      </c>
      <c r="AO339" s="37">
        <f t="shared" ca="1" si="620"/>
        <v>0</v>
      </c>
      <c r="AP339" s="37">
        <f t="shared" ca="1" si="620"/>
        <v>357400</v>
      </c>
      <c r="AQ339" s="37">
        <f t="shared" ca="1" si="620"/>
        <v>627340</v>
      </c>
      <c r="AR339" s="37">
        <f t="shared" ca="1" si="620"/>
        <v>186040</v>
      </c>
      <c r="AS339" s="37">
        <f t="shared" ca="1" si="620"/>
        <v>989000.00000000012</v>
      </c>
      <c r="AT339" s="37">
        <f t="shared" ca="1" si="620"/>
        <v>942840</v>
      </c>
      <c r="AU339" s="37">
        <f t="shared" ca="1" si="620"/>
        <v>591840</v>
      </c>
      <c r="AV339" s="37">
        <f t="shared" ca="1" si="620"/>
        <v>590560</v>
      </c>
      <c r="AW339" s="37">
        <f t="shared" ca="1" si="620"/>
        <v>1208660</v>
      </c>
      <c r="AX339" s="37">
        <f t="shared" ca="1" si="620"/>
        <v>2317160</v>
      </c>
      <c r="AY339" s="37">
        <f t="shared" ca="1" si="620"/>
        <v>2272320</v>
      </c>
      <c r="AZ339" s="37">
        <f t="shared" ca="1" si="620"/>
        <v>375840</v>
      </c>
      <c r="BA339" s="37">
        <f t="shared" ca="1" si="620"/>
        <v>882500</v>
      </c>
      <c r="BB339" s="37">
        <f t="shared" ca="1" si="620"/>
        <v>1000880</v>
      </c>
      <c r="BC339" s="37">
        <f t="shared" ca="1" si="620"/>
        <v>1360800</v>
      </c>
      <c r="BD339" s="37">
        <f t="shared" ca="1" si="620"/>
        <v>3686600</v>
      </c>
      <c r="BE339" s="37">
        <f t="shared" ca="1" si="620"/>
        <v>1448280</v>
      </c>
      <c r="BF339" s="37">
        <f t="shared" ca="1" si="620"/>
        <v>1578960</v>
      </c>
      <c r="BG339" s="37">
        <f t="shared" ca="1" si="620"/>
        <v>1750820</v>
      </c>
      <c r="BH339" s="37">
        <f t="shared" ca="1" si="620"/>
        <v>1339600</v>
      </c>
      <c r="BI339" s="37">
        <f t="shared" ca="1" si="620"/>
        <v>1250640</v>
      </c>
      <c r="BJ339" s="37">
        <f t="shared" ref="BJ339:CS339" ca="1" si="621">SUM(BJ326:BJ338)</f>
        <v>5472475</v>
      </c>
      <c r="BK339" s="37">
        <f t="shared" ca="1" si="621"/>
        <v>5162319</v>
      </c>
      <c r="BL339" s="37">
        <f t="shared" ca="1" si="621"/>
        <v>837216</v>
      </c>
      <c r="BM339" s="37">
        <f t="shared" ca="1" si="621"/>
        <v>1685537.5</v>
      </c>
      <c r="BN339" s="37">
        <f t="shared" ca="1" si="621"/>
        <v>2528938</v>
      </c>
      <c r="BO339" s="37">
        <f t="shared" ca="1" si="621"/>
        <v>3096468</v>
      </c>
      <c r="BP339" s="37">
        <f t="shared" ca="1" si="621"/>
        <v>9453355</v>
      </c>
      <c r="BQ339" s="37">
        <f t="shared" ca="1" si="621"/>
        <v>3019005</v>
      </c>
      <c r="BR339" s="37">
        <f t="shared" ca="1" si="621"/>
        <v>3516102</v>
      </c>
      <c r="BS339" s="37">
        <f t="shared" ca="1" si="621"/>
        <v>3335345.5</v>
      </c>
      <c r="BT339" s="37">
        <f t="shared" ca="1" si="621"/>
        <v>3497558</v>
      </c>
      <c r="BU339" s="37">
        <f t="shared" ca="1" si="621"/>
        <v>2966166</v>
      </c>
      <c r="BV339" s="37">
        <f t="shared" ca="1" si="621"/>
        <v>12386019.25</v>
      </c>
      <c r="BW339" s="37">
        <f t="shared" ca="1" si="621"/>
        <v>9999011.25</v>
      </c>
      <c r="BX339" s="37">
        <f t="shared" ca="1" si="621"/>
        <v>1409724</v>
      </c>
      <c r="BY339" s="37">
        <f t="shared" ca="1" si="621"/>
        <v>2539290.625</v>
      </c>
      <c r="BZ339" s="37">
        <f t="shared" ca="1" si="621"/>
        <v>5324417.5</v>
      </c>
      <c r="CA339" s="37">
        <f t="shared" ca="1" si="621"/>
        <v>6129837</v>
      </c>
      <c r="CB339" s="37">
        <f t="shared" ca="1" si="621"/>
        <v>23325231.25</v>
      </c>
      <c r="CC339" s="37">
        <f t="shared" ca="1" si="621"/>
        <v>4862598.75</v>
      </c>
      <c r="CD339" s="37">
        <f t="shared" ca="1" si="621"/>
        <v>6864709.5</v>
      </c>
      <c r="CE339" s="37">
        <f t="shared" ca="1" si="621"/>
        <v>5014002.625</v>
      </c>
      <c r="CF339" s="37">
        <f t="shared" ca="1" si="621"/>
        <v>7819782.5</v>
      </c>
      <c r="CG339" s="37">
        <f t="shared" ca="1" si="621"/>
        <v>6261421.5</v>
      </c>
      <c r="CH339" s="37">
        <f t="shared" ca="1" si="621"/>
        <v>24446620.274999999</v>
      </c>
      <c r="CI339" s="37">
        <f t="shared" ca="1" si="621"/>
        <v>15804568.125</v>
      </c>
      <c r="CJ339" s="37">
        <f t="shared" ca="1" si="621"/>
        <v>2048101.2</v>
      </c>
      <c r="CK339" s="37">
        <f t="shared" ca="1" si="621"/>
        <v>3316455.9375</v>
      </c>
      <c r="CL339" s="37">
        <f t="shared" ca="1" si="621"/>
        <v>8713034.25</v>
      </c>
      <c r="CM339" s="37">
        <f t="shared" ca="1" si="621"/>
        <v>9984493.3499999996</v>
      </c>
      <c r="CN339" s="37">
        <f t="shared" ca="1" si="621"/>
        <v>47684596.875</v>
      </c>
      <c r="CO339" s="37">
        <f t="shared" ca="1" si="621"/>
        <v>6789106.125</v>
      </c>
      <c r="CP339" s="37">
        <f t="shared" ca="1" si="621"/>
        <v>11045826.225</v>
      </c>
      <c r="CQ339" s="37">
        <f t="shared" ca="1" si="621"/>
        <v>6533581.5374999996</v>
      </c>
      <c r="CR339" s="37">
        <f t="shared" ca="1" si="621"/>
        <v>13140936.75</v>
      </c>
      <c r="CS339" s="37">
        <f t="shared" ca="1" si="621"/>
        <v>10510869.824999999</v>
      </c>
      <c r="CT339" s="37">
        <f t="shared" ca="1" si="620"/>
        <v>15950819.55625</v>
      </c>
      <c r="CU339" s="37">
        <f t="shared" ca="1" si="620"/>
        <v>15950819.55625</v>
      </c>
      <c r="CV339" s="37">
        <f t="shared" ca="1" si="620"/>
        <v>15950819.55625</v>
      </c>
      <c r="CW339" s="21"/>
    </row>
    <row r="340" spans="4:101" x14ac:dyDescent="0.25">
      <c r="F340" s="21"/>
      <c r="G340" s="21"/>
      <c r="H340" s="21"/>
      <c r="I340" s="21"/>
      <c r="J340" s="21"/>
      <c r="K340" s="21"/>
      <c r="L340" s="21"/>
      <c r="M340" s="21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21"/>
      <c r="CU340" s="21"/>
      <c r="CV340" s="21"/>
      <c r="CW340" s="21"/>
    </row>
    <row r="341" spans="4:101" x14ac:dyDescent="0.25">
      <c r="F341" s="21"/>
      <c r="G341" s="21"/>
      <c r="H341" s="21"/>
      <c r="I341" s="21"/>
      <c r="J341" s="21"/>
      <c r="K341" s="21"/>
      <c r="L341" s="21"/>
      <c r="M341" s="21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21"/>
      <c r="CU341" s="21"/>
      <c r="CV341" s="21"/>
      <c r="CW341" s="21"/>
    </row>
    <row r="342" spans="4:101" x14ac:dyDescent="0.25">
      <c r="F342" s="21"/>
      <c r="G342" s="21"/>
      <c r="H342" s="21"/>
      <c r="I342" s="21"/>
      <c r="J342" s="21"/>
      <c r="K342" s="21"/>
      <c r="L342" s="21"/>
      <c r="M342" s="21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3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21"/>
      <c r="CU342" s="21"/>
      <c r="CV342" s="21"/>
      <c r="CW342" s="21"/>
    </row>
    <row r="343" spans="4:101" x14ac:dyDescent="0.25">
      <c r="D343" s="38" t="s">
        <v>172</v>
      </c>
      <c r="F343" s="21"/>
      <c r="G343" s="21"/>
      <c r="H343" s="21"/>
      <c r="I343" s="21"/>
      <c r="J343" s="21"/>
      <c r="K343" s="21"/>
      <c r="L343" s="21"/>
      <c r="M343" s="21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3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21"/>
      <c r="CU343" s="21"/>
      <c r="CV343" s="21"/>
      <c r="CW343" s="21"/>
    </row>
    <row r="344" spans="4:101" x14ac:dyDescent="0.25">
      <c r="D344" s="35" t="str">
        <f>[1]Key!$W$12</f>
        <v>BARI</v>
      </c>
      <c r="F344" s="41"/>
      <c r="G344" s="21"/>
      <c r="H344" s="21"/>
      <c r="I344" s="21"/>
      <c r="J344" s="21"/>
      <c r="K344" s="21"/>
      <c r="L344" s="21"/>
      <c r="M344" s="21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36"/>
      <c r="Z344" s="36">
        <f ca="1">Y344+Z308-Z326</f>
        <v>0</v>
      </c>
      <c r="AA344" s="36">
        <f t="shared" ref="AA344:CV344" ca="1" si="622">Z344+AA308-AA326</f>
        <v>0</v>
      </c>
      <c r="AB344" s="36">
        <f t="shared" ca="1" si="622"/>
        <v>0</v>
      </c>
      <c r="AC344" s="36">
        <f t="shared" ca="1" si="622"/>
        <v>0</v>
      </c>
      <c r="AD344" s="36">
        <f t="shared" ca="1" si="622"/>
        <v>0</v>
      </c>
      <c r="AE344" s="36">
        <f t="shared" ca="1" si="622"/>
        <v>0</v>
      </c>
      <c r="AF344" s="36">
        <f t="shared" ca="1" si="622"/>
        <v>0</v>
      </c>
      <c r="AG344" s="36">
        <f t="shared" ca="1" si="622"/>
        <v>24300</v>
      </c>
      <c r="AH344" s="36">
        <f t="shared" ca="1" si="622"/>
        <v>48600</v>
      </c>
      <c r="AI344" s="36">
        <f t="shared" ca="1" si="622"/>
        <v>82620</v>
      </c>
      <c r="AJ344" s="36">
        <f t="shared" ca="1" si="622"/>
        <v>116640</v>
      </c>
      <c r="AK344" s="36">
        <f t="shared" ca="1" si="622"/>
        <v>58320</v>
      </c>
      <c r="AL344" s="36">
        <f t="shared" ca="1" si="622"/>
        <v>58320</v>
      </c>
      <c r="AM344" s="36">
        <f t="shared" ca="1" si="622"/>
        <v>58320</v>
      </c>
      <c r="AN344" s="36">
        <f t="shared" ca="1" si="622"/>
        <v>0</v>
      </c>
      <c r="AO344" s="36">
        <f t="shared" ca="1" si="622"/>
        <v>116640</v>
      </c>
      <c r="AP344" s="36">
        <f t="shared" ca="1" si="622"/>
        <v>116640</v>
      </c>
      <c r="AQ344" s="36">
        <f t="shared" ca="1" si="622"/>
        <v>58320</v>
      </c>
      <c r="AR344" s="36">
        <f t="shared" ca="1" si="622"/>
        <v>174960</v>
      </c>
      <c r="AS344" s="36">
        <f t="shared" ca="1" si="622"/>
        <v>233280</v>
      </c>
      <c r="AT344" s="36">
        <f t="shared" ca="1" si="622"/>
        <v>138240</v>
      </c>
      <c r="AU344" s="36">
        <f t="shared" ca="1" si="622"/>
        <v>138240</v>
      </c>
      <c r="AV344" s="36">
        <f t="shared" ca="1" si="622"/>
        <v>285120</v>
      </c>
      <c r="AW344" s="36">
        <f t="shared" ca="1" si="622"/>
        <v>168480</v>
      </c>
      <c r="AX344" s="36">
        <f t="shared" ca="1" si="622"/>
        <v>116640</v>
      </c>
      <c r="AY344" s="36">
        <f t="shared" ca="1" si="622"/>
        <v>116640</v>
      </c>
      <c r="AZ344" s="36">
        <f t="shared" ca="1" si="622"/>
        <v>0</v>
      </c>
      <c r="BA344" s="36">
        <f t="shared" ca="1" si="622"/>
        <v>285120</v>
      </c>
      <c r="BB344" s="36">
        <f t="shared" ca="1" si="622"/>
        <v>285120</v>
      </c>
      <c r="BC344" s="36">
        <f t="shared" ca="1" si="622"/>
        <v>0</v>
      </c>
      <c r="BD344" s="36">
        <f t="shared" ca="1" si="622"/>
        <v>116640</v>
      </c>
      <c r="BE344" s="36">
        <f t="shared" ca="1" si="622"/>
        <v>336960</v>
      </c>
      <c r="BF344" s="36">
        <f t="shared" ca="1" si="622"/>
        <v>220320</v>
      </c>
      <c r="BG344" s="36">
        <f t="shared" ca="1" si="622"/>
        <v>138240</v>
      </c>
      <c r="BH344" s="36">
        <f t="shared" ca="1" si="622"/>
        <v>458352</v>
      </c>
      <c r="BI344" s="36">
        <f t="shared" ca="1" si="622"/>
        <v>320112</v>
      </c>
      <c r="BJ344" s="36">
        <f t="shared" ref="BJ344:BJ355" ca="1" si="623">BI344+BJ308-BJ326</f>
        <v>221616</v>
      </c>
      <c r="BK344" s="36">
        <f t="shared" ref="BK344:BK355" ca="1" si="624">BJ344+BK308-BK326</f>
        <v>221616</v>
      </c>
      <c r="BL344" s="36">
        <f t="shared" ref="BL344:BL355" ca="1" si="625">BK344+BL308-BL326</f>
        <v>0</v>
      </c>
      <c r="BM344" s="36">
        <f t="shared" ref="BM344:BM355" ca="1" si="626">BL344+BM308-BM326</f>
        <v>541728</v>
      </c>
      <c r="BN344" s="36">
        <f t="shared" ref="BN344:BN355" ca="1" si="627">BM344+BN308-BN326</f>
        <v>541728</v>
      </c>
      <c r="BO344" s="36">
        <f t="shared" ref="BO344:BO355" ca="1" si="628">BN344+BO308-BO326</f>
        <v>0</v>
      </c>
      <c r="BP344" s="36">
        <f t="shared" ref="BP344:BP355" ca="1" si="629">BO344+BP308-BP326</f>
        <v>221616</v>
      </c>
      <c r="BQ344" s="36">
        <f t="shared" ref="BQ344:BQ355" ca="1" si="630">BP344+BQ308-BQ326</f>
        <v>640224</v>
      </c>
      <c r="BR344" s="36">
        <f t="shared" ref="BR344:BR355" ca="1" si="631">BQ344+BR308-BR326</f>
        <v>418608</v>
      </c>
      <c r="BS344" s="36">
        <f t="shared" ref="BS344:BS355" ca="1" si="632">BR344+BS308-BS326</f>
        <v>262656</v>
      </c>
      <c r="BT344" s="36">
        <f t="shared" ref="BT344:BT355" ca="1" si="633">BS344+BT308-BT326</f>
        <v>742824</v>
      </c>
      <c r="BU344" s="36">
        <f t="shared" ref="BU344:BU355" ca="1" si="634">BT344+BU308-BU326</f>
        <v>480168</v>
      </c>
      <c r="BV344" s="36">
        <f t="shared" ref="BV344:BV355" ca="1" si="635">BU344+BV308-BV326</f>
        <v>332424</v>
      </c>
      <c r="BW344" s="36">
        <f t="shared" ref="BW344:BW355" ca="1" si="636">BV344+BW308-BW326</f>
        <v>332424</v>
      </c>
      <c r="BX344" s="36">
        <f t="shared" ref="BX344:BX355" ca="1" si="637">BW344+BX308-BX326</f>
        <v>0</v>
      </c>
      <c r="BY344" s="36">
        <f t="shared" ref="BY344:BY355" ca="1" si="638">BX344+BY308-BY326</f>
        <v>812592</v>
      </c>
      <c r="BZ344" s="36">
        <f t="shared" ref="BZ344:BZ355" ca="1" si="639">BY344+BZ308-BZ326</f>
        <v>812592</v>
      </c>
      <c r="CA344" s="36">
        <f t="shared" ref="CA344:CA355" ca="1" si="640">BZ344+CA308-CA326</f>
        <v>0</v>
      </c>
      <c r="CB344" s="36">
        <f t="shared" ref="CB344:CB355" ca="1" si="641">CA344+CB308-CB326</f>
        <v>332424</v>
      </c>
      <c r="CC344" s="36">
        <f t="shared" ref="CC344:CC355" ca="1" si="642">CB344+CC308-CC326</f>
        <v>960336</v>
      </c>
      <c r="CD344" s="36">
        <f t="shared" ref="CD344:CD355" ca="1" si="643">CC344+CD308-CD326</f>
        <v>627912</v>
      </c>
      <c r="CE344" s="36">
        <f t="shared" ref="CE344:CE355" ca="1" si="644">CD344+CE308-CE326</f>
        <v>393984</v>
      </c>
      <c r="CF344" s="36">
        <f t="shared" ref="CF344:CF355" ca="1" si="645">CE344+CF308-CF326</f>
        <v>1018202.4000000001</v>
      </c>
      <c r="CG344" s="36">
        <f t="shared" ref="CG344:CG355" ca="1" si="646">CF344+CG308-CG326</f>
        <v>624218.40000000014</v>
      </c>
      <c r="CH344" s="36">
        <f t="shared" ref="CH344:CH355" ca="1" si="647">CG344+CH308-CH326</f>
        <v>432151.19999999995</v>
      </c>
      <c r="CI344" s="36">
        <f t="shared" ref="CI344:CI355" ca="1" si="648">CH344+CI308-CI326</f>
        <v>432151.19999999995</v>
      </c>
      <c r="CJ344" s="36">
        <f t="shared" ref="CJ344:CJ355" ca="1" si="649">CI344+CJ308-CJ326</f>
        <v>0</v>
      </c>
      <c r="CK344" s="36">
        <f t="shared" ref="CK344:CK355" ca="1" si="650">CJ344+CK308-CK326</f>
        <v>1056369.6000000001</v>
      </c>
      <c r="CL344" s="36">
        <f t="shared" ref="CL344:CL355" ca="1" si="651">CK344+CL308-CL326</f>
        <v>1056369.6000000001</v>
      </c>
      <c r="CM344" s="36">
        <f t="shared" ref="CM344:CM355" ca="1" si="652">CL344+CM308-CM326</f>
        <v>0</v>
      </c>
      <c r="CN344" s="36">
        <f t="shared" ref="CN344:CN355" ca="1" si="653">CM344+CN308-CN326</f>
        <v>432151.2</v>
      </c>
      <c r="CO344" s="36">
        <f t="shared" ref="CO344:CO355" ca="1" si="654">CN344+CO308-CO326</f>
        <v>1248436.8</v>
      </c>
      <c r="CP344" s="36">
        <f t="shared" ref="CP344:CP355" ca="1" si="655">CO344+CP308-CP326</f>
        <v>816285.60000000009</v>
      </c>
      <c r="CQ344" s="36">
        <f t="shared" ref="CQ344:CQ355" ca="1" si="656">CP344+CQ308-CQ326</f>
        <v>512179.20000000007</v>
      </c>
      <c r="CR344" s="36">
        <f t="shared" ref="CR344:CR355" ca="1" si="657">CQ344+CR308-CR326</f>
        <v>805615.20000000007</v>
      </c>
      <c r="CS344" s="36">
        <f t="shared" ref="CS344:CS355" ca="1" si="658">CR344+CS308-CS326</f>
        <v>586872.00000000023</v>
      </c>
      <c r="CT344" s="36">
        <f t="shared" ref="CT344:CT355" ca="1" si="659">CS344+CT308-CT326</f>
        <v>586872.00000000023</v>
      </c>
      <c r="CU344" s="36">
        <f t="shared" ca="1" si="622"/>
        <v>293436.00000000023</v>
      </c>
      <c r="CV344" s="36">
        <f t="shared" ca="1" si="622"/>
        <v>0</v>
      </c>
      <c r="CW344" s="21"/>
    </row>
    <row r="345" spans="4:101" x14ac:dyDescent="0.25">
      <c r="D345" s="35" t="str">
        <f>[1]Key!$W$13</f>
        <v>BRAIN DEAD OAKLEY</v>
      </c>
      <c r="F345" s="41"/>
      <c r="G345" s="21"/>
      <c r="H345" s="21"/>
      <c r="I345" s="21"/>
      <c r="J345" s="21"/>
      <c r="K345" s="21"/>
      <c r="L345" s="21"/>
      <c r="M345" s="21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36"/>
      <c r="Z345" s="36">
        <f t="shared" ref="Z345:CV345" ca="1" si="660">Y345+Z309-Z327</f>
        <v>0</v>
      </c>
      <c r="AA345" s="36">
        <f t="shared" ca="1" si="660"/>
        <v>0</v>
      </c>
      <c r="AB345" s="36">
        <f t="shared" ca="1" si="660"/>
        <v>0</v>
      </c>
      <c r="AC345" s="36">
        <f t="shared" ca="1" si="660"/>
        <v>0</v>
      </c>
      <c r="AD345" s="36">
        <f t="shared" ca="1" si="660"/>
        <v>0</v>
      </c>
      <c r="AE345" s="36">
        <f t="shared" ca="1" si="660"/>
        <v>0</v>
      </c>
      <c r="AF345" s="36">
        <f t="shared" ca="1" si="660"/>
        <v>0</v>
      </c>
      <c r="AG345" s="36">
        <f t="shared" ca="1" si="660"/>
        <v>0</v>
      </c>
      <c r="AH345" s="36">
        <f t="shared" ca="1" si="660"/>
        <v>34560</v>
      </c>
      <c r="AI345" s="36">
        <f t="shared" ca="1" si="660"/>
        <v>34560</v>
      </c>
      <c r="AJ345" s="36">
        <f t="shared" ca="1" si="660"/>
        <v>0</v>
      </c>
      <c r="AK345" s="36">
        <f t="shared" ca="1" si="660"/>
        <v>103680</v>
      </c>
      <c r="AL345" s="36">
        <f t="shared" ca="1" si="660"/>
        <v>119880</v>
      </c>
      <c r="AM345" s="36">
        <f t="shared" ca="1" si="660"/>
        <v>16200</v>
      </c>
      <c r="AN345" s="36">
        <f t="shared" ca="1" si="660"/>
        <v>0</v>
      </c>
      <c r="AO345" s="36">
        <f t="shared" ca="1" si="660"/>
        <v>0</v>
      </c>
      <c r="AP345" s="36">
        <f t="shared" ca="1" si="660"/>
        <v>32400</v>
      </c>
      <c r="AQ345" s="36">
        <f t="shared" ca="1" si="660"/>
        <v>32400</v>
      </c>
      <c r="AR345" s="36">
        <f t="shared" ca="1" si="660"/>
        <v>207360</v>
      </c>
      <c r="AS345" s="36">
        <f t="shared" ca="1" si="660"/>
        <v>207360</v>
      </c>
      <c r="AT345" s="36">
        <f t="shared" ca="1" si="660"/>
        <v>0</v>
      </c>
      <c r="AU345" s="36">
        <f t="shared" ca="1" si="660"/>
        <v>0</v>
      </c>
      <c r="AV345" s="36">
        <f t="shared" ca="1" si="660"/>
        <v>0</v>
      </c>
      <c r="AW345" s="36">
        <f t="shared" ca="1" si="660"/>
        <v>194400.00000000003</v>
      </c>
      <c r="AX345" s="36">
        <f t="shared" ca="1" si="660"/>
        <v>194400.00000000003</v>
      </c>
      <c r="AY345" s="36">
        <f t="shared" ca="1" si="660"/>
        <v>0</v>
      </c>
      <c r="AZ345" s="36">
        <f t="shared" ca="1" si="660"/>
        <v>0</v>
      </c>
      <c r="BA345" s="36">
        <f t="shared" ca="1" si="660"/>
        <v>0</v>
      </c>
      <c r="BB345" s="36">
        <f t="shared" ca="1" si="660"/>
        <v>0</v>
      </c>
      <c r="BC345" s="36">
        <f t="shared" ca="1" si="660"/>
        <v>0</v>
      </c>
      <c r="BD345" s="36">
        <f t="shared" ca="1" si="660"/>
        <v>427680</v>
      </c>
      <c r="BE345" s="36">
        <f t="shared" ca="1" si="660"/>
        <v>427680</v>
      </c>
      <c r="BF345" s="36">
        <f t="shared" ca="1" si="660"/>
        <v>0</v>
      </c>
      <c r="BG345" s="36">
        <f t="shared" ca="1" si="660"/>
        <v>0</v>
      </c>
      <c r="BH345" s="36">
        <f t="shared" ca="1" si="660"/>
        <v>0</v>
      </c>
      <c r="BI345" s="36">
        <f t="shared" ca="1" si="660"/>
        <v>369360</v>
      </c>
      <c r="BJ345" s="36">
        <f t="shared" ca="1" si="623"/>
        <v>369360</v>
      </c>
      <c r="BK345" s="36">
        <f t="shared" ca="1" si="624"/>
        <v>0</v>
      </c>
      <c r="BL345" s="36">
        <f t="shared" ca="1" si="625"/>
        <v>0</v>
      </c>
      <c r="BM345" s="36">
        <f t="shared" ca="1" si="626"/>
        <v>0</v>
      </c>
      <c r="BN345" s="36">
        <f t="shared" ca="1" si="627"/>
        <v>0</v>
      </c>
      <c r="BO345" s="36">
        <f t="shared" ca="1" si="628"/>
        <v>0</v>
      </c>
      <c r="BP345" s="36">
        <f t="shared" ca="1" si="629"/>
        <v>812592</v>
      </c>
      <c r="BQ345" s="36">
        <f t="shared" ca="1" si="630"/>
        <v>812592</v>
      </c>
      <c r="BR345" s="36">
        <f t="shared" ca="1" si="631"/>
        <v>0</v>
      </c>
      <c r="BS345" s="36">
        <f t="shared" ca="1" si="632"/>
        <v>0</v>
      </c>
      <c r="BT345" s="36">
        <f t="shared" ca="1" si="633"/>
        <v>0</v>
      </c>
      <c r="BU345" s="36">
        <f t="shared" ca="1" si="634"/>
        <v>554040</v>
      </c>
      <c r="BV345" s="36">
        <f t="shared" ca="1" si="635"/>
        <v>554040</v>
      </c>
      <c r="BW345" s="36">
        <f t="shared" ca="1" si="636"/>
        <v>0</v>
      </c>
      <c r="BX345" s="36">
        <f t="shared" ca="1" si="637"/>
        <v>0</v>
      </c>
      <c r="BY345" s="36">
        <f t="shared" ca="1" si="638"/>
        <v>0</v>
      </c>
      <c r="BZ345" s="36">
        <f t="shared" ca="1" si="639"/>
        <v>0</v>
      </c>
      <c r="CA345" s="36">
        <f t="shared" ca="1" si="640"/>
        <v>0</v>
      </c>
      <c r="CB345" s="36">
        <f t="shared" ca="1" si="641"/>
        <v>1218888</v>
      </c>
      <c r="CC345" s="36">
        <f t="shared" ca="1" si="642"/>
        <v>1218888</v>
      </c>
      <c r="CD345" s="36">
        <f t="shared" ca="1" si="643"/>
        <v>0</v>
      </c>
      <c r="CE345" s="36">
        <f t="shared" ca="1" si="644"/>
        <v>0</v>
      </c>
      <c r="CF345" s="36">
        <f t="shared" ca="1" si="645"/>
        <v>0</v>
      </c>
      <c r="CG345" s="36">
        <f t="shared" ca="1" si="646"/>
        <v>720252</v>
      </c>
      <c r="CH345" s="36">
        <f t="shared" ca="1" si="647"/>
        <v>720252</v>
      </c>
      <c r="CI345" s="36">
        <f t="shared" ca="1" si="648"/>
        <v>0</v>
      </c>
      <c r="CJ345" s="36">
        <f t="shared" ca="1" si="649"/>
        <v>0</v>
      </c>
      <c r="CK345" s="36">
        <f t="shared" ca="1" si="650"/>
        <v>0</v>
      </c>
      <c r="CL345" s="36">
        <f t="shared" ca="1" si="651"/>
        <v>0</v>
      </c>
      <c r="CM345" s="36">
        <f t="shared" ca="1" si="652"/>
        <v>0</v>
      </c>
      <c r="CN345" s="36">
        <f t="shared" ca="1" si="653"/>
        <v>1584554.4</v>
      </c>
      <c r="CO345" s="36">
        <f t="shared" ca="1" si="654"/>
        <v>1584554.4</v>
      </c>
      <c r="CP345" s="36">
        <f t="shared" ca="1" si="655"/>
        <v>0</v>
      </c>
      <c r="CQ345" s="36">
        <f t="shared" ca="1" si="656"/>
        <v>0</v>
      </c>
      <c r="CR345" s="36">
        <f t="shared" ca="1" si="657"/>
        <v>264092.39999999997</v>
      </c>
      <c r="CS345" s="36">
        <f t="shared" ca="1" si="658"/>
        <v>528184.79999999993</v>
      </c>
      <c r="CT345" s="36">
        <f t="shared" ca="1" si="659"/>
        <v>528184.80000000005</v>
      </c>
      <c r="CU345" s="36">
        <f t="shared" ca="1" si="660"/>
        <v>264092.40000000008</v>
      </c>
      <c r="CV345" s="36">
        <f t="shared" ca="1" si="660"/>
        <v>0</v>
      </c>
      <c r="CW345" s="21"/>
    </row>
    <row r="346" spans="4:101" x14ac:dyDescent="0.25">
      <c r="D346" s="35" t="str">
        <f>[1]Key!$W$14</f>
        <v>GROWTH "HIT" PH</v>
      </c>
      <c r="F346" s="41"/>
      <c r="G346" s="21"/>
      <c r="H346" s="21"/>
      <c r="I346" s="21"/>
      <c r="J346" s="21"/>
      <c r="K346" s="21"/>
      <c r="L346" s="21"/>
      <c r="M346" s="21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36"/>
      <c r="Z346" s="36">
        <f t="shared" ref="Z346:CV346" ca="1" si="661">Y346+Z310-Z328</f>
        <v>0</v>
      </c>
      <c r="AA346" s="36">
        <f t="shared" ca="1" si="661"/>
        <v>0</v>
      </c>
      <c r="AB346" s="36">
        <f t="shared" ca="1" si="661"/>
        <v>0</v>
      </c>
      <c r="AC346" s="36">
        <f t="shared" ca="1" si="661"/>
        <v>0</v>
      </c>
      <c r="AD346" s="36">
        <f t="shared" ca="1" si="661"/>
        <v>0</v>
      </c>
      <c r="AE346" s="36">
        <f t="shared" ca="1" si="661"/>
        <v>0</v>
      </c>
      <c r="AF346" s="36">
        <f t="shared" ca="1" si="661"/>
        <v>0</v>
      </c>
      <c r="AG346" s="36">
        <f t="shared" ca="1" si="661"/>
        <v>0</v>
      </c>
      <c r="AH346" s="36">
        <f t="shared" ca="1" si="661"/>
        <v>0</v>
      </c>
      <c r="AI346" s="36">
        <f t="shared" ca="1" si="661"/>
        <v>0</v>
      </c>
      <c r="AJ346" s="36">
        <f t="shared" ca="1" si="661"/>
        <v>0</v>
      </c>
      <c r="AK346" s="36">
        <f t="shared" ca="1" si="661"/>
        <v>0</v>
      </c>
      <c r="AL346" s="36">
        <f t="shared" ca="1" si="661"/>
        <v>0</v>
      </c>
      <c r="AM346" s="36">
        <f t="shared" ca="1" si="661"/>
        <v>0</v>
      </c>
      <c r="AN346" s="36">
        <f t="shared" ca="1" si="661"/>
        <v>0</v>
      </c>
      <c r="AO346" s="36">
        <f t="shared" ca="1" si="661"/>
        <v>0</v>
      </c>
      <c r="AP346" s="36">
        <f t="shared" ca="1" si="661"/>
        <v>0</v>
      </c>
      <c r="AQ346" s="36">
        <f t="shared" ca="1" si="661"/>
        <v>0</v>
      </c>
      <c r="AR346" s="36">
        <f t="shared" ca="1" si="661"/>
        <v>0</v>
      </c>
      <c r="AS346" s="36">
        <f t="shared" ca="1" si="661"/>
        <v>432000</v>
      </c>
      <c r="AT346" s="36">
        <f t="shared" ca="1" si="661"/>
        <v>432000</v>
      </c>
      <c r="AU346" s="36">
        <f t="shared" ca="1" si="661"/>
        <v>0</v>
      </c>
      <c r="AV346" s="36">
        <f t="shared" ca="1" si="661"/>
        <v>864000</v>
      </c>
      <c r="AW346" s="36">
        <f t="shared" ca="1" si="661"/>
        <v>864000</v>
      </c>
      <c r="AX346" s="36">
        <f t="shared" ca="1" si="661"/>
        <v>0</v>
      </c>
      <c r="AY346" s="36">
        <f t="shared" ca="1" si="661"/>
        <v>864000</v>
      </c>
      <c r="AZ346" s="36">
        <f t="shared" ca="1" si="661"/>
        <v>864000</v>
      </c>
      <c r="BA346" s="36">
        <f t="shared" ca="1" si="661"/>
        <v>0</v>
      </c>
      <c r="BB346" s="36">
        <f t="shared" ca="1" si="661"/>
        <v>1080000</v>
      </c>
      <c r="BC346" s="36">
        <f t="shared" ca="1" si="661"/>
        <v>1080000</v>
      </c>
      <c r="BD346" s="36">
        <f t="shared" ca="1" si="661"/>
        <v>0</v>
      </c>
      <c r="BE346" s="36">
        <f t="shared" ca="1" si="661"/>
        <v>1512000</v>
      </c>
      <c r="BF346" s="36">
        <f t="shared" ca="1" si="661"/>
        <v>1512000</v>
      </c>
      <c r="BG346" s="36">
        <f t="shared" ca="1" si="661"/>
        <v>0</v>
      </c>
      <c r="BH346" s="36">
        <f t="shared" ca="1" si="661"/>
        <v>1641600</v>
      </c>
      <c r="BI346" s="36">
        <f t="shared" ca="1" si="661"/>
        <v>1641600</v>
      </c>
      <c r="BJ346" s="36">
        <f t="shared" ca="1" si="623"/>
        <v>0</v>
      </c>
      <c r="BK346" s="36">
        <f t="shared" ca="1" si="624"/>
        <v>1641600</v>
      </c>
      <c r="BL346" s="36">
        <f t="shared" ca="1" si="625"/>
        <v>1641600</v>
      </c>
      <c r="BM346" s="36">
        <f t="shared" ca="1" si="626"/>
        <v>0</v>
      </c>
      <c r="BN346" s="36">
        <f t="shared" ca="1" si="627"/>
        <v>2052000</v>
      </c>
      <c r="BO346" s="36">
        <f t="shared" ca="1" si="628"/>
        <v>2052000</v>
      </c>
      <c r="BP346" s="36">
        <f t="shared" ca="1" si="629"/>
        <v>0</v>
      </c>
      <c r="BQ346" s="36">
        <f t="shared" ca="1" si="630"/>
        <v>2872800</v>
      </c>
      <c r="BR346" s="36">
        <f t="shared" ca="1" si="631"/>
        <v>2872800</v>
      </c>
      <c r="BS346" s="36">
        <f t="shared" ca="1" si="632"/>
        <v>0</v>
      </c>
      <c r="BT346" s="36">
        <f t="shared" ca="1" si="633"/>
        <v>2462400</v>
      </c>
      <c r="BU346" s="36">
        <f t="shared" ca="1" si="634"/>
        <v>2462400</v>
      </c>
      <c r="BV346" s="36">
        <f t="shared" ca="1" si="635"/>
        <v>0</v>
      </c>
      <c r="BW346" s="36">
        <f t="shared" ca="1" si="636"/>
        <v>2462400</v>
      </c>
      <c r="BX346" s="36">
        <f t="shared" ca="1" si="637"/>
        <v>2462400</v>
      </c>
      <c r="BY346" s="36">
        <f t="shared" ca="1" si="638"/>
        <v>0</v>
      </c>
      <c r="BZ346" s="36">
        <f t="shared" ca="1" si="639"/>
        <v>3078000</v>
      </c>
      <c r="CA346" s="36">
        <f t="shared" ca="1" si="640"/>
        <v>3078000</v>
      </c>
      <c r="CB346" s="36">
        <f t="shared" ca="1" si="641"/>
        <v>0</v>
      </c>
      <c r="CC346" s="36">
        <f t="shared" ca="1" si="642"/>
        <v>4309200</v>
      </c>
      <c r="CD346" s="36">
        <f t="shared" ca="1" si="643"/>
        <v>4309200</v>
      </c>
      <c r="CE346" s="36">
        <f t="shared" ca="1" si="644"/>
        <v>0</v>
      </c>
      <c r="CF346" s="36">
        <f t="shared" ca="1" si="645"/>
        <v>3201120</v>
      </c>
      <c r="CG346" s="36">
        <f t="shared" ca="1" si="646"/>
        <v>3201120</v>
      </c>
      <c r="CH346" s="36">
        <f t="shared" ca="1" si="647"/>
        <v>0</v>
      </c>
      <c r="CI346" s="36">
        <f t="shared" ca="1" si="648"/>
        <v>3201120</v>
      </c>
      <c r="CJ346" s="36">
        <f t="shared" ca="1" si="649"/>
        <v>3201120</v>
      </c>
      <c r="CK346" s="36">
        <f t="shared" ca="1" si="650"/>
        <v>0</v>
      </c>
      <c r="CL346" s="36">
        <f t="shared" ca="1" si="651"/>
        <v>4001400</v>
      </c>
      <c r="CM346" s="36">
        <f t="shared" ca="1" si="652"/>
        <v>4001400</v>
      </c>
      <c r="CN346" s="36">
        <f t="shared" ca="1" si="653"/>
        <v>0</v>
      </c>
      <c r="CO346" s="36">
        <f t="shared" ca="1" si="654"/>
        <v>5601960</v>
      </c>
      <c r="CP346" s="36">
        <f t="shared" ca="1" si="655"/>
        <v>5601960</v>
      </c>
      <c r="CQ346" s="36">
        <f t="shared" ca="1" si="656"/>
        <v>0</v>
      </c>
      <c r="CR346" s="36">
        <f t="shared" ca="1" si="657"/>
        <v>1600560</v>
      </c>
      <c r="CS346" s="36">
        <f t="shared" ca="1" si="658"/>
        <v>3201120</v>
      </c>
      <c r="CT346" s="36">
        <f t="shared" ca="1" si="659"/>
        <v>3201120</v>
      </c>
      <c r="CU346" s="36">
        <f t="shared" ca="1" si="661"/>
        <v>1600560</v>
      </c>
      <c r="CV346" s="36">
        <f t="shared" ca="1" si="661"/>
        <v>0</v>
      </c>
      <c r="CW346" s="21"/>
    </row>
    <row r="347" spans="4:101" x14ac:dyDescent="0.25">
      <c r="D347" s="35" t="str">
        <f>[1]Key!$W$15</f>
        <v>ICE STUDIOS</v>
      </c>
      <c r="F347" s="41"/>
      <c r="G347" s="21"/>
      <c r="H347" s="21"/>
      <c r="I347" s="21"/>
      <c r="J347" s="21"/>
      <c r="K347" s="21"/>
      <c r="L347" s="21"/>
      <c r="M347" s="21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36"/>
      <c r="Z347" s="36">
        <f t="shared" ref="Z347:CV347" ca="1" si="662">Y347+Z311-Z329</f>
        <v>0</v>
      </c>
      <c r="AA347" s="36">
        <f t="shared" ca="1" si="662"/>
        <v>0</v>
      </c>
      <c r="AB347" s="36">
        <f t="shared" ca="1" si="662"/>
        <v>0</v>
      </c>
      <c r="AC347" s="36">
        <f t="shared" ca="1" si="662"/>
        <v>0</v>
      </c>
      <c r="AD347" s="36">
        <f t="shared" ca="1" si="662"/>
        <v>0</v>
      </c>
      <c r="AE347" s="36">
        <f t="shared" ca="1" si="662"/>
        <v>0</v>
      </c>
      <c r="AF347" s="36">
        <f t="shared" ca="1" si="662"/>
        <v>0</v>
      </c>
      <c r="AG347" s="36">
        <f t="shared" ca="1" si="662"/>
        <v>0</v>
      </c>
      <c r="AH347" s="36">
        <f t="shared" ca="1" si="662"/>
        <v>0</v>
      </c>
      <c r="AI347" s="36">
        <f t="shared" ca="1" si="662"/>
        <v>110700</v>
      </c>
      <c r="AJ347" s="36">
        <f t="shared" ca="1" si="662"/>
        <v>110700</v>
      </c>
      <c r="AK347" s="36">
        <f t="shared" ca="1" si="662"/>
        <v>213840</v>
      </c>
      <c r="AL347" s="36">
        <f t="shared" ca="1" si="662"/>
        <v>213840</v>
      </c>
      <c r="AM347" s="36">
        <f t="shared" ca="1" si="662"/>
        <v>0</v>
      </c>
      <c r="AN347" s="36">
        <f t="shared" ca="1" si="662"/>
        <v>0</v>
      </c>
      <c r="AO347" s="36">
        <f t="shared" ca="1" si="662"/>
        <v>356400</v>
      </c>
      <c r="AP347" s="36">
        <f t="shared" ca="1" si="662"/>
        <v>356400</v>
      </c>
      <c r="AQ347" s="36">
        <f t="shared" ca="1" si="662"/>
        <v>0</v>
      </c>
      <c r="AR347" s="36">
        <f t="shared" ca="1" si="662"/>
        <v>567000</v>
      </c>
      <c r="AS347" s="36">
        <f t="shared" ca="1" si="662"/>
        <v>567000</v>
      </c>
      <c r="AT347" s="36">
        <f t="shared" ca="1" si="662"/>
        <v>0</v>
      </c>
      <c r="AU347" s="36">
        <f t="shared" ca="1" si="662"/>
        <v>684720</v>
      </c>
      <c r="AV347" s="36">
        <f t="shared" ca="1" si="662"/>
        <v>943920</v>
      </c>
      <c r="AW347" s="36">
        <f t="shared" ca="1" si="662"/>
        <v>712800</v>
      </c>
      <c r="AX347" s="36">
        <f t="shared" ca="1" si="662"/>
        <v>453600</v>
      </c>
      <c r="AY347" s="36">
        <f t="shared" ca="1" si="662"/>
        <v>0</v>
      </c>
      <c r="AZ347" s="36">
        <f t="shared" ca="1" si="662"/>
        <v>0</v>
      </c>
      <c r="BA347" s="36">
        <f t="shared" ca="1" si="662"/>
        <v>712800</v>
      </c>
      <c r="BB347" s="36">
        <f t="shared" ca="1" si="662"/>
        <v>712800</v>
      </c>
      <c r="BC347" s="36">
        <f t="shared" ca="1" si="662"/>
        <v>0</v>
      </c>
      <c r="BD347" s="36">
        <f t="shared" ca="1" si="662"/>
        <v>723600</v>
      </c>
      <c r="BE347" s="36">
        <f t="shared" ca="1" si="662"/>
        <v>723600</v>
      </c>
      <c r="BF347" s="36">
        <f t="shared" ca="1" si="662"/>
        <v>51840</v>
      </c>
      <c r="BG347" s="36">
        <f t="shared" ca="1" si="662"/>
        <v>775440</v>
      </c>
      <c r="BH347" s="36">
        <f t="shared" ca="1" si="662"/>
        <v>1339200</v>
      </c>
      <c r="BI347" s="36">
        <f t="shared" ca="1" si="662"/>
        <v>1692900</v>
      </c>
      <c r="BJ347" s="36">
        <f t="shared" ca="1" si="623"/>
        <v>1077300</v>
      </c>
      <c r="BK347" s="36">
        <f t="shared" ca="1" si="624"/>
        <v>0</v>
      </c>
      <c r="BL347" s="36">
        <f t="shared" ca="1" si="625"/>
        <v>0</v>
      </c>
      <c r="BM347" s="36">
        <f t="shared" ca="1" si="626"/>
        <v>1692900</v>
      </c>
      <c r="BN347" s="36">
        <f t="shared" ca="1" si="627"/>
        <v>1692900</v>
      </c>
      <c r="BO347" s="36">
        <f t="shared" ca="1" si="628"/>
        <v>0</v>
      </c>
      <c r="BP347" s="36">
        <f t="shared" ca="1" si="629"/>
        <v>1718550</v>
      </c>
      <c r="BQ347" s="36">
        <f t="shared" ca="1" si="630"/>
        <v>1718550</v>
      </c>
      <c r="BR347" s="36">
        <f t="shared" ca="1" si="631"/>
        <v>123120</v>
      </c>
      <c r="BS347" s="36">
        <f t="shared" ca="1" si="632"/>
        <v>1841670</v>
      </c>
      <c r="BT347" s="36">
        <f t="shared" ca="1" si="633"/>
        <v>3103650</v>
      </c>
      <c r="BU347" s="36">
        <f t="shared" ca="1" si="634"/>
        <v>3809025</v>
      </c>
      <c r="BV347" s="36">
        <f t="shared" ca="1" si="635"/>
        <v>2423925</v>
      </c>
      <c r="BW347" s="36">
        <f t="shared" ca="1" si="636"/>
        <v>0</v>
      </c>
      <c r="BX347" s="36">
        <f t="shared" ca="1" si="637"/>
        <v>0</v>
      </c>
      <c r="BY347" s="36">
        <f t="shared" ca="1" si="638"/>
        <v>3809025</v>
      </c>
      <c r="BZ347" s="36">
        <f t="shared" ca="1" si="639"/>
        <v>3809025</v>
      </c>
      <c r="CA347" s="36">
        <f t="shared" ca="1" si="640"/>
        <v>0</v>
      </c>
      <c r="CB347" s="36">
        <f t="shared" ca="1" si="641"/>
        <v>3866737.5</v>
      </c>
      <c r="CC347" s="36">
        <f t="shared" ca="1" si="642"/>
        <v>3866737.5</v>
      </c>
      <c r="CD347" s="36">
        <f t="shared" ca="1" si="643"/>
        <v>277020</v>
      </c>
      <c r="CE347" s="36">
        <f t="shared" ca="1" si="644"/>
        <v>4143757.5</v>
      </c>
      <c r="CF347" s="36">
        <f t="shared" ca="1" si="645"/>
        <v>6290662.5</v>
      </c>
      <c r="CG347" s="36">
        <f t="shared" ca="1" si="646"/>
        <v>6665793.75</v>
      </c>
      <c r="CH347" s="36">
        <f t="shared" ca="1" si="647"/>
        <v>4241868.75</v>
      </c>
      <c r="CI347" s="36">
        <f t="shared" ca="1" si="648"/>
        <v>0</v>
      </c>
      <c r="CJ347" s="36">
        <f t="shared" ca="1" si="649"/>
        <v>0</v>
      </c>
      <c r="CK347" s="36">
        <f t="shared" ca="1" si="650"/>
        <v>6665793.75</v>
      </c>
      <c r="CL347" s="36">
        <f t="shared" ca="1" si="651"/>
        <v>6665793.75</v>
      </c>
      <c r="CM347" s="36">
        <f t="shared" ca="1" si="652"/>
        <v>0</v>
      </c>
      <c r="CN347" s="36">
        <f t="shared" ca="1" si="653"/>
        <v>6766790.625</v>
      </c>
      <c r="CO347" s="36">
        <f t="shared" ca="1" si="654"/>
        <v>6766790.625</v>
      </c>
      <c r="CP347" s="36">
        <f t="shared" ca="1" si="655"/>
        <v>484785</v>
      </c>
      <c r="CQ347" s="36">
        <f t="shared" ca="1" si="656"/>
        <v>7251575.625</v>
      </c>
      <c r="CR347" s="36">
        <f t="shared" ca="1" si="657"/>
        <v>9103185</v>
      </c>
      <c r="CS347" s="36">
        <f t="shared" ca="1" si="658"/>
        <v>4672788.75</v>
      </c>
      <c r="CT347" s="36">
        <f t="shared" ca="1" si="659"/>
        <v>4672788.75</v>
      </c>
      <c r="CU347" s="36">
        <f t="shared" ca="1" si="662"/>
        <v>2336394.375</v>
      </c>
      <c r="CV347" s="36">
        <f t="shared" ca="1" si="662"/>
        <v>0</v>
      </c>
      <c r="CW347" s="21"/>
    </row>
    <row r="348" spans="4:101" x14ac:dyDescent="0.25">
      <c r="D348" s="35" t="str">
        <f>[1]Key!$W$16</f>
        <v>MURAKAMI / TORITON</v>
      </c>
      <c r="F348" s="41"/>
      <c r="G348" s="21"/>
      <c r="H348" s="21"/>
      <c r="I348" s="21"/>
      <c r="J348" s="21"/>
      <c r="K348" s="21"/>
      <c r="L348" s="21"/>
      <c r="M348" s="21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36"/>
      <c r="Z348" s="36">
        <f t="shared" ref="Z348:CV348" ca="1" si="663">Y348+Z312-Z330</f>
        <v>138720</v>
      </c>
      <c r="AA348" s="36">
        <f t="shared" ca="1" si="663"/>
        <v>153170</v>
      </c>
      <c r="AB348" s="36">
        <f t="shared" ca="1" si="663"/>
        <v>14450</v>
      </c>
      <c r="AC348" s="36">
        <f t="shared" ca="1" si="663"/>
        <v>14450</v>
      </c>
      <c r="AD348" s="36">
        <f t="shared" ca="1" si="663"/>
        <v>361250</v>
      </c>
      <c r="AE348" s="36">
        <f t="shared" ca="1" si="663"/>
        <v>346800</v>
      </c>
      <c r="AF348" s="36">
        <f t="shared" ca="1" si="663"/>
        <v>28900</v>
      </c>
      <c r="AG348" s="36">
        <f t="shared" ca="1" si="663"/>
        <v>28900</v>
      </c>
      <c r="AH348" s="36">
        <f t="shared" ca="1" si="663"/>
        <v>78000</v>
      </c>
      <c r="AI348" s="36">
        <f t="shared" ca="1" si="663"/>
        <v>184900</v>
      </c>
      <c r="AJ348" s="36">
        <f t="shared" ca="1" si="663"/>
        <v>106900</v>
      </c>
      <c r="AK348" s="36">
        <f t="shared" ca="1" si="663"/>
        <v>260000</v>
      </c>
      <c r="AL348" s="36">
        <f t="shared" ca="1" si="663"/>
        <v>317800</v>
      </c>
      <c r="AM348" s="36">
        <f t="shared" ca="1" si="663"/>
        <v>57800</v>
      </c>
      <c r="AN348" s="36">
        <f t="shared" ca="1" si="663"/>
        <v>325000</v>
      </c>
      <c r="AO348" s="36">
        <f t="shared" ca="1" si="663"/>
        <v>479300</v>
      </c>
      <c r="AP348" s="36">
        <f t="shared" ca="1" si="663"/>
        <v>243140</v>
      </c>
      <c r="AQ348" s="36">
        <f t="shared" ca="1" si="663"/>
        <v>452520</v>
      </c>
      <c r="AR348" s="36">
        <f t="shared" ca="1" si="663"/>
        <v>363680</v>
      </c>
      <c r="AS348" s="36">
        <f t="shared" ca="1" si="663"/>
        <v>43200</v>
      </c>
      <c r="AT348" s="36">
        <f t="shared" ca="1" si="663"/>
        <v>430720</v>
      </c>
      <c r="AU348" s="36">
        <f t="shared" ca="1" si="663"/>
        <v>665220</v>
      </c>
      <c r="AV348" s="36">
        <f t="shared" ca="1" si="663"/>
        <v>335500</v>
      </c>
      <c r="AW348" s="36">
        <f t="shared" ca="1" si="663"/>
        <v>588080</v>
      </c>
      <c r="AX348" s="36">
        <f t="shared" ca="1" si="663"/>
        <v>789480</v>
      </c>
      <c r="AY348" s="36">
        <f t="shared" ca="1" si="663"/>
        <v>277700</v>
      </c>
      <c r="AZ348" s="36">
        <f t="shared" ca="1" si="663"/>
        <v>440500</v>
      </c>
      <c r="BA348" s="36">
        <f t="shared" ca="1" si="663"/>
        <v>784880</v>
      </c>
      <c r="BB348" s="36">
        <f t="shared" ca="1" si="663"/>
        <v>420680</v>
      </c>
      <c r="BC348" s="36">
        <f t="shared" ca="1" si="663"/>
        <v>620480</v>
      </c>
      <c r="BD348" s="36">
        <f t="shared" ca="1" si="663"/>
        <v>821880</v>
      </c>
      <c r="BE348" s="36">
        <f t="shared" ca="1" si="663"/>
        <v>277700</v>
      </c>
      <c r="BF348" s="36">
        <f t="shared" ca="1" si="663"/>
        <v>381780</v>
      </c>
      <c r="BG348" s="36">
        <f t="shared" ca="1" si="663"/>
        <v>622480</v>
      </c>
      <c r="BH348" s="36">
        <f t="shared" ca="1" si="663"/>
        <v>396475</v>
      </c>
      <c r="BI348" s="36">
        <f t="shared" ca="1" si="663"/>
        <v>1396690</v>
      </c>
      <c r="BJ348" s="36">
        <f t="shared" ca="1" si="623"/>
        <v>1875015</v>
      </c>
      <c r="BK348" s="36">
        <f t="shared" ca="1" si="624"/>
        <v>659537.5</v>
      </c>
      <c r="BL348" s="36">
        <f t="shared" ca="1" si="625"/>
        <v>1046187.5</v>
      </c>
      <c r="BM348" s="36">
        <f t="shared" ca="1" si="626"/>
        <v>1864090</v>
      </c>
      <c r="BN348" s="36">
        <f t="shared" ca="1" si="627"/>
        <v>999115</v>
      </c>
      <c r="BO348" s="36">
        <f t="shared" ca="1" si="628"/>
        <v>1473640</v>
      </c>
      <c r="BP348" s="36">
        <f t="shared" ca="1" si="629"/>
        <v>1951965</v>
      </c>
      <c r="BQ348" s="36">
        <f t="shared" ca="1" si="630"/>
        <v>659537.5</v>
      </c>
      <c r="BR348" s="36">
        <f t="shared" ca="1" si="631"/>
        <v>906727.5</v>
      </c>
      <c r="BS348" s="36">
        <f t="shared" ca="1" si="632"/>
        <v>1478390</v>
      </c>
      <c r="BT348" s="36">
        <f t="shared" ca="1" si="633"/>
        <v>855831.25</v>
      </c>
      <c r="BU348" s="36">
        <f t="shared" ca="1" si="634"/>
        <v>2444207.5</v>
      </c>
      <c r="BV348" s="36">
        <f t="shared" ca="1" si="635"/>
        <v>3281276.25</v>
      </c>
      <c r="BW348" s="36">
        <f t="shared" ca="1" si="636"/>
        <v>1154190.625</v>
      </c>
      <c r="BX348" s="36">
        <f t="shared" ca="1" si="637"/>
        <v>1830828.125</v>
      </c>
      <c r="BY348" s="36">
        <f t="shared" ca="1" si="638"/>
        <v>3262157.5</v>
      </c>
      <c r="BZ348" s="36">
        <f t="shared" ca="1" si="639"/>
        <v>1748451.25</v>
      </c>
      <c r="CA348" s="36">
        <f t="shared" ca="1" si="640"/>
        <v>2578870</v>
      </c>
      <c r="CB348" s="36">
        <f t="shared" ca="1" si="641"/>
        <v>3415938.75</v>
      </c>
      <c r="CC348" s="36">
        <f t="shared" ca="1" si="642"/>
        <v>1154190.625</v>
      </c>
      <c r="CD348" s="36">
        <f t="shared" ca="1" si="643"/>
        <v>1586773.125</v>
      </c>
      <c r="CE348" s="36">
        <f t="shared" ca="1" si="644"/>
        <v>2587182.5</v>
      </c>
      <c r="CF348" s="36">
        <f t="shared" ca="1" si="645"/>
        <v>1437646.875</v>
      </c>
      <c r="CG348" s="36">
        <f t="shared" ca="1" si="646"/>
        <v>3666311.25</v>
      </c>
      <c r="CH348" s="36">
        <f t="shared" ca="1" si="647"/>
        <v>4921914.375</v>
      </c>
      <c r="CI348" s="36">
        <f t="shared" ca="1" si="648"/>
        <v>1731285.9375</v>
      </c>
      <c r="CJ348" s="36">
        <f t="shared" ca="1" si="649"/>
        <v>2746242.1875</v>
      </c>
      <c r="CK348" s="36">
        <f t="shared" ca="1" si="650"/>
        <v>4893236.25</v>
      </c>
      <c r="CL348" s="36">
        <f t="shared" ca="1" si="651"/>
        <v>2622676.875</v>
      </c>
      <c r="CM348" s="36">
        <f t="shared" ca="1" si="652"/>
        <v>3868305</v>
      </c>
      <c r="CN348" s="36">
        <f t="shared" ca="1" si="653"/>
        <v>5123908.125</v>
      </c>
      <c r="CO348" s="36">
        <f t="shared" ca="1" si="654"/>
        <v>1731285.9375</v>
      </c>
      <c r="CP348" s="36">
        <f t="shared" ca="1" si="655"/>
        <v>2380159.6875</v>
      </c>
      <c r="CQ348" s="36">
        <f t="shared" ca="1" si="656"/>
        <v>3880773.75</v>
      </c>
      <c r="CR348" s="36">
        <f t="shared" ca="1" si="657"/>
        <v>3196010.78125</v>
      </c>
      <c r="CS348" s="36">
        <f t="shared" ca="1" si="658"/>
        <v>3160121.5625</v>
      </c>
      <c r="CT348" s="36">
        <f t="shared" ca="1" si="659"/>
        <v>3160121.5625</v>
      </c>
      <c r="CU348" s="36">
        <f t="shared" ca="1" si="663"/>
        <v>1580060.78125</v>
      </c>
      <c r="CV348" s="36">
        <f t="shared" ca="1" si="663"/>
        <v>0</v>
      </c>
      <c r="CW348" s="21"/>
    </row>
    <row r="349" spans="4:101" x14ac:dyDescent="0.25">
      <c r="D349" s="35" t="str">
        <f>[1]Key!$W$17</f>
        <v>NEW PARTNER 1</v>
      </c>
      <c r="F349" s="41"/>
      <c r="G349" s="21"/>
      <c r="H349" s="21"/>
      <c r="I349" s="21"/>
      <c r="J349" s="21"/>
      <c r="K349" s="21"/>
      <c r="L349" s="21"/>
      <c r="M349" s="21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36"/>
      <c r="Z349" s="36">
        <f t="shared" ref="Z349:CV349" ca="1" si="664">Y349+Z313-Z331</f>
        <v>0</v>
      </c>
      <c r="AA349" s="36">
        <f t="shared" ca="1" si="664"/>
        <v>0</v>
      </c>
      <c r="AB349" s="36">
        <f t="shared" ca="1" si="664"/>
        <v>0</v>
      </c>
      <c r="AC349" s="36">
        <f t="shared" ca="1" si="664"/>
        <v>0</v>
      </c>
      <c r="AD349" s="36">
        <f t="shared" ca="1" si="664"/>
        <v>0</v>
      </c>
      <c r="AE349" s="36">
        <f t="shared" ca="1" si="664"/>
        <v>0</v>
      </c>
      <c r="AF349" s="36">
        <f t="shared" ca="1" si="664"/>
        <v>0</v>
      </c>
      <c r="AG349" s="36">
        <f t="shared" ca="1" si="664"/>
        <v>0</v>
      </c>
      <c r="AH349" s="36">
        <f t="shared" ca="1" si="664"/>
        <v>0</v>
      </c>
      <c r="AI349" s="36">
        <f t="shared" ca="1" si="664"/>
        <v>0</v>
      </c>
      <c r="AJ349" s="36">
        <f t="shared" ca="1" si="664"/>
        <v>0</v>
      </c>
      <c r="AK349" s="36">
        <f t="shared" ca="1" si="664"/>
        <v>0</v>
      </c>
      <c r="AL349" s="36">
        <f t="shared" ca="1" si="664"/>
        <v>0</v>
      </c>
      <c r="AM349" s="36">
        <f t="shared" ca="1" si="664"/>
        <v>0</v>
      </c>
      <c r="AN349" s="36">
        <f t="shared" ca="1" si="664"/>
        <v>0</v>
      </c>
      <c r="AO349" s="36">
        <f t="shared" ca="1" si="664"/>
        <v>0</v>
      </c>
      <c r="AP349" s="36">
        <f t="shared" ca="1" si="664"/>
        <v>0</v>
      </c>
      <c r="AQ349" s="36">
        <f t="shared" ca="1" si="664"/>
        <v>0</v>
      </c>
      <c r="AR349" s="36">
        <f t="shared" ca="1" si="664"/>
        <v>0</v>
      </c>
      <c r="AS349" s="36">
        <f t="shared" ca="1" si="664"/>
        <v>0</v>
      </c>
      <c r="AT349" s="36">
        <f t="shared" ca="1" si="664"/>
        <v>0</v>
      </c>
      <c r="AU349" s="36">
        <f t="shared" ca="1" si="664"/>
        <v>0</v>
      </c>
      <c r="AV349" s="36">
        <f t="shared" ca="1" si="664"/>
        <v>103680</v>
      </c>
      <c r="AW349" s="36">
        <f t="shared" ca="1" si="664"/>
        <v>103680</v>
      </c>
      <c r="AX349" s="36">
        <f t="shared" ca="1" si="664"/>
        <v>0</v>
      </c>
      <c r="AY349" s="36">
        <f t="shared" ca="1" si="664"/>
        <v>0</v>
      </c>
      <c r="AZ349" s="36">
        <f t="shared" ca="1" si="664"/>
        <v>0</v>
      </c>
      <c r="BA349" s="36">
        <f t="shared" ca="1" si="664"/>
        <v>0</v>
      </c>
      <c r="BB349" s="36">
        <f t="shared" ca="1" si="664"/>
        <v>216000</v>
      </c>
      <c r="BC349" s="36">
        <f t="shared" ca="1" si="664"/>
        <v>216000</v>
      </c>
      <c r="BD349" s="36">
        <f t="shared" ca="1" si="664"/>
        <v>0</v>
      </c>
      <c r="BE349" s="36">
        <f t="shared" ca="1" si="664"/>
        <v>0</v>
      </c>
      <c r="BF349" s="36">
        <f t="shared" ca="1" si="664"/>
        <v>0</v>
      </c>
      <c r="BG349" s="36">
        <f t="shared" ca="1" si="664"/>
        <v>0</v>
      </c>
      <c r="BH349" s="36">
        <f t="shared" ca="1" si="664"/>
        <v>295488</v>
      </c>
      <c r="BI349" s="36">
        <f t="shared" ca="1" si="664"/>
        <v>295488</v>
      </c>
      <c r="BJ349" s="36">
        <f t="shared" ca="1" si="623"/>
        <v>0</v>
      </c>
      <c r="BK349" s="36">
        <f t="shared" ca="1" si="624"/>
        <v>0</v>
      </c>
      <c r="BL349" s="36">
        <f t="shared" ca="1" si="625"/>
        <v>0</v>
      </c>
      <c r="BM349" s="36">
        <f t="shared" ca="1" si="626"/>
        <v>0</v>
      </c>
      <c r="BN349" s="36">
        <f t="shared" ca="1" si="627"/>
        <v>615600</v>
      </c>
      <c r="BO349" s="36">
        <f t="shared" ca="1" si="628"/>
        <v>615600</v>
      </c>
      <c r="BP349" s="36">
        <f t="shared" ca="1" si="629"/>
        <v>0</v>
      </c>
      <c r="BQ349" s="36">
        <f t="shared" ca="1" si="630"/>
        <v>0</v>
      </c>
      <c r="BR349" s="36">
        <f t="shared" ca="1" si="631"/>
        <v>0</v>
      </c>
      <c r="BS349" s="36">
        <f t="shared" ca="1" si="632"/>
        <v>0</v>
      </c>
      <c r="BT349" s="36">
        <f t="shared" ca="1" si="633"/>
        <v>738720</v>
      </c>
      <c r="BU349" s="36">
        <f t="shared" ca="1" si="634"/>
        <v>738720</v>
      </c>
      <c r="BV349" s="36">
        <f t="shared" ca="1" si="635"/>
        <v>0</v>
      </c>
      <c r="BW349" s="36">
        <f t="shared" ca="1" si="636"/>
        <v>0</v>
      </c>
      <c r="BX349" s="36">
        <f t="shared" ca="1" si="637"/>
        <v>0</v>
      </c>
      <c r="BY349" s="36">
        <f t="shared" ca="1" si="638"/>
        <v>0</v>
      </c>
      <c r="BZ349" s="36">
        <f t="shared" ca="1" si="639"/>
        <v>1539000</v>
      </c>
      <c r="CA349" s="36">
        <f t="shared" ca="1" si="640"/>
        <v>1539000</v>
      </c>
      <c r="CB349" s="36">
        <f t="shared" ca="1" si="641"/>
        <v>0</v>
      </c>
      <c r="CC349" s="36">
        <f t="shared" ca="1" si="642"/>
        <v>0</v>
      </c>
      <c r="CD349" s="36">
        <f t="shared" ca="1" si="643"/>
        <v>0</v>
      </c>
      <c r="CE349" s="36">
        <f t="shared" ca="1" si="644"/>
        <v>0</v>
      </c>
      <c r="CF349" s="36">
        <f t="shared" ca="1" si="645"/>
        <v>1292760</v>
      </c>
      <c r="CG349" s="36">
        <f t="shared" ca="1" si="646"/>
        <v>1292760</v>
      </c>
      <c r="CH349" s="36">
        <f t="shared" ca="1" si="647"/>
        <v>0</v>
      </c>
      <c r="CI349" s="36">
        <f t="shared" ca="1" si="648"/>
        <v>0</v>
      </c>
      <c r="CJ349" s="36">
        <f t="shared" ca="1" si="649"/>
        <v>0</v>
      </c>
      <c r="CK349" s="36">
        <f t="shared" ca="1" si="650"/>
        <v>0</v>
      </c>
      <c r="CL349" s="36">
        <f t="shared" ca="1" si="651"/>
        <v>2693250</v>
      </c>
      <c r="CM349" s="36">
        <f t="shared" ca="1" si="652"/>
        <v>2693250</v>
      </c>
      <c r="CN349" s="36">
        <f t="shared" ca="1" si="653"/>
        <v>0</v>
      </c>
      <c r="CO349" s="36">
        <f t="shared" ca="1" si="654"/>
        <v>0</v>
      </c>
      <c r="CP349" s="36">
        <f t="shared" ca="1" si="655"/>
        <v>0</v>
      </c>
      <c r="CQ349" s="36">
        <f t="shared" ca="1" si="656"/>
        <v>0</v>
      </c>
      <c r="CR349" s="36">
        <f t="shared" ca="1" si="657"/>
        <v>448875</v>
      </c>
      <c r="CS349" s="36">
        <f t="shared" ca="1" si="658"/>
        <v>897750</v>
      </c>
      <c r="CT349" s="36">
        <f t="shared" ca="1" si="659"/>
        <v>897750</v>
      </c>
      <c r="CU349" s="36">
        <f t="shared" ca="1" si="664"/>
        <v>448875</v>
      </c>
      <c r="CV349" s="36">
        <f t="shared" ca="1" si="664"/>
        <v>0</v>
      </c>
      <c r="CW349" s="21"/>
    </row>
    <row r="350" spans="4:101" x14ac:dyDescent="0.25">
      <c r="D350" s="35" t="str">
        <f>[1]Key!$W$18</f>
        <v>NEW PARTNER 2</v>
      </c>
      <c r="F350" s="41"/>
      <c r="G350" s="21"/>
      <c r="H350" s="21"/>
      <c r="I350" s="21"/>
      <c r="J350" s="21"/>
      <c r="K350" s="21"/>
      <c r="L350" s="21"/>
      <c r="M350" s="21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36"/>
      <c r="Z350" s="36">
        <f t="shared" ref="Z350:CV350" ca="1" si="665">Y350+Z314-Z332</f>
        <v>0</v>
      </c>
      <c r="AA350" s="36">
        <f t="shared" ca="1" si="665"/>
        <v>0</v>
      </c>
      <c r="AB350" s="36">
        <f t="shared" ca="1" si="665"/>
        <v>0</v>
      </c>
      <c r="AC350" s="36">
        <f t="shared" ca="1" si="665"/>
        <v>0</v>
      </c>
      <c r="AD350" s="36">
        <f t="shared" ca="1" si="665"/>
        <v>0</v>
      </c>
      <c r="AE350" s="36">
        <f t="shared" ca="1" si="665"/>
        <v>0</v>
      </c>
      <c r="AF350" s="36">
        <f t="shared" ca="1" si="665"/>
        <v>0</v>
      </c>
      <c r="AG350" s="36">
        <f t="shared" ca="1" si="665"/>
        <v>0</v>
      </c>
      <c r="AH350" s="36">
        <f t="shared" ca="1" si="665"/>
        <v>0</v>
      </c>
      <c r="AI350" s="36">
        <f t="shared" ca="1" si="665"/>
        <v>0</v>
      </c>
      <c r="AJ350" s="36">
        <f t="shared" ca="1" si="665"/>
        <v>0</v>
      </c>
      <c r="AK350" s="36">
        <f t="shared" ca="1" si="665"/>
        <v>0</v>
      </c>
      <c r="AL350" s="36">
        <f t="shared" ca="1" si="665"/>
        <v>0</v>
      </c>
      <c r="AM350" s="36">
        <f t="shared" ca="1" si="665"/>
        <v>0</v>
      </c>
      <c r="AN350" s="36">
        <f t="shared" ca="1" si="665"/>
        <v>0</v>
      </c>
      <c r="AO350" s="36">
        <f t="shared" ca="1" si="665"/>
        <v>0</v>
      </c>
      <c r="AP350" s="36">
        <f t="shared" ca="1" si="665"/>
        <v>0</v>
      </c>
      <c r="AQ350" s="36">
        <f t="shared" ca="1" si="665"/>
        <v>0</v>
      </c>
      <c r="AR350" s="36">
        <f t="shared" ca="1" si="665"/>
        <v>0</v>
      </c>
      <c r="AS350" s="36">
        <f t="shared" ca="1" si="665"/>
        <v>0</v>
      </c>
      <c r="AT350" s="36">
        <f t="shared" ca="1" si="665"/>
        <v>0</v>
      </c>
      <c r="AU350" s="36">
        <f t="shared" ca="1" si="665"/>
        <v>0</v>
      </c>
      <c r="AV350" s="36">
        <f t="shared" ca="1" si="665"/>
        <v>216000</v>
      </c>
      <c r="AW350" s="36">
        <f t="shared" ca="1" si="665"/>
        <v>216000</v>
      </c>
      <c r="AX350" s="36">
        <f t="shared" ca="1" si="665"/>
        <v>0</v>
      </c>
      <c r="AY350" s="36">
        <f t="shared" ca="1" si="665"/>
        <v>0</v>
      </c>
      <c r="AZ350" s="36">
        <f t="shared" ca="1" si="665"/>
        <v>0</v>
      </c>
      <c r="BA350" s="36">
        <f t="shared" ca="1" si="665"/>
        <v>0</v>
      </c>
      <c r="BB350" s="36">
        <f t="shared" ca="1" si="665"/>
        <v>518400.00000000006</v>
      </c>
      <c r="BC350" s="36">
        <f t="shared" ca="1" si="665"/>
        <v>518400.00000000006</v>
      </c>
      <c r="BD350" s="36">
        <f t="shared" ca="1" si="665"/>
        <v>0</v>
      </c>
      <c r="BE350" s="36">
        <f t="shared" ca="1" si="665"/>
        <v>0</v>
      </c>
      <c r="BF350" s="36">
        <f t="shared" ca="1" si="665"/>
        <v>103680</v>
      </c>
      <c r="BG350" s="36">
        <f t="shared" ca="1" si="665"/>
        <v>103680</v>
      </c>
      <c r="BH350" s="36">
        <f t="shared" ca="1" si="665"/>
        <v>615600</v>
      </c>
      <c r="BI350" s="36">
        <f t="shared" ca="1" si="665"/>
        <v>615600</v>
      </c>
      <c r="BJ350" s="36">
        <f t="shared" ca="1" si="623"/>
        <v>0</v>
      </c>
      <c r="BK350" s="36">
        <f t="shared" ca="1" si="624"/>
        <v>0</v>
      </c>
      <c r="BL350" s="36">
        <f t="shared" ca="1" si="625"/>
        <v>0</v>
      </c>
      <c r="BM350" s="36">
        <f t="shared" ca="1" si="626"/>
        <v>0</v>
      </c>
      <c r="BN350" s="36">
        <f t="shared" ca="1" si="627"/>
        <v>1477440</v>
      </c>
      <c r="BO350" s="36">
        <f t="shared" ca="1" si="628"/>
        <v>1477440</v>
      </c>
      <c r="BP350" s="36">
        <f t="shared" ca="1" si="629"/>
        <v>0</v>
      </c>
      <c r="BQ350" s="36">
        <f t="shared" ca="1" si="630"/>
        <v>0</v>
      </c>
      <c r="BR350" s="36">
        <f t="shared" ca="1" si="631"/>
        <v>295488</v>
      </c>
      <c r="BS350" s="36">
        <f t="shared" ca="1" si="632"/>
        <v>295488</v>
      </c>
      <c r="BT350" s="36">
        <f t="shared" ca="1" si="633"/>
        <v>1539000</v>
      </c>
      <c r="BU350" s="36">
        <f t="shared" ca="1" si="634"/>
        <v>1539000</v>
      </c>
      <c r="BV350" s="36">
        <f t="shared" ca="1" si="635"/>
        <v>0</v>
      </c>
      <c r="BW350" s="36">
        <f t="shared" ca="1" si="636"/>
        <v>0</v>
      </c>
      <c r="BX350" s="36">
        <f t="shared" ca="1" si="637"/>
        <v>0</v>
      </c>
      <c r="BY350" s="36">
        <f t="shared" ca="1" si="638"/>
        <v>0</v>
      </c>
      <c r="BZ350" s="36">
        <f t="shared" ca="1" si="639"/>
        <v>3693600</v>
      </c>
      <c r="CA350" s="36">
        <f t="shared" ca="1" si="640"/>
        <v>3693600</v>
      </c>
      <c r="CB350" s="36">
        <f t="shared" ca="1" si="641"/>
        <v>0</v>
      </c>
      <c r="CC350" s="36">
        <f t="shared" ca="1" si="642"/>
        <v>0</v>
      </c>
      <c r="CD350" s="36">
        <f t="shared" ca="1" si="643"/>
        <v>738720</v>
      </c>
      <c r="CE350" s="36">
        <f t="shared" ca="1" si="644"/>
        <v>738720</v>
      </c>
      <c r="CF350" s="36">
        <f t="shared" ca="1" si="645"/>
        <v>2693250</v>
      </c>
      <c r="CG350" s="36">
        <f t="shared" ca="1" si="646"/>
        <v>2693250</v>
      </c>
      <c r="CH350" s="36">
        <f t="shared" ca="1" si="647"/>
        <v>0</v>
      </c>
      <c r="CI350" s="36">
        <f t="shared" ca="1" si="648"/>
        <v>0</v>
      </c>
      <c r="CJ350" s="36">
        <f t="shared" ca="1" si="649"/>
        <v>0</v>
      </c>
      <c r="CK350" s="36">
        <f t="shared" ca="1" si="650"/>
        <v>0</v>
      </c>
      <c r="CL350" s="36">
        <f t="shared" ca="1" si="651"/>
        <v>6463800</v>
      </c>
      <c r="CM350" s="36">
        <f t="shared" ca="1" si="652"/>
        <v>6463800</v>
      </c>
      <c r="CN350" s="36">
        <f t="shared" ca="1" si="653"/>
        <v>0</v>
      </c>
      <c r="CO350" s="36">
        <f t="shared" ca="1" si="654"/>
        <v>0</v>
      </c>
      <c r="CP350" s="36">
        <f t="shared" ca="1" si="655"/>
        <v>1292760</v>
      </c>
      <c r="CQ350" s="36">
        <f t="shared" ca="1" si="656"/>
        <v>1292760</v>
      </c>
      <c r="CR350" s="36">
        <f t="shared" ca="1" si="657"/>
        <v>1292760</v>
      </c>
      <c r="CS350" s="36">
        <f t="shared" ca="1" si="658"/>
        <v>2585520</v>
      </c>
      <c r="CT350" s="36">
        <f t="shared" ca="1" si="659"/>
        <v>2585520</v>
      </c>
      <c r="CU350" s="36">
        <f t="shared" ca="1" si="665"/>
        <v>1292760</v>
      </c>
      <c r="CV350" s="36">
        <f t="shared" ca="1" si="665"/>
        <v>0</v>
      </c>
      <c r="CW350" s="21"/>
    </row>
    <row r="351" spans="4:101" x14ac:dyDescent="0.25">
      <c r="D351" s="35" t="str">
        <f>[1]Key!$W$19</f>
        <v>PIGALLE</v>
      </c>
      <c r="F351" s="41"/>
      <c r="G351" s="21"/>
      <c r="H351" s="21"/>
      <c r="I351" s="21"/>
      <c r="J351" s="21"/>
      <c r="K351" s="21"/>
      <c r="L351" s="21"/>
      <c r="M351" s="21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36"/>
      <c r="Z351" s="36">
        <f t="shared" ref="Z351:CV351" ca="1" si="666">Y351+Z315-Z333</f>
        <v>0</v>
      </c>
      <c r="AA351" s="36">
        <f t="shared" ca="1" si="666"/>
        <v>0</v>
      </c>
      <c r="AB351" s="36">
        <f t="shared" ca="1" si="666"/>
        <v>0</v>
      </c>
      <c r="AC351" s="36">
        <f t="shared" ca="1" si="666"/>
        <v>0</v>
      </c>
      <c r="AD351" s="36">
        <f t="shared" ca="1" si="666"/>
        <v>0</v>
      </c>
      <c r="AE351" s="36">
        <f t="shared" ca="1" si="666"/>
        <v>0</v>
      </c>
      <c r="AF351" s="36">
        <f t="shared" ca="1" si="666"/>
        <v>0</v>
      </c>
      <c r="AG351" s="36">
        <f t="shared" ca="1" si="666"/>
        <v>0</v>
      </c>
      <c r="AH351" s="36">
        <f t="shared" ca="1" si="666"/>
        <v>0</v>
      </c>
      <c r="AI351" s="36">
        <f t="shared" ca="1" si="666"/>
        <v>0</v>
      </c>
      <c r="AJ351" s="36">
        <f t="shared" ca="1" si="666"/>
        <v>0</v>
      </c>
      <c r="AK351" s="36">
        <f t="shared" ca="1" si="666"/>
        <v>0</v>
      </c>
      <c r="AL351" s="36">
        <f t="shared" ca="1" si="666"/>
        <v>0</v>
      </c>
      <c r="AM351" s="36">
        <f t="shared" ca="1" si="666"/>
        <v>0</v>
      </c>
      <c r="AN351" s="36">
        <f t="shared" ca="1" si="666"/>
        <v>32400</v>
      </c>
      <c r="AO351" s="36">
        <f t="shared" ca="1" si="666"/>
        <v>32400</v>
      </c>
      <c r="AP351" s="36">
        <f t="shared" ca="1" si="666"/>
        <v>64800</v>
      </c>
      <c r="AQ351" s="36">
        <f t="shared" ca="1" si="666"/>
        <v>64800</v>
      </c>
      <c r="AR351" s="36">
        <f t="shared" ca="1" si="666"/>
        <v>0</v>
      </c>
      <c r="AS351" s="36">
        <f t="shared" ca="1" si="666"/>
        <v>0</v>
      </c>
      <c r="AT351" s="36">
        <f t="shared" ca="1" si="666"/>
        <v>129600</v>
      </c>
      <c r="AU351" s="36">
        <f t="shared" ca="1" si="666"/>
        <v>129600</v>
      </c>
      <c r="AV351" s="36">
        <f t="shared" ca="1" si="666"/>
        <v>0</v>
      </c>
      <c r="AW351" s="36">
        <f t="shared" ca="1" si="666"/>
        <v>129600</v>
      </c>
      <c r="AX351" s="36">
        <f t="shared" ca="1" si="666"/>
        <v>129600</v>
      </c>
      <c r="AY351" s="36">
        <f t="shared" ca="1" si="666"/>
        <v>0</v>
      </c>
      <c r="AZ351" s="36">
        <f t="shared" ca="1" si="666"/>
        <v>129600</v>
      </c>
      <c r="BA351" s="36">
        <f t="shared" ca="1" si="666"/>
        <v>129600</v>
      </c>
      <c r="BB351" s="36">
        <f t="shared" ca="1" si="666"/>
        <v>0</v>
      </c>
      <c r="BC351" s="36">
        <f t="shared" ca="1" si="666"/>
        <v>129600</v>
      </c>
      <c r="BD351" s="36">
        <f t="shared" ca="1" si="666"/>
        <v>129600</v>
      </c>
      <c r="BE351" s="36">
        <f t="shared" ca="1" si="666"/>
        <v>0</v>
      </c>
      <c r="BF351" s="36">
        <f t="shared" ca="1" si="666"/>
        <v>129600</v>
      </c>
      <c r="BG351" s="36">
        <f t="shared" ca="1" si="666"/>
        <v>129600</v>
      </c>
      <c r="BH351" s="36">
        <f t="shared" ca="1" si="666"/>
        <v>0</v>
      </c>
      <c r="BI351" s="36">
        <f t="shared" ca="1" si="666"/>
        <v>246240</v>
      </c>
      <c r="BJ351" s="36">
        <f t="shared" ca="1" si="623"/>
        <v>246240</v>
      </c>
      <c r="BK351" s="36">
        <f t="shared" ca="1" si="624"/>
        <v>0</v>
      </c>
      <c r="BL351" s="36">
        <f t="shared" ca="1" si="625"/>
        <v>246240</v>
      </c>
      <c r="BM351" s="36">
        <f t="shared" ca="1" si="626"/>
        <v>246240</v>
      </c>
      <c r="BN351" s="36">
        <f t="shared" ca="1" si="627"/>
        <v>0</v>
      </c>
      <c r="BO351" s="36">
        <f t="shared" ca="1" si="628"/>
        <v>246240</v>
      </c>
      <c r="BP351" s="36">
        <f t="shared" ca="1" si="629"/>
        <v>246240</v>
      </c>
      <c r="BQ351" s="36">
        <f t="shared" ca="1" si="630"/>
        <v>0</v>
      </c>
      <c r="BR351" s="36">
        <f t="shared" ca="1" si="631"/>
        <v>246240</v>
      </c>
      <c r="BS351" s="36">
        <f t="shared" ca="1" si="632"/>
        <v>246240</v>
      </c>
      <c r="BT351" s="36">
        <f t="shared" ca="1" si="633"/>
        <v>0</v>
      </c>
      <c r="BU351" s="36">
        <f t="shared" ca="1" si="634"/>
        <v>369360</v>
      </c>
      <c r="BV351" s="36">
        <f t="shared" ca="1" si="635"/>
        <v>369360</v>
      </c>
      <c r="BW351" s="36">
        <f t="shared" ca="1" si="636"/>
        <v>0</v>
      </c>
      <c r="BX351" s="36">
        <f t="shared" ca="1" si="637"/>
        <v>369360</v>
      </c>
      <c r="BY351" s="36">
        <f t="shared" ca="1" si="638"/>
        <v>369360</v>
      </c>
      <c r="BZ351" s="36">
        <f t="shared" ca="1" si="639"/>
        <v>0</v>
      </c>
      <c r="CA351" s="36">
        <f t="shared" ca="1" si="640"/>
        <v>369360</v>
      </c>
      <c r="CB351" s="36">
        <f t="shared" ca="1" si="641"/>
        <v>369360</v>
      </c>
      <c r="CC351" s="36">
        <f t="shared" ca="1" si="642"/>
        <v>0</v>
      </c>
      <c r="CD351" s="36">
        <f t="shared" ca="1" si="643"/>
        <v>369360</v>
      </c>
      <c r="CE351" s="36">
        <f t="shared" ca="1" si="644"/>
        <v>369360</v>
      </c>
      <c r="CF351" s="36">
        <f t="shared" ca="1" si="645"/>
        <v>0</v>
      </c>
      <c r="CG351" s="36">
        <f t="shared" ca="1" si="646"/>
        <v>480168</v>
      </c>
      <c r="CH351" s="36">
        <f t="shared" ca="1" si="647"/>
        <v>480168</v>
      </c>
      <c r="CI351" s="36">
        <f t="shared" ca="1" si="648"/>
        <v>0</v>
      </c>
      <c r="CJ351" s="36">
        <f t="shared" ca="1" si="649"/>
        <v>480168</v>
      </c>
      <c r="CK351" s="36">
        <f t="shared" ca="1" si="650"/>
        <v>480168</v>
      </c>
      <c r="CL351" s="36">
        <f t="shared" ca="1" si="651"/>
        <v>0</v>
      </c>
      <c r="CM351" s="36">
        <f t="shared" ca="1" si="652"/>
        <v>480168</v>
      </c>
      <c r="CN351" s="36">
        <f t="shared" ca="1" si="653"/>
        <v>480168</v>
      </c>
      <c r="CO351" s="36">
        <f t="shared" ca="1" si="654"/>
        <v>0</v>
      </c>
      <c r="CP351" s="36">
        <f t="shared" ca="1" si="655"/>
        <v>480168</v>
      </c>
      <c r="CQ351" s="36">
        <f t="shared" ca="1" si="656"/>
        <v>480168</v>
      </c>
      <c r="CR351" s="36">
        <f t="shared" ca="1" si="657"/>
        <v>160056</v>
      </c>
      <c r="CS351" s="36">
        <f t="shared" ca="1" si="658"/>
        <v>320112</v>
      </c>
      <c r="CT351" s="36">
        <f t="shared" ca="1" si="659"/>
        <v>320112</v>
      </c>
      <c r="CU351" s="36">
        <f t="shared" ca="1" si="666"/>
        <v>160056</v>
      </c>
      <c r="CV351" s="36">
        <f t="shared" ca="1" si="666"/>
        <v>0</v>
      </c>
      <c r="CW351" s="21"/>
    </row>
    <row r="352" spans="4:101" x14ac:dyDescent="0.25">
      <c r="D352" s="35" t="str">
        <f>[1]Key!$W$20</f>
        <v>SPORT PLACEHOLDER</v>
      </c>
      <c r="F352" s="41"/>
      <c r="G352" s="21"/>
      <c r="H352" s="21"/>
      <c r="I352" s="21"/>
      <c r="J352" s="21"/>
      <c r="K352" s="21"/>
      <c r="L352" s="21"/>
      <c r="M352" s="21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36"/>
      <c r="Z352" s="36">
        <f t="shared" ref="Z352:CV352" ca="1" si="667">Y352+Z316-Z334</f>
        <v>0</v>
      </c>
      <c r="AA352" s="36">
        <f t="shared" ca="1" si="667"/>
        <v>0</v>
      </c>
      <c r="AB352" s="36">
        <f t="shared" ca="1" si="667"/>
        <v>0</v>
      </c>
      <c r="AC352" s="36">
        <f t="shared" ca="1" si="667"/>
        <v>0</v>
      </c>
      <c r="AD352" s="36">
        <f t="shared" ca="1" si="667"/>
        <v>0</v>
      </c>
      <c r="AE352" s="36">
        <f t="shared" ca="1" si="667"/>
        <v>0</v>
      </c>
      <c r="AF352" s="36">
        <f t="shared" ca="1" si="667"/>
        <v>0</v>
      </c>
      <c r="AG352" s="36">
        <f t="shared" ca="1" si="667"/>
        <v>0</v>
      </c>
      <c r="AH352" s="36">
        <f t="shared" ca="1" si="667"/>
        <v>0</v>
      </c>
      <c r="AI352" s="36">
        <f t="shared" ca="1" si="667"/>
        <v>0</v>
      </c>
      <c r="AJ352" s="36">
        <f t="shared" ca="1" si="667"/>
        <v>0</v>
      </c>
      <c r="AK352" s="36">
        <f t="shared" ca="1" si="667"/>
        <v>0</v>
      </c>
      <c r="AL352" s="36">
        <f t="shared" ca="1" si="667"/>
        <v>0</v>
      </c>
      <c r="AM352" s="36">
        <f t="shared" ca="1" si="667"/>
        <v>0</v>
      </c>
      <c r="AN352" s="36">
        <f t="shared" ca="1" si="667"/>
        <v>0</v>
      </c>
      <c r="AO352" s="36">
        <f t="shared" ca="1" si="667"/>
        <v>0</v>
      </c>
      <c r="AP352" s="36">
        <f t="shared" ca="1" si="667"/>
        <v>0</v>
      </c>
      <c r="AQ352" s="36">
        <f t="shared" ca="1" si="667"/>
        <v>0</v>
      </c>
      <c r="AR352" s="36">
        <f t="shared" ca="1" si="667"/>
        <v>0</v>
      </c>
      <c r="AS352" s="36">
        <f t="shared" ca="1" si="667"/>
        <v>0</v>
      </c>
      <c r="AT352" s="36">
        <f t="shared" ca="1" si="667"/>
        <v>0</v>
      </c>
      <c r="AU352" s="36">
        <f t="shared" ca="1" si="667"/>
        <v>0</v>
      </c>
      <c r="AV352" s="36">
        <f t="shared" ca="1" si="667"/>
        <v>648000</v>
      </c>
      <c r="AW352" s="36">
        <f t="shared" ca="1" si="667"/>
        <v>648000</v>
      </c>
      <c r="AX352" s="36">
        <f t="shared" ca="1" si="667"/>
        <v>0</v>
      </c>
      <c r="AY352" s="36">
        <f t="shared" ca="1" si="667"/>
        <v>0</v>
      </c>
      <c r="AZ352" s="36">
        <f t="shared" ca="1" si="667"/>
        <v>0</v>
      </c>
      <c r="BA352" s="36">
        <f t="shared" ca="1" si="667"/>
        <v>0</v>
      </c>
      <c r="BB352" s="36">
        <f t="shared" ca="1" si="667"/>
        <v>1296000</v>
      </c>
      <c r="BC352" s="36">
        <f t="shared" ca="1" si="667"/>
        <v>1296000</v>
      </c>
      <c r="BD352" s="36">
        <f t="shared" ca="1" si="667"/>
        <v>0</v>
      </c>
      <c r="BE352" s="36">
        <f t="shared" ca="1" si="667"/>
        <v>0</v>
      </c>
      <c r="BF352" s="36">
        <f t="shared" ca="1" si="667"/>
        <v>0</v>
      </c>
      <c r="BG352" s="36">
        <f t="shared" ca="1" si="667"/>
        <v>0</v>
      </c>
      <c r="BH352" s="36">
        <f t="shared" ca="1" si="667"/>
        <v>1846800</v>
      </c>
      <c r="BI352" s="36">
        <f t="shared" ca="1" si="667"/>
        <v>1846800</v>
      </c>
      <c r="BJ352" s="36">
        <f t="shared" ca="1" si="623"/>
        <v>0</v>
      </c>
      <c r="BK352" s="36">
        <f t="shared" ca="1" si="624"/>
        <v>0</v>
      </c>
      <c r="BL352" s="36">
        <f t="shared" ca="1" si="625"/>
        <v>0</v>
      </c>
      <c r="BM352" s="36">
        <f t="shared" ca="1" si="626"/>
        <v>0</v>
      </c>
      <c r="BN352" s="36">
        <f t="shared" ca="1" si="627"/>
        <v>3693600</v>
      </c>
      <c r="BO352" s="36">
        <f t="shared" ca="1" si="628"/>
        <v>3693600</v>
      </c>
      <c r="BP352" s="36">
        <f t="shared" ca="1" si="629"/>
        <v>0</v>
      </c>
      <c r="BQ352" s="36">
        <f t="shared" ca="1" si="630"/>
        <v>0</v>
      </c>
      <c r="BR352" s="36">
        <f t="shared" ca="1" si="631"/>
        <v>0</v>
      </c>
      <c r="BS352" s="36">
        <f t="shared" ca="1" si="632"/>
        <v>0</v>
      </c>
      <c r="BT352" s="36">
        <f t="shared" ca="1" si="633"/>
        <v>5540400</v>
      </c>
      <c r="BU352" s="36">
        <f t="shared" ca="1" si="634"/>
        <v>5540400</v>
      </c>
      <c r="BV352" s="36">
        <f t="shared" ca="1" si="635"/>
        <v>0</v>
      </c>
      <c r="BW352" s="36">
        <f t="shared" ca="1" si="636"/>
        <v>0</v>
      </c>
      <c r="BX352" s="36">
        <f t="shared" ca="1" si="637"/>
        <v>0</v>
      </c>
      <c r="BY352" s="36">
        <f t="shared" ca="1" si="638"/>
        <v>0</v>
      </c>
      <c r="BZ352" s="36">
        <f t="shared" ca="1" si="639"/>
        <v>11080800</v>
      </c>
      <c r="CA352" s="36">
        <f t="shared" ca="1" si="640"/>
        <v>11080800</v>
      </c>
      <c r="CB352" s="36">
        <f t="shared" ca="1" si="641"/>
        <v>0</v>
      </c>
      <c r="CC352" s="36">
        <f t="shared" ca="1" si="642"/>
        <v>0</v>
      </c>
      <c r="CD352" s="36">
        <f t="shared" ca="1" si="643"/>
        <v>0</v>
      </c>
      <c r="CE352" s="36">
        <f t="shared" ca="1" si="644"/>
        <v>0</v>
      </c>
      <c r="CF352" s="36">
        <f t="shared" ca="1" si="645"/>
        <v>13851000</v>
      </c>
      <c r="CG352" s="36">
        <f t="shared" ca="1" si="646"/>
        <v>13851000</v>
      </c>
      <c r="CH352" s="36">
        <f t="shared" ca="1" si="647"/>
        <v>0</v>
      </c>
      <c r="CI352" s="36">
        <f t="shared" ca="1" si="648"/>
        <v>0</v>
      </c>
      <c r="CJ352" s="36">
        <f t="shared" ca="1" si="649"/>
        <v>0</v>
      </c>
      <c r="CK352" s="36">
        <f t="shared" ca="1" si="650"/>
        <v>0</v>
      </c>
      <c r="CL352" s="36">
        <f t="shared" ca="1" si="651"/>
        <v>27702000</v>
      </c>
      <c r="CM352" s="36">
        <f t="shared" ca="1" si="652"/>
        <v>27702000</v>
      </c>
      <c r="CN352" s="36">
        <f t="shared" ca="1" si="653"/>
        <v>0</v>
      </c>
      <c r="CO352" s="36">
        <f t="shared" ca="1" si="654"/>
        <v>0</v>
      </c>
      <c r="CP352" s="36">
        <f t="shared" ca="1" si="655"/>
        <v>0</v>
      </c>
      <c r="CQ352" s="36">
        <f t="shared" ca="1" si="656"/>
        <v>0</v>
      </c>
      <c r="CR352" s="36">
        <f t="shared" ca="1" si="657"/>
        <v>4617000</v>
      </c>
      <c r="CS352" s="36">
        <f t="shared" ca="1" si="658"/>
        <v>9234000</v>
      </c>
      <c r="CT352" s="36">
        <f t="shared" ca="1" si="659"/>
        <v>9234000</v>
      </c>
      <c r="CU352" s="36">
        <f t="shared" ca="1" si="667"/>
        <v>4617000</v>
      </c>
      <c r="CV352" s="36">
        <f t="shared" ca="1" si="667"/>
        <v>0</v>
      </c>
      <c r="CW352" s="21"/>
    </row>
    <row r="353" spans="4:101" x14ac:dyDescent="0.25">
      <c r="D353" s="35" t="str">
        <f>[1]Key!$W$21</f>
        <v>SPUNGE</v>
      </c>
      <c r="F353" s="41"/>
      <c r="G353" s="21"/>
      <c r="H353" s="21"/>
      <c r="I353" s="21"/>
      <c r="J353" s="21"/>
      <c r="K353" s="21"/>
      <c r="L353" s="21"/>
      <c r="M353" s="21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36"/>
      <c r="Z353" s="36">
        <f t="shared" ref="Z353:CV353" ca="1" si="668">Y353+Z317-Z335</f>
        <v>0</v>
      </c>
      <c r="AA353" s="36">
        <f t="shared" ca="1" si="668"/>
        <v>0</v>
      </c>
      <c r="AB353" s="36">
        <f t="shared" ca="1" si="668"/>
        <v>0</v>
      </c>
      <c r="AC353" s="36">
        <f t="shared" ca="1" si="668"/>
        <v>0</v>
      </c>
      <c r="AD353" s="36">
        <f t="shared" ca="1" si="668"/>
        <v>0</v>
      </c>
      <c r="AE353" s="36">
        <f t="shared" ca="1" si="668"/>
        <v>0</v>
      </c>
      <c r="AF353" s="36">
        <f t="shared" ca="1" si="668"/>
        <v>0</v>
      </c>
      <c r="AG353" s="36">
        <f t="shared" ca="1" si="668"/>
        <v>0</v>
      </c>
      <c r="AH353" s="36">
        <f t="shared" ca="1" si="668"/>
        <v>0</v>
      </c>
      <c r="AI353" s="36">
        <f t="shared" ca="1" si="668"/>
        <v>0</v>
      </c>
      <c r="AJ353" s="36">
        <f t="shared" ca="1" si="668"/>
        <v>0</v>
      </c>
      <c r="AK353" s="36">
        <f t="shared" ca="1" si="668"/>
        <v>0</v>
      </c>
      <c r="AL353" s="36">
        <f t="shared" ca="1" si="668"/>
        <v>0</v>
      </c>
      <c r="AM353" s="36">
        <f t="shared" ca="1" si="668"/>
        <v>0</v>
      </c>
      <c r="AN353" s="36">
        <f t="shared" ca="1" si="668"/>
        <v>0</v>
      </c>
      <c r="AO353" s="36">
        <f t="shared" ca="1" si="668"/>
        <v>0</v>
      </c>
      <c r="AP353" s="36">
        <f t="shared" ca="1" si="668"/>
        <v>0</v>
      </c>
      <c r="AQ353" s="36">
        <f t="shared" ca="1" si="668"/>
        <v>0</v>
      </c>
      <c r="AR353" s="36">
        <f t="shared" ca="1" si="668"/>
        <v>51840</v>
      </c>
      <c r="AS353" s="36">
        <f t="shared" ca="1" si="668"/>
        <v>51840</v>
      </c>
      <c r="AT353" s="36">
        <f t="shared" ca="1" si="668"/>
        <v>51840</v>
      </c>
      <c r="AU353" s="36">
        <f t="shared" ca="1" si="668"/>
        <v>181440</v>
      </c>
      <c r="AV353" s="36">
        <f t="shared" ca="1" si="668"/>
        <v>129600</v>
      </c>
      <c r="AW353" s="36">
        <f t="shared" ca="1" si="668"/>
        <v>397440</v>
      </c>
      <c r="AX353" s="36">
        <f t="shared" ca="1" si="668"/>
        <v>397440</v>
      </c>
      <c r="AY353" s="36">
        <f t="shared" ca="1" si="668"/>
        <v>0</v>
      </c>
      <c r="AZ353" s="36">
        <f t="shared" ca="1" si="668"/>
        <v>449280</v>
      </c>
      <c r="BA353" s="36">
        <f t="shared" ca="1" si="668"/>
        <v>449280</v>
      </c>
      <c r="BB353" s="36">
        <f t="shared" ca="1" si="668"/>
        <v>518400</v>
      </c>
      <c r="BC353" s="36">
        <f t="shared" ca="1" si="668"/>
        <v>518400</v>
      </c>
      <c r="BD353" s="36">
        <f t="shared" ca="1" si="668"/>
        <v>51840</v>
      </c>
      <c r="BE353" s="36">
        <f t="shared" ca="1" si="668"/>
        <v>51840</v>
      </c>
      <c r="BF353" s="36">
        <f t="shared" ca="1" si="668"/>
        <v>691200</v>
      </c>
      <c r="BG353" s="36">
        <f t="shared" ca="1" si="668"/>
        <v>820800</v>
      </c>
      <c r="BH353" s="36">
        <f t="shared" ca="1" si="668"/>
        <v>129600</v>
      </c>
      <c r="BI353" s="36">
        <f t="shared" ca="1" si="668"/>
        <v>1132704</v>
      </c>
      <c r="BJ353" s="36">
        <f t="shared" ca="1" si="623"/>
        <v>1132704</v>
      </c>
      <c r="BK353" s="36">
        <f t="shared" ca="1" si="624"/>
        <v>0</v>
      </c>
      <c r="BL353" s="36">
        <f t="shared" ca="1" si="625"/>
        <v>1280448</v>
      </c>
      <c r="BM353" s="36">
        <f t="shared" ca="1" si="626"/>
        <v>1280448</v>
      </c>
      <c r="BN353" s="36">
        <f t="shared" ca="1" si="627"/>
        <v>1477440</v>
      </c>
      <c r="BO353" s="36">
        <f t="shared" ca="1" si="628"/>
        <v>1477440</v>
      </c>
      <c r="BP353" s="36">
        <f t="shared" ca="1" si="629"/>
        <v>147744</v>
      </c>
      <c r="BQ353" s="36">
        <f t="shared" ca="1" si="630"/>
        <v>147744</v>
      </c>
      <c r="BR353" s="36">
        <f t="shared" ca="1" si="631"/>
        <v>1969920</v>
      </c>
      <c r="BS353" s="36">
        <f t="shared" ca="1" si="632"/>
        <v>2339280</v>
      </c>
      <c r="BT353" s="36">
        <f t="shared" ca="1" si="633"/>
        <v>369360</v>
      </c>
      <c r="BU353" s="36">
        <f t="shared" ca="1" si="634"/>
        <v>2831760</v>
      </c>
      <c r="BV353" s="36">
        <f t="shared" ca="1" si="635"/>
        <v>2831760</v>
      </c>
      <c r="BW353" s="36">
        <f t="shared" ca="1" si="636"/>
        <v>0</v>
      </c>
      <c r="BX353" s="36">
        <f t="shared" ca="1" si="637"/>
        <v>3201120</v>
      </c>
      <c r="BY353" s="36">
        <f t="shared" ca="1" si="638"/>
        <v>3201120</v>
      </c>
      <c r="BZ353" s="36">
        <f t="shared" ca="1" si="639"/>
        <v>3693600</v>
      </c>
      <c r="CA353" s="36">
        <f t="shared" ca="1" si="640"/>
        <v>3693600</v>
      </c>
      <c r="CB353" s="36">
        <f t="shared" ca="1" si="641"/>
        <v>369360</v>
      </c>
      <c r="CC353" s="36">
        <f t="shared" ca="1" si="642"/>
        <v>369360</v>
      </c>
      <c r="CD353" s="36">
        <f t="shared" ca="1" si="643"/>
        <v>4924800</v>
      </c>
      <c r="CE353" s="36">
        <f t="shared" ca="1" si="644"/>
        <v>5848200</v>
      </c>
      <c r="CF353" s="36">
        <f t="shared" ca="1" si="645"/>
        <v>923400</v>
      </c>
      <c r="CG353" s="36">
        <f t="shared" ca="1" si="646"/>
        <v>4955580</v>
      </c>
      <c r="CH353" s="36">
        <f t="shared" ca="1" si="647"/>
        <v>4955580</v>
      </c>
      <c r="CI353" s="36">
        <f t="shared" ca="1" si="648"/>
        <v>0</v>
      </c>
      <c r="CJ353" s="36">
        <f t="shared" ca="1" si="649"/>
        <v>5601960</v>
      </c>
      <c r="CK353" s="36">
        <f t="shared" ca="1" si="650"/>
        <v>5601960</v>
      </c>
      <c r="CL353" s="36">
        <f t="shared" ca="1" si="651"/>
        <v>6463800</v>
      </c>
      <c r="CM353" s="36">
        <f t="shared" ca="1" si="652"/>
        <v>6463800</v>
      </c>
      <c r="CN353" s="36">
        <f t="shared" ca="1" si="653"/>
        <v>646380</v>
      </c>
      <c r="CO353" s="36">
        <f t="shared" ca="1" si="654"/>
        <v>646380</v>
      </c>
      <c r="CP353" s="36">
        <f t="shared" ca="1" si="655"/>
        <v>8618400</v>
      </c>
      <c r="CQ353" s="36">
        <f t="shared" ca="1" si="656"/>
        <v>10234350</v>
      </c>
      <c r="CR353" s="36">
        <f t="shared" ca="1" si="657"/>
        <v>4506705</v>
      </c>
      <c r="CS353" s="36">
        <f t="shared" ca="1" si="658"/>
        <v>5781510</v>
      </c>
      <c r="CT353" s="36">
        <f t="shared" ca="1" si="659"/>
        <v>5781510</v>
      </c>
      <c r="CU353" s="36">
        <f t="shared" ca="1" si="668"/>
        <v>2890755</v>
      </c>
      <c r="CV353" s="36">
        <f t="shared" ca="1" si="668"/>
        <v>0</v>
      </c>
      <c r="CW353" s="21"/>
    </row>
    <row r="354" spans="4:101" x14ac:dyDescent="0.25">
      <c r="D354" s="35" t="str">
        <f>[1]Key!$W$22</f>
        <v>SUNFLOWER</v>
      </c>
      <c r="F354" s="41"/>
      <c r="G354" s="21"/>
      <c r="H354" s="21"/>
      <c r="I354" s="21"/>
      <c r="J354" s="21"/>
      <c r="K354" s="21"/>
      <c r="L354" s="21"/>
      <c r="M354" s="21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36"/>
      <c r="Z354" s="36">
        <f t="shared" ref="Z354:CV355" ca="1" si="669">Y354+Z318-Z336</f>
        <v>0</v>
      </c>
      <c r="AA354" s="36">
        <f t="shared" ca="1" si="669"/>
        <v>0</v>
      </c>
      <c r="AB354" s="36">
        <f t="shared" ca="1" si="669"/>
        <v>0</v>
      </c>
      <c r="AC354" s="36">
        <f t="shared" ca="1" si="669"/>
        <v>0</v>
      </c>
      <c r="AD354" s="36">
        <f t="shared" ca="1" si="669"/>
        <v>0</v>
      </c>
      <c r="AE354" s="36">
        <f t="shared" ca="1" si="669"/>
        <v>0</v>
      </c>
      <c r="AF354" s="36">
        <f t="shared" ca="1" si="669"/>
        <v>0</v>
      </c>
      <c r="AG354" s="36">
        <f t="shared" ca="1" si="669"/>
        <v>0</v>
      </c>
      <c r="AH354" s="36">
        <f t="shared" ca="1" si="669"/>
        <v>0</v>
      </c>
      <c r="AI354" s="36">
        <f t="shared" ca="1" si="669"/>
        <v>0</v>
      </c>
      <c r="AJ354" s="36">
        <f t="shared" ca="1" si="669"/>
        <v>0</v>
      </c>
      <c r="AK354" s="36">
        <f t="shared" ca="1" si="669"/>
        <v>283500.00000000006</v>
      </c>
      <c r="AL354" s="36">
        <f t="shared" ca="1" si="669"/>
        <v>283500.00000000006</v>
      </c>
      <c r="AM354" s="36">
        <f t="shared" ca="1" si="669"/>
        <v>0</v>
      </c>
      <c r="AN354" s="36">
        <f t="shared" ca="1" si="669"/>
        <v>0</v>
      </c>
      <c r="AO354" s="36">
        <f t="shared" ca="1" si="669"/>
        <v>0</v>
      </c>
      <c r="AP354" s="36">
        <f t="shared" ca="1" si="669"/>
        <v>0</v>
      </c>
      <c r="AQ354" s="36">
        <f t="shared" ca="1" si="669"/>
        <v>567000.00000000012</v>
      </c>
      <c r="AR354" s="36">
        <f t="shared" ca="1" si="669"/>
        <v>567000.00000000012</v>
      </c>
      <c r="AS354" s="36">
        <f t="shared" ca="1" si="669"/>
        <v>0</v>
      </c>
      <c r="AT354" s="36">
        <f t="shared" ca="1" si="669"/>
        <v>0</v>
      </c>
      <c r="AU354" s="36">
        <f t="shared" ca="1" si="669"/>
        <v>0</v>
      </c>
      <c r="AV354" s="36">
        <f t="shared" ca="1" si="669"/>
        <v>0</v>
      </c>
      <c r="AW354" s="36">
        <f t="shared" ca="1" si="669"/>
        <v>567000.00000000012</v>
      </c>
      <c r="AX354" s="36">
        <f t="shared" ca="1" si="669"/>
        <v>567000.00000000012</v>
      </c>
      <c r="AY354" s="36">
        <f t="shared" ca="1" si="669"/>
        <v>0</v>
      </c>
      <c r="AZ354" s="36">
        <f t="shared" ca="1" si="669"/>
        <v>0</v>
      </c>
      <c r="BA354" s="36">
        <f t="shared" ca="1" si="669"/>
        <v>0</v>
      </c>
      <c r="BB354" s="36">
        <f t="shared" ca="1" si="669"/>
        <v>0</v>
      </c>
      <c r="BC354" s="36">
        <f t="shared" ca="1" si="669"/>
        <v>756000.00000000012</v>
      </c>
      <c r="BD354" s="36">
        <f t="shared" ca="1" si="669"/>
        <v>756000.00000000012</v>
      </c>
      <c r="BE354" s="36">
        <f t="shared" ca="1" si="669"/>
        <v>0</v>
      </c>
      <c r="BF354" s="36">
        <f t="shared" ca="1" si="669"/>
        <v>0</v>
      </c>
      <c r="BG354" s="36">
        <f t="shared" ca="1" si="669"/>
        <v>0</v>
      </c>
      <c r="BH354" s="36">
        <f t="shared" ca="1" si="669"/>
        <v>0</v>
      </c>
      <c r="BI354" s="36">
        <f t="shared" ca="1" si="669"/>
        <v>1077300</v>
      </c>
      <c r="BJ354" s="36">
        <f t="shared" ca="1" si="623"/>
        <v>1077300</v>
      </c>
      <c r="BK354" s="36">
        <f t="shared" ca="1" si="624"/>
        <v>0</v>
      </c>
      <c r="BL354" s="36">
        <f t="shared" ca="1" si="625"/>
        <v>0</v>
      </c>
      <c r="BM354" s="36">
        <f t="shared" ca="1" si="626"/>
        <v>0</v>
      </c>
      <c r="BN354" s="36">
        <f t="shared" ca="1" si="627"/>
        <v>0</v>
      </c>
      <c r="BO354" s="36">
        <f t="shared" ca="1" si="628"/>
        <v>1436400.0000000002</v>
      </c>
      <c r="BP354" s="36">
        <f t="shared" ca="1" si="629"/>
        <v>1436400.0000000002</v>
      </c>
      <c r="BQ354" s="36">
        <f t="shared" ca="1" si="630"/>
        <v>0</v>
      </c>
      <c r="BR354" s="36">
        <f t="shared" ca="1" si="631"/>
        <v>0</v>
      </c>
      <c r="BS354" s="36">
        <f t="shared" ca="1" si="632"/>
        <v>0</v>
      </c>
      <c r="BT354" s="36">
        <f t="shared" ca="1" si="633"/>
        <v>0</v>
      </c>
      <c r="BU354" s="36">
        <f t="shared" ca="1" si="634"/>
        <v>1615950.0000000002</v>
      </c>
      <c r="BV354" s="36">
        <f t="shared" ca="1" si="635"/>
        <v>1615950.0000000002</v>
      </c>
      <c r="BW354" s="36">
        <f t="shared" ca="1" si="636"/>
        <v>0</v>
      </c>
      <c r="BX354" s="36">
        <f t="shared" ca="1" si="637"/>
        <v>0</v>
      </c>
      <c r="BY354" s="36">
        <f t="shared" ca="1" si="638"/>
        <v>0</v>
      </c>
      <c r="BZ354" s="36">
        <f t="shared" ca="1" si="639"/>
        <v>0</v>
      </c>
      <c r="CA354" s="36">
        <f t="shared" ca="1" si="640"/>
        <v>2154600</v>
      </c>
      <c r="CB354" s="36">
        <f t="shared" ca="1" si="641"/>
        <v>2154600</v>
      </c>
      <c r="CC354" s="36">
        <f t="shared" ca="1" si="642"/>
        <v>0</v>
      </c>
      <c r="CD354" s="36">
        <f t="shared" ca="1" si="643"/>
        <v>0</v>
      </c>
      <c r="CE354" s="36">
        <f t="shared" ca="1" si="644"/>
        <v>0</v>
      </c>
      <c r="CF354" s="36">
        <f t="shared" ca="1" si="645"/>
        <v>0</v>
      </c>
      <c r="CG354" s="36">
        <f t="shared" ca="1" si="646"/>
        <v>2100735</v>
      </c>
      <c r="CH354" s="36">
        <f t="shared" ca="1" si="647"/>
        <v>2100735</v>
      </c>
      <c r="CI354" s="36">
        <f t="shared" ca="1" si="648"/>
        <v>0</v>
      </c>
      <c r="CJ354" s="36">
        <f t="shared" ca="1" si="649"/>
        <v>0</v>
      </c>
      <c r="CK354" s="36">
        <f t="shared" ca="1" si="650"/>
        <v>0</v>
      </c>
      <c r="CL354" s="36">
        <f t="shared" ca="1" si="651"/>
        <v>0</v>
      </c>
      <c r="CM354" s="36">
        <f t="shared" ca="1" si="652"/>
        <v>2800980.0000000005</v>
      </c>
      <c r="CN354" s="36">
        <f t="shared" ca="1" si="653"/>
        <v>2800980.0000000005</v>
      </c>
      <c r="CO354" s="36">
        <f t="shared" ca="1" si="654"/>
        <v>0</v>
      </c>
      <c r="CP354" s="36">
        <f t="shared" ca="1" si="655"/>
        <v>0</v>
      </c>
      <c r="CQ354" s="36">
        <f t="shared" ca="1" si="656"/>
        <v>0</v>
      </c>
      <c r="CR354" s="36">
        <f t="shared" ca="1" si="657"/>
        <v>466830.00000000006</v>
      </c>
      <c r="CS354" s="36">
        <f t="shared" ca="1" si="658"/>
        <v>933660.00000000012</v>
      </c>
      <c r="CT354" s="36">
        <f t="shared" ca="1" si="659"/>
        <v>933660.00000000023</v>
      </c>
      <c r="CU354" s="36">
        <f t="shared" ca="1" si="669"/>
        <v>466830.00000000017</v>
      </c>
      <c r="CV354" s="36">
        <f t="shared" ca="1" si="669"/>
        <v>0</v>
      </c>
      <c r="CW354" s="21"/>
    </row>
    <row r="355" spans="4:101" x14ac:dyDescent="0.25">
      <c r="D355" s="35" t="str">
        <f>[1]Key!$W$23</f>
        <v>Corporate</v>
      </c>
      <c r="F355" s="41"/>
      <c r="G355" s="21"/>
      <c r="H355" s="21"/>
      <c r="I355" s="21"/>
      <c r="J355" s="21"/>
      <c r="K355" s="21"/>
      <c r="L355" s="21"/>
      <c r="M355" s="21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60">
        <f>$Y$6</f>
        <v>644400.83000000007</v>
      </c>
      <c r="Z355" s="36">
        <f ca="1">Y355+Z319-Z337</f>
        <v>644400.83000000007</v>
      </c>
      <c r="AA355" s="36">
        <f t="shared" ca="1" si="669"/>
        <v>0</v>
      </c>
      <c r="AB355" s="36">
        <f t="shared" ca="1" si="669"/>
        <v>0</v>
      </c>
      <c r="AC355" s="36">
        <f t="shared" ca="1" si="669"/>
        <v>0</v>
      </c>
      <c r="AD355" s="36">
        <f t="shared" ca="1" si="669"/>
        <v>0</v>
      </c>
      <c r="AE355" s="36">
        <f t="shared" ca="1" si="669"/>
        <v>0</v>
      </c>
      <c r="AF355" s="36">
        <f t="shared" ca="1" si="669"/>
        <v>0</v>
      </c>
      <c r="AG355" s="36">
        <f t="shared" ca="1" si="669"/>
        <v>0</v>
      </c>
      <c r="AH355" s="36">
        <f t="shared" ca="1" si="669"/>
        <v>0</v>
      </c>
      <c r="AI355" s="36">
        <f t="shared" ca="1" si="669"/>
        <v>0</v>
      </c>
      <c r="AJ355" s="36">
        <f t="shared" ca="1" si="669"/>
        <v>0</v>
      </c>
      <c r="AK355" s="36">
        <f t="shared" ca="1" si="669"/>
        <v>0</v>
      </c>
      <c r="AL355" s="36">
        <f t="shared" ca="1" si="669"/>
        <v>0</v>
      </c>
      <c r="AM355" s="36">
        <f t="shared" ca="1" si="669"/>
        <v>0</v>
      </c>
      <c r="AN355" s="36">
        <f t="shared" ca="1" si="669"/>
        <v>0</v>
      </c>
      <c r="AO355" s="36">
        <f t="shared" ca="1" si="669"/>
        <v>0</v>
      </c>
      <c r="AP355" s="36">
        <f t="shared" ca="1" si="669"/>
        <v>0</v>
      </c>
      <c r="AQ355" s="36">
        <f t="shared" ca="1" si="669"/>
        <v>0</v>
      </c>
      <c r="AR355" s="36">
        <f t="shared" ca="1" si="669"/>
        <v>0</v>
      </c>
      <c r="AS355" s="36">
        <f t="shared" ca="1" si="669"/>
        <v>0</v>
      </c>
      <c r="AT355" s="36">
        <f t="shared" ca="1" si="669"/>
        <v>0</v>
      </c>
      <c r="AU355" s="36">
        <f t="shared" ca="1" si="669"/>
        <v>0</v>
      </c>
      <c r="AV355" s="36">
        <f t="shared" ca="1" si="669"/>
        <v>0</v>
      </c>
      <c r="AW355" s="36">
        <f t="shared" ca="1" si="669"/>
        <v>0</v>
      </c>
      <c r="AX355" s="36">
        <f t="shared" ca="1" si="669"/>
        <v>0</v>
      </c>
      <c r="AY355" s="36">
        <f t="shared" ca="1" si="669"/>
        <v>0</v>
      </c>
      <c r="AZ355" s="36">
        <f t="shared" ca="1" si="669"/>
        <v>0</v>
      </c>
      <c r="BA355" s="36">
        <f t="shared" ca="1" si="669"/>
        <v>0</v>
      </c>
      <c r="BB355" s="36">
        <f t="shared" ca="1" si="669"/>
        <v>0</v>
      </c>
      <c r="BC355" s="36">
        <f t="shared" ca="1" si="669"/>
        <v>0</v>
      </c>
      <c r="BD355" s="36">
        <f t="shared" ca="1" si="669"/>
        <v>0</v>
      </c>
      <c r="BE355" s="36">
        <f t="shared" ca="1" si="669"/>
        <v>0</v>
      </c>
      <c r="BF355" s="36">
        <f t="shared" ca="1" si="669"/>
        <v>0</v>
      </c>
      <c r="BG355" s="36">
        <f t="shared" ca="1" si="669"/>
        <v>0</v>
      </c>
      <c r="BH355" s="36">
        <f t="shared" ca="1" si="669"/>
        <v>0</v>
      </c>
      <c r="BI355" s="36">
        <f t="shared" ca="1" si="669"/>
        <v>0</v>
      </c>
      <c r="BJ355" s="36">
        <f t="shared" ca="1" si="623"/>
        <v>0</v>
      </c>
      <c r="BK355" s="36">
        <f t="shared" ca="1" si="624"/>
        <v>0</v>
      </c>
      <c r="BL355" s="36">
        <f t="shared" ca="1" si="625"/>
        <v>0</v>
      </c>
      <c r="BM355" s="36">
        <f t="shared" ca="1" si="626"/>
        <v>0</v>
      </c>
      <c r="BN355" s="36">
        <f t="shared" ca="1" si="627"/>
        <v>0</v>
      </c>
      <c r="BO355" s="36">
        <f t="shared" ca="1" si="628"/>
        <v>0</v>
      </c>
      <c r="BP355" s="36">
        <f t="shared" ca="1" si="629"/>
        <v>0</v>
      </c>
      <c r="BQ355" s="36">
        <f t="shared" ca="1" si="630"/>
        <v>0</v>
      </c>
      <c r="BR355" s="36">
        <f t="shared" ca="1" si="631"/>
        <v>0</v>
      </c>
      <c r="BS355" s="36">
        <f t="shared" ca="1" si="632"/>
        <v>0</v>
      </c>
      <c r="BT355" s="36">
        <f t="shared" ca="1" si="633"/>
        <v>0</v>
      </c>
      <c r="BU355" s="36">
        <f t="shared" ca="1" si="634"/>
        <v>0</v>
      </c>
      <c r="BV355" s="36">
        <f t="shared" ca="1" si="635"/>
        <v>0</v>
      </c>
      <c r="BW355" s="36">
        <f t="shared" ca="1" si="636"/>
        <v>0</v>
      </c>
      <c r="BX355" s="36">
        <f t="shared" ca="1" si="637"/>
        <v>0</v>
      </c>
      <c r="BY355" s="36">
        <f t="shared" ca="1" si="638"/>
        <v>0</v>
      </c>
      <c r="BZ355" s="36">
        <f t="shared" ca="1" si="639"/>
        <v>0</v>
      </c>
      <c r="CA355" s="36">
        <f t="shared" ca="1" si="640"/>
        <v>0</v>
      </c>
      <c r="CB355" s="36">
        <f t="shared" ca="1" si="641"/>
        <v>0</v>
      </c>
      <c r="CC355" s="36">
        <f t="shared" ca="1" si="642"/>
        <v>0</v>
      </c>
      <c r="CD355" s="36">
        <f t="shared" ca="1" si="643"/>
        <v>0</v>
      </c>
      <c r="CE355" s="36">
        <f t="shared" ca="1" si="644"/>
        <v>0</v>
      </c>
      <c r="CF355" s="36">
        <f t="shared" ca="1" si="645"/>
        <v>0</v>
      </c>
      <c r="CG355" s="36">
        <f t="shared" ca="1" si="646"/>
        <v>0</v>
      </c>
      <c r="CH355" s="36">
        <f t="shared" ca="1" si="647"/>
        <v>0</v>
      </c>
      <c r="CI355" s="36">
        <f t="shared" ca="1" si="648"/>
        <v>0</v>
      </c>
      <c r="CJ355" s="36">
        <f t="shared" ca="1" si="649"/>
        <v>0</v>
      </c>
      <c r="CK355" s="36">
        <f t="shared" ca="1" si="650"/>
        <v>0</v>
      </c>
      <c r="CL355" s="36">
        <f t="shared" ca="1" si="651"/>
        <v>0</v>
      </c>
      <c r="CM355" s="36">
        <f t="shared" ca="1" si="652"/>
        <v>0</v>
      </c>
      <c r="CN355" s="36">
        <f t="shared" ca="1" si="653"/>
        <v>0</v>
      </c>
      <c r="CO355" s="36">
        <f t="shared" ca="1" si="654"/>
        <v>0</v>
      </c>
      <c r="CP355" s="36">
        <f t="shared" ca="1" si="655"/>
        <v>0</v>
      </c>
      <c r="CQ355" s="36">
        <f t="shared" ca="1" si="656"/>
        <v>0</v>
      </c>
      <c r="CR355" s="36">
        <f t="shared" ca="1" si="657"/>
        <v>0</v>
      </c>
      <c r="CS355" s="36">
        <f t="shared" ca="1" si="658"/>
        <v>0</v>
      </c>
      <c r="CT355" s="36">
        <f t="shared" ca="1" si="659"/>
        <v>0</v>
      </c>
      <c r="CU355" s="36">
        <f t="shared" ca="1" si="669"/>
        <v>0</v>
      </c>
      <c r="CV355" s="36">
        <f t="shared" ca="1" si="669"/>
        <v>0</v>
      </c>
      <c r="CW355" s="21"/>
    </row>
    <row r="356" spans="4:101" x14ac:dyDescent="0.25">
      <c r="F356" s="21"/>
      <c r="G356" s="21"/>
      <c r="H356" s="21"/>
      <c r="I356" s="21"/>
      <c r="J356" s="21"/>
      <c r="K356" s="21"/>
      <c r="L356" s="21"/>
      <c r="M356" s="21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  <c r="CM356" s="39"/>
      <c r="CN356" s="39"/>
      <c r="CO356" s="39"/>
      <c r="CP356" s="39"/>
      <c r="CQ356" s="39"/>
      <c r="CR356" s="39"/>
      <c r="CS356" s="39"/>
      <c r="CT356" s="39"/>
      <c r="CU356" s="39"/>
      <c r="CV356" s="39"/>
      <c r="CW356" s="21"/>
    </row>
    <row r="357" spans="4:101" x14ac:dyDescent="0.25">
      <c r="D357" s="38" t="s">
        <v>152</v>
      </c>
      <c r="F357" s="21"/>
      <c r="G357" s="21"/>
      <c r="H357" s="21"/>
      <c r="I357" s="21"/>
      <c r="J357" s="21"/>
      <c r="K357" s="21"/>
      <c r="L357" s="21"/>
      <c r="M357" s="21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37">
        <f>SUM(Y344:Y355)</f>
        <v>644400.83000000007</v>
      </c>
      <c r="Z357" s="37">
        <f ca="1">SUM(Z344:Z355)</f>
        <v>783120.83000000007</v>
      </c>
      <c r="AA357" s="37">
        <f t="shared" ref="AA357:CV357" ca="1" si="670">SUM(AA344:AA355)</f>
        <v>153170</v>
      </c>
      <c r="AB357" s="37">
        <f t="shared" ca="1" si="670"/>
        <v>14450</v>
      </c>
      <c r="AC357" s="37">
        <f t="shared" ca="1" si="670"/>
        <v>14450</v>
      </c>
      <c r="AD357" s="37">
        <f t="shared" ca="1" si="670"/>
        <v>361250</v>
      </c>
      <c r="AE357" s="37">
        <f t="shared" ca="1" si="670"/>
        <v>346800</v>
      </c>
      <c r="AF357" s="37">
        <f t="shared" ca="1" si="670"/>
        <v>28900</v>
      </c>
      <c r="AG357" s="37">
        <f t="shared" ca="1" si="670"/>
        <v>53200</v>
      </c>
      <c r="AH357" s="37">
        <f t="shared" ca="1" si="670"/>
        <v>161160</v>
      </c>
      <c r="AI357" s="37">
        <f t="shared" ca="1" si="670"/>
        <v>412780</v>
      </c>
      <c r="AJ357" s="37">
        <f t="shared" ca="1" si="670"/>
        <v>334240</v>
      </c>
      <c r="AK357" s="37">
        <f t="shared" ca="1" si="670"/>
        <v>919340</v>
      </c>
      <c r="AL357" s="37">
        <f t="shared" ca="1" si="670"/>
        <v>993340</v>
      </c>
      <c r="AM357" s="37">
        <f t="shared" ca="1" si="670"/>
        <v>132320</v>
      </c>
      <c r="AN357" s="37">
        <f t="shared" ca="1" si="670"/>
        <v>357400</v>
      </c>
      <c r="AO357" s="37">
        <f t="shared" ca="1" si="670"/>
        <v>984740</v>
      </c>
      <c r="AP357" s="37">
        <f t="shared" ca="1" si="670"/>
        <v>813380</v>
      </c>
      <c r="AQ357" s="37">
        <f t="shared" ca="1" si="670"/>
        <v>1175040</v>
      </c>
      <c r="AR357" s="37">
        <f t="shared" ca="1" si="670"/>
        <v>1931840</v>
      </c>
      <c r="AS357" s="37">
        <f t="shared" ca="1" si="670"/>
        <v>1534680</v>
      </c>
      <c r="AT357" s="37">
        <f t="shared" ca="1" si="670"/>
        <v>1182400</v>
      </c>
      <c r="AU357" s="37">
        <f t="shared" ca="1" si="670"/>
        <v>1799220</v>
      </c>
      <c r="AV357" s="37">
        <f t="shared" ca="1" si="670"/>
        <v>3525820</v>
      </c>
      <c r="AW357" s="37">
        <f t="shared" ca="1" si="670"/>
        <v>4589480</v>
      </c>
      <c r="AX357" s="37">
        <f t="shared" ca="1" si="670"/>
        <v>2648160</v>
      </c>
      <c r="AY357" s="37">
        <f t="shared" ca="1" si="670"/>
        <v>1258340</v>
      </c>
      <c r="AZ357" s="37">
        <f t="shared" ca="1" si="670"/>
        <v>1883380</v>
      </c>
      <c r="BA357" s="37">
        <f t="shared" ca="1" si="670"/>
        <v>2361680</v>
      </c>
      <c r="BB357" s="37">
        <f t="shared" ca="1" si="670"/>
        <v>5047400</v>
      </c>
      <c r="BC357" s="37">
        <f t="shared" ca="1" si="670"/>
        <v>5134880</v>
      </c>
      <c r="BD357" s="37">
        <f t="shared" ca="1" si="670"/>
        <v>3027240</v>
      </c>
      <c r="BE357" s="37">
        <f t="shared" ca="1" si="670"/>
        <v>3329780</v>
      </c>
      <c r="BF357" s="37">
        <f t="shared" ca="1" si="670"/>
        <v>3090420</v>
      </c>
      <c r="BG357" s="37">
        <f t="shared" ca="1" si="670"/>
        <v>2590240</v>
      </c>
      <c r="BH357" s="37">
        <f t="shared" ca="1" si="670"/>
        <v>6723115</v>
      </c>
      <c r="BI357" s="37">
        <f t="shared" ca="1" si="670"/>
        <v>10634794</v>
      </c>
      <c r="BJ357" s="37">
        <f t="shared" ref="BJ357:CS357" ca="1" si="671">SUM(BJ344:BJ355)</f>
        <v>5999535</v>
      </c>
      <c r="BK357" s="37">
        <f t="shared" ca="1" si="671"/>
        <v>2522753.5</v>
      </c>
      <c r="BL357" s="37">
        <f t="shared" ca="1" si="671"/>
        <v>4214475.5</v>
      </c>
      <c r="BM357" s="37">
        <f t="shared" ca="1" si="671"/>
        <v>5625406</v>
      </c>
      <c r="BN357" s="37">
        <f t="shared" ca="1" si="671"/>
        <v>12549823</v>
      </c>
      <c r="BO357" s="37">
        <f t="shared" ca="1" si="671"/>
        <v>12472360</v>
      </c>
      <c r="BP357" s="37">
        <f t="shared" ca="1" si="671"/>
        <v>6535107</v>
      </c>
      <c r="BQ357" s="37">
        <f t="shared" ca="1" si="671"/>
        <v>6851447.5</v>
      </c>
      <c r="BR357" s="37">
        <f t="shared" ca="1" si="671"/>
        <v>6832903.5</v>
      </c>
      <c r="BS357" s="37">
        <f t="shared" ca="1" si="671"/>
        <v>6463724</v>
      </c>
      <c r="BT357" s="37">
        <f t="shared" ca="1" si="671"/>
        <v>15352185.25</v>
      </c>
      <c r="BU357" s="37">
        <f t="shared" ca="1" si="671"/>
        <v>22385030.5</v>
      </c>
      <c r="BV357" s="37">
        <f t="shared" ca="1" si="671"/>
        <v>11408735.25</v>
      </c>
      <c r="BW357" s="37">
        <f t="shared" ca="1" si="671"/>
        <v>3949014.625</v>
      </c>
      <c r="BX357" s="37">
        <f t="shared" ca="1" si="671"/>
        <v>7863708.125</v>
      </c>
      <c r="BY357" s="37">
        <f t="shared" ca="1" si="671"/>
        <v>11454254.5</v>
      </c>
      <c r="BZ357" s="37">
        <f t="shared" ca="1" si="671"/>
        <v>29455068.25</v>
      </c>
      <c r="CA357" s="37">
        <f t="shared" ca="1" si="671"/>
        <v>28187830</v>
      </c>
      <c r="CB357" s="37">
        <f t="shared" ca="1" si="671"/>
        <v>11727308.25</v>
      </c>
      <c r="CC357" s="37">
        <f t="shared" ca="1" si="671"/>
        <v>11878712.125</v>
      </c>
      <c r="CD357" s="37">
        <f t="shared" ca="1" si="671"/>
        <v>12833785.125</v>
      </c>
      <c r="CE357" s="37">
        <f t="shared" ca="1" si="671"/>
        <v>14081204</v>
      </c>
      <c r="CF357" s="37">
        <f t="shared" ca="1" si="671"/>
        <v>30708041.774999999</v>
      </c>
      <c r="CG357" s="37">
        <f t="shared" ca="1" si="671"/>
        <v>40251188.399999999</v>
      </c>
      <c r="CH357" s="37">
        <f t="shared" ca="1" si="671"/>
        <v>17852669.324999999</v>
      </c>
      <c r="CI357" s="37">
        <f t="shared" ca="1" si="671"/>
        <v>5364557.1375000002</v>
      </c>
      <c r="CJ357" s="37">
        <f t="shared" ca="1" si="671"/>
        <v>12029490.1875</v>
      </c>
      <c r="CK357" s="37">
        <f t="shared" ca="1" si="671"/>
        <v>18697527.600000001</v>
      </c>
      <c r="CL357" s="37">
        <f t="shared" ca="1" si="671"/>
        <v>57669090.225000001</v>
      </c>
      <c r="CM357" s="37">
        <f t="shared" ca="1" si="671"/>
        <v>54473703</v>
      </c>
      <c r="CN357" s="37">
        <f t="shared" ca="1" si="671"/>
        <v>17834932.350000001</v>
      </c>
      <c r="CO357" s="37">
        <f t="shared" ca="1" si="671"/>
        <v>17579407.762499999</v>
      </c>
      <c r="CP357" s="37">
        <f t="shared" ca="1" si="671"/>
        <v>19674518.287500001</v>
      </c>
      <c r="CQ357" s="37">
        <f t="shared" ca="1" si="671"/>
        <v>23651806.574999999</v>
      </c>
      <c r="CR357" s="37">
        <f t="shared" ca="1" si="671"/>
        <v>26461689.381250001</v>
      </c>
      <c r="CS357" s="37">
        <f t="shared" ca="1" si="671"/>
        <v>31901639.112500001</v>
      </c>
      <c r="CT357" s="37">
        <f t="shared" ca="1" si="670"/>
        <v>31901639.112500001</v>
      </c>
      <c r="CU357" s="37">
        <f t="shared" ca="1" si="670"/>
        <v>15950819.55625</v>
      </c>
      <c r="CV357" s="37">
        <f t="shared" ca="1" si="670"/>
        <v>0</v>
      </c>
      <c r="CW357" s="21"/>
    </row>
    <row r="358" spans="4:101" x14ac:dyDescent="0.25">
      <c r="D358" t="s">
        <v>168</v>
      </c>
      <c r="Z358" s="58">
        <f ca="1">Y357+Z321-Z339-Z357</f>
        <v>0</v>
      </c>
      <c r="AA358" s="58">
        <f t="shared" ref="AA358:CV358" ca="1" si="672">Z357+AA321-AA339-AA357</f>
        <v>0</v>
      </c>
      <c r="AB358" s="58">
        <f t="shared" ca="1" si="672"/>
        <v>0</v>
      </c>
      <c r="AC358" s="58">
        <f t="shared" ca="1" si="672"/>
        <v>0</v>
      </c>
      <c r="AD358" s="58">
        <f t="shared" ca="1" si="672"/>
        <v>0</v>
      </c>
      <c r="AE358" s="58">
        <f t="shared" ca="1" si="672"/>
        <v>0</v>
      </c>
      <c r="AF358" s="58">
        <f t="shared" ca="1" si="672"/>
        <v>0</v>
      </c>
      <c r="AG358" s="58">
        <f t="shared" ca="1" si="672"/>
        <v>0</v>
      </c>
      <c r="AH358" s="58">
        <f t="shared" ca="1" si="672"/>
        <v>0</v>
      </c>
      <c r="AI358" s="58">
        <f t="shared" ca="1" si="672"/>
        <v>0</v>
      </c>
      <c r="AJ358" s="58">
        <f t="shared" ca="1" si="672"/>
        <v>0</v>
      </c>
      <c r="AK358" s="58">
        <f t="shared" ca="1" si="672"/>
        <v>0</v>
      </c>
      <c r="AL358" s="58">
        <f t="shared" ca="1" si="672"/>
        <v>0</v>
      </c>
      <c r="AM358" s="58">
        <f t="shared" ca="1" si="672"/>
        <v>0</v>
      </c>
      <c r="AN358" s="58">
        <f t="shared" ca="1" si="672"/>
        <v>0</v>
      </c>
      <c r="AO358" s="58">
        <f t="shared" ca="1" si="672"/>
        <v>0</v>
      </c>
      <c r="AP358" s="58">
        <f t="shared" ca="1" si="672"/>
        <v>0</v>
      </c>
      <c r="AQ358" s="58">
        <f t="shared" ca="1" si="672"/>
        <v>0</v>
      </c>
      <c r="AR358" s="58">
        <f t="shared" ca="1" si="672"/>
        <v>0</v>
      </c>
      <c r="AS358" s="58">
        <f t="shared" ca="1" si="672"/>
        <v>0</v>
      </c>
      <c r="AT358" s="58">
        <f t="shared" ca="1" si="672"/>
        <v>0</v>
      </c>
      <c r="AU358" s="58">
        <f t="shared" ca="1" si="672"/>
        <v>0</v>
      </c>
      <c r="AV358" s="58">
        <f t="shared" ca="1" si="672"/>
        <v>0</v>
      </c>
      <c r="AW358" s="58">
        <f t="shared" ca="1" si="672"/>
        <v>0</v>
      </c>
      <c r="AX358" s="58">
        <f t="shared" ca="1" si="672"/>
        <v>0</v>
      </c>
      <c r="AY358" s="58">
        <f t="shared" ca="1" si="672"/>
        <v>0</v>
      </c>
      <c r="AZ358" s="58">
        <f t="shared" ca="1" si="672"/>
        <v>0</v>
      </c>
      <c r="BA358" s="58">
        <f t="shared" ca="1" si="672"/>
        <v>0</v>
      </c>
      <c r="BB358" s="58">
        <f t="shared" ca="1" si="672"/>
        <v>0</v>
      </c>
      <c r="BC358" s="58">
        <f t="shared" ca="1" si="672"/>
        <v>0</v>
      </c>
      <c r="BD358" s="58">
        <f t="shared" ca="1" si="672"/>
        <v>0</v>
      </c>
      <c r="BE358" s="58">
        <f t="shared" ca="1" si="672"/>
        <v>0</v>
      </c>
      <c r="BF358" s="58">
        <f t="shared" ca="1" si="672"/>
        <v>0</v>
      </c>
      <c r="BG358" s="58">
        <f t="shared" ca="1" si="672"/>
        <v>0</v>
      </c>
      <c r="BH358" s="58">
        <f t="shared" ca="1" si="672"/>
        <v>0</v>
      </c>
      <c r="BI358" s="58">
        <f t="shared" ca="1" si="672"/>
        <v>0</v>
      </c>
      <c r="BJ358" s="58">
        <f t="shared" ref="BJ358" ca="1" si="673">BI357+BJ321-BJ339-BJ357</f>
        <v>0</v>
      </c>
      <c r="BK358" s="58">
        <f t="shared" ref="BK358" ca="1" si="674">BJ357+BK321-BK339-BK357</f>
        <v>0</v>
      </c>
      <c r="BL358" s="58">
        <f t="shared" ref="BL358" ca="1" si="675">BK357+BL321-BL339-BL357</f>
        <v>0</v>
      </c>
      <c r="BM358" s="58">
        <f t="shared" ref="BM358" ca="1" si="676">BL357+BM321-BM339-BM357</f>
        <v>0</v>
      </c>
      <c r="BN358" s="58">
        <f t="shared" ref="BN358" ca="1" si="677">BM357+BN321-BN339-BN357</f>
        <v>0</v>
      </c>
      <c r="BO358" s="58">
        <f t="shared" ref="BO358" ca="1" si="678">BN357+BO321-BO339-BO357</f>
        <v>0</v>
      </c>
      <c r="BP358" s="58">
        <f t="shared" ref="BP358" ca="1" si="679">BO357+BP321-BP339-BP357</f>
        <v>0</v>
      </c>
      <c r="BQ358" s="58">
        <f t="shared" ref="BQ358" ca="1" si="680">BP357+BQ321-BQ339-BQ357</f>
        <v>0</v>
      </c>
      <c r="BR358" s="58">
        <f t="shared" ref="BR358" ca="1" si="681">BQ357+BR321-BR339-BR357</f>
        <v>0</v>
      </c>
      <c r="BS358" s="58">
        <f t="shared" ref="BS358" ca="1" si="682">BR357+BS321-BS339-BS357</f>
        <v>0</v>
      </c>
      <c r="BT358" s="58">
        <f t="shared" ref="BT358" ca="1" si="683">BS357+BT321-BT339-BT357</f>
        <v>0</v>
      </c>
      <c r="BU358" s="58">
        <f t="shared" ref="BU358" ca="1" si="684">BT357+BU321-BU339-BU357</f>
        <v>0</v>
      </c>
      <c r="BV358" s="58">
        <f t="shared" ref="BV358" ca="1" si="685">BU357+BV321-BV339-BV357</f>
        <v>0</v>
      </c>
      <c r="BW358" s="58">
        <f t="shared" ref="BW358" ca="1" si="686">BV357+BW321-BW339-BW357</f>
        <v>0</v>
      </c>
      <c r="BX358" s="58">
        <f t="shared" ref="BX358" ca="1" si="687">BW357+BX321-BX339-BX357</f>
        <v>0</v>
      </c>
      <c r="BY358" s="58">
        <f t="shared" ref="BY358" ca="1" si="688">BX357+BY321-BY339-BY357</f>
        <v>0</v>
      </c>
      <c r="BZ358" s="58">
        <f t="shared" ref="BZ358" ca="1" si="689">BY357+BZ321-BZ339-BZ357</f>
        <v>0</v>
      </c>
      <c r="CA358" s="58">
        <f t="shared" ref="CA358" ca="1" si="690">BZ357+CA321-CA339-CA357</f>
        <v>0</v>
      </c>
      <c r="CB358" s="58">
        <f t="shared" ref="CB358" ca="1" si="691">CA357+CB321-CB339-CB357</f>
        <v>0</v>
      </c>
      <c r="CC358" s="58">
        <f t="shared" ref="CC358" ca="1" si="692">CB357+CC321-CC339-CC357</f>
        <v>0</v>
      </c>
      <c r="CD358" s="58">
        <f t="shared" ref="CD358" ca="1" si="693">CC357+CD321-CD339-CD357</f>
        <v>0</v>
      </c>
      <c r="CE358" s="58">
        <f t="shared" ref="CE358" ca="1" si="694">CD357+CE321-CE339-CE357</f>
        <v>0</v>
      </c>
      <c r="CF358" s="58">
        <f t="shared" ref="CF358" ca="1" si="695">CE357+CF321-CF339-CF357</f>
        <v>0</v>
      </c>
      <c r="CG358" s="58">
        <f t="shared" ref="CG358" ca="1" si="696">CF357+CG321-CG339-CG357</f>
        <v>0</v>
      </c>
      <c r="CH358" s="58">
        <f t="shared" ref="CH358" ca="1" si="697">CG357+CH321-CH339-CH357</f>
        <v>0</v>
      </c>
      <c r="CI358" s="58">
        <f t="shared" ref="CI358" ca="1" si="698">CH357+CI321-CI339-CI357</f>
        <v>0</v>
      </c>
      <c r="CJ358" s="58">
        <f t="shared" ref="CJ358" ca="1" si="699">CI357+CJ321-CJ339-CJ357</f>
        <v>0</v>
      </c>
      <c r="CK358" s="58">
        <f t="shared" ref="CK358" ca="1" si="700">CJ357+CK321-CK339-CK357</f>
        <v>0</v>
      </c>
      <c r="CL358" s="58">
        <f t="shared" ref="CL358" ca="1" si="701">CK357+CL321-CL339-CL357</f>
        <v>0</v>
      </c>
      <c r="CM358" s="58">
        <f t="shared" ref="CM358" ca="1" si="702">CL357+CM321-CM339-CM357</f>
        <v>0</v>
      </c>
      <c r="CN358" s="58">
        <f t="shared" ref="CN358" ca="1" si="703">CM357+CN321-CN339-CN357</f>
        <v>0</v>
      </c>
      <c r="CO358" s="58">
        <f t="shared" ref="CO358" ca="1" si="704">CN357+CO321-CO339-CO357</f>
        <v>0</v>
      </c>
      <c r="CP358" s="58">
        <f t="shared" ref="CP358" ca="1" si="705">CO357+CP321-CP339-CP357</f>
        <v>0</v>
      </c>
      <c r="CQ358" s="58">
        <f t="shared" ref="CQ358" ca="1" si="706">CP357+CQ321-CQ339-CQ357</f>
        <v>0</v>
      </c>
      <c r="CR358" s="58">
        <f t="shared" ref="CR358" ca="1" si="707">CQ357+CR321-CR339-CR357</f>
        <v>0</v>
      </c>
      <c r="CS358" s="58">
        <f t="shared" ref="CS358" ca="1" si="708">CR357+CS321-CS339-CS357</f>
        <v>0</v>
      </c>
      <c r="CT358" s="58">
        <f ca="1">CS357+CT321-CT339-CT357</f>
        <v>0</v>
      </c>
      <c r="CU358" s="58">
        <f t="shared" ca="1" si="672"/>
        <v>0</v>
      </c>
      <c r="CV358" s="16">
        <f t="shared" ca="1" si="672"/>
        <v>0</v>
      </c>
    </row>
    <row r="359" spans="4:101" x14ac:dyDescent="0.25">
      <c r="CV359" s="5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5608-9EEA-406F-B0D6-3CCF0D2C5702}">
  <dimension ref="A1:CH131"/>
  <sheetViews>
    <sheetView showGridLines="0" zoomScaleNormal="100" workbookViewId="0">
      <pane xSplit="2" ySplit="5" topLeftCell="N24" activePane="bottomRight" state="frozen"/>
      <selection pane="topRight" activeCell="B1" sqref="B1"/>
      <selection pane="bottomLeft" activeCell="A6" sqref="A6"/>
      <selection pane="bottomRight" activeCell="O7" sqref="O7"/>
    </sheetView>
  </sheetViews>
  <sheetFormatPr defaultColWidth="8.85546875" defaultRowHeight="15" x14ac:dyDescent="0.25"/>
  <cols>
    <col min="1" max="1" width="19.7109375" style="29" bestFit="1" customWidth="1"/>
    <col min="2" max="2" width="58.85546875" style="29" bestFit="1" customWidth="1"/>
    <col min="3" max="14" width="12.7109375" style="29" bestFit="1" customWidth="1"/>
    <col min="15" max="86" width="12.7109375" style="87" bestFit="1" customWidth="1"/>
    <col min="87" max="16384" width="8.85546875" style="29"/>
  </cols>
  <sheetData>
    <row r="1" spans="1:86" ht="18" x14ac:dyDescent="0.25">
      <c r="B1" s="34" t="s">
        <v>151</v>
      </c>
    </row>
    <row r="2" spans="1:86" ht="18" x14ac:dyDescent="0.25">
      <c r="B2" s="34" t="s">
        <v>150</v>
      </c>
      <c r="N2" s="29" t="s">
        <v>222</v>
      </c>
    </row>
    <row r="3" spans="1:86" x14ac:dyDescent="0.25">
      <c r="B3" s="33" t="s">
        <v>149</v>
      </c>
    </row>
    <row r="4" spans="1:86" x14ac:dyDescent="0.25">
      <c r="B4" s="118" t="s">
        <v>214</v>
      </c>
    </row>
    <row r="5" spans="1:86" x14ac:dyDescent="0.25">
      <c r="A5" s="32" t="s">
        <v>136</v>
      </c>
      <c r="C5" s="111" t="s">
        <v>148</v>
      </c>
      <c r="D5" s="111" t="s">
        <v>147</v>
      </c>
      <c r="E5" s="111" t="s">
        <v>146</v>
      </c>
      <c r="F5" s="111" t="s">
        <v>145</v>
      </c>
      <c r="G5" s="111" t="s">
        <v>144</v>
      </c>
      <c r="H5" s="111" t="s">
        <v>143</v>
      </c>
      <c r="I5" s="111" t="s">
        <v>142</v>
      </c>
      <c r="J5" s="111" t="s">
        <v>141</v>
      </c>
      <c r="K5" s="111" t="s">
        <v>140</v>
      </c>
      <c r="L5" s="111" t="s">
        <v>139</v>
      </c>
      <c r="M5" s="111" t="s">
        <v>138</v>
      </c>
      <c r="N5" s="111" t="s">
        <v>137</v>
      </c>
      <c r="O5" s="94">
        <f>BS!AC11</f>
        <v>45322</v>
      </c>
      <c r="P5" s="94">
        <f>BS!AD11</f>
        <v>45351</v>
      </c>
      <c r="Q5" s="94">
        <f>BS!AE11</f>
        <v>45382</v>
      </c>
      <c r="R5" s="94">
        <f>BS!AF11</f>
        <v>45412</v>
      </c>
      <c r="S5" s="94">
        <f>BS!AG11</f>
        <v>45443</v>
      </c>
      <c r="T5" s="94">
        <f>BS!AH11</f>
        <v>45473</v>
      </c>
      <c r="U5" s="94">
        <f>BS!AI11</f>
        <v>45504</v>
      </c>
      <c r="V5" s="94">
        <f>BS!AJ11</f>
        <v>45535</v>
      </c>
      <c r="W5" s="94">
        <f>BS!AK11</f>
        <v>45565</v>
      </c>
      <c r="X5" s="94">
        <f>BS!AL11</f>
        <v>45596</v>
      </c>
      <c r="Y5" s="94">
        <f>BS!AM11</f>
        <v>45626</v>
      </c>
      <c r="Z5" s="94">
        <f>BS!AN11</f>
        <v>45657</v>
      </c>
      <c r="AA5" s="94">
        <f>BS!AO11</f>
        <v>45688</v>
      </c>
      <c r="AB5" s="94">
        <f>BS!AP11</f>
        <v>45716</v>
      </c>
      <c r="AC5" s="94">
        <f>BS!AQ11</f>
        <v>45747</v>
      </c>
      <c r="AD5" s="94">
        <f>BS!AR11</f>
        <v>45777</v>
      </c>
      <c r="AE5" s="94">
        <f>BS!AS11</f>
        <v>45808</v>
      </c>
      <c r="AF5" s="94">
        <f>BS!AT11</f>
        <v>45838</v>
      </c>
      <c r="AG5" s="94">
        <f>BS!AU11</f>
        <v>45869</v>
      </c>
      <c r="AH5" s="94">
        <f>BS!AV11</f>
        <v>45900</v>
      </c>
      <c r="AI5" s="94">
        <f>BS!AW11</f>
        <v>45930</v>
      </c>
      <c r="AJ5" s="94">
        <f>BS!AX11</f>
        <v>45961</v>
      </c>
      <c r="AK5" s="94">
        <f>BS!AY11</f>
        <v>45991</v>
      </c>
      <c r="AL5" s="94">
        <f>BS!AZ11</f>
        <v>46022</v>
      </c>
      <c r="AM5" s="94">
        <f>BS!BA11</f>
        <v>46053</v>
      </c>
      <c r="AN5" s="94">
        <f>BS!BB11</f>
        <v>46081</v>
      </c>
      <c r="AO5" s="94">
        <f>BS!BC11</f>
        <v>46112</v>
      </c>
      <c r="AP5" s="94">
        <f>BS!BD11</f>
        <v>46142</v>
      </c>
      <c r="AQ5" s="94">
        <f>BS!BE11</f>
        <v>46173</v>
      </c>
      <c r="AR5" s="94">
        <f>BS!BF11</f>
        <v>46203</v>
      </c>
      <c r="AS5" s="94">
        <f>BS!BG11</f>
        <v>46234</v>
      </c>
      <c r="AT5" s="94">
        <f>BS!BH11</f>
        <v>46265</v>
      </c>
      <c r="AU5" s="94">
        <f>BS!BI11</f>
        <v>46295</v>
      </c>
      <c r="AV5" s="94">
        <f>BS!BJ11</f>
        <v>46326</v>
      </c>
      <c r="AW5" s="94">
        <f>BS!BK11</f>
        <v>46356</v>
      </c>
      <c r="AX5" s="94">
        <f>BS!BL11</f>
        <v>46387</v>
      </c>
      <c r="AY5" s="94">
        <f>BS!BM11</f>
        <v>46418</v>
      </c>
      <c r="AZ5" s="94">
        <f>BS!BN11</f>
        <v>46446</v>
      </c>
      <c r="BA5" s="94">
        <f>BS!BO11</f>
        <v>46477</v>
      </c>
      <c r="BB5" s="94">
        <f>BS!BP11</f>
        <v>46507</v>
      </c>
      <c r="BC5" s="94">
        <f>BS!BQ11</f>
        <v>46538</v>
      </c>
      <c r="BD5" s="94">
        <f>BS!BR11</f>
        <v>46568</v>
      </c>
      <c r="BE5" s="94">
        <f>BS!BS11</f>
        <v>46599</v>
      </c>
      <c r="BF5" s="94">
        <f>BS!BT11</f>
        <v>46630</v>
      </c>
      <c r="BG5" s="94">
        <f>BS!BU11</f>
        <v>46660</v>
      </c>
      <c r="BH5" s="94">
        <f>BS!BV11</f>
        <v>46691</v>
      </c>
      <c r="BI5" s="94">
        <f>BS!BW11</f>
        <v>46721</v>
      </c>
      <c r="BJ5" s="94">
        <f>BS!BX11</f>
        <v>46752</v>
      </c>
      <c r="BK5" s="94">
        <f>BS!BY11</f>
        <v>46783</v>
      </c>
      <c r="BL5" s="94">
        <f>BS!BZ11</f>
        <v>46812</v>
      </c>
      <c r="BM5" s="94">
        <f>BS!CA11</f>
        <v>46843</v>
      </c>
      <c r="BN5" s="94">
        <f>BS!CB11</f>
        <v>46873</v>
      </c>
      <c r="BO5" s="94">
        <f>BS!CC11</f>
        <v>46904</v>
      </c>
      <c r="BP5" s="94">
        <f>BS!CD11</f>
        <v>46934</v>
      </c>
      <c r="BQ5" s="94">
        <f>BS!CE11</f>
        <v>46965</v>
      </c>
      <c r="BR5" s="94">
        <f>BS!CF11</f>
        <v>46996</v>
      </c>
      <c r="BS5" s="94">
        <f>BS!CG11</f>
        <v>47026</v>
      </c>
      <c r="BT5" s="94">
        <f>BS!CH11</f>
        <v>47057</v>
      </c>
      <c r="BU5" s="94">
        <f>BS!CI11</f>
        <v>47087</v>
      </c>
      <c r="BV5" s="94">
        <f>BS!CJ11</f>
        <v>47118</v>
      </c>
      <c r="BW5" s="94">
        <f>BS!CK11</f>
        <v>47149</v>
      </c>
      <c r="BX5" s="94">
        <f>BS!CL11</f>
        <v>47177</v>
      </c>
      <c r="BY5" s="94">
        <f>BS!CM11</f>
        <v>47208</v>
      </c>
      <c r="BZ5" s="94">
        <f>BS!CN11</f>
        <v>47238</v>
      </c>
      <c r="CA5" s="94">
        <f>BS!CO11</f>
        <v>47269</v>
      </c>
      <c r="CB5" s="94">
        <f>BS!CP11</f>
        <v>47299</v>
      </c>
      <c r="CC5" s="94">
        <f>BS!CQ11</f>
        <v>47330</v>
      </c>
      <c r="CD5" s="94">
        <f>BS!CR11</f>
        <v>47361</v>
      </c>
      <c r="CE5" s="94">
        <f>BS!CS11</f>
        <v>47391</v>
      </c>
      <c r="CF5" s="94">
        <f>BS!CT11</f>
        <v>47422</v>
      </c>
      <c r="CG5" s="94">
        <f>BS!CU11</f>
        <v>47452</v>
      </c>
      <c r="CH5" s="94">
        <f>BS!CV11</f>
        <v>47483</v>
      </c>
    </row>
    <row r="6" spans="1:86" x14ac:dyDescent="0.25">
      <c r="B6" s="31" t="s">
        <v>135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</row>
    <row r="7" spans="1:86" x14ac:dyDescent="0.25">
      <c r="B7" s="31" t="s">
        <v>134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88"/>
    </row>
    <row r="8" spans="1:86" x14ac:dyDescent="0.25">
      <c r="B8" s="31" t="s">
        <v>133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</row>
    <row r="9" spans="1:86" x14ac:dyDescent="0.25">
      <c r="A9" s="29" t="s">
        <v>20</v>
      </c>
      <c r="B9" s="31" t="s">
        <v>132</v>
      </c>
      <c r="C9" s="119"/>
      <c r="D9" s="120">
        <f t="shared" ref="D9:N11" si="0">C9</f>
        <v>0</v>
      </c>
      <c r="E9" s="120">
        <f t="shared" si="0"/>
        <v>0</v>
      </c>
      <c r="F9" s="120">
        <f t="shared" si="0"/>
        <v>0</v>
      </c>
      <c r="G9" s="120">
        <f t="shared" si="0"/>
        <v>0</v>
      </c>
      <c r="H9" s="120">
        <f t="shared" si="0"/>
        <v>0</v>
      </c>
      <c r="I9" s="120">
        <f t="shared" si="0"/>
        <v>0</v>
      </c>
      <c r="J9" s="120">
        <f t="shared" si="0"/>
        <v>0</v>
      </c>
      <c r="K9" s="120">
        <f t="shared" si="0"/>
        <v>0</v>
      </c>
      <c r="L9" s="120">
        <f t="shared" si="0"/>
        <v>0</v>
      </c>
      <c r="M9" s="120">
        <f t="shared" si="0"/>
        <v>0</v>
      </c>
      <c r="N9" s="120">
        <f t="shared" si="0"/>
        <v>0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</row>
    <row r="10" spans="1:86" x14ac:dyDescent="0.25">
      <c r="A10" s="29" t="s">
        <v>20</v>
      </c>
      <c r="B10" s="31" t="s">
        <v>131</v>
      </c>
      <c r="C10" s="119"/>
      <c r="D10" s="120">
        <f t="shared" si="0"/>
        <v>0</v>
      </c>
      <c r="E10" s="120">
        <f t="shared" si="0"/>
        <v>0</v>
      </c>
      <c r="F10" s="120">
        <f t="shared" si="0"/>
        <v>0</v>
      </c>
      <c r="G10" s="120">
        <f t="shared" si="0"/>
        <v>0</v>
      </c>
      <c r="H10" s="120">
        <f t="shared" si="0"/>
        <v>0</v>
      </c>
      <c r="I10" s="120">
        <f t="shared" si="0"/>
        <v>0</v>
      </c>
      <c r="J10" s="120">
        <f t="shared" si="0"/>
        <v>0</v>
      </c>
      <c r="K10" s="120">
        <f t="shared" si="0"/>
        <v>0</v>
      </c>
      <c r="L10" s="120">
        <f t="shared" si="0"/>
        <v>0</v>
      </c>
      <c r="M10" s="120">
        <f t="shared" si="0"/>
        <v>0</v>
      </c>
      <c r="N10" s="120">
        <f t="shared" si="0"/>
        <v>0</v>
      </c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89"/>
      <c r="CF10" s="89"/>
      <c r="CG10" s="89"/>
      <c r="CH10" s="89"/>
    </row>
    <row r="11" spans="1:86" x14ac:dyDescent="0.25">
      <c r="A11" s="29" t="s">
        <v>20</v>
      </c>
      <c r="B11" s="31" t="s">
        <v>130</v>
      </c>
      <c r="C11" s="119"/>
      <c r="D11" s="120">
        <f t="shared" si="0"/>
        <v>0</v>
      </c>
      <c r="E11" s="120">
        <f t="shared" si="0"/>
        <v>0</v>
      </c>
      <c r="F11" s="120">
        <f t="shared" si="0"/>
        <v>0</v>
      </c>
      <c r="G11" s="120">
        <f t="shared" si="0"/>
        <v>0</v>
      </c>
      <c r="H11" s="120">
        <f t="shared" si="0"/>
        <v>0</v>
      </c>
      <c r="I11" s="120">
        <f t="shared" si="0"/>
        <v>0</v>
      </c>
      <c r="J11" s="120">
        <f t="shared" si="0"/>
        <v>0</v>
      </c>
      <c r="K11" s="120">
        <f>625000</f>
        <v>625000</v>
      </c>
      <c r="L11" s="120">
        <f>K11</f>
        <v>625000</v>
      </c>
      <c r="M11" s="120">
        <f>L11</f>
        <v>625000</v>
      </c>
      <c r="N11" s="120">
        <f>M11</f>
        <v>625000</v>
      </c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89"/>
      <c r="CF11" s="89"/>
      <c r="CG11" s="89"/>
      <c r="CH11" s="89"/>
    </row>
    <row r="12" spans="1:86" x14ac:dyDescent="0.25">
      <c r="A12" s="29" t="s">
        <v>20</v>
      </c>
      <c r="B12" s="31" t="s">
        <v>129</v>
      </c>
      <c r="C12" s="120">
        <f>15260683.88</f>
        <v>15260683.880000001</v>
      </c>
      <c r="D12" s="120">
        <f>14914438.02</f>
        <v>14914438.02</v>
      </c>
      <c r="E12" s="120">
        <f>644444.52</f>
        <v>644444.52</v>
      </c>
      <c r="F12" s="120">
        <f>304810.3</f>
        <v>304810.3</v>
      </c>
      <c r="G12" s="120">
        <f>218152.67</f>
        <v>218152.67</v>
      </c>
      <c r="H12" s="120">
        <f>149996.24</f>
        <v>149996.24</v>
      </c>
      <c r="I12" s="120">
        <f>124370.96</f>
        <v>124370.96</v>
      </c>
      <c r="J12" s="120">
        <f>410079.82</f>
        <v>410079.82</v>
      </c>
      <c r="K12" s="120">
        <f>727952.88</f>
        <v>727952.88</v>
      </c>
      <c r="L12" s="120">
        <f>678955.36</f>
        <v>678955.36</v>
      </c>
      <c r="M12" s="120">
        <f>180231.93</f>
        <v>180231.93</v>
      </c>
      <c r="N12" s="120">
        <f>79531.19</f>
        <v>79531.19</v>
      </c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</row>
    <row r="13" spans="1:86" x14ac:dyDescent="0.25">
      <c r="A13" s="29" t="s">
        <v>20</v>
      </c>
      <c r="B13" s="31" t="s">
        <v>128</v>
      </c>
      <c r="C13" s="120">
        <f>0</f>
        <v>0</v>
      </c>
      <c r="D13" s="120">
        <f>C13</f>
        <v>0</v>
      </c>
      <c r="E13" s="120">
        <f>13727869.18</f>
        <v>13727869.18</v>
      </c>
      <c r="F13" s="120">
        <f>13772625.81</f>
        <v>13772625.810000001</v>
      </c>
      <c r="G13" s="120">
        <f>13327201.69</f>
        <v>13327201.689999999</v>
      </c>
      <c r="H13" s="120">
        <f>12875076.28</f>
        <v>12875076.279999999</v>
      </c>
      <c r="I13" s="120">
        <f>12523428.81</f>
        <v>12523428.810000001</v>
      </c>
      <c r="J13" s="120">
        <f>6407521.62</f>
        <v>6407521.6200000001</v>
      </c>
      <c r="K13" s="120">
        <f>5406124.33</f>
        <v>5406124.3300000001</v>
      </c>
      <c r="L13" s="120">
        <f>5428637.5</f>
        <v>5428637.5</v>
      </c>
      <c r="M13" s="120">
        <f>5449831.5</f>
        <v>5449831.5</v>
      </c>
      <c r="N13" s="120">
        <f>4518674.7</f>
        <v>4518674.7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</row>
    <row r="14" spans="1:86" x14ac:dyDescent="0.25">
      <c r="B14" s="31" t="s">
        <v>127</v>
      </c>
      <c r="C14" s="121">
        <f t="shared" ref="C14:N14" si="1">((((C9)+(C10))+(C11))+(C12))+(C13)</f>
        <v>15260683.880000001</v>
      </c>
      <c r="D14" s="121">
        <f t="shared" si="1"/>
        <v>14914438.02</v>
      </c>
      <c r="E14" s="121">
        <f t="shared" si="1"/>
        <v>14372313.699999999</v>
      </c>
      <c r="F14" s="121">
        <f t="shared" si="1"/>
        <v>14077436.110000001</v>
      </c>
      <c r="G14" s="121">
        <f t="shared" si="1"/>
        <v>13545354.359999999</v>
      </c>
      <c r="H14" s="121">
        <f t="shared" si="1"/>
        <v>13025072.52</v>
      </c>
      <c r="I14" s="121">
        <f t="shared" si="1"/>
        <v>12647799.770000001</v>
      </c>
      <c r="J14" s="121">
        <f t="shared" si="1"/>
        <v>6817601.4400000004</v>
      </c>
      <c r="K14" s="121">
        <f t="shared" si="1"/>
        <v>6759077.21</v>
      </c>
      <c r="L14" s="121">
        <f t="shared" si="1"/>
        <v>6732592.8599999994</v>
      </c>
      <c r="M14" s="121">
        <f t="shared" si="1"/>
        <v>6255063.4299999997</v>
      </c>
      <c r="N14" s="121">
        <f t="shared" si="1"/>
        <v>5223205.8900000006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</row>
    <row r="15" spans="1:86" x14ac:dyDescent="0.25">
      <c r="A15" s="29" t="s">
        <v>20</v>
      </c>
      <c r="B15" s="31" t="s">
        <v>126</v>
      </c>
      <c r="C15" s="119"/>
      <c r="D15" s="120">
        <f>C15</f>
        <v>0</v>
      </c>
      <c r="E15" s="120">
        <f>D15</f>
        <v>0</v>
      </c>
      <c r="F15" s="120">
        <f>0</f>
        <v>0</v>
      </c>
      <c r="G15" s="120">
        <f>0</f>
        <v>0</v>
      </c>
      <c r="H15" s="120">
        <f>0</f>
        <v>0</v>
      </c>
      <c r="I15" s="120">
        <f>0</f>
        <v>0</v>
      </c>
      <c r="J15" s="120">
        <f>21666.67</f>
        <v>21666.67</v>
      </c>
      <c r="K15" s="120">
        <f>0</f>
        <v>0</v>
      </c>
      <c r="L15" s="120">
        <f>0</f>
        <v>0</v>
      </c>
      <c r="M15" s="120">
        <f>0</f>
        <v>0</v>
      </c>
      <c r="N15" s="120">
        <f>0</f>
        <v>0</v>
      </c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</row>
    <row r="16" spans="1:86" x14ac:dyDescent="0.25">
      <c r="A16" s="29" t="s">
        <v>20</v>
      </c>
      <c r="B16" s="31" t="s">
        <v>125</v>
      </c>
      <c r="C16" s="119"/>
      <c r="D16" s="120">
        <f>C16</f>
        <v>0</v>
      </c>
      <c r="E16" s="120">
        <f>D16</f>
        <v>0</v>
      </c>
      <c r="F16" s="120">
        <f t="shared" ref="F16:N16" si="2">E16</f>
        <v>0</v>
      </c>
      <c r="G16" s="120">
        <f t="shared" si="2"/>
        <v>0</v>
      </c>
      <c r="H16" s="120">
        <f t="shared" si="2"/>
        <v>0</v>
      </c>
      <c r="I16" s="120">
        <f t="shared" si="2"/>
        <v>0</v>
      </c>
      <c r="J16" s="120">
        <f t="shared" si="2"/>
        <v>0</v>
      </c>
      <c r="K16" s="120">
        <f t="shared" si="2"/>
        <v>0</v>
      </c>
      <c r="L16" s="120">
        <f t="shared" si="2"/>
        <v>0</v>
      </c>
      <c r="M16" s="120">
        <f t="shared" si="2"/>
        <v>0</v>
      </c>
      <c r="N16" s="120">
        <f t="shared" si="2"/>
        <v>0</v>
      </c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</row>
    <row r="17" spans="1:86" x14ac:dyDescent="0.25">
      <c r="B17" s="31" t="s">
        <v>124</v>
      </c>
      <c r="C17" s="121">
        <f t="shared" ref="C17:N17" si="3">((C14)+(C15))+(C16)</f>
        <v>15260683.880000001</v>
      </c>
      <c r="D17" s="121">
        <f t="shared" si="3"/>
        <v>14914438.02</v>
      </c>
      <c r="E17" s="121">
        <f t="shared" si="3"/>
        <v>14372313.699999999</v>
      </c>
      <c r="F17" s="121">
        <f t="shared" si="3"/>
        <v>14077436.110000001</v>
      </c>
      <c r="G17" s="121">
        <f t="shared" si="3"/>
        <v>13545354.359999999</v>
      </c>
      <c r="H17" s="121">
        <f t="shared" si="3"/>
        <v>13025072.52</v>
      </c>
      <c r="I17" s="121">
        <f t="shared" si="3"/>
        <v>12647799.770000001</v>
      </c>
      <c r="J17" s="121">
        <f t="shared" si="3"/>
        <v>6839268.1100000003</v>
      </c>
      <c r="K17" s="121">
        <f t="shared" si="3"/>
        <v>6759077.21</v>
      </c>
      <c r="L17" s="121">
        <f t="shared" si="3"/>
        <v>6732592.8599999994</v>
      </c>
      <c r="M17" s="121">
        <f t="shared" si="3"/>
        <v>6255063.4299999997</v>
      </c>
      <c r="N17" s="121">
        <f t="shared" si="3"/>
        <v>5223205.8900000006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</row>
    <row r="18" spans="1:86" x14ac:dyDescent="0.25">
      <c r="B18" s="31" t="s">
        <v>123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</row>
    <row r="19" spans="1:86" x14ac:dyDescent="0.25">
      <c r="A19" s="29" t="s">
        <v>21</v>
      </c>
      <c r="B19" s="31" t="s">
        <v>122</v>
      </c>
      <c r="C19" s="120">
        <f>30690</f>
        <v>30690</v>
      </c>
      <c r="D19" s="120">
        <f>C19</f>
        <v>30690</v>
      </c>
      <c r="E19" s="120">
        <f>203961.29</f>
        <v>203961.29</v>
      </c>
      <c r="F19" s="120">
        <f>182201.43</f>
        <v>182201.43</v>
      </c>
      <c r="G19" s="120">
        <f>190946.43</f>
        <v>190946.43</v>
      </c>
      <c r="H19" s="120">
        <f>198206.43</f>
        <v>198206.43</v>
      </c>
      <c r="I19" s="120">
        <f>206951.43</f>
        <v>206951.43</v>
      </c>
      <c r="J19" s="120">
        <f>215696.43</f>
        <v>215696.43</v>
      </c>
      <c r="K19" s="120">
        <f>224441.43</f>
        <v>224441.43</v>
      </c>
      <c r="L19" s="120">
        <f>271121.91</f>
        <v>271121.90999999997</v>
      </c>
      <c r="M19" s="120">
        <f>97494.86</f>
        <v>97494.86</v>
      </c>
      <c r="N19" s="120">
        <f>146754.86</f>
        <v>146754.85999999999</v>
      </c>
      <c r="O19" s="91">
        <f ca="1">WC!Z5</f>
        <v>42000</v>
      </c>
      <c r="P19" s="91">
        <f ca="1">WC!AA5</f>
        <v>42000</v>
      </c>
      <c r="Q19" s="91">
        <f ca="1">WC!AB5</f>
        <v>402000</v>
      </c>
      <c r="R19" s="91">
        <f ca="1">WC!AC5</f>
        <v>439500</v>
      </c>
      <c r="S19" s="91">
        <f ca="1">WC!AD5</f>
        <v>79500</v>
      </c>
      <c r="T19" s="91">
        <f ca="1">WC!AE5</f>
        <v>42000</v>
      </c>
      <c r="U19" s="91">
        <f ca="1">WC!AF5</f>
        <v>42000</v>
      </c>
      <c r="V19" s="91">
        <f ca="1">WC!AG5</f>
        <v>42000</v>
      </c>
      <c r="W19" s="91">
        <f ca="1">WC!AH5</f>
        <v>42000</v>
      </c>
      <c r="X19" s="91">
        <f ca="1">WC!AI5</f>
        <v>42000</v>
      </c>
      <c r="Y19" s="91">
        <f ca="1">WC!AJ5</f>
        <v>129100</v>
      </c>
      <c r="Z19" s="91">
        <f ca="1">WC!AK5</f>
        <v>196600</v>
      </c>
      <c r="AA19" s="91">
        <f ca="1">WC!AL5</f>
        <v>105000</v>
      </c>
      <c r="AB19" s="91">
        <f ca="1">WC!AM5</f>
        <v>893300</v>
      </c>
      <c r="AC19" s="91">
        <f ca="1">WC!AN5</f>
        <v>968000</v>
      </c>
      <c r="AD19" s="91">
        <f ca="1">WC!AO5</f>
        <v>112200</v>
      </c>
      <c r="AE19" s="91">
        <f ca="1">WC!AP5</f>
        <v>156250</v>
      </c>
      <c r="AF19" s="91">
        <f ca="1">WC!AQ5</f>
        <v>473125</v>
      </c>
      <c r="AG19" s="91">
        <f ca="1">WC!AR5</f>
        <v>440025</v>
      </c>
      <c r="AH19" s="91">
        <f ca="1">WC!AS5</f>
        <v>1320650</v>
      </c>
      <c r="AI19" s="91">
        <f ca="1">WC!AT5</f>
        <v>1825100</v>
      </c>
      <c r="AJ19" s="91">
        <f ca="1">WC!AU5</f>
        <v>1077600</v>
      </c>
      <c r="AK19" s="91">
        <f ca="1">WC!AV5</f>
        <v>749125</v>
      </c>
      <c r="AL19" s="91">
        <f ca="1">WC!AW5</f>
        <v>863000</v>
      </c>
      <c r="AM19" s="91">
        <f ca="1">WC!AX5</f>
        <v>2262375</v>
      </c>
      <c r="AN19" s="91">
        <f ca="1">WC!AY5</f>
        <v>3874450</v>
      </c>
      <c r="AO19" s="91">
        <f ca="1">WC!AZ5</f>
        <v>2355950</v>
      </c>
      <c r="AP19" s="91">
        <f ca="1">WC!BA5</f>
        <v>939375</v>
      </c>
      <c r="AQ19" s="91">
        <f ca="1">WC!BB5</f>
        <v>1352525</v>
      </c>
      <c r="AR19" s="91">
        <f ca="1">WC!BC5</f>
        <v>1449650</v>
      </c>
      <c r="AS19" s="91">
        <f ca="1">WC!BD5</f>
        <v>3546000</v>
      </c>
      <c r="AT19" s="91">
        <f ca="1">WC!BE5</f>
        <v>4287000</v>
      </c>
      <c r="AU19" s="91">
        <f ca="1">WC!BF5</f>
        <v>2954500</v>
      </c>
      <c r="AV19" s="91">
        <f ca="1">WC!BG5</f>
        <v>2828875</v>
      </c>
      <c r="AW19" s="91">
        <f ca="1">WC!BH5</f>
        <v>2361775</v>
      </c>
      <c r="AX19" s="91">
        <f ca="1">WC!BI5</f>
        <v>1713525</v>
      </c>
      <c r="AY19" s="91">
        <f ca="1">WC!BJ5</f>
        <v>4941875</v>
      </c>
      <c r="AZ19" s="91">
        <f ca="1">WC!BK5</f>
        <v>9096725</v>
      </c>
      <c r="BA19" s="91">
        <f ca="1">WC!BL5</f>
        <v>5390975</v>
      </c>
      <c r="BB19" s="91">
        <f ca="1">WC!BM5</f>
        <v>1935937.5</v>
      </c>
      <c r="BC19" s="91">
        <f ca="1">WC!BN5</f>
        <v>3193512.5</v>
      </c>
      <c r="BD19" s="91">
        <f ca="1">WC!BO5</f>
        <v>3717575</v>
      </c>
      <c r="BE19" s="91">
        <f ca="1">WC!BP5</f>
        <v>9159750</v>
      </c>
      <c r="BF19" s="91">
        <f ca="1">WC!BQ5</f>
        <v>10456000</v>
      </c>
      <c r="BG19" s="91">
        <f ca="1">WC!BR5</f>
        <v>6413450</v>
      </c>
      <c r="BH19" s="91">
        <f ca="1">WC!BS5</f>
        <v>6018137.5</v>
      </c>
      <c r="BI19" s="91">
        <f ca="1">WC!BT5</f>
        <v>5500187.5</v>
      </c>
      <c r="BJ19" s="91">
        <f ca="1">WC!BU5</f>
        <v>4619500</v>
      </c>
      <c r="BK19" s="91">
        <f ca="1">WC!BV5</f>
        <v>11033062.5</v>
      </c>
      <c r="BL19" s="91">
        <f ca="1">WC!BW5</f>
        <v>18185843.75</v>
      </c>
      <c r="BM19" s="91">
        <f ca="1">WC!BX5</f>
        <v>9904906.25</v>
      </c>
      <c r="BN19" s="91">
        <f ca="1">WC!BY5</f>
        <v>2975390.625</v>
      </c>
      <c r="BO19" s="91">
        <f ca="1">WC!BZ5</f>
        <v>6056046.875</v>
      </c>
      <c r="BP19" s="91">
        <f ca="1">WC!CA5</f>
        <v>7884406.25</v>
      </c>
      <c r="BQ19" s="91">
        <f ca="1">WC!CB5</f>
        <v>21124687.5</v>
      </c>
      <c r="BR19" s="91">
        <f ca="1">WC!CC5</f>
        <v>22206875</v>
      </c>
      <c r="BS19" s="91">
        <f ca="1">WC!CD5</f>
        <v>10976337.5</v>
      </c>
      <c r="BT19" s="91">
        <f ca="1">WC!CE5</f>
        <v>10203290.625</v>
      </c>
      <c r="BU19" s="91">
        <f ca="1">WC!CF5</f>
        <v>10413578.125</v>
      </c>
      <c r="BV19" s="91">
        <f ca="1">WC!CG5</f>
        <v>10451312.5</v>
      </c>
      <c r="BW19" s="91">
        <f ca="1">WC!CH5</f>
        <v>21582656.25</v>
      </c>
      <c r="BX19" s="91">
        <f ca="1">WC!CI5</f>
        <v>31254553.125</v>
      </c>
      <c r="BY19" s="91">
        <f ca="1">WC!CJ5</f>
        <v>15119709.375</v>
      </c>
      <c r="BZ19" s="91">
        <f ca="1">WC!CK5</f>
        <v>3968085.9375</v>
      </c>
      <c r="CA19" s="91">
        <f ca="1">WC!CL5</f>
        <v>9336070.3125</v>
      </c>
      <c r="CB19" s="91">
        <f ca="1">WC!CM5</f>
        <v>13124859.375</v>
      </c>
      <c r="CC19" s="91">
        <f ca="1">WC!CN5</f>
        <v>40492968.75</v>
      </c>
      <c r="CD19" s="91">
        <f ca="1">WC!CO5</f>
        <v>40740000</v>
      </c>
      <c r="CE19" s="91">
        <f ca="1">WC!CP5</f>
        <v>16083476.25</v>
      </c>
      <c r="CF19" s="91">
        <f ca="1">WC!CQ5</f>
        <v>14826405.9375</v>
      </c>
      <c r="CG19" s="91">
        <f ca="1">WC!CR5</f>
        <v>16023117.1875</v>
      </c>
      <c r="CH19" s="91">
        <f ca="1">WC!CS5</f>
        <v>17836593.75</v>
      </c>
    </row>
    <row r="20" spans="1:86" x14ac:dyDescent="0.25">
      <c r="B20" s="31" t="s">
        <v>121</v>
      </c>
      <c r="C20" s="121">
        <f t="shared" ref="C20:N20" si="4">C19</f>
        <v>30690</v>
      </c>
      <c r="D20" s="121">
        <f t="shared" si="4"/>
        <v>30690</v>
      </c>
      <c r="E20" s="121">
        <f t="shared" si="4"/>
        <v>203961.29</v>
      </c>
      <c r="F20" s="121">
        <f t="shared" si="4"/>
        <v>182201.43</v>
      </c>
      <c r="G20" s="121">
        <f t="shared" si="4"/>
        <v>190946.43</v>
      </c>
      <c r="H20" s="121">
        <f t="shared" si="4"/>
        <v>198206.43</v>
      </c>
      <c r="I20" s="121">
        <f t="shared" si="4"/>
        <v>206951.43</v>
      </c>
      <c r="J20" s="121">
        <f t="shared" si="4"/>
        <v>215696.43</v>
      </c>
      <c r="K20" s="121">
        <f t="shared" si="4"/>
        <v>224441.43</v>
      </c>
      <c r="L20" s="121">
        <f t="shared" si="4"/>
        <v>271121.90999999997</v>
      </c>
      <c r="M20" s="121">
        <f t="shared" si="4"/>
        <v>97494.86</v>
      </c>
      <c r="N20" s="121">
        <f t="shared" si="4"/>
        <v>146754.85999999999</v>
      </c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</row>
    <row r="21" spans="1:86" x14ac:dyDescent="0.25">
      <c r="B21" s="31" t="s">
        <v>120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</row>
    <row r="22" spans="1:86" x14ac:dyDescent="0.25">
      <c r="A22" s="29" t="s">
        <v>1</v>
      </c>
      <c r="B22" s="31" t="s">
        <v>119</v>
      </c>
      <c r="C22" s="119"/>
      <c r="D22" s="120">
        <f t="shared" ref="D22:N25" si="5">C22</f>
        <v>0</v>
      </c>
      <c r="E22" s="120">
        <f t="shared" si="5"/>
        <v>0</v>
      </c>
      <c r="F22" s="120">
        <f t="shared" si="5"/>
        <v>0</v>
      </c>
      <c r="G22" s="120">
        <f t="shared" si="5"/>
        <v>0</v>
      </c>
      <c r="H22" s="120">
        <f t="shared" si="5"/>
        <v>0</v>
      </c>
      <c r="I22" s="120">
        <f t="shared" si="5"/>
        <v>0</v>
      </c>
      <c r="J22" s="120">
        <f t="shared" si="5"/>
        <v>0</v>
      </c>
      <c r="K22" s="120">
        <f t="shared" si="5"/>
        <v>0</v>
      </c>
      <c r="L22" s="120">
        <f t="shared" si="5"/>
        <v>0</v>
      </c>
      <c r="M22" s="120">
        <f t="shared" si="5"/>
        <v>0</v>
      </c>
      <c r="N22" s="120">
        <f t="shared" si="5"/>
        <v>0</v>
      </c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89"/>
    </row>
    <row r="23" spans="1:86" x14ac:dyDescent="0.25">
      <c r="A23" s="29" t="s">
        <v>1</v>
      </c>
      <c r="B23" s="31" t="s">
        <v>118</v>
      </c>
      <c r="C23" s="119"/>
      <c r="D23" s="120">
        <f t="shared" si="5"/>
        <v>0</v>
      </c>
      <c r="E23" s="120">
        <f t="shared" si="5"/>
        <v>0</v>
      </c>
      <c r="F23" s="120">
        <f t="shared" si="5"/>
        <v>0</v>
      </c>
      <c r="G23" s="120">
        <f t="shared" si="5"/>
        <v>0</v>
      </c>
      <c r="H23" s="120">
        <f t="shared" si="5"/>
        <v>0</v>
      </c>
      <c r="I23" s="120">
        <f t="shared" si="5"/>
        <v>0</v>
      </c>
      <c r="J23" s="120">
        <f t="shared" si="5"/>
        <v>0</v>
      </c>
      <c r="K23" s="120">
        <f t="shared" si="5"/>
        <v>0</v>
      </c>
      <c r="L23" s="120">
        <f t="shared" si="5"/>
        <v>0</v>
      </c>
      <c r="M23" s="120">
        <f t="shared" si="5"/>
        <v>0</v>
      </c>
      <c r="N23" s="120">
        <f t="shared" si="5"/>
        <v>0</v>
      </c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</row>
    <row r="24" spans="1:86" x14ac:dyDescent="0.25">
      <c r="A24" s="29" t="s">
        <v>1</v>
      </c>
      <c r="B24" s="31" t="s">
        <v>117</v>
      </c>
      <c r="C24" s="119"/>
      <c r="D24" s="120">
        <f t="shared" si="5"/>
        <v>0</v>
      </c>
      <c r="E24" s="120">
        <f t="shared" si="5"/>
        <v>0</v>
      </c>
      <c r="F24" s="120">
        <f t="shared" si="5"/>
        <v>0</v>
      </c>
      <c r="G24" s="120">
        <f t="shared" si="5"/>
        <v>0</v>
      </c>
      <c r="H24" s="120">
        <f t="shared" si="5"/>
        <v>0</v>
      </c>
      <c r="I24" s="120">
        <f t="shared" si="5"/>
        <v>0</v>
      </c>
      <c r="J24" s="120">
        <f t="shared" si="5"/>
        <v>0</v>
      </c>
      <c r="K24" s="120">
        <f t="shared" si="5"/>
        <v>0</v>
      </c>
      <c r="L24" s="120">
        <f t="shared" si="5"/>
        <v>0</v>
      </c>
      <c r="M24" s="120">
        <f t="shared" si="5"/>
        <v>0</v>
      </c>
      <c r="N24" s="120">
        <f t="shared" si="5"/>
        <v>0</v>
      </c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</row>
    <row r="25" spans="1:86" x14ac:dyDescent="0.25">
      <c r="A25" s="29" t="s">
        <v>1</v>
      </c>
      <c r="B25" s="31" t="s">
        <v>116</v>
      </c>
      <c r="C25" s="119"/>
      <c r="D25" s="120">
        <f t="shared" si="5"/>
        <v>0</v>
      </c>
      <c r="E25" s="120">
        <f t="shared" si="5"/>
        <v>0</v>
      </c>
      <c r="F25" s="120">
        <f t="shared" si="5"/>
        <v>0</v>
      </c>
      <c r="G25" s="120">
        <f t="shared" si="5"/>
        <v>0</v>
      </c>
      <c r="H25" s="120">
        <f t="shared" si="5"/>
        <v>0</v>
      </c>
      <c r="I25" s="120">
        <f t="shared" si="5"/>
        <v>0</v>
      </c>
      <c r="J25" s="120">
        <f t="shared" si="5"/>
        <v>0</v>
      </c>
      <c r="K25" s="120">
        <f t="shared" si="5"/>
        <v>0</v>
      </c>
      <c r="L25" s="120">
        <f t="shared" si="5"/>
        <v>0</v>
      </c>
      <c r="M25" s="120">
        <f>1161.84</f>
        <v>1161.8399999999999</v>
      </c>
      <c r="N25" s="120">
        <f>M25</f>
        <v>1161.8399999999999</v>
      </c>
      <c r="O25" s="91">
        <f ca="1">WC!Z4</f>
        <v>138720</v>
      </c>
      <c r="P25" s="91">
        <f ca="1">WC!AA4</f>
        <v>153170</v>
      </c>
      <c r="Q25" s="91">
        <f ca="1">WC!AB4</f>
        <v>14450</v>
      </c>
      <c r="R25" s="91">
        <f ca="1">WC!AC4</f>
        <v>14450</v>
      </c>
      <c r="S25" s="91">
        <f ca="1">WC!AD4</f>
        <v>361250</v>
      </c>
      <c r="T25" s="91">
        <f ca="1">WC!AE4</f>
        <v>346800</v>
      </c>
      <c r="U25" s="91">
        <f ca="1">WC!AF4</f>
        <v>28900</v>
      </c>
      <c r="V25" s="91">
        <f ca="1">WC!AG4</f>
        <v>53200</v>
      </c>
      <c r="W25" s="91">
        <f ca="1">WC!AH4</f>
        <v>161160</v>
      </c>
      <c r="X25" s="91">
        <f ca="1">WC!AI4</f>
        <v>412780</v>
      </c>
      <c r="Y25" s="91">
        <f ca="1">WC!AJ4</f>
        <v>334240</v>
      </c>
      <c r="Z25" s="91">
        <f ca="1">WC!AK4</f>
        <v>919340</v>
      </c>
      <c r="AA25" s="91">
        <f ca="1">WC!AL4</f>
        <v>993340</v>
      </c>
      <c r="AB25" s="91">
        <f ca="1">WC!AM4</f>
        <v>132320</v>
      </c>
      <c r="AC25" s="91">
        <f ca="1">WC!AN4</f>
        <v>357400</v>
      </c>
      <c r="AD25" s="91">
        <f ca="1">WC!AO4</f>
        <v>984740</v>
      </c>
      <c r="AE25" s="91">
        <f ca="1">WC!AP4</f>
        <v>813380</v>
      </c>
      <c r="AF25" s="91">
        <f ca="1">WC!AQ4</f>
        <v>1175040</v>
      </c>
      <c r="AG25" s="91">
        <f ca="1">WC!AR4</f>
        <v>1931840</v>
      </c>
      <c r="AH25" s="91">
        <f ca="1">WC!AS4</f>
        <v>1534680</v>
      </c>
      <c r="AI25" s="91">
        <f ca="1">WC!AT4</f>
        <v>1182400</v>
      </c>
      <c r="AJ25" s="91">
        <f ca="1">WC!AU4</f>
        <v>1799220</v>
      </c>
      <c r="AK25" s="91">
        <f ca="1">WC!AV4</f>
        <v>3525820</v>
      </c>
      <c r="AL25" s="91">
        <f ca="1">WC!AW4</f>
        <v>4589480</v>
      </c>
      <c r="AM25" s="91">
        <f ca="1">WC!AX4</f>
        <v>2648160</v>
      </c>
      <c r="AN25" s="91">
        <f ca="1">WC!AY4</f>
        <v>1258340</v>
      </c>
      <c r="AO25" s="91">
        <f ca="1">WC!AZ4</f>
        <v>1883380</v>
      </c>
      <c r="AP25" s="91">
        <f ca="1">WC!BA4</f>
        <v>2361680</v>
      </c>
      <c r="AQ25" s="91">
        <f ca="1">WC!BB4</f>
        <v>5047400</v>
      </c>
      <c r="AR25" s="91">
        <f ca="1">WC!BC4</f>
        <v>5134880</v>
      </c>
      <c r="AS25" s="91">
        <f ca="1">WC!BD4</f>
        <v>3027240</v>
      </c>
      <c r="AT25" s="91">
        <f ca="1">WC!BE4</f>
        <v>3329780</v>
      </c>
      <c r="AU25" s="91">
        <f ca="1">WC!BF4</f>
        <v>3090420</v>
      </c>
      <c r="AV25" s="91">
        <f ca="1">WC!BG4</f>
        <v>2590240</v>
      </c>
      <c r="AW25" s="91">
        <f ca="1">WC!BH4</f>
        <v>6723115</v>
      </c>
      <c r="AX25" s="91">
        <f ca="1">WC!BI4</f>
        <v>10634794</v>
      </c>
      <c r="AY25" s="91">
        <f ca="1">WC!BJ4</f>
        <v>5999535</v>
      </c>
      <c r="AZ25" s="91">
        <f ca="1">WC!BK4</f>
        <v>2522753.5</v>
      </c>
      <c r="BA25" s="91">
        <f ca="1">WC!BL4</f>
        <v>4214475.5</v>
      </c>
      <c r="BB25" s="91">
        <f ca="1">WC!BM4</f>
        <v>5625406</v>
      </c>
      <c r="BC25" s="91">
        <f ca="1">WC!BN4</f>
        <v>12549823</v>
      </c>
      <c r="BD25" s="91">
        <f ca="1">WC!BO4</f>
        <v>12472360</v>
      </c>
      <c r="BE25" s="91">
        <f ca="1">WC!BP4</f>
        <v>6535107</v>
      </c>
      <c r="BF25" s="91">
        <f ca="1">WC!BQ4</f>
        <v>6851447.5</v>
      </c>
      <c r="BG25" s="91">
        <f ca="1">WC!BR4</f>
        <v>6832903.5</v>
      </c>
      <c r="BH25" s="91">
        <f ca="1">WC!BS4</f>
        <v>6463724</v>
      </c>
      <c r="BI25" s="91">
        <f ca="1">WC!BT4</f>
        <v>15352185.25</v>
      </c>
      <c r="BJ25" s="91">
        <f ca="1">WC!BU4</f>
        <v>22385030.5</v>
      </c>
      <c r="BK25" s="91">
        <f ca="1">WC!BV4</f>
        <v>11408735.25</v>
      </c>
      <c r="BL25" s="91">
        <f ca="1">WC!BW4</f>
        <v>3949014.625</v>
      </c>
      <c r="BM25" s="91">
        <f ca="1">WC!BX4</f>
        <v>7863708.125</v>
      </c>
      <c r="BN25" s="91">
        <f ca="1">WC!BY4</f>
        <v>11454254.5</v>
      </c>
      <c r="BO25" s="91">
        <f ca="1">WC!BZ4</f>
        <v>29455068.25</v>
      </c>
      <c r="BP25" s="91">
        <f ca="1">WC!CA4</f>
        <v>28187830</v>
      </c>
      <c r="BQ25" s="91">
        <f ca="1">WC!CB4</f>
        <v>11727308.25</v>
      </c>
      <c r="BR25" s="91">
        <f ca="1">WC!CC4</f>
        <v>11878712.125</v>
      </c>
      <c r="BS25" s="91">
        <f ca="1">WC!CD4</f>
        <v>12833785.125</v>
      </c>
      <c r="BT25" s="91">
        <f ca="1">WC!CE4</f>
        <v>14081204</v>
      </c>
      <c r="BU25" s="91">
        <f ca="1">WC!CF4</f>
        <v>30708041.774999999</v>
      </c>
      <c r="BV25" s="91">
        <f ca="1">WC!CG4</f>
        <v>40251188.399999999</v>
      </c>
      <c r="BW25" s="91">
        <f ca="1">WC!CH4</f>
        <v>17852669.324999999</v>
      </c>
      <c r="BX25" s="91">
        <f ca="1">WC!CI4</f>
        <v>5364557.1375000002</v>
      </c>
      <c r="BY25" s="91">
        <f ca="1">WC!CJ4</f>
        <v>12029490.1875</v>
      </c>
      <c r="BZ25" s="91">
        <f ca="1">WC!CK4</f>
        <v>18697527.600000001</v>
      </c>
      <c r="CA25" s="91">
        <f ca="1">WC!CL4</f>
        <v>57669090.225000001</v>
      </c>
      <c r="CB25" s="91">
        <f ca="1">WC!CM4</f>
        <v>54473703</v>
      </c>
      <c r="CC25" s="91">
        <f ca="1">WC!CN4</f>
        <v>17834932.350000001</v>
      </c>
      <c r="CD25" s="91">
        <f ca="1">WC!CO4</f>
        <v>17579407.762499999</v>
      </c>
      <c r="CE25" s="91">
        <f ca="1">WC!CP4</f>
        <v>19674518.287500001</v>
      </c>
      <c r="CF25" s="91">
        <f ca="1">WC!CQ4</f>
        <v>23651806.574999999</v>
      </c>
      <c r="CG25" s="91">
        <f ca="1">WC!CR4</f>
        <v>26461689.381250001</v>
      </c>
      <c r="CH25" s="91">
        <f ca="1">WC!CS4</f>
        <v>31901639.112500001</v>
      </c>
    </row>
    <row r="26" spans="1:86" x14ac:dyDescent="0.25">
      <c r="B26" s="31" t="s">
        <v>115</v>
      </c>
      <c r="C26" s="121">
        <f t="shared" ref="C26:N26" si="6">(((C22)+(C23))+(C24))+(C25)</f>
        <v>0</v>
      </c>
      <c r="D26" s="121">
        <f t="shared" si="6"/>
        <v>0</v>
      </c>
      <c r="E26" s="121">
        <f t="shared" si="6"/>
        <v>0</v>
      </c>
      <c r="F26" s="121">
        <f t="shared" si="6"/>
        <v>0</v>
      </c>
      <c r="G26" s="121">
        <f t="shared" si="6"/>
        <v>0</v>
      </c>
      <c r="H26" s="121">
        <f t="shared" si="6"/>
        <v>0</v>
      </c>
      <c r="I26" s="121">
        <f t="shared" si="6"/>
        <v>0</v>
      </c>
      <c r="J26" s="121">
        <f t="shared" si="6"/>
        <v>0</v>
      </c>
      <c r="K26" s="121">
        <f t="shared" si="6"/>
        <v>0</v>
      </c>
      <c r="L26" s="121">
        <f t="shared" si="6"/>
        <v>0</v>
      </c>
      <c r="M26" s="121">
        <f t="shared" si="6"/>
        <v>1161.8399999999999</v>
      </c>
      <c r="N26" s="121">
        <f t="shared" si="6"/>
        <v>1161.8399999999999</v>
      </c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</row>
    <row r="27" spans="1:86" x14ac:dyDescent="0.25">
      <c r="A27" s="29" t="s">
        <v>2</v>
      </c>
      <c r="B27" s="31" t="s">
        <v>114</v>
      </c>
      <c r="C27" s="119"/>
      <c r="D27" s="120">
        <f t="shared" ref="D27:N28" si="7">C27</f>
        <v>0</v>
      </c>
      <c r="E27" s="120">
        <f t="shared" si="7"/>
        <v>0</v>
      </c>
      <c r="F27" s="120">
        <f t="shared" si="7"/>
        <v>0</v>
      </c>
      <c r="G27" s="120">
        <f t="shared" si="7"/>
        <v>0</v>
      </c>
      <c r="H27" s="120">
        <f t="shared" si="7"/>
        <v>0</v>
      </c>
      <c r="I27" s="120">
        <f t="shared" si="7"/>
        <v>0</v>
      </c>
      <c r="J27" s="120">
        <f t="shared" si="7"/>
        <v>0</v>
      </c>
      <c r="K27" s="120">
        <f t="shared" si="7"/>
        <v>0</v>
      </c>
      <c r="L27" s="120">
        <f t="shared" si="7"/>
        <v>0</v>
      </c>
      <c r="M27" s="120">
        <f t="shared" si="7"/>
        <v>0</v>
      </c>
      <c r="N27" s="120">
        <f t="shared" si="7"/>
        <v>0</v>
      </c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</row>
    <row r="28" spans="1:86" x14ac:dyDescent="0.25">
      <c r="A28" s="29" t="s">
        <v>2</v>
      </c>
      <c r="B28" s="31" t="s">
        <v>113</v>
      </c>
      <c r="C28" s="119"/>
      <c r="D28" s="120">
        <f t="shared" si="7"/>
        <v>0</v>
      </c>
      <c r="E28" s="120">
        <f t="shared" si="7"/>
        <v>0</v>
      </c>
      <c r="F28" s="120">
        <f t="shared" si="7"/>
        <v>0</v>
      </c>
      <c r="G28" s="120">
        <f t="shared" si="7"/>
        <v>0</v>
      </c>
      <c r="H28" s="120">
        <f t="shared" si="7"/>
        <v>0</v>
      </c>
      <c r="I28" s="120">
        <f t="shared" si="7"/>
        <v>0</v>
      </c>
      <c r="J28" s="120">
        <f t="shared" si="7"/>
        <v>0</v>
      </c>
      <c r="K28" s="120">
        <f t="shared" si="7"/>
        <v>0</v>
      </c>
      <c r="L28" s="120">
        <f t="shared" si="7"/>
        <v>0</v>
      </c>
      <c r="M28" s="120">
        <f t="shared" si="7"/>
        <v>0</v>
      </c>
      <c r="N28" s="120">
        <f t="shared" si="7"/>
        <v>0</v>
      </c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</row>
    <row r="29" spans="1:86" x14ac:dyDescent="0.25">
      <c r="A29" s="29" t="s">
        <v>2</v>
      </c>
      <c r="B29" s="31" t="s">
        <v>112</v>
      </c>
      <c r="C29" s="120">
        <f>103446.18</f>
        <v>103446.18</v>
      </c>
      <c r="D29" s="120">
        <f>88779.32</f>
        <v>88779.32</v>
      </c>
      <c r="E29" s="120">
        <f>96112.46</f>
        <v>96112.46</v>
      </c>
      <c r="F29" s="120">
        <f>88859.33</f>
        <v>88859.33</v>
      </c>
      <c r="G29" s="120">
        <f>198797.41</f>
        <v>198797.41</v>
      </c>
      <c r="H29" s="120">
        <f>187655.66</f>
        <v>187655.66</v>
      </c>
      <c r="I29" s="120">
        <f>169055.8</f>
        <v>169055.8</v>
      </c>
      <c r="J29" s="120">
        <f>200802.96</f>
        <v>200802.96</v>
      </c>
      <c r="K29" s="120">
        <f>176435.23</f>
        <v>176435.23</v>
      </c>
      <c r="L29" s="120">
        <f>162213.94</f>
        <v>162213.94</v>
      </c>
      <c r="M29" s="120">
        <f>136301.64</f>
        <v>136301.64000000001</v>
      </c>
      <c r="N29" s="120">
        <f>101582.23</f>
        <v>101582.23</v>
      </c>
      <c r="O29" s="93">
        <f>[1]BSSched!AV51+$N$29</f>
        <v>101582.23</v>
      </c>
      <c r="P29" s="93">
        <f>[1]BSSched!AW51+$N$29</f>
        <v>1101582.23</v>
      </c>
      <c r="Q29" s="93">
        <f>[1]BSSched!AX51+$N$29</f>
        <v>1059915.5633333335</v>
      </c>
      <c r="R29" s="93">
        <f>[1]BSSched!AY51+$N$29</f>
        <v>1018248.8966666667</v>
      </c>
      <c r="S29" s="93">
        <f>[1]BSSched!AZ51+$N$29</f>
        <v>976582.2300000001</v>
      </c>
      <c r="T29" s="93">
        <f>[1]BSSched!BA51+$N$29</f>
        <v>934915.56333333347</v>
      </c>
      <c r="U29" s="93">
        <f>[1]BSSched!BB51+$N$29</f>
        <v>893248.89666666684</v>
      </c>
      <c r="V29" s="93">
        <f>[1]BSSched!BC51+$N$29</f>
        <v>851582.23000000021</v>
      </c>
      <c r="W29" s="93">
        <f>[1]BSSched!BD51+$N$29</f>
        <v>809915.56333333359</v>
      </c>
      <c r="X29" s="93">
        <f>[1]BSSched!BE51+$N$29</f>
        <v>768248.89666666696</v>
      </c>
      <c r="Y29" s="93">
        <f>[1]BSSched!BF51+$N$29</f>
        <v>726582.23000000033</v>
      </c>
      <c r="Z29" s="93">
        <f>[1]BSSched!BG51+$N$29</f>
        <v>684915.5633333337</v>
      </c>
      <c r="AA29" s="93">
        <f>[1]BSSched!BH51+$N$29</f>
        <v>643248.89666666707</v>
      </c>
      <c r="AB29" s="93">
        <f>[1]BSSched!BI51+$N$29</f>
        <v>601582.23000000045</v>
      </c>
      <c r="AC29" s="93">
        <f>[1]BSSched!BJ51+$N$29</f>
        <v>559915.5633333337</v>
      </c>
      <c r="AD29" s="93">
        <f>[1]BSSched!BK51+$N$29</f>
        <v>518248.89666666702</v>
      </c>
      <c r="AE29" s="93">
        <f>[1]BSSched!BL51+$N$29</f>
        <v>476582.23000000033</v>
      </c>
      <c r="AF29" s="93">
        <f>[1]BSSched!BM51+$N$29</f>
        <v>434915.56333333364</v>
      </c>
      <c r="AG29" s="93">
        <f>[1]BSSched!BN51+$N$29</f>
        <v>393248.89666666696</v>
      </c>
      <c r="AH29" s="93">
        <f>[1]BSSched!BO51+$N$29</f>
        <v>351582.23000000033</v>
      </c>
      <c r="AI29" s="93">
        <f>[1]BSSched!BP51+$N$29</f>
        <v>309915.56333333364</v>
      </c>
      <c r="AJ29" s="93">
        <f>[1]BSSched!BQ51+$N$29</f>
        <v>268248.89666666702</v>
      </c>
      <c r="AK29" s="93">
        <f>[1]BSSched!BR51+$N$29</f>
        <v>226582.23000000033</v>
      </c>
      <c r="AL29" s="93">
        <f>[1]BSSched!BS51+$N$29</f>
        <v>184915.5633333337</v>
      </c>
      <c r="AM29" s="93">
        <f>[1]BSSched!BT51+$N$29</f>
        <v>143248.89666666702</v>
      </c>
      <c r="AN29" s="93">
        <f>[1]BSSched!BU51+$N$29</f>
        <v>101582.23000000036</v>
      </c>
      <c r="AO29" s="93">
        <f>[1]BSSched!BV51+$N$29</f>
        <v>101582.23000000036</v>
      </c>
      <c r="AP29" s="93">
        <f>[1]BSSched!BW51+$N$29</f>
        <v>101582.23000000036</v>
      </c>
      <c r="AQ29" s="93">
        <f>[1]BSSched!BX51+$N$29</f>
        <v>101582.23000000036</v>
      </c>
      <c r="AR29" s="93">
        <f>[1]BSSched!BY51+$N$29</f>
        <v>101582.23000000036</v>
      </c>
      <c r="AS29" s="93">
        <f>[1]BSSched!BZ51+$N$29</f>
        <v>101582.23000000036</v>
      </c>
      <c r="AT29" s="93">
        <f>[1]BSSched!CA51+$N$29</f>
        <v>101582.23000000036</v>
      </c>
      <c r="AU29" s="93">
        <f>[1]BSSched!CB51+$N$29</f>
        <v>101582.23000000036</v>
      </c>
      <c r="AV29" s="93">
        <f>[1]BSSched!CC51+$N$29</f>
        <v>101582.23000000036</v>
      </c>
      <c r="AW29" s="93">
        <f>[1]BSSched!CD51+$N$29</f>
        <v>101582.23000000036</v>
      </c>
      <c r="AX29" s="93">
        <f>[1]BSSched!CE51+$N$29</f>
        <v>101582.23000000036</v>
      </c>
      <c r="AY29" s="93">
        <f>[1]BSSched!CF51+$N$29</f>
        <v>101582.23000000036</v>
      </c>
      <c r="AZ29" s="93">
        <f>[1]BSSched!CG51+$N$29</f>
        <v>101582.23000000036</v>
      </c>
      <c r="BA29" s="93">
        <f>[1]BSSched!CH51+$N$29</f>
        <v>101582.23000000036</v>
      </c>
      <c r="BB29" s="93">
        <f>[1]BSSched!CI51+$N$29</f>
        <v>101582.23000000036</v>
      </c>
      <c r="BC29" s="93">
        <f>[1]BSSched!CJ51+$N$29</f>
        <v>101582.23000000036</v>
      </c>
      <c r="BD29" s="93">
        <f>[1]BSSched!CK51+$N$29</f>
        <v>101582.23000000036</v>
      </c>
      <c r="BE29" s="93">
        <f>[1]BSSched!CL51+$N$29</f>
        <v>101582.23000000036</v>
      </c>
      <c r="BF29" s="93">
        <f>[1]BSSched!CM51+$N$29</f>
        <v>101582.23000000036</v>
      </c>
      <c r="BG29" s="93">
        <f>[1]BSSched!CN51+$N$29</f>
        <v>101582.23000000036</v>
      </c>
      <c r="BH29" s="93">
        <f>[1]BSSched!CO51+$N$29</f>
        <v>101582.23000000036</v>
      </c>
      <c r="BI29" s="93">
        <f>[1]BSSched!CP51+$N$29</f>
        <v>101582.23000000036</v>
      </c>
      <c r="BJ29" s="93">
        <f>[1]BSSched!CQ51+$N$29</f>
        <v>101582.23000000036</v>
      </c>
      <c r="BK29" s="93">
        <f>[1]BSSched!CR51+$N$29</f>
        <v>101582.23000000036</v>
      </c>
      <c r="BL29" s="93">
        <f>[1]BSSched!CS51+$N$29</f>
        <v>101582.23000000036</v>
      </c>
      <c r="BM29" s="93">
        <f>[1]BSSched!CT51+$N$29</f>
        <v>101582.23000000036</v>
      </c>
      <c r="BN29" s="93">
        <f>[1]BSSched!CU51+$N$29</f>
        <v>101582.23000000036</v>
      </c>
      <c r="BO29" s="93">
        <f>[1]BSSched!CV51+$N$29</f>
        <v>101582.23000000036</v>
      </c>
      <c r="BP29" s="93">
        <f>[1]BSSched!CW51+$N$29</f>
        <v>101582.23000000036</v>
      </c>
      <c r="BQ29" s="93">
        <f>[1]BSSched!CX51+$N$29</f>
        <v>101582.23000000036</v>
      </c>
      <c r="BR29" s="93">
        <f>[1]BSSched!CY51+$N$29</f>
        <v>101582.23000000036</v>
      </c>
      <c r="BS29" s="93">
        <f>[1]BSSched!CZ51+$N$29</f>
        <v>101582.23000000036</v>
      </c>
      <c r="BT29" s="93">
        <f>[1]BSSched!DA51+$N$29</f>
        <v>101582.23000000036</v>
      </c>
      <c r="BU29" s="93">
        <f>[1]BSSched!DB51+$N$29</f>
        <v>101582.23000000036</v>
      </c>
      <c r="BV29" s="93">
        <f>[1]BSSched!DC51+$N$29</f>
        <v>101582.23000000036</v>
      </c>
      <c r="BW29" s="93">
        <f>[1]BSSched!DD51+$N$29</f>
        <v>101582.23000000036</v>
      </c>
      <c r="BX29" s="93">
        <f>[1]BSSched!DE51+$N$29</f>
        <v>101582.23000000036</v>
      </c>
      <c r="BY29" s="93">
        <f>[1]BSSched!DF51+$N$29</f>
        <v>101582.23000000036</v>
      </c>
      <c r="BZ29" s="93">
        <f>[1]BSSched!DG51+$N$29</f>
        <v>101582.23000000036</v>
      </c>
      <c r="CA29" s="93">
        <f>[1]BSSched!DH51+$N$29</f>
        <v>101582.23000000036</v>
      </c>
      <c r="CB29" s="93">
        <f>[1]BSSched!DI51+$N$29</f>
        <v>101582.23000000036</v>
      </c>
      <c r="CC29" s="93">
        <f>[1]BSSched!DJ51+$N$29</f>
        <v>101582.23000000036</v>
      </c>
      <c r="CD29" s="93">
        <f>[1]BSSched!DK51+$N$29</f>
        <v>101582.23000000036</v>
      </c>
      <c r="CE29" s="93">
        <f>[1]BSSched!DL51+$N$29</f>
        <v>101582.23000000036</v>
      </c>
      <c r="CF29" s="93">
        <f>[1]BSSched!DM51+$N$29</f>
        <v>101582.23000000036</v>
      </c>
      <c r="CG29" s="93">
        <f>[1]BSSched!DN51+$N$29</f>
        <v>101582.23000000036</v>
      </c>
      <c r="CH29" s="93">
        <f>[1]BSSched!DO51+$N$29</f>
        <v>101582.23000000036</v>
      </c>
    </row>
    <row r="30" spans="1:86" x14ac:dyDescent="0.25">
      <c r="B30" s="31" t="s">
        <v>111</v>
      </c>
      <c r="C30" s="121">
        <f t="shared" ref="C30:N30" si="8">((C27)+(C28))+(C29)</f>
        <v>103446.18</v>
      </c>
      <c r="D30" s="121">
        <f t="shared" si="8"/>
        <v>88779.32</v>
      </c>
      <c r="E30" s="121">
        <f t="shared" si="8"/>
        <v>96112.46</v>
      </c>
      <c r="F30" s="121">
        <f t="shared" si="8"/>
        <v>88859.33</v>
      </c>
      <c r="G30" s="121">
        <f t="shared" si="8"/>
        <v>198797.41</v>
      </c>
      <c r="H30" s="121">
        <f t="shared" si="8"/>
        <v>187655.66</v>
      </c>
      <c r="I30" s="121">
        <f t="shared" si="8"/>
        <v>169055.8</v>
      </c>
      <c r="J30" s="121">
        <f t="shared" si="8"/>
        <v>200802.96</v>
      </c>
      <c r="K30" s="121">
        <f t="shared" si="8"/>
        <v>176435.23</v>
      </c>
      <c r="L30" s="121">
        <f t="shared" si="8"/>
        <v>162213.94</v>
      </c>
      <c r="M30" s="121">
        <f t="shared" si="8"/>
        <v>136301.64000000001</v>
      </c>
      <c r="N30" s="121">
        <f t="shared" si="8"/>
        <v>101582.23</v>
      </c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0"/>
    </row>
    <row r="31" spans="1:86" x14ac:dyDescent="0.25">
      <c r="A31" s="29" t="s">
        <v>4</v>
      </c>
      <c r="B31" s="31" t="s">
        <v>110</v>
      </c>
      <c r="C31" s="119"/>
      <c r="D31" s="120">
        <f t="shared" ref="D31:N33" si="9">C31</f>
        <v>0</v>
      </c>
      <c r="E31" s="120">
        <f t="shared" si="9"/>
        <v>0</v>
      </c>
      <c r="F31" s="120">
        <f t="shared" si="9"/>
        <v>0</v>
      </c>
      <c r="G31" s="120">
        <f t="shared" si="9"/>
        <v>0</v>
      </c>
      <c r="H31" s="120">
        <f t="shared" si="9"/>
        <v>0</v>
      </c>
      <c r="I31" s="120">
        <f t="shared" si="9"/>
        <v>0</v>
      </c>
      <c r="J31" s="120">
        <f t="shared" si="9"/>
        <v>0</v>
      </c>
      <c r="K31" s="120">
        <f t="shared" si="9"/>
        <v>0</v>
      </c>
      <c r="L31" s="120">
        <f t="shared" si="9"/>
        <v>0</v>
      </c>
      <c r="M31" s="120">
        <f t="shared" si="9"/>
        <v>0</v>
      </c>
      <c r="N31" s="120">
        <f t="shared" si="9"/>
        <v>0</v>
      </c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</row>
    <row r="32" spans="1:86" x14ac:dyDescent="0.25">
      <c r="A32" s="29" t="s">
        <v>4</v>
      </c>
      <c r="B32" s="31" t="s">
        <v>109</v>
      </c>
      <c r="C32" s="119"/>
      <c r="D32" s="120">
        <f t="shared" si="9"/>
        <v>0</v>
      </c>
      <c r="E32" s="120">
        <f t="shared" si="9"/>
        <v>0</v>
      </c>
      <c r="F32" s="120">
        <f t="shared" si="9"/>
        <v>0</v>
      </c>
      <c r="G32" s="120">
        <f t="shared" si="9"/>
        <v>0</v>
      </c>
      <c r="H32" s="120">
        <f t="shared" si="9"/>
        <v>0</v>
      </c>
      <c r="I32" s="120">
        <f t="shared" si="9"/>
        <v>0</v>
      </c>
      <c r="J32" s="120">
        <f t="shared" si="9"/>
        <v>0</v>
      </c>
      <c r="K32" s="120">
        <f t="shared" si="9"/>
        <v>0</v>
      </c>
      <c r="L32" s="120">
        <f t="shared" si="9"/>
        <v>0</v>
      </c>
      <c r="M32" s="120">
        <f t="shared" si="9"/>
        <v>0</v>
      </c>
      <c r="N32" s="133">
        <v>389084</v>
      </c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</row>
    <row r="33" spans="1:86" x14ac:dyDescent="0.25">
      <c r="A33" s="29" t="s">
        <v>4</v>
      </c>
      <c r="B33" s="31" t="s">
        <v>108</v>
      </c>
      <c r="C33" s="119"/>
      <c r="D33" s="120">
        <f t="shared" si="9"/>
        <v>0</v>
      </c>
      <c r="E33" s="120">
        <f t="shared" si="9"/>
        <v>0</v>
      </c>
      <c r="F33" s="120">
        <f t="shared" si="9"/>
        <v>0</v>
      </c>
      <c r="G33" s="120">
        <f t="shared" si="9"/>
        <v>0</v>
      </c>
      <c r="H33" s="120">
        <f t="shared" si="9"/>
        <v>0</v>
      </c>
      <c r="I33" s="120">
        <f t="shared" si="9"/>
        <v>0</v>
      </c>
      <c r="J33" s="120">
        <f t="shared" si="9"/>
        <v>0</v>
      </c>
      <c r="K33" s="120">
        <f t="shared" si="9"/>
        <v>0</v>
      </c>
      <c r="L33" s="120">
        <f t="shared" si="9"/>
        <v>0</v>
      </c>
      <c r="M33" s="120">
        <f t="shared" si="9"/>
        <v>0</v>
      </c>
      <c r="N33" s="120">
        <f t="shared" si="9"/>
        <v>0</v>
      </c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</row>
    <row r="34" spans="1:86" x14ac:dyDescent="0.25">
      <c r="B34" s="31" t="s">
        <v>107</v>
      </c>
      <c r="C34" s="121">
        <f t="shared" ref="C34:N34" si="10">((((C26)+(C30))+(C31))+(C32))+(C33)</f>
        <v>103446.18</v>
      </c>
      <c r="D34" s="121">
        <f t="shared" si="10"/>
        <v>88779.32</v>
      </c>
      <c r="E34" s="121">
        <f t="shared" si="10"/>
        <v>96112.46</v>
      </c>
      <c r="F34" s="121">
        <f t="shared" si="10"/>
        <v>88859.33</v>
      </c>
      <c r="G34" s="121">
        <f t="shared" si="10"/>
        <v>198797.41</v>
      </c>
      <c r="H34" s="121">
        <f t="shared" si="10"/>
        <v>187655.66</v>
      </c>
      <c r="I34" s="121">
        <f t="shared" si="10"/>
        <v>169055.8</v>
      </c>
      <c r="J34" s="121">
        <f t="shared" si="10"/>
        <v>200802.96</v>
      </c>
      <c r="K34" s="121">
        <f t="shared" si="10"/>
        <v>176435.23</v>
      </c>
      <c r="L34" s="121">
        <f t="shared" si="10"/>
        <v>162213.94</v>
      </c>
      <c r="M34" s="121">
        <f t="shared" si="10"/>
        <v>137463.48000000001</v>
      </c>
      <c r="N34" s="121">
        <f t="shared" si="10"/>
        <v>491828.07</v>
      </c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</row>
    <row r="35" spans="1:86" x14ac:dyDescent="0.25">
      <c r="B35" s="31" t="s">
        <v>106</v>
      </c>
      <c r="C35" s="121">
        <f t="shared" ref="C35:N35" si="11">((C17)+(C20))+(C34)</f>
        <v>15394820.060000001</v>
      </c>
      <c r="D35" s="121">
        <f t="shared" si="11"/>
        <v>15033907.34</v>
      </c>
      <c r="E35" s="121">
        <f t="shared" si="11"/>
        <v>14672387.449999999</v>
      </c>
      <c r="F35" s="121">
        <f t="shared" si="11"/>
        <v>14348496.870000001</v>
      </c>
      <c r="G35" s="121">
        <f t="shared" si="11"/>
        <v>13935098.199999999</v>
      </c>
      <c r="H35" s="121">
        <f t="shared" si="11"/>
        <v>13410934.609999999</v>
      </c>
      <c r="I35" s="121">
        <f t="shared" si="11"/>
        <v>13023807.000000002</v>
      </c>
      <c r="J35" s="121">
        <f t="shared" si="11"/>
        <v>7255767.5</v>
      </c>
      <c r="K35" s="121">
        <f t="shared" si="11"/>
        <v>7159953.8700000001</v>
      </c>
      <c r="L35" s="121">
        <f t="shared" si="11"/>
        <v>7165928.71</v>
      </c>
      <c r="M35" s="121">
        <f t="shared" si="11"/>
        <v>6490021.7700000005</v>
      </c>
      <c r="N35" s="121">
        <f t="shared" si="11"/>
        <v>5861788.8200000012</v>
      </c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</row>
    <row r="36" spans="1:86" x14ac:dyDescent="0.25">
      <c r="B36" s="31" t="s">
        <v>105</v>
      </c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8"/>
      <c r="CH36" s="88"/>
    </row>
    <row r="37" spans="1:86" x14ac:dyDescent="0.25">
      <c r="A37" s="29" t="s">
        <v>206</v>
      </c>
      <c r="B37" s="31" t="s">
        <v>104</v>
      </c>
      <c r="C37" s="119"/>
      <c r="D37" s="120">
        <f t="shared" ref="D37:N37" si="12">C37</f>
        <v>0</v>
      </c>
      <c r="E37" s="120">
        <f t="shared" si="12"/>
        <v>0</v>
      </c>
      <c r="F37" s="120">
        <f t="shared" si="12"/>
        <v>0</v>
      </c>
      <c r="G37" s="120">
        <f t="shared" si="12"/>
        <v>0</v>
      </c>
      <c r="H37" s="120">
        <f t="shared" si="12"/>
        <v>0</v>
      </c>
      <c r="I37" s="120">
        <f t="shared" si="12"/>
        <v>0</v>
      </c>
      <c r="J37" s="120">
        <f t="shared" si="12"/>
        <v>0</v>
      </c>
      <c r="K37" s="120">
        <f t="shared" si="12"/>
        <v>0</v>
      </c>
      <c r="L37" s="120">
        <f t="shared" si="12"/>
        <v>0</v>
      </c>
      <c r="M37" s="120">
        <f t="shared" si="12"/>
        <v>0</v>
      </c>
      <c r="N37" s="120">
        <f t="shared" si="12"/>
        <v>0</v>
      </c>
      <c r="O37" s="92">
        <f t="shared" ref="O37:O40" si="13">N37</f>
        <v>0</v>
      </c>
      <c r="P37" s="92">
        <f t="shared" ref="P37:P40" si="14">O37</f>
        <v>0</v>
      </c>
      <c r="Q37" s="92">
        <f t="shared" ref="Q37:Q40" si="15">P37</f>
        <v>0</v>
      </c>
      <c r="R37" s="92">
        <f t="shared" ref="R37:R40" si="16">Q37</f>
        <v>0</v>
      </c>
      <c r="S37" s="92">
        <f t="shared" ref="S37:S40" si="17">R37</f>
        <v>0</v>
      </c>
      <c r="T37" s="92">
        <f t="shared" ref="T37:T40" si="18">S37</f>
        <v>0</v>
      </c>
      <c r="U37" s="92">
        <f t="shared" ref="U37:U40" si="19">T37</f>
        <v>0</v>
      </c>
      <c r="V37" s="92">
        <f t="shared" ref="V37:V40" si="20">U37</f>
        <v>0</v>
      </c>
      <c r="W37" s="92">
        <f t="shared" ref="W37:W40" si="21">V37</f>
        <v>0</v>
      </c>
      <c r="X37" s="92">
        <f t="shared" ref="X37:X40" si="22">W37</f>
        <v>0</v>
      </c>
      <c r="Y37" s="92">
        <f t="shared" ref="Y37:Y40" si="23">X37</f>
        <v>0</v>
      </c>
      <c r="Z37" s="92">
        <f t="shared" ref="Z37:Z40" si="24">Y37</f>
        <v>0</v>
      </c>
      <c r="AA37" s="92">
        <f t="shared" ref="AA37:AA40" si="25">Z37</f>
        <v>0</v>
      </c>
      <c r="AB37" s="92">
        <f t="shared" ref="AB37:AB40" si="26">AA37</f>
        <v>0</v>
      </c>
      <c r="AC37" s="92">
        <f t="shared" ref="AC37:AC40" si="27">AB37</f>
        <v>0</v>
      </c>
      <c r="AD37" s="92">
        <f t="shared" ref="AD37:AD40" si="28">AC37</f>
        <v>0</v>
      </c>
      <c r="AE37" s="92">
        <f t="shared" ref="AE37:AE40" si="29">AD37</f>
        <v>0</v>
      </c>
      <c r="AF37" s="92">
        <f t="shared" ref="AF37:AF40" si="30">AE37</f>
        <v>0</v>
      </c>
      <c r="AG37" s="92">
        <f t="shared" ref="AG37:AG40" si="31">AF37</f>
        <v>0</v>
      </c>
      <c r="AH37" s="92">
        <f t="shared" ref="AH37:AH40" si="32">AG37</f>
        <v>0</v>
      </c>
      <c r="AI37" s="92">
        <f t="shared" ref="AI37:AI40" si="33">AH37</f>
        <v>0</v>
      </c>
      <c r="AJ37" s="92">
        <f t="shared" ref="AJ37:AJ40" si="34">AI37</f>
        <v>0</v>
      </c>
      <c r="AK37" s="92">
        <f t="shared" ref="AK37:AK40" si="35">AJ37</f>
        <v>0</v>
      </c>
      <c r="AL37" s="92">
        <f t="shared" ref="AL37:AL40" si="36">AK37</f>
        <v>0</v>
      </c>
      <c r="AM37" s="92">
        <f t="shared" ref="AM37:AM40" si="37">AL37</f>
        <v>0</v>
      </c>
      <c r="AN37" s="92">
        <f t="shared" ref="AN37:AN40" si="38">AM37</f>
        <v>0</v>
      </c>
      <c r="AO37" s="92">
        <f t="shared" ref="AO37:AO40" si="39">AN37</f>
        <v>0</v>
      </c>
      <c r="AP37" s="92">
        <f t="shared" ref="AP37:AP40" si="40">AO37</f>
        <v>0</v>
      </c>
      <c r="AQ37" s="92">
        <f t="shared" ref="AQ37:AQ40" si="41">AP37</f>
        <v>0</v>
      </c>
      <c r="AR37" s="92">
        <f t="shared" ref="AR37:AR40" si="42">AQ37</f>
        <v>0</v>
      </c>
      <c r="AS37" s="92">
        <f t="shared" ref="AS37:AS40" si="43">AR37</f>
        <v>0</v>
      </c>
      <c r="AT37" s="92">
        <f t="shared" ref="AT37:AT40" si="44">AS37</f>
        <v>0</v>
      </c>
      <c r="AU37" s="92">
        <f t="shared" ref="AU37:AU40" si="45">AT37</f>
        <v>0</v>
      </c>
      <c r="AV37" s="92">
        <f t="shared" ref="AV37:AV40" si="46">AU37</f>
        <v>0</v>
      </c>
      <c r="AW37" s="92">
        <f t="shared" ref="AW37:AW40" si="47">AV37</f>
        <v>0</v>
      </c>
      <c r="AX37" s="92">
        <f t="shared" ref="AX37:AX40" si="48">AW37</f>
        <v>0</v>
      </c>
      <c r="AY37" s="92">
        <f t="shared" ref="AY37:AY38" si="49">AX37</f>
        <v>0</v>
      </c>
      <c r="AZ37" s="92">
        <f t="shared" ref="AZ37:AZ38" si="50">AY37</f>
        <v>0</v>
      </c>
      <c r="BA37" s="92">
        <f t="shared" ref="BA37:BA38" si="51">AZ37</f>
        <v>0</v>
      </c>
      <c r="BB37" s="92">
        <f t="shared" ref="BB37:BB38" si="52">BA37</f>
        <v>0</v>
      </c>
      <c r="BC37" s="92">
        <f t="shared" ref="BC37:BC38" si="53">BB37</f>
        <v>0</v>
      </c>
      <c r="BD37" s="92">
        <f t="shared" ref="BD37:BD38" si="54">BC37</f>
        <v>0</v>
      </c>
      <c r="BE37" s="92">
        <f t="shared" ref="BE37:BE38" si="55">BD37</f>
        <v>0</v>
      </c>
      <c r="BF37" s="92">
        <f t="shared" ref="BF37:BF38" si="56">BE37</f>
        <v>0</v>
      </c>
      <c r="BG37" s="92">
        <f t="shared" ref="BG37:BG38" si="57">BF37</f>
        <v>0</v>
      </c>
      <c r="BH37" s="92">
        <f t="shared" ref="BH37:BH38" si="58">BG37</f>
        <v>0</v>
      </c>
      <c r="BI37" s="92">
        <f t="shared" ref="BI37:BI38" si="59">BH37</f>
        <v>0</v>
      </c>
      <c r="BJ37" s="92">
        <f t="shared" ref="BJ37:BJ38" si="60">BI37</f>
        <v>0</v>
      </c>
      <c r="BK37" s="92">
        <f t="shared" ref="BK37:BK38" si="61">BJ37</f>
        <v>0</v>
      </c>
      <c r="BL37" s="92">
        <f t="shared" ref="BL37:BL38" si="62">BK37</f>
        <v>0</v>
      </c>
      <c r="BM37" s="92">
        <f t="shared" ref="BM37:BM38" si="63">BL37</f>
        <v>0</v>
      </c>
      <c r="BN37" s="92">
        <f t="shared" ref="BN37:BN38" si="64">BM37</f>
        <v>0</v>
      </c>
      <c r="BO37" s="92">
        <f t="shared" ref="BO37:BO38" si="65">BN37</f>
        <v>0</v>
      </c>
      <c r="BP37" s="92">
        <f t="shared" ref="BP37:BP38" si="66">BO37</f>
        <v>0</v>
      </c>
      <c r="BQ37" s="92">
        <f t="shared" ref="BQ37:BQ38" si="67">BP37</f>
        <v>0</v>
      </c>
      <c r="BR37" s="92">
        <f t="shared" ref="BR37:BR38" si="68">BQ37</f>
        <v>0</v>
      </c>
      <c r="BS37" s="92">
        <f t="shared" ref="BS37:BS38" si="69">BR37</f>
        <v>0</v>
      </c>
      <c r="BT37" s="92">
        <f t="shared" ref="BT37:BT38" si="70">BS37</f>
        <v>0</v>
      </c>
      <c r="BU37" s="92">
        <f t="shared" ref="BU37:BU38" si="71">BT37</f>
        <v>0</v>
      </c>
      <c r="BV37" s="92">
        <f t="shared" ref="BV37:BV38" si="72">BU37</f>
        <v>0</v>
      </c>
      <c r="BW37" s="92">
        <f t="shared" ref="BW37:BW38" si="73">BV37</f>
        <v>0</v>
      </c>
      <c r="BX37" s="92">
        <f t="shared" ref="BX37:BX38" si="74">BW37</f>
        <v>0</v>
      </c>
      <c r="BY37" s="92">
        <f t="shared" ref="BY37:BY38" si="75">BX37</f>
        <v>0</v>
      </c>
      <c r="BZ37" s="92">
        <f t="shared" ref="BZ37:BZ38" si="76">BY37</f>
        <v>0</v>
      </c>
      <c r="CA37" s="92">
        <f t="shared" ref="CA37:CA38" si="77">BZ37</f>
        <v>0</v>
      </c>
      <c r="CB37" s="92">
        <f t="shared" ref="CB37:CB38" si="78">CA37</f>
        <v>0</v>
      </c>
      <c r="CC37" s="92">
        <f t="shared" ref="CC37:CC38" si="79">CB37</f>
        <v>0</v>
      </c>
      <c r="CD37" s="92">
        <f t="shared" ref="CD37:CD38" si="80">CC37</f>
        <v>0</v>
      </c>
      <c r="CE37" s="92">
        <f t="shared" ref="CE37:CE38" si="81">CD37</f>
        <v>0</v>
      </c>
      <c r="CF37" s="92">
        <f t="shared" ref="CF37:CF38" si="82">CE37</f>
        <v>0</v>
      </c>
      <c r="CG37" s="92">
        <f t="shared" ref="CG37:CG38" si="83">CF37</f>
        <v>0</v>
      </c>
      <c r="CH37" s="92">
        <f t="shared" ref="CH37:CH38" si="84">CG37</f>
        <v>0</v>
      </c>
    </row>
    <row r="38" spans="1:86" x14ac:dyDescent="0.25">
      <c r="A38" s="29" t="s">
        <v>206</v>
      </c>
      <c r="B38" s="31" t="s">
        <v>103</v>
      </c>
      <c r="C38" s="120">
        <f>88196.9</f>
        <v>88196.9</v>
      </c>
      <c r="D38" s="120">
        <f>179275.56</f>
        <v>179275.56</v>
      </c>
      <c r="E38" s="120">
        <f>194757.22</f>
        <v>194757.22</v>
      </c>
      <c r="F38" s="120">
        <f>E38</f>
        <v>194757.22</v>
      </c>
      <c r="G38" s="120">
        <f>218498.89</f>
        <v>218498.89</v>
      </c>
      <c r="H38" s="120">
        <f>271228.71</f>
        <v>271228.71000000002</v>
      </c>
      <c r="I38" s="120">
        <f>276706.46</f>
        <v>276706.46000000002</v>
      </c>
      <c r="J38" s="120">
        <f>278393.29</f>
        <v>278393.28999999998</v>
      </c>
      <c r="K38" s="120">
        <f>352689.08</f>
        <v>352689.08</v>
      </c>
      <c r="L38" s="120">
        <f>K38</f>
        <v>352689.08</v>
      </c>
      <c r="M38" s="120">
        <f>364212.73</f>
        <v>364212.73</v>
      </c>
      <c r="N38" s="120">
        <f>M38</f>
        <v>364212.73</v>
      </c>
      <c r="O38" s="92">
        <f t="shared" si="13"/>
        <v>364212.73</v>
      </c>
      <c r="P38" s="92">
        <f t="shared" si="14"/>
        <v>364212.73</v>
      </c>
      <c r="Q38" s="92">
        <f t="shared" si="15"/>
        <v>364212.73</v>
      </c>
      <c r="R38" s="92">
        <f t="shared" si="16"/>
        <v>364212.73</v>
      </c>
      <c r="S38" s="92">
        <f t="shared" si="17"/>
        <v>364212.73</v>
      </c>
      <c r="T38" s="92">
        <f t="shared" si="18"/>
        <v>364212.73</v>
      </c>
      <c r="U38" s="92">
        <f t="shared" si="19"/>
        <v>364212.73</v>
      </c>
      <c r="V38" s="92">
        <f t="shared" si="20"/>
        <v>364212.73</v>
      </c>
      <c r="W38" s="92">
        <f t="shared" si="21"/>
        <v>364212.73</v>
      </c>
      <c r="X38" s="92">
        <f t="shared" si="22"/>
        <v>364212.73</v>
      </c>
      <c r="Y38" s="92">
        <f t="shared" si="23"/>
        <v>364212.73</v>
      </c>
      <c r="Z38" s="92">
        <f t="shared" si="24"/>
        <v>364212.73</v>
      </c>
      <c r="AA38" s="92">
        <f t="shared" si="25"/>
        <v>364212.73</v>
      </c>
      <c r="AB38" s="92">
        <f t="shared" si="26"/>
        <v>364212.73</v>
      </c>
      <c r="AC38" s="92">
        <f t="shared" si="27"/>
        <v>364212.73</v>
      </c>
      <c r="AD38" s="92">
        <f t="shared" si="28"/>
        <v>364212.73</v>
      </c>
      <c r="AE38" s="92">
        <f t="shared" si="29"/>
        <v>364212.73</v>
      </c>
      <c r="AF38" s="92">
        <f t="shared" si="30"/>
        <v>364212.73</v>
      </c>
      <c r="AG38" s="92">
        <f t="shared" si="31"/>
        <v>364212.73</v>
      </c>
      <c r="AH38" s="92">
        <f t="shared" si="32"/>
        <v>364212.73</v>
      </c>
      <c r="AI38" s="92">
        <f t="shared" si="33"/>
        <v>364212.73</v>
      </c>
      <c r="AJ38" s="92">
        <f t="shared" si="34"/>
        <v>364212.73</v>
      </c>
      <c r="AK38" s="92">
        <f t="shared" si="35"/>
        <v>364212.73</v>
      </c>
      <c r="AL38" s="92">
        <f t="shared" si="36"/>
        <v>364212.73</v>
      </c>
      <c r="AM38" s="92">
        <f t="shared" si="37"/>
        <v>364212.73</v>
      </c>
      <c r="AN38" s="92">
        <f t="shared" si="38"/>
        <v>364212.73</v>
      </c>
      <c r="AO38" s="92">
        <f t="shared" si="39"/>
        <v>364212.73</v>
      </c>
      <c r="AP38" s="92">
        <f t="shared" si="40"/>
        <v>364212.73</v>
      </c>
      <c r="AQ38" s="92">
        <f t="shared" si="41"/>
        <v>364212.73</v>
      </c>
      <c r="AR38" s="92">
        <f t="shared" si="42"/>
        <v>364212.73</v>
      </c>
      <c r="AS38" s="92">
        <f t="shared" si="43"/>
        <v>364212.73</v>
      </c>
      <c r="AT38" s="92">
        <f t="shared" si="44"/>
        <v>364212.73</v>
      </c>
      <c r="AU38" s="92">
        <f t="shared" si="45"/>
        <v>364212.73</v>
      </c>
      <c r="AV38" s="92">
        <f t="shared" si="46"/>
        <v>364212.73</v>
      </c>
      <c r="AW38" s="92">
        <f t="shared" si="47"/>
        <v>364212.73</v>
      </c>
      <c r="AX38" s="92">
        <f t="shared" si="48"/>
        <v>364212.73</v>
      </c>
      <c r="AY38" s="92">
        <f t="shared" si="49"/>
        <v>364212.73</v>
      </c>
      <c r="AZ38" s="92">
        <f t="shared" si="50"/>
        <v>364212.73</v>
      </c>
      <c r="BA38" s="92">
        <f t="shared" si="51"/>
        <v>364212.73</v>
      </c>
      <c r="BB38" s="92">
        <f t="shared" si="52"/>
        <v>364212.73</v>
      </c>
      <c r="BC38" s="92">
        <f t="shared" si="53"/>
        <v>364212.73</v>
      </c>
      <c r="BD38" s="92">
        <f t="shared" si="54"/>
        <v>364212.73</v>
      </c>
      <c r="BE38" s="92">
        <f t="shared" si="55"/>
        <v>364212.73</v>
      </c>
      <c r="BF38" s="92">
        <f t="shared" si="56"/>
        <v>364212.73</v>
      </c>
      <c r="BG38" s="92">
        <f t="shared" si="57"/>
        <v>364212.73</v>
      </c>
      <c r="BH38" s="92">
        <f t="shared" si="58"/>
        <v>364212.73</v>
      </c>
      <c r="BI38" s="92">
        <f t="shared" si="59"/>
        <v>364212.73</v>
      </c>
      <c r="BJ38" s="92">
        <f t="shared" si="60"/>
        <v>364212.73</v>
      </c>
      <c r="BK38" s="92">
        <f t="shared" si="61"/>
        <v>364212.73</v>
      </c>
      <c r="BL38" s="92">
        <f t="shared" si="62"/>
        <v>364212.73</v>
      </c>
      <c r="BM38" s="92">
        <f t="shared" si="63"/>
        <v>364212.73</v>
      </c>
      <c r="BN38" s="92">
        <f t="shared" si="64"/>
        <v>364212.73</v>
      </c>
      <c r="BO38" s="92">
        <f t="shared" si="65"/>
        <v>364212.73</v>
      </c>
      <c r="BP38" s="92">
        <f t="shared" si="66"/>
        <v>364212.73</v>
      </c>
      <c r="BQ38" s="92">
        <f t="shared" si="67"/>
        <v>364212.73</v>
      </c>
      <c r="BR38" s="92">
        <f t="shared" si="68"/>
        <v>364212.73</v>
      </c>
      <c r="BS38" s="92">
        <f t="shared" si="69"/>
        <v>364212.73</v>
      </c>
      <c r="BT38" s="92">
        <f t="shared" si="70"/>
        <v>364212.73</v>
      </c>
      <c r="BU38" s="92">
        <f t="shared" si="71"/>
        <v>364212.73</v>
      </c>
      <c r="BV38" s="92">
        <f t="shared" si="72"/>
        <v>364212.73</v>
      </c>
      <c r="BW38" s="92">
        <f t="shared" si="73"/>
        <v>364212.73</v>
      </c>
      <c r="BX38" s="92">
        <f t="shared" si="74"/>
        <v>364212.73</v>
      </c>
      <c r="BY38" s="92">
        <f t="shared" si="75"/>
        <v>364212.73</v>
      </c>
      <c r="BZ38" s="92">
        <f t="shared" si="76"/>
        <v>364212.73</v>
      </c>
      <c r="CA38" s="92">
        <f t="shared" si="77"/>
        <v>364212.73</v>
      </c>
      <c r="CB38" s="92">
        <f t="shared" si="78"/>
        <v>364212.73</v>
      </c>
      <c r="CC38" s="92">
        <f t="shared" si="79"/>
        <v>364212.73</v>
      </c>
      <c r="CD38" s="92">
        <f t="shared" si="80"/>
        <v>364212.73</v>
      </c>
      <c r="CE38" s="92">
        <f t="shared" si="81"/>
        <v>364212.73</v>
      </c>
      <c r="CF38" s="92">
        <f t="shared" si="82"/>
        <v>364212.73</v>
      </c>
      <c r="CG38" s="92">
        <f t="shared" si="83"/>
        <v>364212.73</v>
      </c>
      <c r="CH38" s="92">
        <f t="shared" si="84"/>
        <v>364212.73</v>
      </c>
    </row>
    <row r="39" spans="1:86" x14ac:dyDescent="0.25">
      <c r="A39" s="29" t="s">
        <v>206</v>
      </c>
      <c r="B39" s="31" t="s">
        <v>102</v>
      </c>
      <c r="C39" s="120">
        <f>-2099.92</f>
        <v>-2099.92</v>
      </c>
      <c r="D39" s="120">
        <f>-4150.47</f>
        <v>-4150.47</v>
      </c>
      <c r="E39" s="120">
        <f>-6385.33</f>
        <v>-6385.33</v>
      </c>
      <c r="F39" s="120">
        <f>-8620.19</f>
        <v>-8620.19</v>
      </c>
      <c r="G39" s="120">
        <f>-11137.69</f>
        <v>-11137.69</v>
      </c>
      <c r="H39" s="120">
        <f>-14366.61</f>
        <v>-14366.61</v>
      </c>
      <c r="I39" s="120">
        <f>-17660.74</f>
        <v>-17660.740000000002</v>
      </c>
      <c r="J39" s="120">
        <f>-20974.95</f>
        <v>-20974.95</v>
      </c>
      <c r="K39" s="120">
        <f>-25173.63</f>
        <v>-25173.63</v>
      </c>
      <c r="L39" s="120">
        <f>-29372.31</f>
        <v>-29372.31</v>
      </c>
      <c r="M39" s="120">
        <f>-33708.18</f>
        <v>-33708.18</v>
      </c>
      <c r="N39" s="120">
        <f>-38044.05</f>
        <v>-38044.050000000003</v>
      </c>
      <c r="O39" s="92">
        <f t="shared" ref="O39:AX39" si="85">N39+O126</f>
        <v>-51634.411666666667</v>
      </c>
      <c r="P39" s="92">
        <f t="shared" si="85"/>
        <v>-65224.773333333331</v>
      </c>
      <c r="Q39" s="92">
        <f t="shared" si="85"/>
        <v>-78815.134999999995</v>
      </c>
      <c r="R39" s="92">
        <f t="shared" si="85"/>
        <v>-92405.496666666659</v>
      </c>
      <c r="S39" s="92">
        <f t="shared" si="85"/>
        <v>-105995.85833333332</v>
      </c>
      <c r="T39" s="92">
        <f t="shared" si="85"/>
        <v>-119586.21999999999</v>
      </c>
      <c r="U39" s="92">
        <f t="shared" si="85"/>
        <v>-133176.58166666667</v>
      </c>
      <c r="V39" s="92">
        <f t="shared" si="85"/>
        <v>-146766.94333333333</v>
      </c>
      <c r="W39" s="92">
        <f t="shared" si="85"/>
        <v>-160357.30499999999</v>
      </c>
      <c r="X39" s="92">
        <f t="shared" si="85"/>
        <v>-173947.66666666666</v>
      </c>
      <c r="Y39" s="92">
        <f t="shared" si="85"/>
        <v>-187538.02833333332</v>
      </c>
      <c r="Z39" s="92">
        <f t="shared" si="85"/>
        <v>-201128.38999999998</v>
      </c>
      <c r="AA39" s="92">
        <f t="shared" si="85"/>
        <v>-214718.75166666665</v>
      </c>
      <c r="AB39" s="92">
        <f t="shared" si="85"/>
        <v>-228309.11333333331</v>
      </c>
      <c r="AC39" s="92">
        <f t="shared" si="85"/>
        <v>-241899.47499999998</v>
      </c>
      <c r="AD39" s="92">
        <f t="shared" si="85"/>
        <v>-255489.83666666664</v>
      </c>
      <c r="AE39" s="92">
        <f t="shared" si="85"/>
        <v>-269080.1983333333</v>
      </c>
      <c r="AF39" s="92">
        <f t="shared" si="85"/>
        <v>-282670.56</v>
      </c>
      <c r="AG39" s="92">
        <f t="shared" si="85"/>
        <v>-296260.92166666669</v>
      </c>
      <c r="AH39" s="92">
        <f t="shared" si="85"/>
        <v>-309851.28333333338</v>
      </c>
      <c r="AI39" s="92">
        <f t="shared" si="85"/>
        <v>-323441.64500000008</v>
      </c>
      <c r="AJ39" s="92">
        <f t="shared" si="85"/>
        <v>-337032.00666666677</v>
      </c>
      <c r="AK39" s="92">
        <f t="shared" si="85"/>
        <v>-350622.36833333346</v>
      </c>
      <c r="AL39" s="92">
        <f t="shared" si="85"/>
        <v>-364212.73000000016</v>
      </c>
      <c r="AM39" s="92">
        <f t="shared" si="85"/>
        <v>-364212.73000000016</v>
      </c>
      <c r="AN39" s="92">
        <f t="shared" si="85"/>
        <v>-364212.73000000016</v>
      </c>
      <c r="AO39" s="92">
        <f t="shared" si="85"/>
        <v>-364212.73000000016</v>
      </c>
      <c r="AP39" s="92">
        <f t="shared" si="85"/>
        <v>-364212.73000000016</v>
      </c>
      <c r="AQ39" s="92">
        <f t="shared" si="85"/>
        <v>-364212.73000000016</v>
      </c>
      <c r="AR39" s="92">
        <f t="shared" si="85"/>
        <v>-364212.73000000016</v>
      </c>
      <c r="AS39" s="92">
        <f t="shared" si="85"/>
        <v>-364212.73000000016</v>
      </c>
      <c r="AT39" s="92">
        <f t="shared" si="85"/>
        <v>-364212.73000000016</v>
      </c>
      <c r="AU39" s="92">
        <f t="shared" si="85"/>
        <v>-364212.73000000016</v>
      </c>
      <c r="AV39" s="92">
        <f t="shared" si="85"/>
        <v>-364212.73000000016</v>
      </c>
      <c r="AW39" s="92">
        <f t="shared" si="85"/>
        <v>-364212.73000000016</v>
      </c>
      <c r="AX39" s="92">
        <f t="shared" si="85"/>
        <v>-364212.73000000016</v>
      </c>
      <c r="AY39" s="92">
        <f t="shared" ref="AY39" si="86">AX39+AY126</f>
        <v>-364212.73000000016</v>
      </c>
      <c r="AZ39" s="92">
        <f t="shared" ref="AZ39" si="87">AY39+AZ126</f>
        <v>-364212.73000000016</v>
      </c>
      <c r="BA39" s="92">
        <f t="shared" ref="BA39" si="88">AZ39+BA126</f>
        <v>-364212.73000000016</v>
      </c>
      <c r="BB39" s="92">
        <f t="shared" ref="BB39" si="89">BA39+BB126</f>
        <v>-364212.73000000016</v>
      </c>
      <c r="BC39" s="92">
        <f t="shared" ref="BC39" si="90">BB39+BC126</f>
        <v>-364212.73000000016</v>
      </c>
      <c r="BD39" s="92">
        <f t="shared" ref="BD39" si="91">BC39+BD126</f>
        <v>-364212.73000000016</v>
      </c>
      <c r="BE39" s="92">
        <f t="shared" ref="BE39" si="92">BD39+BE126</f>
        <v>-364212.73000000016</v>
      </c>
      <c r="BF39" s="92">
        <f t="shared" ref="BF39" si="93">BE39+BF126</f>
        <v>-364212.73000000016</v>
      </c>
      <c r="BG39" s="92">
        <f t="shared" ref="BG39" si="94">BF39+BG126</f>
        <v>-364212.73000000016</v>
      </c>
      <c r="BH39" s="92">
        <f t="shared" ref="BH39" si="95">BG39+BH126</f>
        <v>-364212.73000000016</v>
      </c>
      <c r="BI39" s="92">
        <f t="shared" ref="BI39" si="96">BH39+BI126</f>
        <v>-364212.73000000016</v>
      </c>
      <c r="BJ39" s="92">
        <f t="shared" ref="BJ39" si="97">BI39+BJ126</f>
        <v>-364212.73000000016</v>
      </c>
      <c r="BK39" s="92">
        <f t="shared" ref="BK39" si="98">BJ39+BK126</f>
        <v>-364212.73000000016</v>
      </c>
      <c r="BL39" s="92">
        <f t="shared" ref="BL39" si="99">BK39+BL126</f>
        <v>-364212.73000000016</v>
      </c>
      <c r="BM39" s="92">
        <f t="shared" ref="BM39" si="100">BL39+BM126</f>
        <v>-364212.73000000016</v>
      </c>
      <c r="BN39" s="92">
        <f t="shared" ref="BN39" si="101">BM39+BN126</f>
        <v>-364212.73000000016</v>
      </c>
      <c r="BO39" s="92">
        <f t="shared" ref="BO39" si="102">BN39+BO126</f>
        <v>-364212.73000000016</v>
      </c>
      <c r="BP39" s="92">
        <f t="shared" ref="BP39" si="103">BO39+BP126</f>
        <v>-364212.73000000016</v>
      </c>
      <c r="BQ39" s="92">
        <f t="shared" ref="BQ39" si="104">BP39+BQ126</f>
        <v>-364212.73000000016</v>
      </c>
      <c r="BR39" s="92">
        <f t="shared" ref="BR39" si="105">BQ39+BR126</f>
        <v>-364212.73000000016</v>
      </c>
      <c r="BS39" s="92">
        <f t="shared" ref="BS39" si="106">BR39+BS126</f>
        <v>-364212.73000000016</v>
      </c>
      <c r="BT39" s="92">
        <f t="shared" ref="BT39" si="107">BS39+BT126</f>
        <v>-364212.73000000016</v>
      </c>
      <c r="BU39" s="92">
        <f t="shared" ref="BU39" si="108">BT39+BU126</f>
        <v>-364212.73000000016</v>
      </c>
      <c r="BV39" s="92">
        <f t="shared" ref="BV39" si="109">BU39+BV126</f>
        <v>-364212.73000000016</v>
      </c>
      <c r="BW39" s="92">
        <f t="shared" ref="BW39" si="110">BV39+BW126</f>
        <v>-364212.73000000016</v>
      </c>
      <c r="BX39" s="92">
        <f t="shared" ref="BX39" si="111">BW39+BX126</f>
        <v>-364212.73000000016</v>
      </c>
      <c r="BY39" s="92">
        <f t="shared" ref="BY39" si="112">BX39+BY126</f>
        <v>-364212.73000000016</v>
      </c>
      <c r="BZ39" s="92">
        <f t="shared" ref="BZ39" si="113">BY39+BZ126</f>
        <v>-364212.73000000016</v>
      </c>
      <c r="CA39" s="92">
        <f t="shared" ref="CA39" si="114">BZ39+CA126</f>
        <v>-364212.73000000016</v>
      </c>
      <c r="CB39" s="92">
        <f t="shared" ref="CB39" si="115">CA39+CB126</f>
        <v>-364212.73000000016</v>
      </c>
      <c r="CC39" s="92">
        <f t="shared" ref="CC39" si="116">CB39+CC126</f>
        <v>-364212.73000000016</v>
      </c>
      <c r="CD39" s="92">
        <f t="shared" ref="CD39" si="117">CC39+CD126</f>
        <v>-364212.73000000016</v>
      </c>
      <c r="CE39" s="92">
        <f t="shared" ref="CE39" si="118">CD39+CE126</f>
        <v>-364212.73000000016</v>
      </c>
      <c r="CF39" s="92">
        <f t="shared" ref="CF39" si="119">CE39+CF126</f>
        <v>-364212.73000000016</v>
      </c>
      <c r="CG39" s="92">
        <f t="shared" ref="CG39" si="120">CF39+CG126</f>
        <v>-364212.73000000016</v>
      </c>
      <c r="CH39" s="92">
        <f t="shared" ref="CH39" si="121">CG39+CH126</f>
        <v>-364212.73000000016</v>
      </c>
    </row>
    <row r="40" spans="1:86" x14ac:dyDescent="0.25">
      <c r="A40" s="29" t="s">
        <v>206</v>
      </c>
      <c r="B40" s="31" t="s">
        <v>101</v>
      </c>
      <c r="C40" s="120">
        <f>9978.72</f>
        <v>9978.7199999999993</v>
      </c>
      <c r="D40" s="120">
        <f>C40</f>
        <v>9978.7199999999993</v>
      </c>
      <c r="E40" s="120">
        <f>38141.85</f>
        <v>38141.85</v>
      </c>
      <c r="F40" s="120">
        <f>41313.39</f>
        <v>41313.39</v>
      </c>
      <c r="G40" s="120">
        <f>F40</f>
        <v>41313.39</v>
      </c>
      <c r="H40" s="120">
        <f>G40</f>
        <v>41313.39</v>
      </c>
      <c r="I40" s="120">
        <f>49189.39</f>
        <v>49189.39</v>
      </c>
      <c r="J40" s="120">
        <f>54133.12</f>
        <v>54133.120000000003</v>
      </c>
      <c r="K40" s="120">
        <f>55162.38</f>
        <v>55162.38</v>
      </c>
      <c r="L40" s="120">
        <f>58780.52</f>
        <v>58780.52</v>
      </c>
      <c r="M40" s="120">
        <f>61328.82</f>
        <v>61328.82</v>
      </c>
      <c r="N40" s="120">
        <f>M40</f>
        <v>61328.82</v>
      </c>
      <c r="O40" s="92">
        <f t="shared" si="13"/>
        <v>61328.82</v>
      </c>
      <c r="P40" s="92">
        <f t="shared" si="14"/>
        <v>61328.82</v>
      </c>
      <c r="Q40" s="92">
        <f t="shared" si="15"/>
        <v>61328.82</v>
      </c>
      <c r="R40" s="92">
        <f t="shared" si="16"/>
        <v>61328.82</v>
      </c>
      <c r="S40" s="92">
        <f t="shared" si="17"/>
        <v>61328.82</v>
      </c>
      <c r="T40" s="92">
        <f t="shared" si="18"/>
        <v>61328.82</v>
      </c>
      <c r="U40" s="92">
        <f t="shared" si="19"/>
        <v>61328.82</v>
      </c>
      <c r="V40" s="92">
        <f t="shared" si="20"/>
        <v>61328.82</v>
      </c>
      <c r="W40" s="92">
        <f t="shared" si="21"/>
        <v>61328.82</v>
      </c>
      <c r="X40" s="92">
        <f t="shared" si="22"/>
        <v>61328.82</v>
      </c>
      <c r="Y40" s="92">
        <f t="shared" si="23"/>
        <v>61328.82</v>
      </c>
      <c r="Z40" s="92">
        <f t="shared" si="24"/>
        <v>61328.82</v>
      </c>
      <c r="AA40" s="92">
        <f t="shared" si="25"/>
        <v>61328.82</v>
      </c>
      <c r="AB40" s="92">
        <f t="shared" si="26"/>
        <v>61328.82</v>
      </c>
      <c r="AC40" s="92">
        <f t="shared" si="27"/>
        <v>61328.82</v>
      </c>
      <c r="AD40" s="92">
        <f t="shared" si="28"/>
        <v>61328.82</v>
      </c>
      <c r="AE40" s="92">
        <f t="shared" si="29"/>
        <v>61328.82</v>
      </c>
      <c r="AF40" s="92">
        <f t="shared" si="30"/>
        <v>61328.82</v>
      </c>
      <c r="AG40" s="92">
        <f t="shared" si="31"/>
        <v>61328.82</v>
      </c>
      <c r="AH40" s="92">
        <f t="shared" si="32"/>
        <v>61328.82</v>
      </c>
      <c r="AI40" s="92">
        <f t="shared" si="33"/>
        <v>61328.82</v>
      </c>
      <c r="AJ40" s="92">
        <f t="shared" si="34"/>
        <v>61328.82</v>
      </c>
      <c r="AK40" s="92">
        <f t="shared" si="35"/>
        <v>61328.82</v>
      </c>
      <c r="AL40" s="92">
        <f t="shared" si="36"/>
        <v>61328.82</v>
      </c>
      <c r="AM40" s="92">
        <f t="shared" si="37"/>
        <v>61328.82</v>
      </c>
      <c r="AN40" s="92">
        <f t="shared" si="38"/>
        <v>61328.82</v>
      </c>
      <c r="AO40" s="92">
        <f t="shared" si="39"/>
        <v>61328.82</v>
      </c>
      <c r="AP40" s="92">
        <f t="shared" si="40"/>
        <v>61328.82</v>
      </c>
      <c r="AQ40" s="92">
        <f t="shared" si="41"/>
        <v>61328.82</v>
      </c>
      <c r="AR40" s="92">
        <f t="shared" si="42"/>
        <v>61328.82</v>
      </c>
      <c r="AS40" s="92">
        <f t="shared" si="43"/>
        <v>61328.82</v>
      </c>
      <c r="AT40" s="92">
        <f t="shared" si="44"/>
        <v>61328.82</v>
      </c>
      <c r="AU40" s="92">
        <f t="shared" si="45"/>
        <v>61328.82</v>
      </c>
      <c r="AV40" s="92">
        <f t="shared" si="46"/>
        <v>61328.82</v>
      </c>
      <c r="AW40" s="92">
        <f t="shared" si="47"/>
        <v>61328.82</v>
      </c>
      <c r="AX40" s="92">
        <f t="shared" si="48"/>
        <v>61328.82</v>
      </c>
      <c r="AY40" s="92">
        <f t="shared" ref="AY40" si="122">AX40</f>
        <v>61328.82</v>
      </c>
      <c r="AZ40" s="92">
        <f t="shared" ref="AZ40" si="123">AY40</f>
        <v>61328.82</v>
      </c>
      <c r="BA40" s="92">
        <f t="shared" ref="BA40" si="124">AZ40</f>
        <v>61328.82</v>
      </c>
      <c r="BB40" s="92">
        <f t="shared" ref="BB40" si="125">BA40</f>
        <v>61328.82</v>
      </c>
      <c r="BC40" s="92">
        <f t="shared" ref="BC40" si="126">BB40</f>
        <v>61328.82</v>
      </c>
      <c r="BD40" s="92">
        <f t="shared" ref="BD40" si="127">BC40</f>
        <v>61328.82</v>
      </c>
      <c r="BE40" s="92">
        <f t="shared" ref="BE40" si="128">BD40</f>
        <v>61328.82</v>
      </c>
      <c r="BF40" s="92">
        <f t="shared" ref="BF40" si="129">BE40</f>
        <v>61328.82</v>
      </c>
      <c r="BG40" s="92">
        <f t="shared" ref="BG40" si="130">BF40</f>
        <v>61328.82</v>
      </c>
      <c r="BH40" s="92">
        <f t="shared" ref="BH40" si="131">BG40</f>
        <v>61328.82</v>
      </c>
      <c r="BI40" s="92">
        <f t="shared" ref="BI40" si="132">BH40</f>
        <v>61328.82</v>
      </c>
      <c r="BJ40" s="92">
        <f t="shared" ref="BJ40" si="133">BI40</f>
        <v>61328.82</v>
      </c>
      <c r="BK40" s="92">
        <f t="shared" ref="BK40" si="134">BJ40</f>
        <v>61328.82</v>
      </c>
      <c r="BL40" s="92">
        <f t="shared" ref="BL40" si="135">BK40</f>
        <v>61328.82</v>
      </c>
      <c r="BM40" s="92">
        <f t="shared" ref="BM40" si="136">BL40</f>
        <v>61328.82</v>
      </c>
      <c r="BN40" s="92">
        <f t="shared" ref="BN40" si="137">BM40</f>
        <v>61328.82</v>
      </c>
      <c r="BO40" s="92">
        <f t="shared" ref="BO40" si="138">BN40</f>
        <v>61328.82</v>
      </c>
      <c r="BP40" s="92">
        <f t="shared" ref="BP40" si="139">BO40</f>
        <v>61328.82</v>
      </c>
      <c r="BQ40" s="92">
        <f t="shared" ref="BQ40" si="140">BP40</f>
        <v>61328.82</v>
      </c>
      <c r="BR40" s="92">
        <f t="shared" ref="BR40" si="141">BQ40</f>
        <v>61328.82</v>
      </c>
      <c r="BS40" s="92">
        <f t="shared" ref="BS40" si="142">BR40</f>
        <v>61328.82</v>
      </c>
      <c r="BT40" s="92">
        <f t="shared" ref="BT40" si="143">BS40</f>
        <v>61328.82</v>
      </c>
      <c r="BU40" s="92">
        <f t="shared" ref="BU40" si="144">BT40</f>
        <v>61328.82</v>
      </c>
      <c r="BV40" s="92">
        <f t="shared" ref="BV40" si="145">BU40</f>
        <v>61328.82</v>
      </c>
      <c r="BW40" s="92">
        <f t="shared" ref="BW40" si="146">BV40</f>
        <v>61328.82</v>
      </c>
      <c r="BX40" s="92">
        <f t="shared" ref="BX40" si="147">BW40</f>
        <v>61328.82</v>
      </c>
      <c r="BY40" s="92">
        <f t="shared" ref="BY40" si="148">BX40</f>
        <v>61328.82</v>
      </c>
      <c r="BZ40" s="92">
        <f t="shared" ref="BZ40" si="149">BY40</f>
        <v>61328.82</v>
      </c>
      <c r="CA40" s="92">
        <f t="shared" ref="CA40" si="150">BZ40</f>
        <v>61328.82</v>
      </c>
      <c r="CB40" s="92">
        <f t="shared" ref="CB40" si="151">CA40</f>
        <v>61328.82</v>
      </c>
      <c r="CC40" s="92">
        <f t="shared" ref="CC40" si="152">CB40</f>
        <v>61328.82</v>
      </c>
      <c r="CD40" s="92">
        <f t="shared" ref="CD40" si="153">CC40</f>
        <v>61328.82</v>
      </c>
      <c r="CE40" s="92">
        <f t="shared" ref="CE40" si="154">CD40</f>
        <v>61328.82</v>
      </c>
      <c r="CF40" s="92">
        <f t="shared" ref="CF40" si="155">CE40</f>
        <v>61328.82</v>
      </c>
      <c r="CG40" s="92">
        <f t="shared" ref="CG40" si="156">CF40</f>
        <v>61328.82</v>
      </c>
      <c r="CH40" s="92">
        <f t="shared" ref="CH40" si="157">CG40</f>
        <v>61328.82</v>
      </c>
    </row>
    <row r="41" spans="1:86" x14ac:dyDescent="0.25">
      <c r="A41" s="29" t="s">
        <v>206</v>
      </c>
      <c r="B41" s="31" t="s">
        <v>100</v>
      </c>
      <c r="C41" s="120">
        <f>-166.31</f>
        <v>-166.31</v>
      </c>
      <c r="D41" s="120">
        <f>-332.62</f>
        <v>-332.62</v>
      </c>
      <c r="E41" s="120">
        <f>-933.67</f>
        <v>-933.67</v>
      </c>
      <c r="F41" s="120">
        <f>-1622.24</f>
        <v>-1622.24</v>
      </c>
      <c r="G41" s="120">
        <f>-2310.81</f>
        <v>-2310.81</v>
      </c>
      <c r="H41" s="120">
        <f>-2999.37</f>
        <v>-2999.37</v>
      </c>
      <c r="I41" s="120">
        <f>-3784.46</f>
        <v>-3784.46</v>
      </c>
      <c r="J41" s="120">
        <f>-4686.69</f>
        <v>-4686.6899999999996</v>
      </c>
      <c r="K41" s="120">
        <f>-5606.07</f>
        <v>-5606.07</v>
      </c>
      <c r="L41" s="120">
        <f>-6585.75</f>
        <v>-6585.75</v>
      </c>
      <c r="M41" s="120">
        <f>-7607.9</f>
        <v>-7607.9</v>
      </c>
      <c r="N41" s="120">
        <f>-8630.05</f>
        <v>-8630.0499999999993</v>
      </c>
      <c r="O41" s="92">
        <f t="shared" ref="O41:AX41" si="158">N41+O130</f>
        <v>-10825.832083333333</v>
      </c>
      <c r="P41" s="92">
        <f t="shared" si="158"/>
        <v>-13021.614166666666</v>
      </c>
      <c r="Q41" s="92">
        <f t="shared" si="158"/>
        <v>-15217.39625</v>
      </c>
      <c r="R41" s="92">
        <f t="shared" si="158"/>
        <v>-17413.178333333333</v>
      </c>
      <c r="S41" s="92">
        <f t="shared" si="158"/>
        <v>-19608.960416666669</v>
      </c>
      <c r="T41" s="92">
        <f t="shared" si="158"/>
        <v>-21804.7425</v>
      </c>
      <c r="U41" s="92">
        <f t="shared" si="158"/>
        <v>-24000.524583333332</v>
      </c>
      <c r="V41" s="92">
        <f t="shared" si="158"/>
        <v>-26196.306666666664</v>
      </c>
      <c r="W41" s="92">
        <f t="shared" si="158"/>
        <v>-28392.088749999995</v>
      </c>
      <c r="X41" s="92">
        <f t="shared" si="158"/>
        <v>-30587.870833333327</v>
      </c>
      <c r="Y41" s="92">
        <f t="shared" si="158"/>
        <v>-32783.652916666659</v>
      </c>
      <c r="Z41" s="92">
        <f t="shared" si="158"/>
        <v>-34979.43499999999</v>
      </c>
      <c r="AA41" s="92">
        <f t="shared" si="158"/>
        <v>-37175.217083333322</v>
      </c>
      <c r="AB41" s="92">
        <f t="shared" si="158"/>
        <v>-39370.999166666654</v>
      </c>
      <c r="AC41" s="92">
        <f t="shared" si="158"/>
        <v>-41566.781249999985</v>
      </c>
      <c r="AD41" s="92">
        <f t="shared" si="158"/>
        <v>-43762.563333333317</v>
      </c>
      <c r="AE41" s="92">
        <f t="shared" si="158"/>
        <v>-45958.345416666649</v>
      </c>
      <c r="AF41" s="92">
        <f t="shared" si="158"/>
        <v>-48154.127499999981</v>
      </c>
      <c r="AG41" s="92">
        <f t="shared" si="158"/>
        <v>-50349.909583333312</v>
      </c>
      <c r="AH41" s="92">
        <f t="shared" si="158"/>
        <v>-52545.691666666644</v>
      </c>
      <c r="AI41" s="92">
        <f t="shared" si="158"/>
        <v>-54741.473749999976</v>
      </c>
      <c r="AJ41" s="92">
        <f t="shared" si="158"/>
        <v>-56937.255833333307</v>
      </c>
      <c r="AK41" s="92">
        <f t="shared" si="158"/>
        <v>-59133.037916666639</v>
      </c>
      <c r="AL41" s="92">
        <f t="shared" si="158"/>
        <v>-61328.819999999971</v>
      </c>
      <c r="AM41" s="92">
        <f t="shared" si="158"/>
        <v>-61328.819999999971</v>
      </c>
      <c r="AN41" s="92">
        <f t="shared" si="158"/>
        <v>-61328.819999999971</v>
      </c>
      <c r="AO41" s="92">
        <f t="shared" si="158"/>
        <v>-61328.819999999971</v>
      </c>
      <c r="AP41" s="92">
        <f t="shared" si="158"/>
        <v>-61328.819999999971</v>
      </c>
      <c r="AQ41" s="92">
        <f t="shared" si="158"/>
        <v>-61328.819999999971</v>
      </c>
      <c r="AR41" s="92">
        <f t="shared" si="158"/>
        <v>-61328.819999999971</v>
      </c>
      <c r="AS41" s="92">
        <f t="shared" si="158"/>
        <v>-61328.819999999971</v>
      </c>
      <c r="AT41" s="92">
        <f t="shared" si="158"/>
        <v>-61328.819999999971</v>
      </c>
      <c r="AU41" s="92">
        <f t="shared" si="158"/>
        <v>-61328.819999999971</v>
      </c>
      <c r="AV41" s="92">
        <f t="shared" si="158"/>
        <v>-61328.819999999971</v>
      </c>
      <c r="AW41" s="92">
        <f t="shared" si="158"/>
        <v>-61328.819999999971</v>
      </c>
      <c r="AX41" s="92">
        <f t="shared" si="158"/>
        <v>-61328.819999999971</v>
      </c>
      <c r="AY41" s="92">
        <f t="shared" ref="AY41" si="159">AX41+AY130</f>
        <v>-61328.819999999971</v>
      </c>
      <c r="AZ41" s="92">
        <f t="shared" ref="AZ41" si="160">AY41+AZ130</f>
        <v>-61328.819999999971</v>
      </c>
      <c r="BA41" s="92">
        <f t="shared" ref="BA41" si="161">AZ41+BA130</f>
        <v>-61328.819999999971</v>
      </c>
      <c r="BB41" s="92">
        <f t="shared" ref="BB41" si="162">BA41+BB130</f>
        <v>-61328.819999999971</v>
      </c>
      <c r="BC41" s="92">
        <f t="shared" ref="BC41" si="163">BB41+BC130</f>
        <v>-61328.819999999971</v>
      </c>
      <c r="BD41" s="92">
        <f t="shared" ref="BD41" si="164">BC41+BD130</f>
        <v>-61328.819999999971</v>
      </c>
      <c r="BE41" s="92">
        <f t="shared" ref="BE41" si="165">BD41+BE130</f>
        <v>-61328.819999999971</v>
      </c>
      <c r="BF41" s="92">
        <f t="shared" ref="BF41" si="166">BE41+BF130</f>
        <v>-61328.819999999971</v>
      </c>
      <c r="BG41" s="92">
        <f t="shared" ref="BG41" si="167">BF41+BG130</f>
        <v>-61328.819999999971</v>
      </c>
      <c r="BH41" s="92">
        <f t="shared" ref="BH41" si="168">BG41+BH130</f>
        <v>-61328.819999999971</v>
      </c>
      <c r="BI41" s="92">
        <f t="shared" ref="BI41" si="169">BH41+BI130</f>
        <v>-61328.819999999971</v>
      </c>
      <c r="BJ41" s="92">
        <f t="shared" ref="BJ41" si="170">BI41+BJ130</f>
        <v>-61328.819999999971</v>
      </c>
      <c r="BK41" s="92">
        <f t="shared" ref="BK41" si="171">BJ41+BK130</f>
        <v>-61328.819999999971</v>
      </c>
      <c r="BL41" s="92">
        <f t="shared" ref="BL41" si="172">BK41+BL130</f>
        <v>-61328.819999999971</v>
      </c>
      <c r="BM41" s="92">
        <f t="shared" ref="BM41" si="173">BL41+BM130</f>
        <v>-61328.819999999971</v>
      </c>
      <c r="BN41" s="92">
        <f t="shared" ref="BN41" si="174">BM41+BN130</f>
        <v>-61328.819999999971</v>
      </c>
      <c r="BO41" s="92">
        <f t="shared" ref="BO41" si="175">BN41+BO130</f>
        <v>-61328.819999999971</v>
      </c>
      <c r="BP41" s="92">
        <f t="shared" ref="BP41" si="176">BO41+BP130</f>
        <v>-61328.819999999971</v>
      </c>
      <c r="BQ41" s="92">
        <f t="shared" ref="BQ41" si="177">BP41+BQ130</f>
        <v>-61328.819999999971</v>
      </c>
      <c r="BR41" s="92">
        <f t="shared" ref="BR41" si="178">BQ41+BR130</f>
        <v>-61328.819999999971</v>
      </c>
      <c r="BS41" s="92">
        <f t="shared" ref="BS41" si="179">BR41+BS130</f>
        <v>-61328.819999999971</v>
      </c>
      <c r="BT41" s="92">
        <f t="shared" ref="BT41" si="180">BS41+BT130</f>
        <v>-61328.819999999971</v>
      </c>
      <c r="BU41" s="92">
        <f t="shared" ref="BU41" si="181">BT41+BU130</f>
        <v>-61328.819999999971</v>
      </c>
      <c r="BV41" s="92">
        <f t="shared" ref="BV41" si="182">BU41+BV130</f>
        <v>-61328.819999999971</v>
      </c>
      <c r="BW41" s="92">
        <f t="shared" ref="BW41" si="183">BV41+BW130</f>
        <v>-61328.819999999971</v>
      </c>
      <c r="BX41" s="92">
        <f t="shared" ref="BX41" si="184">BW41+BX130</f>
        <v>-61328.819999999971</v>
      </c>
      <c r="BY41" s="92">
        <f t="shared" ref="BY41" si="185">BX41+BY130</f>
        <v>-61328.819999999971</v>
      </c>
      <c r="BZ41" s="92">
        <f t="shared" ref="BZ41" si="186">BY41+BZ130</f>
        <v>-61328.819999999971</v>
      </c>
      <c r="CA41" s="92">
        <f t="shared" ref="CA41" si="187">BZ41+CA130</f>
        <v>-61328.819999999971</v>
      </c>
      <c r="CB41" s="92">
        <f t="shared" ref="CB41" si="188">CA41+CB130</f>
        <v>-61328.819999999971</v>
      </c>
      <c r="CC41" s="92">
        <f t="shared" ref="CC41" si="189">CB41+CC130</f>
        <v>-61328.819999999971</v>
      </c>
      <c r="CD41" s="92">
        <f t="shared" ref="CD41" si="190">CC41+CD130</f>
        <v>-61328.819999999971</v>
      </c>
      <c r="CE41" s="92">
        <f t="shared" ref="CE41" si="191">CD41+CE130</f>
        <v>-61328.819999999971</v>
      </c>
      <c r="CF41" s="92">
        <f t="shared" ref="CF41" si="192">CE41+CF130</f>
        <v>-61328.819999999971</v>
      </c>
      <c r="CG41" s="92">
        <f t="shared" ref="CG41" si="193">CF41+CG130</f>
        <v>-61328.819999999971</v>
      </c>
      <c r="CH41" s="92">
        <f t="shared" ref="CH41" si="194">CG41+CH130</f>
        <v>-61328.819999999971</v>
      </c>
    </row>
    <row r="42" spans="1:86" x14ac:dyDescent="0.25">
      <c r="B42" s="31" t="s">
        <v>99</v>
      </c>
      <c r="C42" s="121">
        <f t="shared" ref="C42:N42" si="195">((((C37)+(C38))+(C39))+(C40))+(C41)</f>
        <v>95909.39</v>
      </c>
      <c r="D42" s="121">
        <f t="shared" si="195"/>
        <v>184771.19</v>
      </c>
      <c r="E42" s="121">
        <f t="shared" si="195"/>
        <v>225580.07</v>
      </c>
      <c r="F42" s="121">
        <f t="shared" si="195"/>
        <v>225828.18</v>
      </c>
      <c r="G42" s="121">
        <f t="shared" si="195"/>
        <v>246363.78000000003</v>
      </c>
      <c r="H42" s="121">
        <f t="shared" si="195"/>
        <v>295176.12000000005</v>
      </c>
      <c r="I42" s="121">
        <f t="shared" si="195"/>
        <v>304450.65000000002</v>
      </c>
      <c r="J42" s="121">
        <f t="shared" si="195"/>
        <v>306864.76999999996</v>
      </c>
      <c r="K42" s="121">
        <f t="shared" si="195"/>
        <v>377071.76</v>
      </c>
      <c r="L42" s="121">
        <f t="shared" si="195"/>
        <v>375511.54000000004</v>
      </c>
      <c r="M42" s="121">
        <f t="shared" si="195"/>
        <v>384225.47</v>
      </c>
      <c r="N42" s="121">
        <f t="shared" si="195"/>
        <v>378867.45</v>
      </c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</row>
    <row r="43" spans="1:86" x14ac:dyDescent="0.25">
      <c r="A43" s="29" t="s">
        <v>206</v>
      </c>
      <c r="B43" s="99" t="s">
        <v>207</v>
      </c>
      <c r="C43" s="119"/>
      <c r="D43" s="120">
        <f t="shared" ref="D43:N47" si="196">C43</f>
        <v>0</v>
      </c>
      <c r="E43" s="120">
        <f t="shared" si="196"/>
        <v>0</v>
      </c>
      <c r="F43" s="120">
        <f t="shared" si="196"/>
        <v>0</v>
      </c>
      <c r="G43" s="120">
        <f t="shared" si="196"/>
        <v>0</v>
      </c>
      <c r="H43" s="120">
        <f t="shared" si="196"/>
        <v>0</v>
      </c>
      <c r="I43" s="120">
        <f t="shared" si="196"/>
        <v>0</v>
      </c>
      <c r="J43" s="120">
        <f t="shared" si="196"/>
        <v>0</v>
      </c>
      <c r="K43" s="120">
        <f t="shared" si="196"/>
        <v>0</v>
      </c>
      <c r="L43" s="120">
        <f t="shared" si="196"/>
        <v>0</v>
      </c>
      <c r="M43" s="120">
        <f t="shared" si="196"/>
        <v>0</v>
      </c>
      <c r="N43" s="120">
        <f t="shared" si="196"/>
        <v>0</v>
      </c>
      <c r="O43" s="93">
        <f>[1]BSSched!AV43</f>
        <v>0</v>
      </c>
      <c r="P43" s="93">
        <f>[1]BSSched!AW43</f>
        <v>0</v>
      </c>
      <c r="Q43" s="93">
        <f>[1]BSSched!AX43</f>
        <v>415000</v>
      </c>
      <c r="R43" s="93">
        <f>[1]BSSched!AY43</f>
        <v>415000</v>
      </c>
      <c r="S43" s="93">
        <f>[1]BSSched!AZ43</f>
        <v>415000</v>
      </c>
      <c r="T43" s="93">
        <f>[1]BSSched!BA43</f>
        <v>415000</v>
      </c>
      <c r="U43" s="93">
        <f>[1]BSSched!BB43</f>
        <v>415000</v>
      </c>
      <c r="V43" s="93">
        <f>[1]BSSched!BC43</f>
        <v>415000</v>
      </c>
      <c r="W43" s="93">
        <f>[1]BSSched!BD43</f>
        <v>415000</v>
      </c>
      <c r="X43" s="93">
        <f>[1]BSSched!BE43</f>
        <v>850000</v>
      </c>
      <c r="Y43" s="93">
        <f>[1]BSSched!BF43</f>
        <v>1000605</v>
      </c>
      <c r="Z43" s="93">
        <f>[1]BSSched!BG43</f>
        <v>1547145</v>
      </c>
      <c r="AA43" s="93">
        <f>[1]BSSched!BH43</f>
        <v>1547145</v>
      </c>
      <c r="AB43" s="93">
        <f>[1]BSSched!BI43</f>
        <v>1547145</v>
      </c>
      <c r="AC43" s="93">
        <f>[1]BSSched!BJ43</f>
        <v>1547145</v>
      </c>
      <c r="AD43" s="93">
        <f>[1]BSSched!BK43</f>
        <v>1547145</v>
      </c>
      <c r="AE43" s="93">
        <f>[1]BSSched!BL43</f>
        <v>1777145</v>
      </c>
      <c r="AF43" s="93">
        <f>[1]BSSched!BM43</f>
        <v>1777145</v>
      </c>
      <c r="AG43" s="93">
        <f>[1]BSSched!BN43</f>
        <v>1777145</v>
      </c>
      <c r="AH43" s="93">
        <f>[1]BSSched!BO43</f>
        <v>1777145</v>
      </c>
      <c r="AI43" s="93">
        <f>[1]BSSched!BP43</f>
        <v>2077145</v>
      </c>
      <c r="AJ43" s="93">
        <f>[1]BSSched!BQ43</f>
        <v>2077145</v>
      </c>
      <c r="AK43" s="93">
        <f>[1]BSSched!BR43</f>
        <v>2077145</v>
      </c>
      <c r="AL43" s="93">
        <f>[1]BSSched!BS43</f>
        <v>2077145</v>
      </c>
      <c r="AM43" s="93">
        <f>[1]BSSched!BT43</f>
        <v>3052145</v>
      </c>
      <c r="AN43" s="93">
        <f>[1]BSSched!BU43</f>
        <v>3052145</v>
      </c>
      <c r="AO43" s="93">
        <f>[1]BSSched!BV43</f>
        <v>3052145</v>
      </c>
      <c r="AP43" s="93">
        <f>[1]BSSched!BW43</f>
        <v>3052145</v>
      </c>
      <c r="AQ43" s="93">
        <f>[1]BSSched!BX43</f>
        <v>3052145</v>
      </c>
      <c r="AR43" s="93">
        <f>[1]BSSched!BY43</f>
        <v>3052145</v>
      </c>
      <c r="AS43" s="93">
        <f>[1]BSSched!BZ43</f>
        <v>3052145</v>
      </c>
      <c r="AT43" s="93">
        <f>[1]BSSched!CA43</f>
        <v>3052145</v>
      </c>
      <c r="AU43" s="93">
        <f>[1]BSSched!CB43</f>
        <v>3052145</v>
      </c>
      <c r="AV43" s="93">
        <f>[1]BSSched!CC43</f>
        <v>3052145</v>
      </c>
      <c r="AW43" s="93">
        <f>[1]BSSched!CD43</f>
        <v>3052145</v>
      </c>
      <c r="AX43" s="93">
        <f>[1]BSSched!CE43</f>
        <v>3052145</v>
      </c>
      <c r="AY43" s="93">
        <f>[1]BSSched!CF43</f>
        <v>3402145</v>
      </c>
      <c r="AZ43" s="93">
        <f>[1]BSSched!CG43</f>
        <v>3402145</v>
      </c>
      <c r="BA43" s="93">
        <f>[1]BSSched!CH43</f>
        <v>3402145</v>
      </c>
      <c r="BB43" s="93">
        <f>[1]BSSched!CI43</f>
        <v>3402145</v>
      </c>
      <c r="BC43" s="93">
        <f>[1]BSSched!CJ43</f>
        <v>3402145</v>
      </c>
      <c r="BD43" s="93">
        <f>[1]BSSched!CK43</f>
        <v>3402145</v>
      </c>
      <c r="BE43" s="93">
        <f>[1]BSSched!CL43</f>
        <v>3402145</v>
      </c>
      <c r="BF43" s="93">
        <f>[1]BSSched!CM43</f>
        <v>3402145</v>
      </c>
      <c r="BG43" s="93">
        <f>[1]BSSched!CN43</f>
        <v>3402145</v>
      </c>
      <c r="BH43" s="93">
        <f>[1]BSSched!CO43</f>
        <v>3402145</v>
      </c>
      <c r="BI43" s="93">
        <f>[1]BSSched!CP43</f>
        <v>3402145</v>
      </c>
      <c r="BJ43" s="93">
        <f>[1]BSSched!CQ43</f>
        <v>3402145</v>
      </c>
      <c r="BK43" s="93">
        <f>[1]BSSched!CR43</f>
        <v>3752145</v>
      </c>
      <c r="BL43" s="93">
        <f>[1]BSSched!CS43</f>
        <v>3752145</v>
      </c>
      <c r="BM43" s="93">
        <f>[1]BSSched!CT43</f>
        <v>3752145</v>
      </c>
      <c r="BN43" s="93">
        <f>[1]BSSched!CU43</f>
        <v>3752145</v>
      </c>
      <c r="BO43" s="93">
        <f>[1]BSSched!CV43</f>
        <v>3752145</v>
      </c>
      <c r="BP43" s="93">
        <f>[1]BSSched!CW43</f>
        <v>4102145</v>
      </c>
      <c r="BQ43" s="93">
        <f>[1]BSSched!CX43</f>
        <v>4102145</v>
      </c>
      <c r="BR43" s="93">
        <f>[1]BSSched!CY43</f>
        <v>4102145</v>
      </c>
      <c r="BS43" s="93">
        <f>[1]BSSched!CZ43</f>
        <v>4102145</v>
      </c>
      <c r="BT43" s="93">
        <f>[1]BSSched!DA43</f>
        <v>4102145</v>
      </c>
      <c r="BU43" s="93">
        <f>[1]BSSched!DB43</f>
        <v>4102145</v>
      </c>
      <c r="BV43" s="93">
        <f>[1]BSSched!DC43</f>
        <v>4102145</v>
      </c>
      <c r="BW43" s="93">
        <f>[1]BSSched!DD43</f>
        <v>4452145</v>
      </c>
      <c r="BX43" s="93">
        <f>[1]BSSched!DE43</f>
        <v>4452145</v>
      </c>
      <c r="BY43" s="93">
        <f>[1]BSSched!DF43</f>
        <v>4452145</v>
      </c>
      <c r="BZ43" s="93">
        <f>[1]BSSched!DG43</f>
        <v>4452145</v>
      </c>
      <c r="CA43" s="93">
        <f>[1]BSSched!DH43</f>
        <v>4452145</v>
      </c>
      <c r="CB43" s="93">
        <f>[1]BSSched!DI43</f>
        <v>4452145</v>
      </c>
      <c r="CC43" s="93">
        <f>[1]BSSched!DJ43</f>
        <v>4452145</v>
      </c>
      <c r="CD43" s="93">
        <f>[1]BSSched!DK43</f>
        <v>4452145</v>
      </c>
      <c r="CE43" s="93">
        <f>[1]BSSched!DL43</f>
        <v>4452145</v>
      </c>
      <c r="CF43" s="93">
        <f>[1]BSSched!DM43</f>
        <v>4452145</v>
      </c>
      <c r="CG43" s="93">
        <f>[1]BSSched!DN43</f>
        <v>4452145</v>
      </c>
      <c r="CH43" s="93">
        <f>[1]BSSched!DO43</f>
        <v>4452145</v>
      </c>
    </row>
    <row r="44" spans="1:86" x14ac:dyDescent="0.25">
      <c r="A44" s="29" t="s">
        <v>206</v>
      </c>
      <c r="B44" s="99" t="s">
        <v>208</v>
      </c>
      <c r="C44" s="119"/>
      <c r="D44" s="120">
        <f t="shared" si="196"/>
        <v>0</v>
      </c>
      <c r="E44" s="120">
        <f t="shared" si="196"/>
        <v>0</v>
      </c>
      <c r="F44" s="120">
        <f t="shared" si="196"/>
        <v>0</v>
      </c>
      <c r="G44" s="120">
        <f t="shared" si="196"/>
        <v>0</v>
      </c>
      <c r="H44" s="120">
        <f t="shared" si="196"/>
        <v>0</v>
      </c>
      <c r="I44" s="120">
        <f t="shared" si="196"/>
        <v>0</v>
      </c>
      <c r="J44" s="120">
        <f t="shared" si="196"/>
        <v>0</v>
      </c>
      <c r="K44" s="120">
        <f t="shared" si="196"/>
        <v>0</v>
      </c>
      <c r="L44" s="120">
        <f t="shared" si="196"/>
        <v>0</v>
      </c>
      <c r="M44" s="120">
        <f t="shared" si="196"/>
        <v>0</v>
      </c>
      <c r="N44" s="120">
        <f t="shared" si="196"/>
        <v>0</v>
      </c>
      <c r="O44" s="93">
        <f>-[1]BSSched!AV46</f>
        <v>0</v>
      </c>
      <c r="P44" s="93">
        <f>-[1]BSSched!AW46</f>
        <v>0</v>
      </c>
      <c r="Q44" s="93">
        <f>-[1]BSSched!AX46</f>
        <v>-17291.666666666668</v>
      </c>
      <c r="R44" s="93">
        <f>-[1]BSSched!AY46</f>
        <v>-34583.333333333336</v>
      </c>
      <c r="S44" s="93">
        <f>-[1]BSSched!AZ46</f>
        <v>-51875</v>
      </c>
      <c r="T44" s="93">
        <f>-[1]BSSched!BA46</f>
        <v>-69166.666666666672</v>
      </c>
      <c r="U44" s="93">
        <f>-[1]BSSched!BB46</f>
        <v>-86458.333333333343</v>
      </c>
      <c r="V44" s="93">
        <f>-[1]BSSched!BC46</f>
        <v>-103750.00000000001</v>
      </c>
      <c r="W44" s="93">
        <f>-[1]BSSched!BD46</f>
        <v>-121041.66666666669</v>
      </c>
      <c r="X44" s="93">
        <f>-[1]BSSched!BE46</f>
        <v>-156458.33333333334</v>
      </c>
      <c r="Y44" s="93">
        <f>-[1]BSSched!BF46</f>
        <v>-198150.20833333334</v>
      </c>
      <c r="Z44" s="93">
        <f>-[1]BSSched!BG46</f>
        <v>-262614.58333333337</v>
      </c>
      <c r="AA44" s="93">
        <f>-[1]BSSched!BH46</f>
        <v>-327078.95833333337</v>
      </c>
      <c r="AB44" s="93">
        <f>-[1]BSSched!BI46</f>
        <v>-391543.33333333337</v>
      </c>
      <c r="AC44" s="93">
        <f>-[1]BSSched!BJ46</f>
        <v>-456007.70833333337</v>
      </c>
      <c r="AD44" s="93">
        <f>-[1]BSSched!BK46</f>
        <v>-520472.08333333337</v>
      </c>
      <c r="AE44" s="93">
        <f>-[1]BSSched!BL46</f>
        <v>-594519.79166666674</v>
      </c>
      <c r="AF44" s="93">
        <f>-[1]BSSched!BM46</f>
        <v>-668567.50000000012</v>
      </c>
      <c r="AG44" s="93">
        <f>-[1]BSSched!BN46</f>
        <v>-742615.20833333349</v>
      </c>
      <c r="AH44" s="93">
        <f>-[1]BSSched!BO46</f>
        <v>-816662.91666666686</v>
      </c>
      <c r="AI44" s="93">
        <f>-[1]BSSched!BP46</f>
        <v>-903210.62500000023</v>
      </c>
      <c r="AJ44" s="93">
        <f>-[1]BSSched!BQ46</f>
        <v>-989758.33333333349</v>
      </c>
      <c r="AK44" s="93">
        <f>-[1]BSSched!BR46</f>
        <v>-1076306.0416666667</v>
      </c>
      <c r="AL44" s="93">
        <f>-[1]BSSched!BS46</f>
        <v>-1162853.75</v>
      </c>
      <c r="AM44" s="93">
        <f>-[1]BSSched!BT46</f>
        <v>-1290026.4583333333</v>
      </c>
      <c r="AN44" s="93">
        <f>-[1]BSSched!BU46</f>
        <v>-1417199.1666666665</v>
      </c>
      <c r="AO44" s="93">
        <f>-[1]BSSched!BV46</f>
        <v>-1544371.8749999998</v>
      </c>
      <c r="AP44" s="93">
        <f>-[1]BSSched!BW46</f>
        <v>-1671544.583333333</v>
      </c>
      <c r="AQ44" s="93">
        <f>-[1]BSSched!BX46</f>
        <v>-1798717.2916666663</v>
      </c>
      <c r="AR44" s="93">
        <f>-[1]BSSched!BY46</f>
        <v>-1925889.9999999995</v>
      </c>
      <c r="AS44" s="93">
        <f>-[1]BSSched!BZ46</f>
        <v>-2053062.7083333328</v>
      </c>
      <c r="AT44" s="93">
        <f>-[1]BSSched!CA46</f>
        <v>-2180235.416666666</v>
      </c>
      <c r="AU44" s="93">
        <f>-[1]BSSched!CB46</f>
        <v>-2307408.1249999995</v>
      </c>
      <c r="AV44" s="93">
        <f>-[1]BSSched!CC46</f>
        <v>-2416455.833333333</v>
      </c>
      <c r="AW44" s="93">
        <f>-[1]BSSched!CD46</f>
        <v>-2519228.333333333</v>
      </c>
      <c r="AX44" s="93">
        <f>-[1]BSSched!CE46</f>
        <v>-2599228.333333333</v>
      </c>
      <c r="AY44" s="93">
        <f>-[1]BSSched!CF46</f>
        <v>-2693811.6666666665</v>
      </c>
      <c r="AZ44" s="93">
        <f>-[1]BSSched!CG46</f>
        <v>-2788395</v>
      </c>
      <c r="BA44" s="93">
        <f>-[1]BSSched!CH46</f>
        <v>-2882978.3333333335</v>
      </c>
      <c r="BB44" s="93">
        <f>-[1]BSSched!CI46</f>
        <v>-2977561.666666667</v>
      </c>
      <c r="BC44" s="93">
        <f>-[1]BSSched!CJ46</f>
        <v>-3062561.666666667</v>
      </c>
      <c r="BD44" s="93">
        <f>-[1]BSSched!CK46</f>
        <v>-3147561.666666667</v>
      </c>
      <c r="BE44" s="93">
        <f>-[1]BSSched!CL46</f>
        <v>-3232561.666666667</v>
      </c>
      <c r="BF44" s="93">
        <f>-[1]BSSched!CM46</f>
        <v>-3317561.666666667</v>
      </c>
      <c r="BG44" s="93">
        <f>-[1]BSSched!CN46</f>
        <v>-3390061.666666667</v>
      </c>
      <c r="BH44" s="93">
        <f>-[1]BSSched!CO46</f>
        <v>-3462561.666666667</v>
      </c>
      <c r="BI44" s="93">
        <f>-[1]BSSched!CP46</f>
        <v>-3535061.666666667</v>
      </c>
      <c r="BJ44" s="93">
        <f>-[1]BSSched!CQ46</f>
        <v>-3607561.666666667</v>
      </c>
      <c r="BK44" s="93">
        <f>-[1]BSSched!CR46</f>
        <v>-3666520.0000000005</v>
      </c>
      <c r="BL44" s="93">
        <f>-[1]BSSched!CS46</f>
        <v>-3725478.333333334</v>
      </c>
      <c r="BM44" s="93">
        <f>-[1]BSSched!CT46</f>
        <v>-3784436.6666666674</v>
      </c>
      <c r="BN44" s="93">
        <f>-[1]BSSched!CU46</f>
        <v>-3843395.0000000009</v>
      </c>
      <c r="BO44" s="93">
        <f>-[1]BSSched!CV46</f>
        <v>-3902353.3333333344</v>
      </c>
      <c r="BP44" s="93">
        <f>-[1]BSSched!CW46</f>
        <v>-3975895.0000000009</v>
      </c>
      <c r="BQ44" s="93">
        <f>-[1]BSSched!CX46</f>
        <v>-4049436.6666666674</v>
      </c>
      <c r="BR44" s="93">
        <f>-[1]BSSched!CY46</f>
        <v>-4122978.333333334</v>
      </c>
      <c r="BS44" s="93">
        <f>-[1]BSSched!CZ46</f>
        <v>-4196520.0000000009</v>
      </c>
      <c r="BT44" s="93">
        <f>-[1]BSSched!DA46</f>
        <v>-4270061.6666666679</v>
      </c>
      <c r="BU44" s="93">
        <f>-[1]BSSched!DB46</f>
        <v>-4343603.3333333349</v>
      </c>
      <c r="BV44" s="93">
        <f>-[1]BSSched!DC46</f>
        <v>-4417145.0000000019</v>
      </c>
      <c r="BW44" s="93">
        <f>-[1]BSSched!DD46</f>
        <v>-4490686.6666666688</v>
      </c>
      <c r="BX44" s="93">
        <f>-[1]BSSched!DE46</f>
        <v>-4564228.3333333358</v>
      </c>
      <c r="BY44" s="93">
        <f>-[1]BSSched!DF46</f>
        <v>-4637770.0000000028</v>
      </c>
      <c r="BZ44" s="93">
        <f>-[1]BSSched!DG46</f>
        <v>-4711311.6666666698</v>
      </c>
      <c r="CA44" s="93">
        <f>-[1]BSSched!DH46</f>
        <v>-4784853.3333333367</v>
      </c>
      <c r="CB44" s="93">
        <f>-[1]BSSched!DI46</f>
        <v>-4858395.0000000037</v>
      </c>
      <c r="CC44" s="93">
        <f>-[1]BSSched!DJ46</f>
        <v>-4931936.6666666707</v>
      </c>
      <c r="CD44" s="93">
        <f>-[1]BSSched!DK46</f>
        <v>-5005478.3333333377</v>
      </c>
      <c r="CE44" s="93">
        <f>-[1]BSSched!DL46</f>
        <v>-5079020.0000000047</v>
      </c>
      <c r="CF44" s="93">
        <f>-[1]BSSched!DM46</f>
        <v>-5152561.6666666716</v>
      </c>
      <c r="CG44" s="93">
        <f>-[1]BSSched!DN46</f>
        <v>-5226103.3333333386</v>
      </c>
      <c r="CH44" s="93">
        <f>-[1]BSSched!DO46</f>
        <v>-5299645.0000000056</v>
      </c>
    </row>
    <row r="45" spans="1:86" x14ac:dyDescent="0.25">
      <c r="A45" s="29" t="s">
        <v>206</v>
      </c>
      <c r="B45" s="31" t="s">
        <v>98</v>
      </c>
      <c r="C45" s="119"/>
      <c r="D45" s="120">
        <f t="shared" si="196"/>
        <v>0</v>
      </c>
      <c r="E45" s="120">
        <f t="shared" si="196"/>
        <v>0</v>
      </c>
      <c r="F45" s="120">
        <f t="shared" si="196"/>
        <v>0</v>
      </c>
      <c r="G45" s="120">
        <f t="shared" si="196"/>
        <v>0</v>
      </c>
      <c r="H45" s="120">
        <f t="shared" si="196"/>
        <v>0</v>
      </c>
      <c r="I45" s="120">
        <f t="shared" si="196"/>
        <v>0</v>
      </c>
      <c r="J45" s="120">
        <f t="shared" si="196"/>
        <v>0</v>
      </c>
      <c r="K45" s="120">
        <f t="shared" si="196"/>
        <v>0</v>
      </c>
      <c r="L45" s="120">
        <f t="shared" si="196"/>
        <v>0</v>
      </c>
      <c r="M45" s="120">
        <f t="shared" si="196"/>
        <v>0</v>
      </c>
      <c r="N45" s="120">
        <f t="shared" si="196"/>
        <v>0</v>
      </c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  <c r="BS45" s="89"/>
      <c r="BT45" s="89"/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89"/>
      <c r="CF45" s="89"/>
      <c r="CG45" s="89"/>
      <c r="CH45" s="89"/>
    </row>
    <row r="46" spans="1:86" x14ac:dyDescent="0.25">
      <c r="A46" s="29" t="s">
        <v>206</v>
      </c>
      <c r="B46" s="31" t="s">
        <v>97</v>
      </c>
      <c r="C46" s="119"/>
      <c r="D46" s="120">
        <f t="shared" si="196"/>
        <v>0</v>
      </c>
      <c r="E46" s="120">
        <f t="shared" si="196"/>
        <v>0</v>
      </c>
      <c r="F46" s="120">
        <f t="shared" si="196"/>
        <v>0</v>
      </c>
      <c r="G46" s="120">
        <f t="shared" si="196"/>
        <v>0</v>
      </c>
      <c r="H46" s="120">
        <f t="shared" si="196"/>
        <v>0</v>
      </c>
      <c r="I46" s="120">
        <f t="shared" si="196"/>
        <v>0</v>
      </c>
      <c r="J46" s="120">
        <f t="shared" si="196"/>
        <v>0</v>
      </c>
      <c r="K46" s="120">
        <f t="shared" si="196"/>
        <v>0</v>
      </c>
      <c r="L46" s="120">
        <f t="shared" si="196"/>
        <v>0</v>
      </c>
      <c r="M46" s="120">
        <f t="shared" si="196"/>
        <v>0</v>
      </c>
      <c r="N46" s="120">
        <f t="shared" si="196"/>
        <v>0</v>
      </c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</row>
    <row r="47" spans="1:86" x14ac:dyDescent="0.25">
      <c r="A47" s="29" t="s">
        <v>206</v>
      </c>
      <c r="B47" s="31" t="s">
        <v>96</v>
      </c>
      <c r="C47" s="119"/>
      <c r="D47" s="120">
        <f t="shared" si="196"/>
        <v>0</v>
      </c>
      <c r="E47" s="120">
        <f t="shared" si="196"/>
        <v>0</v>
      </c>
      <c r="F47" s="120">
        <f t="shared" si="196"/>
        <v>0</v>
      </c>
      <c r="G47" s="120">
        <f t="shared" si="196"/>
        <v>0</v>
      </c>
      <c r="H47" s="120">
        <f t="shared" si="196"/>
        <v>0</v>
      </c>
      <c r="I47" s="120">
        <f t="shared" si="196"/>
        <v>0</v>
      </c>
      <c r="J47" s="120">
        <f t="shared" si="196"/>
        <v>0</v>
      </c>
      <c r="K47" s="120">
        <f t="shared" si="196"/>
        <v>0</v>
      </c>
      <c r="L47" s="120">
        <f t="shared" si="196"/>
        <v>0</v>
      </c>
      <c r="M47" s="120">
        <f t="shared" si="196"/>
        <v>0</v>
      </c>
      <c r="N47" s="120">
        <f t="shared" si="196"/>
        <v>0</v>
      </c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</row>
    <row r="48" spans="1:86" x14ac:dyDescent="0.25">
      <c r="B48" s="31" t="s">
        <v>95</v>
      </c>
      <c r="C48" s="121">
        <f t="shared" ref="C48:N48" si="197">(((((C42)+(C43))+(C44))+(C45))+(C46))+(C47)</f>
        <v>95909.39</v>
      </c>
      <c r="D48" s="121">
        <f t="shared" si="197"/>
        <v>184771.19</v>
      </c>
      <c r="E48" s="121">
        <f t="shared" si="197"/>
        <v>225580.07</v>
      </c>
      <c r="F48" s="121">
        <f t="shared" si="197"/>
        <v>225828.18</v>
      </c>
      <c r="G48" s="121">
        <f t="shared" si="197"/>
        <v>246363.78000000003</v>
      </c>
      <c r="H48" s="121">
        <f t="shared" si="197"/>
        <v>295176.12000000005</v>
      </c>
      <c r="I48" s="121">
        <f t="shared" si="197"/>
        <v>304450.65000000002</v>
      </c>
      <c r="J48" s="121">
        <f t="shared" si="197"/>
        <v>306864.76999999996</v>
      </c>
      <c r="K48" s="121">
        <f t="shared" si="197"/>
        <v>377071.76</v>
      </c>
      <c r="L48" s="121">
        <f t="shared" si="197"/>
        <v>375511.54000000004</v>
      </c>
      <c r="M48" s="121">
        <f t="shared" si="197"/>
        <v>384225.47</v>
      </c>
      <c r="N48" s="121">
        <f t="shared" si="197"/>
        <v>378867.45</v>
      </c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</row>
    <row r="49" spans="1:86" x14ac:dyDescent="0.25">
      <c r="B49" s="31" t="s">
        <v>94</v>
      </c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</row>
    <row r="50" spans="1:86" x14ac:dyDescent="0.25">
      <c r="A50" s="29" t="s">
        <v>6</v>
      </c>
      <c r="B50" s="31" t="s">
        <v>93</v>
      </c>
      <c r="C50" s="119"/>
      <c r="D50" s="120">
        <f t="shared" ref="D50:N51" si="198">C50</f>
        <v>0</v>
      </c>
      <c r="E50" s="120">
        <f t="shared" si="198"/>
        <v>0</v>
      </c>
      <c r="F50" s="120">
        <f t="shared" si="198"/>
        <v>0</v>
      </c>
      <c r="G50" s="120">
        <f t="shared" si="198"/>
        <v>0</v>
      </c>
      <c r="H50" s="120">
        <f t="shared" si="198"/>
        <v>0</v>
      </c>
      <c r="I50" s="120">
        <f t="shared" si="198"/>
        <v>0</v>
      </c>
      <c r="J50" s="120">
        <f t="shared" si="198"/>
        <v>0</v>
      </c>
      <c r="K50" s="120">
        <f t="shared" si="198"/>
        <v>0</v>
      </c>
      <c r="L50" s="120">
        <f t="shared" si="198"/>
        <v>0</v>
      </c>
      <c r="M50" s="120">
        <f t="shared" si="198"/>
        <v>0</v>
      </c>
      <c r="N50" s="120">
        <f t="shared" si="198"/>
        <v>0</v>
      </c>
      <c r="O50" s="92">
        <f t="shared" ref="O50:O56" si="199">N50</f>
        <v>0</v>
      </c>
      <c r="P50" s="92">
        <f t="shared" ref="P50:P56" si="200">O50</f>
        <v>0</v>
      </c>
      <c r="Q50" s="92">
        <f t="shared" ref="Q50:Q56" si="201">P50</f>
        <v>0</v>
      </c>
      <c r="R50" s="92">
        <f t="shared" ref="R50:R56" si="202">Q50</f>
        <v>0</v>
      </c>
      <c r="S50" s="92">
        <f t="shared" ref="S50:S56" si="203">R50</f>
        <v>0</v>
      </c>
      <c r="T50" s="92">
        <f t="shared" ref="T50:T56" si="204">S50</f>
        <v>0</v>
      </c>
      <c r="U50" s="92">
        <f t="shared" ref="U50:U56" si="205">T50</f>
        <v>0</v>
      </c>
      <c r="V50" s="92">
        <f t="shared" ref="V50:V56" si="206">U50</f>
        <v>0</v>
      </c>
      <c r="W50" s="92">
        <f t="shared" ref="W50:W56" si="207">V50</f>
        <v>0</v>
      </c>
      <c r="X50" s="92">
        <f t="shared" ref="X50:X56" si="208">W50</f>
        <v>0</v>
      </c>
      <c r="Y50" s="92">
        <f t="shared" ref="Y50:Y56" si="209">X50</f>
        <v>0</v>
      </c>
      <c r="Z50" s="92">
        <f t="shared" ref="Z50:Z56" si="210">Y50</f>
        <v>0</v>
      </c>
      <c r="AA50" s="92">
        <f t="shared" ref="AA50:AA56" si="211">Z50</f>
        <v>0</v>
      </c>
      <c r="AB50" s="92">
        <f t="shared" ref="AB50:AB56" si="212">AA50</f>
        <v>0</v>
      </c>
      <c r="AC50" s="92">
        <f t="shared" ref="AC50:AC56" si="213">AB50</f>
        <v>0</v>
      </c>
      <c r="AD50" s="92">
        <f t="shared" ref="AD50:AD56" si="214">AC50</f>
        <v>0</v>
      </c>
      <c r="AE50" s="92">
        <f t="shared" ref="AE50:AE56" si="215">AD50</f>
        <v>0</v>
      </c>
      <c r="AF50" s="92">
        <f t="shared" ref="AF50:AF56" si="216">AE50</f>
        <v>0</v>
      </c>
      <c r="AG50" s="92">
        <f t="shared" ref="AG50:AG56" si="217">AF50</f>
        <v>0</v>
      </c>
      <c r="AH50" s="92">
        <f t="shared" ref="AH50:AH56" si="218">AG50</f>
        <v>0</v>
      </c>
      <c r="AI50" s="92">
        <f t="shared" ref="AI50:AI56" si="219">AH50</f>
        <v>0</v>
      </c>
      <c r="AJ50" s="92">
        <f t="shared" ref="AJ50:AJ56" si="220">AI50</f>
        <v>0</v>
      </c>
      <c r="AK50" s="92">
        <f t="shared" ref="AK50:AK56" si="221">AJ50</f>
        <v>0</v>
      </c>
      <c r="AL50" s="92">
        <f t="shared" ref="AL50:AL56" si="222">AK50</f>
        <v>0</v>
      </c>
      <c r="AM50" s="92">
        <f t="shared" ref="AM50:AM56" si="223">AL50</f>
        <v>0</v>
      </c>
      <c r="AN50" s="92">
        <f t="shared" ref="AN50:AN56" si="224">AM50</f>
        <v>0</v>
      </c>
      <c r="AO50" s="92">
        <f t="shared" ref="AO50:AO56" si="225">AN50</f>
        <v>0</v>
      </c>
      <c r="AP50" s="92">
        <f t="shared" ref="AP50:AP56" si="226">AO50</f>
        <v>0</v>
      </c>
      <c r="AQ50" s="92">
        <f t="shared" ref="AQ50:AQ56" si="227">AP50</f>
        <v>0</v>
      </c>
      <c r="AR50" s="92">
        <f t="shared" ref="AR50:AR56" si="228">AQ50</f>
        <v>0</v>
      </c>
      <c r="AS50" s="92">
        <f t="shared" ref="AS50:AS56" si="229">AR50</f>
        <v>0</v>
      </c>
      <c r="AT50" s="92">
        <f t="shared" ref="AT50:AT56" si="230">AS50</f>
        <v>0</v>
      </c>
      <c r="AU50" s="92">
        <f t="shared" ref="AU50:AU56" si="231">AT50</f>
        <v>0</v>
      </c>
      <c r="AV50" s="92">
        <f t="shared" ref="AV50:AV56" si="232">AU50</f>
        <v>0</v>
      </c>
      <c r="AW50" s="92">
        <f t="shared" ref="AW50:AW56" si="233">AV50</f>
        <v>0</v>
      </c>
      <c r="AX50" s="92">
        <f t="shared" ref="AX50:AX56" si="234">AW50</f>
        <v>0</v>
      </c>
      <c r="AY50" s="92">
        <f t="shared" ref="AY50:AY56" si="235">AX50</f>
        <v>0</v>
      </c>
      <c r="AZ50" s="92">
        <f t="shared" ref="AZ50:AZ56" si="236">AY50</f>
        <v>0</v>
      </c>
      <c r="BA50" s="92">
        <f t="shared" ref="BA50:BA56" si="237">AZ50</f>
        <v>0</v>
      </c>
      <c r="BB50" s="92">
        <f t="shared" ref="BB50:BB56" si="238">BA50</f>
        <v>0</v>
      </c>
      <c r="BC50" s="92">
        <f t="shared" ref="BC50:BC56" si="239">BB50</f>
        <v>0</v>
      </c>
      <c r="BD50" s="92">
        <f t="shared" ref="BD50:BD56" si="240">BC50</f>
        <v>0</v>
      </c>
      <c r="BE50" s="92">
        <f t="shared" ref="BE50:BE56" si="241">BD50</f>
        <v>0</v>
      </c>
      <c r="BF50" s="92">
        <f t="shared" ref="BF50:BF56" si="242">BE50</f>
        <v>0</v>
      </c>
      <c r="BG50" s="92">
        <f t="shared" ref="BG50:BG56" si="243">BF50</f>
        <v>0</v>
      </c>
      <c r="BH50" s="92">
        <f t="shared" ref="BH50:BH56" si="244">BG50</f>
        <v>0</v>
      </c>
      <c r="BI50" s="92">
        <f t="shared" ref="BI50:BI56" si="245">BH50</f>
        <v>0</v>
      </c>
      <c r="BJ50" s="92">
        <f t="shared" ref="BJ50:BJ56" si="246">BI50</f>
        <v>0</v>
      </c>
      <c r="BK50" s="92">
        <f t="shared" ref="BK50:BK56" si="247">BJ50</f>
        <v>0</v>
      </c>
      <c r="BL50" s="92">
        <f t="shared" ref="BL50:BL56" si="248">BK50</f>
        <v>0</v>
      </c>
      <c r="BM50" s="92">
        <f t="shared" ref="BM50:BM56" si="249">BL50</f>
        <v>0</v>
      </c>
      <c r="BN50" s="92">
        <f t="shared" ref="BN50:BN56" si="250">BM50</f>
        <v>0</v>
      </c>
      <c r="BO50" s="92">
        <f t="shared" ref="BO50:BO56" si="251">BN50</f>
        <v>0</v>
      </c>
      <c r="BP50" s="92">
        <f t="shared" ref="BP50:BP56" si="252">BO50</f>
        <v>0</v>
      </c>
      <c r="BQ50" s="92">
        <f t="shared" ref="BQ50:BQ56" si="253">BP50</f>
        <v>0</v>
      </c>
      <c r="BR50" s="92">
        <f t="shared" ref="BR50:BR56" si="254">BQ50</f>
        <v>0</v>
      </c>
      <c r="BS50" s="92">
        <f t="shared" ref="BS50:BS56" si="255">BR50</f>
        <v>0</v>
      </c>
      <c r="BT50" s="92">
        <f t="shared" ref="BT50:BT56" si="256">BS50</f>
        <v>0</v>
      </c>
      <c r="BU50" s="92">
        <f t="shared" ref="BU50:BU56" si="257">BT50</f>
        <v>0</v>
      </c>
      <c r="BV50" s="92">
        <f t="shared" ref="BV50:BV56" si="258">BU50</f>
        <v>0</v>
      </c>
      <c r="BW50" s="92">
        <f t="shared" ref="BW50:BW56" si="259">BV50</f>
        <v>0</v>
      </c>
      <c r="BX50" s="92">
        <f t="shared" ref="BX50:BX56" si="260">BW50</f>
        <v>0</v>
      </c>
      <c r="BY50" s="92">
        <f t="shared" ref="BY50:BY56" si="261">BX50</f>
        <v>0</v>
      </c>
      <c r="BZ50" s="92">
        <f t="shared" ref="BZ50:BZ56" si="262">BY50</f>
        <v>0</v>
      </c>
      <c r="CA50" s="92">
        <f t="shared" ref="CA50:CA56" si="263">BZ50</f>
        <v>0</v>
      </c>
      <c r="CB50" s="92">
        <f t="shared" ref="CB50:CB56" si="264">CA50</f>
        <v>0</v>
      </c>
      <c r="CC50" s="92">
        <f t="shared" ref="CC50:CC56" si="265">CB50</f>
        <v>0</v>
      </c>
      <c r="CD50" s="92">
        <f t="shared" ref="CD50:CD56" si="266">CC50</f>
        <v>0</v>
      </c>
      <c r="CE50" s="92">
        <f t="shared" ref="CE50:CE56" si="267">CD50</f>
        <v>0</v>
      </c>
      <c r="CF50" s="92">
        <f t="shared" ref="CF50:CF56" si="268">CE50</f>
        <v>0</v>
      </c>
      <c r="CG50" s="92">
        <f t="shared" ref="CG50:CG56" si="269">CF50</f>
        <v>0</v>
      </c>
      <c r="CH50" s="92">
        <f t="shared" ref="CH50:CH56" si="270">CG50</f>
        <v>0</v>
      </c>
    </row>
    <row r="51" spans="1:86" x14ac:dyDescent="0.25">
      <c r="A51" s="29" t="s">
        <v>6</v>
      </c>
      <c r="B51" s="31" t="s">
        <v>92</v>
      </c>
      <c r="C51" s="120">
        <f>175593.65</f>
        <v>175593.65</v>
      </c>
      <c r="D51" s="120">
        <f>180931.23</f>
        <v>180931.23</v>
      </c>
      <c r="E51" s="120">
        <f>125965.02</f>
        <v>125965.02</v>
      </c>
      <c r="F51" s="120">
        <f>139356.44</f>
        <v>139356.44</v>
      </c>
      <c r="G51" s="120">
        <f>145081.44</f>
        <v>145081.44</v>
      </c>
      <c r="H51" s="120">
        <f t="shared" si="198"/>
        <v>145081.44</v>
      </c>
      <c r="I51" s="120">
        <f t="shared" si="198"/>
        <v>145081.44</v>
      </c>
      <c r="J51" s="120">
        <f t="shared" si="198"/>
        <v>145081.44</v>
      </c>
      <c r="K51" s="120">
        <f t="shared" si="198"/>
        <v>145081.44</v>
      </c>
      <c r="L51" s="120">
        <f t="shared" si="198"/>
        <v>145081.44</v>
      </c>
      <c r="M51" s="120">
        <f t="shared" si="198"/>
        <v>145081.44</v>
      </c>
      <c r="N51" s="120">
        <f t="shared" si="198"/>
        <v>145081.44</v>
      </c>
      <c r="O51" s="92">
        <f t="shared" si="199"/>
        <v>145081.44</v>
      </c>
      <c r="P51" s="92">
        <f t="shared" si="200"/>
        <v>145081.44</v>
      </c>
      <c r="Q51" s="92">
        <f t="shared" si="201"/>
        <v>145081.44</v>
      </c>
      <c r="R51" s="92">
        <f t="shared" si="202"/>
        <v>145081.44</v>
      </c>
      <c r="S51" s="92">
        <f t="shared" si="203"/>
        <v>145081.44</v>
      </c>
      <c r="T51" s="92">
        <f t="shared" si="204"/>
        <v>145081.44</v>
      </c>
      <c r="U51" s="92">
        <f t="shared" si="205"/>
        <v>145081.44</v>
      </c>
      <c r="V51" s="92">
        <f t="shared" si="206"/>
        <v>145081.44</v>
      </c>
      <c r="W51" s="92">
        <f t="shared" si="207"/>
        <v>145081.44</v>
      </c>
      <c r="X51" s="92">
        <f t="shared" si="208"/>
        <v>145081.44</v>
      </c>
      <c r="Y51" s="92">
        <f t="shared" si="209"/>
        <v>145081.44</v>
      </c>
      <c r="Z51" s="92">
        <f t="shared" si="210"/>
        <v>145081.44</v>
      </c>
      <c r="AA51" s="92">
        <f t="shared" si="211"/>
        <v>145081.44</v>
      </c>
      <c r="AB51" s="92">
        <f t="shared" si="212"/>
        <v>145081.44</v>
      </c>
      <c r="AC51" s="92">
        <f t="shared" si="213"/>
        <v>145081.44</v>
      </c>
      <c r="AD51" s="92">
        <f t="shared" si="214"/>
        <v>145081.44</v>
      </c>
      <c r="AE51" s="92">
        <f t="shared" si="215"/>
        <v>145081.44</v>
      </c>
      <c r="AF51" s="92">
        <f t="shared" si="216"/>
        <v>145081.44</v>
      </c>
      <c r="AG51" s="92">
        <f t="shared" si="217"/>
        <v>145081.44</v>
      </c>
      <c r="AH51" s="92">
        <f t="shared" si="218"/>
        <v>145081.44</v>
      </c>
      <c r="AI51" s="92">
        <f t="shared" si="219"/>
        <v>145081.44</v>
      </c>
      <c r="AJ51" s="92">
        <f t="shared" si="220"/>
        <v>145081.44</v>
      </c>
      <c r="AK51" s="92">
        <f t="shared" si="221"/>
        <v>145081.44</v>
      </c>
      <c r="AL51" s="92">
        <f t="shared" si="222"/>
        <v>145081.44</v>
      </c>
      <c r="AM51" s="92">
        <f t="shared" si="223"/>
        <v>145081.44</v>
      </c>
      <c r="AN51" s="92">
        <f t="shared" si="224"/>
        <v>145081.44</v>
      </c>
      <c r="AO51" s="92">
        <f t="shared" si="225"/>
        <v>145081.44</v>
      </c>
      <c r="AP51" s="92">
        <f t="shared" si="226"/>
        <v>145081.44</v>
      </c>
      <c r="AQ51" s="92">
        <f t="shared" si="227"/>
        <v>145081.44</v>
      </c>
      <c r="AR51" s="92">
        <f t="shared" si="228"/>
        <v>145081.44</v>
      </c>
      <c r="AS51" s="92">
        <f t="shared" si="229"/>
        <v>145081.44</v>
      </c>
      <c r="AT51" s="92">
        <f t="shared" si="230"/>
        <v>145081.44</v>
      </c>
      <c r="AU51" s="92">
        <f t="shared" si="231"/>
        <v>145081.44</v>
      </c>
      <c r="AV51" s="92">
        <f t="shared" si="232"/>
        <v>145081.44</v>
      </c>
      <c r="AW51" s="92">
        <f t="shared" si="233"/>
        <v>145081.44</v>
      </c>
      <c r="AX51" s="92">
        <f t="shared" si="234"/>
        <v>145081.44</v>
      </c>
      <c r="AY51" s="92">
        <f t="shared" si="235"/>
        <v>145081.44</v>
      </c>
      <c r="AZ51" s="92">
        <f t="shared" si="236"/>
        <v>145081.44</v>
      </c>
      <c r="BA51" s="92">
        <f t="shared" si="237"/>
        <v>145081.44</v>
      </c>
      <c r="BB51" s="92">
        <f t="shared" si="238"/>
        <v>145081.44</v>
      </c>
      <c r="BC51" s="92">
        <f t="shared" si="239"/>
        <v>145081.44</v>
      </c>
      <c r="BD51" s="92">
        <f t="shared" si="240"/>
        <v>145081.44</v>
      </c>
      <c r="BE51" s="92">
        <f t="shared" si="241"/>
        <v>145081.44</v>
      </c>
      <c r="BF51" s="92">
        <f t="shared" si="242"/>
        <v>145081.44</v>
      </c>
      <c r="BG51" s="92">
        <f t="shared" si="243"/>
        <v>145081.44</v>
      </c>
      <c r="BH51" s="92">
        <f t="shared" si="244"/>
        <v>145081.44</v>
      </c>
      <c r="BI51" s="92">
        <f t="shared" si="245"/>
        <v>145081.44</v>
      </c>
      <c r="BJ51" s="92">
        <f t="shared" si="246"/>
        <v>145081.44</v>
      </c>
      <c r="BK51" s="92">
        <f t="shared" si="247"/>
        <v>145081.44</v>
      </c>
      <c r="BL51" s="92">
        <f t="shared" si="248"/>
        <v>145081.44</v>
      </c>
      <c r="BM51" s="92">
        <f t="shared" si="249"/>
        <v>145081.44</v>
      </c>
      <c r="BN51" s="92">
        <f t="shared" si="250"/>
        <v>145081.44</v>
      </c>
      <c r="BO51" s="92">
        <f t="shared" si="251"/>
        <v>145081.44</v>
      </c>
      <c r="BP51" s="92">
        <f t="shared" si="252"/>
        <v>145081.44</v>
      </c>
      <c r="BQ51" s="92">
        <f t="shared" si="253"/>
        <v>145081.44</v>
      </c>
      <c r="BR51" s="92">
        <f t="shared" si="254"/>
        <v>145081.44</v>
      </c>
      <c r="BS51" s="92">
        <f t="shared" si="255"/>
        <v>145081.44</v>
      </c>
      <c r="BT51" s="92">
        <f t="shared" si="256"/>
        <v>145081.44</v>
      </c>
      <c r="BU51" s="92">
        <f t="shared" si="257"/>
        <v>145081.44</v>
      </c>
      <c r="BV51" s="92">
        <f t="shared" si="258"/>
        <v>145081.44</v>
      </c>
      <c r="BW51" s="92">
        <f t="shared" si="259"/>
        <v>145081.44</v>
      </c>
      <c r="BX51" s="92">
        <f t="shared" si="260"/>
        <v>145081.44</v>
      </c>
      <c r="BY51" s="92">
        <f t="shared" si="261"/>
        <v>145081.44</v>
      </c>
      <c r="BZ51" s="92">
        <f t="shared" si="262"/>
        <v>145081.44</v>
      </c>
      <c r="CA51" s="92">
        <f t="shared" si="263"/>
        <v>145081.44</v>
      </c>
      <c r="CB51" s="92">
        <f t="shared" si="264"/>
        <v>145081.44</v>
      </c>
      <c r="CC51" s="92">
        <f t="shared" si="265"/>
        <v>145081.44</v>
      </c>
      <c r="CD51" s="92">
        <f t="shared" si="266"/>
        <v>145081.44</v>
      </c>
      <c r="CE51" s="92">
        <f t="shared" si="267"/>
        <v>145081.44</v>
      </c>
      <c r="CF51" s="92">
        <f t="shared" si="268"/>
        <v>145081.44</v>
      </c>
      <c r="CG51" s="92">
        <f t="shared" si="269"/>
        <v>145081.44</v>
      </c>
      <c r="CH51" s="92">
        <f t="shared" si="270"/>
        <v>145081.44</v>
      </c>
    </row>
    <row r="52" spans="1:86" x14ac:dyDescent="0.25">
      <c r="A52" s="29" t="s">
        <v>6</v>
      </c>
      <c r="B52" s="31" t="s">
        <v>91</v>
      </c>
      <c r="C52" s="119"/>
      <c r="D52" s="120">
        <f>C52</f>
        <v>0</v>
      </c>
      <c r="E52" s="120">
        <f>-12596.5</f>
        <v>-12596.5</v>
      </c>
      <c r="F52" s="120">
        <f>-26618.84</f>
        <v>-26618.84</v>
      </c>
      <c r="G52" s="120">
        <f>-41426.66</f>
        <v>-41426.660000000003</v>
      </c>
      <c r="H52" s="120">
        <f>-56234.48</f>
        <v>-56234.48</v>
      </c>
      <c r="I52" s="120">
        <f>-71042.3</f>
        <v>-71042.3</v>
      </c>
      <c r="J52" s="120">
        <f>-85850.12</f>
        <v>-85850.12</v>
      </c>
      <c r="K52" s="120">
        <f>-100657.94</f>
        <v>-100657.94</v>
      </c>
      <c r="L52" s="120">
        <f>-115465.76</f>
        <v>-115465.76</v>
      </c>
      <c r="M52" s="120">
        <f>-130273.58</f>
        <v>-130273.58</v>
      </c>
      <c r="N52" s="120">
        <f>-145081.44</f>
        <v>-145081.44</v>
      </c>
      <c r="O52" s="92">
        <f t="shared" si="199"/>
        <v>-145081.44</v>
      </c>
      <c r="P52" s="92">
        <f t="shared" si="200"/>
        <v>-145081.44</v>
      </c>
      <c r="Q52" s="92">
        <f t="shared" si="201"/>
        <v>-145081.44</v>
      </c>
      <c r="R52" s="92">
        <f t="shared" si="202"/>
        <v>-145081.44</v>
      </c>
      <c r="S52" s="92">
        <f t="shared" si="203"/>
        <v>-145081.44</v>
      </c>
      <c r="T52" s="92">
        <f t="shared" si="204"/>
        <v>-145081.44</v>
      </c>
      <c r="U52" s="92">
        <f t="shared" si="205"/>
        <v>-145081.44</v>
      </c>
      <c r="V52" s="92">
        <f t="shared" si="206"/>
        <v>-145081.44</v>
      </c>
      <c r="W52" s="92">
        <f t="shared" si="207"/>
        <v>-145081.44</v>
      </c>
      <c r="X52" s="92">
        <f t="shared" si="208"/>
        <v>-145081.44</v>
      </c>
      <c r="Y52" s="92">
        <f t="shared" si="209"/>
        <v>-145081.44</v>
      </c>
      <c r="Z52" s="92">
        <f t="shared" si="210"/>
        <v>-145081.44</v>
      </c>
      <c r="AA52" s="92">
        <f t="shared" si="211"/>
        <v>-145081.44</v>
      </c>
      <c r="AB52" s="92">
        <f t="shared" si="212"/>
        <v>-145081.44</v>
      </c>
      <c r="AC52" s="92">
        <f t="shared" si="213"/>
        <v>-145081.44</v>
      </c>
      <c r="AD52" s="92">
        <f t="shared" si="214"/>
        <v>-145081.44</v>
      </c>
      <c r="AE52" s="92">
        <f t="shared" si="215"/>
        <v>-145081.44</v>
      </c>
      <c r="AF52" s="92">
        <f t="shared" si="216"/>
        <v>-145081.44</v>
      </c>
      <c r="AG52" s="92">
        <f t="shared" si="217"/>
        <v>-145081.44</v>
      </c>
      <c r="AH52" s="92">
        <f t="shared" si="218"/>
        <v>-145081.44</v>
      </c>
      <c r="AI52" s="92">
        <f t="shared" si="219"/>
        <v>-145081.44</v>
      </c>
      <c r="AJ52" s="92">
        <f t="shared" si="220"/>
        <v>-145081.44</v>
      </c>
      <c r="AK52" s="92">
        <f t="shared" si="221"/>
        <v>-145081.44</v>
      </c>
      <c r="AL52" s="92">
        <f t="shared" si="222"/>
        <v>-145081.44</v>
      </c>
      <c r="AM52" s="92">
        <f t="shared" si="223"/>
        <v>-145081.44</v>
      </c>
      <c r="AN52" s="92">
        <f t="shared" si="224"/>
        <v>-145081.44</v>
      </c>
      <c r="AO52" s="92">
        <f t="shared" si="225"/>
        <v>-145081.44</v>
      </c>
      <c r="AP52" s="92">
        <f t="shared" si="226"/>
        <v>-145081.44</v>
      </c>
      <c r="AQ52" s="92">
        <f t="shared" si="227"/>
        <v>-145081.44</v>
      </c>
      <c r="AR52" s="92">
        <f t="shared" si="228"/>
        <v>-145081.44</v>
      </c>
      <c r="AS52" s="92">
        <f t="shared" si="229"/>
        <v>-145081.44</v>
      </c>
      <c r="AT52" s="92">
        <f t="shared" si="230"/>
        <v>-145081.44</v>
      </c>
      <c r="AU52" s="92">
        <f t="shared" si="231"/>
        <v>-145081.44</v>
      </c>
      <c r="AV52" s="92">
        <f t="shared" si="232"/>
        <v>-145081.44</v>
      </c>
      <c r="AW52" s="92">
        <f t="shared" si="233"/>
        <v>-145081.44</v>
      </c>
      <c r="AX52" s="92">
        <f t="shared" si="234"/>
        <v>-145081.44</v>
      </c>
      <c r="AY52" s="92">
        <f t="shared" si="235"/>
        <v>-145081.44</v>
      </c>
      <c r="AZ52" s="92">
        <f t="shared" si="236"/>
        <v>-145081.44</v>
      </c>
      <c r="BA52" s="92">
        <f t="shared" si="237"/>
        <v>-145081.44</v>
      </c>
      <c r="BB52" s="92">
        <f t="shared" si="238"/>
        <v>-145081.44</v>
      </c>
      <c r="BC52" s="92">
        <f t="shared" si="239"/>
        <v>-145081.44</v>
      </c>
      <c r="BD52" s="92">
        <f t="shared" si="240"/>
        <v>-145081.44</v>
      </c>
      <c r="BE52" s="92">
        <f t="shared" si="241"/>
        <v>-145081.44</v>
      </c>
      <c r="BF52" s="92">
        <f t="shared" si="242"/>
        <v>-145081.44</v>
      </c>
      <c r="BG52" s="92">
        <f t="shared" si="243"/>
        <v>-145081.44</v>
      </c>
      <c r="BH52" s="92">
        <f t="shared" si="244"/>
        <v>-145081.44</v>
      </c>
      <c r="BI52" s="92">
        <f t="shared" si="245"/>
        <v>-145081.44</v>
      </c>
      <c r="BJ52" s="92">
        <f t="shared" si="246"/>
        <v>-145081.44</v>
      </c>
      <c r="BK52" s="92">
        <f t="shared" si="247"/>
        <v>-145081.44</v>
      </c>
      <c r="BL52" s="92">
        <f t="shared" si="248"/>
        <v>-145081.44</v>
      </c>
      <c r="BM52" s="92">
        <f t="shared" si="249"/>
        <v>-145081.44</v>
      </c>
      <c r="BN52" s="92">
        <f t="shared" si="250"/>
        <v>-145081.44</v>
      </c>
      <c r="BO52" s="92">
        <f t="shared" si="251"/>
        <v>-145081.44</v>
      </c>
      <c r="BP52" s="92">
        <f t="shared" si="252"/>
        <v>-145081.44</v>
      </c>
      <c r="BQ52" s="92">
        <f t="shared" si="253"/>
        <v>-145081.44</v>
      </c>
      <c r="BR52" s="92">
        <f t="shared" si="254"/>
        <v>-145081.44</v>
      </c>
      <c r="BS52" s="92">
        <f t="shared" si="255"/>
        <v>-145081.44</v>
      </c>
      <c r="BT52" s="92">
        <f t="shared" si="256"/>
        <v>-145081.44</v>
      </c>
      <c r="BU52" s="92">
        <f t="shared" si="257"/>
        <v>-145081.44</v>
      </c>
      <c r="BV52" s="92">
        <f t="shared" si="258"/>
        <v>-145081.44</v>
      </c>
      <c r="BW52" s="92">
        <f t="shared" si="259"/>
        <v>-145081.44</v>
      </c>
      <c r="BX52" s="92">
        <f t="shared" si="260"/>
        <v>-145081.44</v>
      </c>
      <c r="BY52" s="92">
        <f t="shared" si="261"/>
        <v>-145081.44</v>
      </c>
      <c r="BZ52" s="92">
        <f t="shared" si="262"/>
        <v>-145081.44</v>
      </c>
      <c r="CA52" s="92">
        <f t="shared" si="263"/>
        <v>-145081.44</v>
      </c>
      <c r="CB52" s="92">
        <f t="shared" si="264"/>
        <v>-145081.44</v>
      </c>
      <c r="CC52" s="92">
        <f t="shared" si="265"/>
        <v>-145081.44</v>
      </c>
      <c r="CD52" s="92">
        <f t="shared" si="266"/>
        <v>-145081.44</v>
      </c>
      <c r="CE52" s="92">
        <f t="shared" si="267"/>
        <v>-145081.44</v>
      </c>
      <c r="CF52" s="92">
        <f t="shared" si="268"/>
        <v>-145081.44</v>
      </c>
      <c r="CG52" s="92">
        <f t="shared" si="269"/>
        <v>-145081.44</v>
      </c>
      <c r="CH52" s="92">
        <f t="shared" si="270"/>
        <v>-145081.44</v>
      </c>
    </row>
    <row r="53" spans="1:86" x14ac:dyDescent="0.25">
      <c r="A53" s="29" t="s">
        <v>6</v>
      </c>
      <c r="B53" s="31" t="s">
        <v>90</v>
      </c>
      <c r="C53" s="120">
        <f>0</f>
        <v>0</v>
      </c>
      <c r="D53" s="120">
        <f>C53</f>
        <v>0</v>
      </c>
      <c r="E53" s="120">
        <f t="shared" ref="E53:N56" si="271">D53</f>
        <v>0</v>
      </c>
      <c r="F53" s="120">
        <f t="shared" si="271"/>
        <v>0</v>
      </c>
      <c r="G53" s="120">
        <f t="shared" si="271"/>
        <v>0</v>
      </c>
      <c r="H53" s="120">
        <f t="shared" si="271"/>
        <v>0</v>
      </c>
      <c r="I53" s="120">
        <f t="shared" si="271"/>
        <v>0</v>
      </c>
      <c r="J53" s="120">
        <f t="shared" si="271"/>
        <v>0</v>
      </c>
      <c r="K53" s="120">
        <f t="shared" si="271"/>
        <v>0</v>
      </c>
      <c r="L53" s="120">
        <f t="shared" si="271"/>
        <v>0</v>
      </c>
      <c r="M53" s="120">
        <f t="shared" si="271"/>
        <v>0</v>
      </c>
      <c r="N53" s="120">
        <f t="shared" si="271"/>
        <v>0</v>
      </c>
      <c r="O53" s="92">
        <f t="shared" si="199"/>
        <v>0</v>
      </c>
      <c r="P53" s="92">
        <f t="shared" si="200"/>
        <v>0</v>
      </c>
      <c r="Q53" s="92">
        <f t="shared" si="201"/>
        <v>0</v>
      </c>
      <c r="R53" s="92">
        <f t="shared" si="202"/>
        <v>0</v>
      </c>
      <c r="S53" s="92">
        <f t="shared" si="203"/>
        <v>0</v>
      </c>
      <c r="T53" s="92">
        <f t="shared" si="204"/>
        <v>0</v>
      </c>
      <c r="U53" s="92">
        <f t="shared" si="205"/>
        <v>0</v>
      </c>
      <c r="V53" s="92">
        <f t="shared" si="206"/>
        <v>0</v>
      </c>
      <c r="W53" s="92">
        <f t="shared" si="207"/>
        <v>0</v>
      </c>
      <c r="X53" s="92">
        <f t="shared" si="208"/>
        <v>0</v>
      </c>
      <c r="Y53" s="92">
        <f t="shared" si="209"/>
        <v>0</v>
      </c>
      <c r="Z53" s="92">
        <f t="shared" si="210"/>
        <v>0</v>
      </c>
      <c r="AA53" s="92">
        <f t="shared" si="211"/>
        <v>0</v>
      </c>
      <c r="AB53" s="92">
        <f t="shared" si="212"/>
        <v>0</v>
      </c>
      <c r="AC53" s="92">
        <f t="shared" si="213"/>
        <v>0</v>
      </c>
      <c r="AD53" s="92">
        <f t="shared" si="214"/>
        <v>0</v>
      </c>
      <c r="AE53" s="92">
        <f t="shared" si="215"/>
        <v>0</v>
      </c>
      <c r="AF53" s="92">
        <f t="shared" si="216"/>
        <v>0</v>
      </c>
      <c r="AG53" s="92">
        <f t="shared" si="217"/>
        <v>0</v>
      </c>
      <c r="AH53" s="92">
        <f t="shared" si="218"/>
        <v>0</v>
      </c>
      <c r="AI53" s="92">
        <f t="shared" si="219"/>
        <v>0</v>
      </c>
      <c r="AJ53" s="92">
        <f t="shared" si="220"/>
        <v>0</v>
      </c>
      <c r="AK53" s="92">
        <f t="shared" si="221"/>
        <v>0</v>
      </c>
      <c r="AL53" s="92">
        <f t="shared" si="222"/>
        <v>0</v>
      </c>
      <c r="AM53" s="92">
        <f t="shared" si="223"/>
        <v>0</v>
      </c>
      <c r="AN53" s="92">
        <f t="shared" si="224"/>
        <v>0</v>
      </c>
      <c r="AO53" s="92">
        <f t="shared" si="225"/>
        <v>0</v>
      </c>
      <c r="AP53" s="92">
        <f t="shared" si="226"/>
        <v>0</v>
      </c>
      <c r="AQ53" s="92">
        <f t="shared" si="227"/>
        <v>0</v>
      </c>
      <c r="AR53" s="92">
        <f t="shared" si="228"/>
        <v>0</v>
      </c>
      <c r="AS53" s="92">
        <f t="shared" si="229"/>
        <v>0</v>
      </c>
      <c r="AT53" s="92">
        <f t="shared" si="230"/>
        <v>0</v>
      </c>
      <c r="AU53" s="92">
        <f t="shared" si="231"/>
        <v>0</v>
      </c>
      <c r="AV53" s="92">
        <f t="shared" si="232"/>
        <v>0</v>
      </c>
      <c r="AW53" s="92">
        <f t="shared" si="233"/>
        <v>0</v>
      </c>
      <c r="AX53" s="92">
        <f t="shared" si="234"/>
        <v>0</v>
      </c>
      <c r="AY53" s="92">
        <f t="shared" si="235"/>
        <v>0</v>
      </c>
      <c r="AZ53" s="92">
        <f t="shared" si="236"/>
        <v>0</v>
      </c>
      <c r="BA53" s="92">
        <f t="shared" si="237"/>
        <v>0</v>
      </c>
      <c r="BB53" s="92">
        <f t="shared" si="238"/>
        <v>0</v>
      </c>
      <c r="BC53" s="92">
        <f t="shared" si="239"/>
        <v>0</v>
      </c>
      <c r="BD53" s="92">
        <f t="shared" si="240"/>
        <v>0</v>
      </c>
      <c r="BE53" s="92">
        <f t="shared" si="241"/>
        <v>0</v>
      </c>
      <c r="BF53" s="92">
        <f t="shared" si="242"/>
        <v>0</v>
      </c>
      <c r="BG53" s="92">
        <f t="shared" si="243"/>
        <v>0</v>
      </c>
      <c r="BH53" s="92">
        <f t="shared" si="244"/>
        <v>0</v>
      </c>
      <c r="BI53" s="92">
        <f t="shared" si="245"/>
        <v>0</v>
      </c>
      <c r="BJ53" s="92">
        <f t="shared" si="246"/>
        <v>0</v>
      </c>
      <c r="BK53" s="92">
        <f t="shared" si="247"/>
        <v>0</v>
      </c>
      <c r="BL53" s="92">
        <f t="shared" si="248"/>
        <v>0</v>
      </c>
      <c r="BM53" s="92">
        <f t="shared" si="249"/>
        <v>0</v>
      </c>
      <c r="BN53" s="92">
        <f t="shared" si="250"/>
        <v>0</v>
      </c>
      <c r="BO53" s="92">
        <f t="shared" si="251"/>
        <v>0</v>
      </c>
      <c r="BP53" s="92">
        <f t="shared" si="252"/>
        <v>0</v>
      </c>
      <c r="BQ53" s="92">
        <f t="shared" si="253"/>
        <v>0</v>
      </c>
      <c r="BR53" s="92">
        <f t="shared" si="254"/>
        <v>0</v>
      </c>
      <c r="BS53" s="92">
        <f t="shared" si="255"/>
        <v>0</v>
      </c>
      <c r="BT53" s="92">
        <f t="shared" si="256"/>
        <v>0</v>
      </c>
      <c r="BU53" s="92">
        <f t="shared" si="257"/>
        <v>0</v>
      </c>
      <c r="BV53" s="92">
        <f t="shared" si="258"/>
        <v>0</v>
      </c>
      <c r="BW53" s="92">
        <f t="shared" si="259"/>
        <v>0</v>
      </c>
      <c r="BX53" s="92">
        <f t="shared" si="260"/>
        <v>0</v>
      </c>
      <c r="BY53" s="92">
        <f t="shared" si="261"/>
        <v>0</v>
      </c>
      <c r="BZ53" s="92">
        <f t="shared" si="262"/>
        <v>0</v>
      </c>
      <c r="CA53" s="92">
        <f t="shared" si="263"/>
        <v>0</v>
      </c>
      <c r="CB53" s="92">
        <f t="shared" si="264"/>
        <v>0</v>
      </c>
      <c r="CC53" s="92">
        <f t="shared" si="265"/>
        <v>0</v>
      </c>
      <c r="CD53" s="92">
        <f t="shared" si="266"/>
        <v>0</v>
      </c>
      <c r="CE53" s="92">
        <f t="shared" si="267"/>
        <v>0</v>
      </c>
      <c r="CF53" s="92">
        <f t="shared" si="268"/>
        <v>0</v>
      </c>
      <c r="CG53" s="92">
        <f t="shared" si="269"/>
        <v>0</v>
      </c>
      <c r="CH53" s="92">
        <f t="shared" si="270"/>
        <v>0</v>
      </c>
    </row>
    <row r="54" spans="1:86" x14ac:dyDescent="0.25">
      <c r="A54" s="29" t="s">
        <v>6</v>
      </c>
      <c r="B54" s="31" t="s">
        <v>89</v>
      </c>
      <c r="C54" s="119"/>
      <c r="D54" s="120">
        <f>C54</f>
        <v>0</v>
      </c>
      <c r="E54" s="120">
        <f t="shared" si="271"/>
        <v>0</v>
      </c>
      <c r="F54" s="120">
        <f t="shared" si="271"/>
        <v>0</v>
      </c>
      <c r="G54" s="120">
        <f t="shared" si="271"/>
        <v>0</v>
      </c>
      <c r="H54" s="120">
        <f t="shared" si="271"/>
        <v>0</v>
      </c>
      <c r="I54" s="120">
        <f t="shared" si="271"/>
        <v>0</v>
      </c>
      <c r="J54" s="120">
        <f t="shared" si="271"/>
        <v>0</v>
      </c>
      <c r="K54" s="120">
        <f t="shared" si="271"/>
        <v>0</v>
      </c>
      <c r="L54" s="120">
        <f t="shared" si="271"/>
        <v>0</v>
      </c>
      <c r="M54" s="120">
        <f t="shared" si="271"/>
        <v>0</v>
      </c>
      <c r="N54" s="120">
        <f t="shared" si="271"/>
        <v>0</v>
      </c>
      <c r="O54" s="92">
        <f t="shared" si="199"/>
        <v>0</v>
      </c>
      <c r="P54" s="92">
        <f t="shared" si="200"/>
        <v>0</v>
      </c>
      <c r="Q54" s="92">
        <f t="shared" si="201"/>
        <v>0</v>
      </c>
      <c r="R54" s="92">
        <f t="shared" si="202"/>
        <v>0</v>
      </c>
      <c r="S54" s="92">
        <f t="shared" si="203"/>
        <v>0</v>
      </c>
      <c r="T54" s="92">
        <f t="shared" si="204"/>
        <v>0</v>
      </c>
      <c r="U54" s="92">
        <f t="shared" si="205"/>
        <v>0</v>
      </c>
      <c r="V54" s="92">
        <f t="shared" si="206"/>
        <v>0</v>
      </c>
      <c r="W54" s="92">
        <f t="shared" si="207"/>
        <v>0</v>
      </c>
      <c r="X54" s="92">
        <f t="shared" si="208"/>
        <v>0</v>
      </c>
      <c r="Y54" s="92">
        <f t="shared" si="209"/>
        <v>0</v>
      </c>
      <c r="Z54" s="92">
        <f t="shared" si="210"/>
        <v>0</v>
      </c>
      <c r="AA54" s="92">
        <f t="shared" si="211"/>
        <v>0</v>
      </c>
      <c r="AB54" s="92">
        <f t="shared" si="212"/>
        <v>0</v>
      </c>
      <c r="AC54" s="92">
        <f t="shared" si="213"/>
        <v>0</v>
      </c>
      <c r="AD54" s="92">
        <f t="shared" si="214"/>
        <v>0</v>
      </c>
      <c r="AE54" s="92">
        <f t="shared" si="215"/>
        <v>0</v>
      </c>
      <c r="AF54" s="92">
        <f t="shared" si="216"/>
        <v>0</v>
      </c>
      <c r="AG54" s="92">
        <f t="shared" si="217"/>
        <v>0</v>
      </c>
      <c r="AH54" s="92">
        <f t="shared" si="218"/>
        <v>0</v>
      </c>
      <c r="AI54" s="92">
        <f t="shared" si="219"/>
        <v>0</v>
      </c>
      <c r="AJ54" s="92">
        <f t="shared" si="220"/>
        <v>0</v>
      </c>
      <c r="AK54" s="92">
        <f t="shared" si="221"/>
        <v>0</v>
      </c>
      <c r="AL54" s="92">
        <f t="shared" si="222"/>
        <v>0</v>
      </c>
      <c r="AM54" s="92">
        <f t="shared" si="223"/>
        <v>0</v>
      </c>
      <c r="AN54" s="92">
        <f t="shared" si="224"/>
        <v>0</v>
      </c>
      <c r="AO54" s="92">
        <f t="shared" si="225"/>
        <v>0</v>
      </c>
      <c r="AP54" s="92">
        <f t="shared" si="226"/>
        <v>0</v>
      </c>
      <c r="AQ54" s="92">
        <f t="shared" si="227"/>
        <v>0</v>
      </c>
      <c r="AR54" s="92">
        <f t="shared" si="228"/>
        <v>0</v>
      </c>
      <c r="AS54" s="92">
        <f t="shared" si="229"/>
        <v>0</v>
      </c>
      <c r="AT54" s="92">
        <f t="shared" si="230"/>
        <v>0</v>
      </c>
      <c r="AU54" s="92">
        <f t="shared" si="231"/>
        <v>0</v>
      </c>
      <c r="AV54" s="92">
        <f t="shared" si="232"/>
        <v>0</v>
      </c>
      <c r="AW54" s="92">
        <f t="shared" si="233"/>
        <v>0</v>
      </c>
      <c r="AX54" s="92">
        <f t="shared" si="234"/>
        <v>0</v>
      </c>
      <c r="AY54" s="92">
        <f t="shared" si="235"/>
        <v>0</v>
      </c>
      <c r="AZ54" s="92">
        <f t="shared" si="236"/>
        <v>0</v>
      </c>
      <c r="BA54" s="92">
        <f t="shared" si="237"/>
        <v>0</v>
      </c>
      <c r="BB54" s="92">
        <f t="shared" si="238"/>
        <v>0</v>
      </c>
      <c r="BC54" s="92">
        <f t="shared" si="239"/>
        <v>0</v>
      </c>
      <c r="BD54" s="92">
        <f t="shared" si="240"/>
        <v>0</v>
      </c>
      <c r="BE54" s="92">
        <f t="shared" si="241"/>
        <v>0</v>
      </c>
      <c r="BF54" s="92">
        <f t="shared" si="242"/>
        <v>0</v>
      </c>
      <c r="BG54" s="92">
        <f t="shared" si="243"/>
        <v>0</v>
      </c>
      <c r="BH54" s="92">
        <f t="shared" si="244"/>
        <v>0</v>
      </c>
      <c r="BI54" s="92">
        <f t="shared" si="245"/>
        <v>0</v>
      </c>
      <c r="BJ54" s="92">
        <f t="shared" si="246"/>
        <v>0</v>
      </c>
      <c r="BK54" s="92">
        <f t="shared" si="247"/>
        <v>0</v>
      </c>
      <c r="BL54" s="92">
        <f t="shared" si="248"/>
        <v>0</v>
      </c>
      <c r="BM54" s="92">
        <f t="shared" si="249"/>
        <v>0</v>
      </c>
      <c r="BN54" s="92">
        <f t="shared" si="250"/>
        <v>0</v>
      </c>
      <c r="BO54" s="92">
        <f t="shared" si="251"/>
        <v>0</v>
      </c>
      <c r="BP54" s="92">
        <f t="shared" si="252"/>
        <v>0</v>
      </c>
      <c r="BQ54" s="92">
        <f t="shared" si="253"/>
        <v>0</v>
      </c>
      <c r="BR54" s="92">
        <f t="shared" si="254"/>
        <v>0</v>
      </c>
      <c r="BS54" s="92">
        <f t="shared" si="255"/>
        <v>0</v>
      </c>
      <c r="BT54" s="92">
        <f t="shared" si="256"/>
        <v>0</v>
      </c>
      <c r="BU54" s="92">
        <f t="shared" si="257"/>
        <v>0</v>
      </c>
      <c r="BV54" s="92">
        <f t="shared" si="258"/>
        <v>0</v>
      </c>
      <c r="BW54" s="92">
        <f t="shared" si="259"/>
        <v>0</v>
      </c>
      <c r="BX54" s="92">
        <f t="shared" si="260"/>
        <v>0</v>
      </c>
      <c r="BY54" s="92">
        <f t="shared" si="261"/>
        <v>0</v>
      </c>
      <c r="BZ54" s="92">
        <f t="shared" si="262"/>
        <v>0</v>
      </c>
      <c r="CA54" s="92">
        <f t="shared" si="263"/>
        <v>0</v>
      </c>
      <c r="CB54" s="92">
        <f t="shared" si="264"/>
        <v>0</v>
      </c>
      <c r="CC54" s="92">
        <f t="shared" si="265"/>
        <v>0</v>
      </c>
      <c r="CD54" s="92">
        <f t="shared" si="266"/>
        <v>0</v>
      </c>
      <c r="CE54" s="92">
        <f t="shared" si="267"/>
        <v>0</v>
      </c>
      <c r="CF54" s="92">
        <f t="shared" si="268"/>
        <v>0</v>
      </c>
      <c r="CG54" s="92">
        <f t="shared" si="269"/>
        <v>0</v>
      </c>
      <c r="CH54" s="92">
        <f t="shared" si="270"/>
        <v>0</v>
      </c>
    </row>
    <row r="55" spans="1:86" x14ac:dyDescent="0.25">
      <c r="A55" s="29" t="s">
        <v>6</v>
      </c>
      <c r="B55" s="31" t="s">
        <v>88</v>
      </c>
      <c r="C55" s="120">
        <f>0</f>
        <v>0</v>
      </c>
      <c r="D55" s="120">
        <f>C55</f>
        <v>0</v>
      </c>
      <c r="E55" s="120">
        <f t="shared" si="271"/>
        <v>0</v>
      </c>
      <c r="F55" s="120">
        <f t="shared" si="271"/>
        <v>0</v>
      </c>
      <c r="G55" s="120">
        <f t="shared" si="271"/>
        <v>0</v>
      </c>
      <c r="H55" s="120">
        <f t="shared" si="271"/>
        <v>0</v>
      </c>
      <c r="I55" s="120">
        <f t="shared" si="271"/>
        <v>0</v>
      </c>
      <c r="J55" s="120">
        <f t="shared" si="271"/>
        <v>0</v>
      </c>
      <c r="K55" s="120">
        <f t="shared" si="271"/>
        <v>0</v>
      </c>
      <c r="L55" s="120">
        <f t="shared" si="271"/>
        <v>0</v>
      </c>
      <c r="M55" s="120">
        <f t="shared" si="271"/>
        <v>0</v>
      </c>
      <c r="N55" s="120">
        <f t="shared" si="271"/>
        <v>0</v>
      </c>
      <c r="O55" s="92">
        <f t="shared" si="199"/>
        <v>0</v>
      </c>
      <c r="P55" s="92">
        <f t="shared" si="200"/>
        <v>0</v>
      </c>
      <c r="Q55" s="92">
        <f t="shared" si="201"/>
        <v>0</v>
      </c>
      <c r="R55" s="92">
        <f t="shared" si="202"/>
        <v>0</v>
      </c>
      <c r="S55" s="92">
        <f t="shared" si="203"/>
        <v>0</v>
      </c>
      <c r="T55" s="92">
        <f t="shared" si="204"/>
        <v>0</v>
      </c>
      <c r="U55" s="92">
        <f t="shared" si="205"/>
        <v>0</v>
      </c>
      <c r="V55" s="92">
        <f t="shared" si="206"/>
        <v>0</v>
      </c>
      <c r="W55" s="92">
        <f t="shared" si="207"/>
        <v>0</v>
      </c>
      <c r="X55" s="92">
        <f t="shared" si="208"/>
        <v>0</v>
      </c>
      <c r="Y55" s="92">
        <f t="shared" si="209"/>
        <v>0</v>
      </c>
      <c r="Z55" s="92">
        <f t="shared" si="210"/>
        <v>0</v>
      </c>
      <c r="AA55" s="92">
        <f t="shared" si="211"/>
        <v>0</v>
      </c>
      <c r="AB55" s="92">
        <f t="shared" si="212"/>
        <v>0</v>
      </c>
      <c r="AC55" s="92">
        <f t="shared" si="213"/>
        <v>0</v>
      </c>
      <c r="AD55" s="92">
        <f t="shared" si="214"/>
        <v>0</v>
      </c>
      <c r="AE55" s="92">
        <f t="shared" si="215"/>
        <v>0</v>
      </c>
      <c r="AF55" s="92">
        <f t="shared" si="216"/>
        <v>0</v>
      </c>
      <c r="AG55" s="92">
        <f t="shared" si="217"/>
        <v>0</v>
      </c>
      <c r="AH55" s="92">
        <f t="shared" si="218"/>
        <v>0</v>
      </c>
      <c r="AI55" s="92">
        <f t="shared" si="219"/>
        <v>0</v>
      </c>
      <c r="AJ55" s="92">
        <f t="shared" si="220"/>
        <v>0</v>
      </c>
      <c r="AK55" s="92">
        <f t="shared" si="221"/>
        <v>0</v>
      </c>
      <c r="AL55" s="92">
        <f t="shared" si="222"/>
        <v>0</v>
      </c>
      <c r="AM55" s="92">
        <f t="shared" si="223"/>
        <v>0</v>
      </c>
      <c r="AN55" s="92">
        <f t="shared" si="224"/>
        <v>0</v>
      </c>
      <c r="AO55" s="92">
        <f t="shared" si="225"/>
        <v>0</v>
      </c>
      <c r="AP55" s="92">
        <f t="shared" si="226"/>
        <v>0</v>
      </c>
      <c r="AQ55" s="92">
        <f t="shared" si="227"/>
        <v>0</v>
      </c>
      <c r="AR55" s="92">
        <f t="shared" si="228"/>
        <v>0</v>
      </c>
      <c r="AS55" s="92">
        <f t="shared" si="229"/>
        <v>0</v>
      </c>
      <c r="AT55" s="92">
        <f t="shared" si="230"/>
        <v>0</v>
      </c>
      <c r="AU55" s="92">
        <f t="shared" si="231"/>
        <v>0</v>
      </c>
      <c r="AV55" s="92">
        <f t="shared" si="232"/>
        <v>0</v>
      </c>
      <c r="AW55" s="92">
        <f t="shared" si="233"/>
        <v>0</v>
      </c>
      <c r="AX55" s="92">
        <f t="shared" si="234"/>
        <v>0</v>
      </c>
      <c r="AY55" s="92">
        <f t="shared" si="235"/>
        <v>0</v>
      </c>
      <c r="AZ55" s="92">
        <f t="shared" si="236"/>
        <v>0</v>
      </c>
      <c r="BA55" s="92">
        <f t="shared" si="237"/>
        <v>0</v>
      </c>
      <c r="BB55" s="92">
        <f t="shared" si="238"/>
        <v>0</v>
      </c>
      <c r="BC55" s="92">
        <f t="shared" si="239"/>
        <v>0</v>
      </c>
      <c r="BD55" s="92">
        <f t="shared" si="240"/>
        <v>0</v>
      </c>
      <c r="BE55" s="92">
        <f t="shared" si="241"/>
        <v>0</v>
      </c>
      <c r="BF55" s="92">
        <f t="shared" si="242"/>
        <v>0</v>
      </c>
      <c r="BG55" s="92">
        <f t="shared" si="243"/>
        <v>0</v>
      </c>
      <c r="BH55" s="92">
        <f t="shared" si="244"/>
        <v>0</v>
      </c>
      <c r="BI55" s="92">
        <f t="shared" si="245"/>
        <v>0</v>
      </c>
      <c r="BJ55" s="92">
        <f t="shared" si="246"/>
        <v>0</v>
      </c>
      <c r="BK55" s="92">
        <f t="shared" si="247"/>
        <v>0</v>
      </c>
      <c r="BL55" s="92">
        <f t="shared" si="248"/>
        <v>0</v>
      </c>
      <c r="BM55" s="92">
        <f t="shared" si="249"/>
        <v>0</v>
      </c>
      <c r="BN55" s="92">
        <f t="shared" si="250"/>
        <v>0</v>
      </c>
      <c r="BO55" s="92">
        <f t="shared" si="251"/>
        <v>0</v>
      </c>
      <c r="BP55" s="92">
        <f t="shared" si="252"/>
        <v>0</v>
      </c>
      <c r="BQ55" s="92">
        <f t="shared" si="253"/>
        <v>0</v>
      </c>
      <c r="BR55" s="92">
        <f t="shared" si="254"/>
        <v>0</v>
      </c>
      <c r="BS55" s="92">
        <f t="shared" si="255"/>
        <v>0</v>
      </c>
      <c r="BT55" s="92">
        <f t="shared" si="256"/>
        <v>0</v>
      </c>
      <c r="BU55" s="92">
        <f t="shared" si="257"/>
        <v>0</v>
      </c>
      <c r="BV55" s="92">
        <f t="shared" si="258"/>
        <v>0</v>
      </c>
      <c r="BW55" s="92">
        <f t="shared" si="259"/>
        <v>0</v>
      </c>
      <c r="BX55" s="92">
        <f t="shared" si="260"/>
        <v>0</v>
      </c>
      <c r="BY55" s="92">
        <f t="shared" si="261"/>
        <v>0</v>
      </c>
      <c r="BZ55" s="92">
        <f t="shared" si="262"/>
        <v>0</v>
      </c>
      <c r="CA55" s="92">
        <f t="shared" si="263"/>
        <v>0</v>
      </c>
      <c r="CB55" s="92">
        <f t="shared" si="264"/>
        <v>0</v>
      </c>
      <c r="CC55" s="92">
        <f t="shared" si="265"/>
        <v>0</v>
      </c>
      <c r="CD55" s="92">
        <f t="shared" si="266"/>
        <v>0</v>
      </c>
      <c r="CE55" s="92">
        <f t="shared" si="267"/>
        <v>0</v>
      </c>
      <c r="CF55" s="92">
        <f t="shared" si="268"/>
        <v>0</v>
      </c>
      <c r="CG55" s="92">
        <f t="shared" si="269"/>
        <v>0</v>
      </c>
      <c r="CH55" s="92">
        <f t="shared" si="270"/>
        <v>0</v>
      </c>
    </row>
    <row r="56" spans="1:86" x14ac:dyDescent="0.25">
      <c r="A56" s="29" t="s">
        <v>6</v>
      </c>
      <c r="B56" s="31" t="s">
        <v>87</v>
      </c>
      <c r="C56" s="119"/>
      <c r="D56" s="120">
        <f>C56</f>
        <v>0</v>
      </c>
      <c r="E56" s="120">
        <f t="shared" si="271"/>
        <v>0</v>
      </c>
      <c r="F56" s="120">
        <f t="shared" si="271"/>
        <v>0</v>
      </c>
      <c r="G56" s="120">
        <f t="shared" si="271"/>
        <v>0</v>
      </c>
      <c r="H56" s="120">
        <f t="shared" si="271"/>
        <v>0</v>
      </c>
      <c r="I56" s="120">
        <f t="shared" si="271"/>
        <v>0</v>
      </c>
      <c r="J56" s="120">
        <f t="shared" si="271"/>
        <v>0</v>
      </c>
      <c r="K56" s="120">
        <f t="shared" si="271"/>
        <v>0</v>
      </c>
      <c r="L56" s="120">
        <f t="shared" si="271"/>
        <v>0</v>
      </c>
      <c r="M56" s="120">
        <f t="shared" si="271"/>
        <v>0</v>
      </c>
      <c r="N56" s="120">
        <f t="shared" si="271"/>
        <v>0</v>
      </c>
      <c r="O56" s="92">
        <f t="shared" si="199"/>
        <v>0</v>
      </c>
      <c r="P56" s="92">
        <f t="shared" si="200"/>
        <v>0</v>
      </c>
      <c r="Q56" s="92">
        <f t="shared" si="201"/>
        <v>0</v>
      </c>
      <c r="R56" s="92">
        <f t="shared" si="202"/>
        <v>0</v>
      </c>
      <c r="S56" s="92">
        <f t="shared" si="203"/>
        <v>0</v>
      </c>
      <c r="T56" s="92">
        <f t="shared" si="204"/>
        <v>0</v>
      </c>
      <c r="U56" s="92">
        <f t="shared" si="205"/>
        <v>0</v>
      </c>
      <c r="V56" s="92">
        <f t="shared" si="206"/>
        <v>0</v>
      </c>
      <c r="W56" s="92">
        <f t="shared" si="207"/>
        <v>0</v>
      </c>
      <c r="X56" s="92">
        <f t="shared" si="208"/>
        <v>0</v>
      </c>
      <c r="Y56" s="92">
        <f t="shared" si="209"/>
        <v>0</v>
      </c>
      <c r="Z56" s="92">
        <f t="shared" si="210"/>
        <v>0</v>
      </c>
      <c r="AA56" s="92">
        <f t="shared" si="211"/>
        <v>0</v>
      </c>
      <c r="AB56" s="92">
        <f t="shared" si="212"/>
        <v>0</v>
      </c>
      <c r="AC56" s="92">
        <f t="shared" si="213"/>
        <v>0</v>
      </c>
      <c r="AD56" s="92">
        <f t="shared" si="214"/>
        <v>0</v>
      </c>
      <c r="AE56" s="92">
        <f t="shared" si="215"/>
        <v>0</v>
      </c>
      <c r="AF56" s="92">
        <f t="shared" si="216"/>
        <v>0</v>
      </c>
      <c r="AG56" s="92">
        <f t="shared" si="217"/>
        <v>0</v>
      </c>
      <c r="AH56" s="92">
        <f t="shared" si="218"/>
        <v>0</v>
      </c>
      <c r="AI56" s="92">
        <f t="shared" si="219"/>
        <v>0</v>
      </c>
      <c r="AJ56" s="92">
        <f t="shared" si="220"/>
        <v>0</v>
      </c>
      <c r="AK56" s="92">
        <f t="shared" si="221"/>
        <v>0</v>
      </c>
      <c r="AL56" s="92">
        <f t="shared" si="222"/>
        <v>0</v>
      </c>
      <c r="AM56" s="92">
        <f t="shared" si="223"/>
        <v>0</v>
      </c>
      <c r="AN56" s="92">
        <f t="shared" si="224"/>
        <v>0</v>
      </c>
      <c r="AO56" s="92">
        <f t="shared" si="225"/>
        <v>0</v>
      </c>
      <c r="AP56" s="92">
        <f t="shared" si="226"/>
        <v>0</v>
      </c>
      <c r="AQ56" s="92">
        <f t="shared" si="227"/>
        <v>0</v>
      </c>
      <c r="AR56" s="92">
        <f t="shared" si="228"/>
        <v>0</v>
      </c>
      <c r="AS56" s="92">
        <f t="shared" si="229"/>
        <v>0</v>
      </c>
      <c r="AT56" s="92">
        <f t="shared" si="230"/>
        <v>0</v>
      </c>
      <c r="AU56" s="92">
        <f t="shared" si="231"/>
        <v>0</v>
      </c>
      <c r="AV56" s="92">
        <f t="shared" si="232"/>
        <v>0</v>
      </c>
      <c r="AW56" s="92">
        <f t="shared" si="233"/>
        <v>0</v>
      </c>
      <c r="AX56" s="92">
        <f t="shared" si="234"/>
        <v>0</v>
      </c>
      <c r="AY56" s="92">
        <f t="shared" si="235"/>
        <v>0</v>
      </c>
      <c r="AZ56" s="92">
        <f t="shared" si="236"/>
        <v>0</v>
      </c>
      <c r="BA56" s="92">
        <f t="shared" si="237"/>
        <v>0</v>
      </c>
      <c r="BB56" s="92">
        <f t="shared" si="238"/>
        <v>0</v>
      </c>
      <c r="BC56" s="92">
        <f t="shared" si="239"/>
        <v>0</v>
      </c>
      <c r="BD56" s="92">
        <f t="shared" si="240"/>
        <v>0</v>
      </c>
      <c r="BE56" s="92">
        <f t="shared" si="241"/>
        <v>0</v>
      </c>
      <c r="BF56" s="92">
        <f t="shared" si="242"/>
        <v>0</v>
      </c>
      <c r="BG56" s="92">
        <f t="shared" si="243"/>
        <v>0</v>
      </c>
      <c r="BH56" s="92">
        <f t="shared" si="244"/>
        <v>0</v>
      </c>
      <c r="BI56" s="92">
        <f t="shared" si="245"/>
        <v>0</v>
      </c>
      <c r="BJ56" s="92">
        <f t="shared" si="246"/>
        <v>0</v>
      </c>
      <c r="BK56" s="92">
        <f t="shared" si="247"/>
        <v>0</v>
      </c>
      <c r="BL56" s="92">
        <f t="shared" si="248"/>
        <v>0</v>
      </c>
      <c r="BM56" s="92">
        <f t="shared" si="249"/>
        <v>0</v>
      </c>
      <c r="BN56" s="92">
        <f t="shared" si="250"/>
        <v>0</v>
      </c>
      <c r="BO56" s="92">
        <f t="shared" si="251"/>
        <v>0</v>
      </c>
      <c r="BP56" s="92">
        <f t="shared" si="252"/>
        <v>0</v>
      </c>
      <c r="BQ56" s="92">
        <f t="shared" si="253"/>
        <v>0</v>
      </c>
      <c r="BR56" s="92">
        <f t="shared" si="254"/>
        <v>0</v>
      </c>
      <c r="BS56" s="92">
        <f t="shared" si="255"/>
        <v>0</v>
      </c>
      <c r="BT56" s="92">
        <f t="shared" si="256"/>
        <v>0</v>
      </c>
      <c r="BU56" s="92">
        <f t="shared" si="257"/>
        <v>0</v>
      </c>
      <c r="BV56" s="92">
        <f t="shared" si="258"/>
        <v>0</v>
      </c>
      <c r="BW56" s="92">
        <f t="shared" si="259"/>
        <v>0</v>
      </c>
      <c r="BX56" s="92">
        <f t="shared" si="260"/>
        <v>0</v>
      </c>
      <c r="BY56" s="92">
        <f t="shared" si="261"/>
        <v>0</v>
      </c>
      <c r="BZ56" s="92">
        <f t="shared" si="262"/>
        <v>0</v>
      </c>
      <c r="CA56" s="92">
        <f t="shared" si="263"/>
        <v>0</v>
      </c>
      <c r="CB56" s="92">
        <f t="shared" si="264"/>
        <v>0</v>
      </c>
      <c r="CC56" s="92">
        <f t="shared" si="265"/>
        <v>0</v>
      </c>
      <c r="CD56" s="92">
        <f t="shared" si="266"/>
        <v>0</v>
      </c>
      <c r="CE56" s="92">
        <f t="shared" si="267"/>
        <v>0</v>
      </c>
      <c r="CF56" s="92">
        <f t="shared" si="268"/>
        <v>0</v>
      </c>
      <c r="CG56" s="92">
        <f t="shared" si="269"/>
        <v>0</v>
      </c>
      <c r="CH56" s="92">
        <f t="shared" si="270"/>
        <v>0</v>
      </c>
    </row>
    <row r="57" spans="1:86" x14ac:dyDescent="0.25">
      <c r="B57" s="31" t="s">
        <v>86</v>
      </c>
      <c r="C57" s="121">
        <f t="shared" ref="C57:N57" si="272">((((((C50)+(C51))+(C52))+(C53))+(C54))+(C55))+(C56)</f>
        <v>175593.65</v>
      </c>
      <c r="D57" s="121">
        <f t="shared" si="272"/>
        <v>180931.23</v>
      </c>
      <c r="E57" s="121">
        <f t="shared" si="272"/>
        <v>113368.52</v>
      </c>
      <c r="F57" s="121">
        <f t="shared" si="272"/>
        <v>112737.60000000001</v>
      </c>
      <c r="G57" s="121">
        <f t="shared" si="272"/>
        <v>103654.78</v>
      </c>
      <c r="H57" s="121">
        <f t="shared" si="272"/>
        <v>88846.959999999992</v>
      </c>
      <c r="I57" s="121">
        <f t="shared" si="272"/>
        <v>74039.14</v>
      </c>
      <c r="J57" s="121">
        <f t="shared" si="272"/>
        <v>59231.320000000007</v>
      </c>
      <c r="K57" s="121">
        <f t="shared" si="272"/>
        <v>44423.5</v>
      </c>
      <c r="L57" s="121">
        <f t="shared" si="272"/>
        <v>29615.680000000008</v>
      </c>
      <c r="M57" s="121">
        <f t="shared" si="272"/>
        <v>14807.86</v>
      </c>
      <c r="N57" s="121">
        <f t="shared" si="272"/>
        <v>0</v>
      </c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  <c r="CA57" s="90"/>
      <c r="CB57" s="90"/>
      <c r="CC57" s="90"/>
      <c r="CD57" s="90"/>
      <c r="CE57" s="90"/>
      <c r="CF57" s="90"/>
      <c r="CG57" s="90"/>
      <c r="CH57" s="90"/>
    </row>
    <row r="58" spans="1:86" x14ac:dyDescent="0.25">
      <c r="A58" s="29" t="s">
        <v>8</v>
      </c>
      <c r="B58" s="31" t="s">
        <v>85</v>
      </c>
      <c r="C58" s="120">
        <f>35000</f>
        <v>35000</v>
      </c>
      <c r="D58" s="120">
        <f t="shared" ref="D58:I61" si="273">C58</f>
        <v>35000</v>
      </c>
      <c r="E58" s="120">
        <f t="shared" si="273"/>
        <v>35000</v>
      </c>
      <c r="F58" s="120">
        <f t="shared" si="273"/>
        <v>35000</v>
      </c>
      <c r="G58" s="120">
        <f>42500</f>
        <v>42500</v>
      </c>
      <c r="H58" s="120">
        <f t="shared" ref="H58:N60" si="274">G58</f>
        <v>42500</v>
      </c>
      <c r="I58" s="120">
        <f t="shared" si="274"/>
        <v>42500</v>
      </c>
      <c r="J58" s="120">
        <f t="shared" si="274"/>
        <v>42500</v>
      </c>
      <c r="K58" s="120">
        <f t="shared" si="274"/>
        <v>42500</v>
      </c>
      <c r="L58" s="120">
        <f t="shared" si="274"/>
        <v>42500</v>
      </c>
      <c r="M58" s="120">
        <f t="shared" si="274"/>
        <v>42500</v>
      </c>
      <c r="N58" s="120">
        <f t="shared" si="274"/>
        <v>42500</v>
      </c>
      <c r="O58" s="92">
        <f t="shared" ref="O58:O61" si="275">N58</f>
        <v>42500</v>
      </c>
      <c r="P58" s="92">
        <f t="shared" ref="P58:P61" si="276">O58</f>
        <v>42500</v>
      </c>
      <c r="Q58" s="92">
        <f t="shared" ref="Q58:Q61" si="277">P58</f>
        <v>42500</v>
      </c>
      <c r="R58" s="92">
        <f t="shared" ref="R58:R61" si="278">Q58</f>
        <v>42500</v>
      </c>
      <c r="S58" s="92">
        <f t="shared" ref="S58:S61" si="279">R58</f>
        <v>42500</v>
      </c>
      <c r="T58" s="92">
        <f t="shared" ref="T58:T61" si="280">S58</f>
        <v>42500</v>
      </c>
      <c r="U58" s="92">
        <f t="shared" ref="U58:U61" si="281">T58</f>
        <v>42500</v>
      </c>
      <c r="V58" s="92">
        <f t="shared" ref="V58:V61" si="282">U58</f>
        <v>42500</v>
      </c>
      <c r="W58" s="92">
        <f t="shared" ref="W58:W61" si="283">V58</f>
        <v>42500</v>
      </c>
      <c r="X58" s="92">
        <f t="shared" ref="X58:X61" si="284">W58</f>
        <v>42500</v>
      </c>
      <c r="Y58" s="92">
        <f t="shared" ref="Y58:Y61" si="285">X58</f>
        <v>42500</v>
      </c>
      <c r="Z58" s="92">
        <f t="shared" ref="Z58:Z61" si="286">Y58</f>
        <v>42500</v>
      </c>
      <c r="AA58" s="92">
        <f t="shared" ref="AA58:AA61" si="287">Z58</f>
        <v>42500</v>
      </c>
      <c r="AB58" s="92">
        <f t="shared" ref="AB58:AB61" si="288">AA58</f>
        <v>42500</v>
      </c>
      <c r="AC58" s="92">
        <f t="shared" ref="AC58:AC61" si="289">AB58</f>
        <v>42500</v>
      </c>
      <c r="AD58" s="92">
        <f t="shared" ref="AD58:AD61" si="290">AC58</f>
        <v>42500</v>
      </c>
      <c r="AE58" s="92">
        <f t="shared" ref="AE58:AE61" si="291">AD58</f>
        <v>42500</v>
      </c>
      <c r="AF58" s="92">
        <f t="shared" ref="AF58:AF61" si="292">AE58</f>
        <v>42500</v>
      </c>
      <c r="AG58" s="92">
        <f t="shared" ref="AG58:AG61" si="293">AF58</f>
        <v>42500</v>
      </c>
      <c r="AH58" s="92">
        <f t="shared" ref="AH58:AH61" si="294">AG58</f>
        <v>42500</v>
      </c>
      <c r="AI58" s="92">
        <f t="shared" ref="AI58:AI61" si="295">AH58</f>
        <v>42500</v>
      </c>
      <c r="AJ58" s="92">
        <f t="shared" ref="AJ58:AJ61" si="296">AI58</f>
        <v>42500</v>
      </c>
      <c r="AK58" s="92">
        <f t="shared" ref="AK58:AK61" si="297">AJ58</f>
        <v>42500</v>
      </c>
      <c r="AL58" s="92">
        <f t="shared" ref="AL58:AL61" si="298">AK58</f>
        <v>42500</v>
      </c>
      <c r="AM58" s="92">
        <f t="shared" ref="AM58:AM61" si="299">AL58</f>
        <v>42500</v>
      </c>
      <c r="AN58" s="92">
        <f t="shared" ref="AN58:AN61" si="300">AM58</f>
        <v>42500</v>
      </c>
      <c r="AO58" s="92">
        <f t="shared" ref="AO58:AO61" si="301">AN58</f>
        <v>42500</v>
      </c>
      <c r="AP58" s="92">
        <f t="shared" ref="AP58:AP61" si="302">AO58</f>
        <v>42500</v>
      </c>
      <c r="AQ58" s="92">
        <f t="shared" ref="AQ58:AQ61" si="303">AP58</f>
        <v>42500</v>
      </c>
      <c r="AR58" s="92">
        <f t="shared" ref="AR58:AR61" si="304">AQ58</f>
        <v>42500</v>
      </c>
      <c r="AS58" s="92">
        <f t="shared" ref="AS58:AS61" si="305">AR58</f>
        <v>42500</v>
      </c>
      <c r="AT58" s="92">
        <f t="shared" ref="AT58:AT61" si="306">AS58</f>
        <v>42500</v>
      </c>
      <c r="AU58" s="92">
        <f t="shared" ref="AU58:AU61" si="307">AT58</f>
        <v>42500</v>
      </c>
      <c r="AV58" s="92">
        <f t="shared" ref="AV58:AV61" si="308">AU58</f>
        <v>42500</v>
      </c>
      <c r="AW58" s="92">
        <f t="shared" ref="AW58:AW61" si="309">AV58</f>
        <v>42500</v>
      </c>
      <c r="AX58" s="92">
        <f t="shared" ref="AX58:AX61" si="310">AW58</f>
        <v>42500</v>
      </c>
      <c r="AY58" s="92">
        <f t="shared" ref="AY58:AY61" si="311">AX58</f>
        <v>42500</v>
      </c>
      <c r="AZ58" s="92">
        <f t="shared" ref="AZ58:AZ61" si="312">AY58</f>
        <v>42500</v>
      </c>
      <c r="BA58" s="92">
        <f t="shared" ref="BA58:BA61" si="313">AZ58</f>
        <v>42500</v>
      </c>
      <c r="BB58" s="92">
        <f t="shared" ref="BB58:BB61" si="314">BA58</f>
        <v>42500</v>
      </c>
      <c r="BC58" s="92">
        <f t="shared" ref="BC58:BC61" si="315">BB58</f>
        <v>42500</v>
      </c>
      <c r="BD58" s="92">
        <f t="shared" ref="BD58:BD61" si="316">BC58</f>
        <v>42500</v>
      </c>
      <c r="BE58" s="92">
        <f t="shared" ref="BE58:BE61" si="317">BD58</f>
        <v>42500</v>
      </c>
      <c r="BF58" s="92">
        <f t="shared" ref="BF58:BF61" si="318">BE58</f>
        <v>42500</v>
      </c>
      <c r="BG58" s="92">
        <f t="shared" ref="BG58:BG61" si="319">BF58</f>
        <v>42500</v>
      </c>
      <c r="BH58" s="92">
        <f t="shared" ref="BH58:BH61" si="320">BG58</f>
        <v>42500</v>
      </c>
      <c r="BI58" s="92">
        <f t="shared" ref="BI58:BI61" si="321">BH58</f>
        <v>42500</v>
      </c>
      <c r="BJ58" s="92">
        <f t="shared" ref="BJ58:BJ61" si="322">BI58</f>
        <v>42500</v>
      </c>
      <c r="BK58" s="92">
        <f t="shared" ref="BK58:BK61" si="323">BJ58</f>
        <v>42500</v>
      </c>
      <c r="BL58" s="92">
        <f t="shared" ref="BL58:BL61" si="324">BK58</f>
        <v>42500</v>
      </c>
      <c r="BM58" s="92">
        <f t="shared" ref="BM58:BM61" si="325">BL58</f>
        <v>42500</v>
      </c>
      <c r="BN58" s="92">
        <f t="shared" ref="BN58:BN61" si="326">BM58</f>
        <v>42500</v>
      </c>
      <c r="BO58" s="92">
        <f t="shared" ref="BO58:BO61" si="327">BN58</f>
        <v>42500</v>
      </c>
      <c r="BP58" s="92">
        <f t="shared" ref="BP58:BP61" si="328">BO58</f>
        <v>42500</v>
      </c>
      <c r="BQ58" s="92">
        <f t="shared" ref="BQ58:BQ61" si="329">BP58</f>
        <v>42500</v>
      </c>
      <c r="BR58" s="92">
        <f t="shared" ref="BR58:BR61" si="330">BQ58</f>
        <v>42500</v>
      </c>
      <c r="BS58" s="92">
        <f t="shared" ref="BS58:BS61" si="331">BR58</f>
        <v>42500</v>
      </c>
      <c r="BT58" s="92">
        <f t="shared" ref="BT58:BT61" si="332">BS58</f>
        <v>42500</v>
      </c>
      <c r="BU58" s="92">
        <f t="shared" ref="BU58:BU61" si="333">BT58</f>
        <v>42500</v>
      </c>
      <c r="BV58" s="92">
        <f t="shared" ref="BV58:BV61" si="334">BU58</f>
        <v>42500</v>
      </c>
      <c r="BW58" s="92">
        <f t="shared" ref="BW58:BW61" si="335">BV58</f>
        <v>42500</v>
      </c>
      <c r="BX58" s="92">
        <f t="shared" ref="BX58:BX61" si="336">BW58</f>
        <v>42500</v>
      </c>
      <c r="BY58" s="92">
        <f t="shared" ref="BY58:BY61" si="337">BX58</f>
        <v>42500</v>
      </c>
      <c r="BZ58" s="92">
        <f t="shared" ref="BZ58:BZ61" si="338">BY58</f>
        <v>42500</v>
      </c>
      <c r="CA58" s="92">
        <f t="shared" ref="CA58:CA61" si="339">BZ58</f>
        <v>42500</v>
      </c>
      <c r="CB58" s="92">
        <f t="shared" ref="CB58:CB61" si="340">CA58</f>
        <v>42500</v>
      </c>
      <c r="CC58" s="92">
        <f t="shared" ref="CC58:CC61" si="341">CB58</f>
        <v>42500</v>
      </c>
      <c r="CD58" s="92">
        <f t="shared" ref="CD58:CD61" si="342">CC58</f>
        <v>42500</v>
      </c>
      <c r="CE58" s="92">
        <f t="shared" ref="CE58:CE61" si="343">CD58</f>
        <v>42500</v>
      </c>
      <c r="CF58" s="92">
        <f t="shared" ref="CF58:CF61" si="344">CE58</f>
        <v>42500</v>
      </c>
      <c r="CG58" s="92">
        <f t="shared" ref="CG58:CG61" si="345">CF58</f>
        <v>42500</v>
      </c>
      <c r="CH58" s="92">
        <f t="shared" ref="CH58:CH61" si="346">CG58</f>
        <v>42500</v>
      </c>
    </row>
    <row r="59" spans="1:86" x14ac:dyDescent="0.25">
      <c r="A59" s="29" t="s">
        <v>7</v>
      </c>
      <c r="B59" s="31" t="s">
        <v>84</v>
      </c>
      <c r="C59" s="119"/>
      <c r="D59" s="120">
        <f t="shared" si="273"/>
        <v>0</v>
      </c>
      <c r="E59" s="120">
        <f t="shared" si="273"/>
        <v>0</v>
      </c>
      <c r="F59" s="120">
        <f t="shared" si="273"/>
        <v>0</v>
      </c>
      <c r="G59" s="120">
        <f t="shared" si="273"/>
        <v>0</v>
      </c>
      <c r="H59" s="120">
        <f t="shared" si="273"/>
        <v>0</v>
      </c>
      <c r="I59" s="120">
        <f t="shared" si="273"/>
        <v>0</v>
      </c>
      <c r="J59" s="120">
        <f>3250000</f>
        <v>3250000</v>
      </c>
      <c r="K59" s="120">
        <f t="shared" si="274"/>
        <v>3250000</v>
      </c>
      <c r="L59" s="120">
        <f t="shared" si="274"/>
        <v>3250000</v>
      </c>
      <c r="M59" s="120">
        <f t="shared" si="274"/>
        <v>3250000</v>
      </c>
      <c r="N59" s="120">
        <f t="shared" si="274"/>
        <v>3250000</v>
      </c>
      <c r="O59" s="92">
        <f t="shared" si="275"/>
        <v>3250000</v>
      </c>
      <c r="P59" s="92">
        <f t="shared" si="276"/>
        <v>3250000</v>
      </c>
      <c r="Q59" s="92">
        <f t="shared" si="277"/>
        <v>3250000</v>
      </c>
      <c r="R59" s="92">
        <f t="shared" si="278"/>
        <v>3250000</v>
      </c>
      <c r="S59" s="92">
        <f t="shared" si="279"/>
        <v>3250000</v>
      </c>
      <c r="T59" s="92">
        <f t="shared" si="280"/>
        <v>3250000</v>
      </c>
      <c r="U59" s="92">
        <f t="shared" si="281"/>
        <v>3250000</v>
      </c>
      <c r="V59" s="92">
        <f t="shared" si="282"/>
        <v>3250000</v>
      </c>
      <c r="W59" s="92">
        <f t="shared" si="283"/>
        <v>3250000</v>
      </c>
      <c r="X59" s="92">
        <f t="shared" si="284"/>
        <v>3250000</v>
      </c>
      <c r="Y59" s="92">
        <f t="shared" si="285"/>
        <v>3250000</v>
      </c>
      <c r="Z59" s="92">
        <f t="shared" si="286"/>
        <v>3250000</v>
      </c>
      <c r="AA59" s="92">
        <f t="shared" si="287"/>
        <v>3250000</v>
      </c>
      <c r="AB59" s="92">
        <f t="shared" si="288"/>
        <v>3250000</v>
      </c>
      <c r="AC59" s="92">
        <f t="shared" si="289"/>
        <v>3250000</v>
      </c>
      <c r="AD59" s="92">
        <f t="shared" si="290"/>
        <v>3250000</v>
      </c>
      <c r="AE59" s="92">
        <f t="shared" si="291"/>
        <v>3250000</v>
      </c>
      <c r="AF59" s="92">
        <f t="shared" si="292"/>
        <v>3250000</v>
      </c>
      <c r="AG59" s="92">
        <f t="shared" si="293"/>
        <v>3250000</v>
      </c>
      <c r="AH59" s="92">
        <f t="shared" si="294"/>
        <v>3250000</v>
      </c>
      <c r="AI59" s="92">
        <f t="shared" si="295"/>
        <v>3250000</v>
      </c>
      <c r="AJ59" s="92">
        <f t="shared" si="296"/>
        <v>3250000</v>
      </c>
      <c r="AK59" s="92">
        <f t="shared" si="297"/>
        <v>3250000</v>
      </c>
      <c r="AL59" s="92">
        <f t="shared" si="298"/>
        <v>3250000</v>
      </c>
      <c r="AM59" s="92">
        <f t="shared" si="299"/>
        <v>3250000</v>
      </c>
      <c r="AN59" s="92">
        <f t="shared" si="300"/>
        <v>3250000</v>
      </c>
      <c r="AO59" s="92">
        <f t="shared" si="301"/>
        <v>3250000</v>
      </c>
      <c r="AP59" s="92">
        <f t="shared" si="302"/>
        <v>3250000</v>
      </c>
      <c r="AQ59" s="92">
        <f t="shared" si="303"/>
        <v>3250000</v>
      </c>
      <c r="AR59" s="92">
        <f t="shared" si="304"/>
        <v>3250000</v>
      </c>
      <c r="AS59" s="92">
        <f t="shared" si="305"/>
        <v>3250000</v>
      </c>
      <c r="AT59" s="92">
        <f t="shared" si="306"/>
        <v>3250000</v>
      </c>
      <c r="AU59" s="92">
        <f t="shared" si="307"/>
        <v>3250000</v>
      </c>
      <c r="AV59" s="92">
        <f t="shared" si="308"/>
        <v>3250000</v>
      </c>
      <c r="AW59" s="92">
        <f t="shared" si="309"/>
        <v>3250000</v>
      </c>
      <c r="AX59" s="92">
        <f t="shared" si="310"/>
        <v>3250000</v>
      </c>
      <c r="AY59" s="92">
        <f t="shared" si="311"/>
        <v>3250000</v>
      </c>
      <c r="AZ59" s="92">
        <f t="shared" si="312"/>
        <v>3250000</v>
      </c>
      <c r="BA59" s="92">
        <f t="shared" si="313"/>
        <v>3250000</v>
      </c>
      <c r="BB59" s="92">
        <f t="shared" si="314"/>
        <v>3250000</v>
      </c>
      <c r="BC59" s="92">
        <f t="shared" si="315"/>
        <v>3250000</v>
      </c>
      <c r="BD59" s="92">
        <f t="shared" si="316"/>
        <v>3250000</v>
      </c>
      <c r="BE59" s="92">
        <f t="shared" si="317"/>
        <v>3250000</v>
      </c>
      <c r="BF59" s="92">
        <f t="shared" si="318"/>
        <v>3250000</v>
      </c>
      <c r="BG59" s="92">
        <f t="shared" si="319"/>
        <v>3250000</v>
      </c>
      <c r="BH59" s="92">
        <f t="shared" si="320"/>
        <v>3250000</v>
      </c>
      <c r="BI59" s="92">
        <f t="shared" si="321"/>
        <v>3250000</v>
      </c>
      <c r="BJ59" s="92">
        <f t="shared" si="322"/>
        <v>3250000</v>
      </c>
      <c r="BK59" s="92">
        <f t="shared" si="323"/>
        <v>3250000</v>
      </c>
      <c r="BL59" s="92">
        <f t="shared" si="324"/>
        <v>3250000</v>
      </c>
      <c r="BM59" s="92">
        <f t="shared" si="325"/>
        <v>3250000</v>
      </c>
      <c r="BN59" s="92">
        <f t="shared" si="326"/>
        <v>3250000</v>
      </c>
      <c r="BO59" s="92">
        <f t="shared" si="327"/>
        <v>3250000</v>
      </c>
      <c r="BP59" s="92">
        <f t="shared" si="328"/>
        <v>3250000</v>
      </c>
      <c r="BQ59" s="92">
        <f t="shared" si="329"/>
        <v>3250000</v>
      </c>
      <c r="BR59" s="92">
        <f t="shared" si="330"/>
        <v>3250000</v>
      </c>
      <c r="BS59" s="92">
        <f t="shared" si="331"/>
        <v>3250000</v>
      </c>
      <c r="BT59" s="92">
        <f t="shared" si="332"/>
        <v>3250000</v>
      </c>
      <c r="BU59" s="92">
        <f t="shared" si="333"/>
        <v>3250000</v>
      </c>
      <c r="BV59" s="92">
        <f t="shared" si="334"/>
        <v>3250000</v>
      </c>
      <c r="BW59" s="92">
        <f t="shared" si="335"/>
        <v>3250000</v>
      </c>
      <c r="BX59" s="92">
        <f t="shared" si="336"/>
        <v>3250000</v>
      </c>
      <c r="BY59" s="92">
        <f t="shared" si="337"/>
        <v>3250000</v>
      </c>
      <c r="BZ59" s="92">
        <f t="shared" si="338"/>
        <v>3250000</v>
      </c>
      <c r="CA59" s="92">
        <f t="shared" si="339"/>
        <v>3250000</v>
      </c>
      <c r="CB59" s="92">
        <f t="shared" si="340"/>
        <v>3250000</v>
      </c>
      <c r="CC59" s="92">
        <f t="shared" si="341"/>
        <v>3250000</v>
      </c>
      <c r="CD59" s="92">
        <f t="shared" si="342"/>
        <v>3250000</v>
      </c>
      <c r="CE59" s="92">
        <f t="shared" si="343"/>
        <v>3250000</v>
      </c>
      <c r="CF59" s="92">
        <f t="shared" si="344"/>
        <v>3250000</v>
      </c>
      <c r="CG59" s="92">
        <f t="shared" si="345"/>
        <v>3250000</v>
      </c>
      <c r="CH59" s="92">
        <f t="shared" si="346"/>
        <v>3250000</v>
      </c>
    </row>
    <row r="60" spans="1:86" x14ac:dyDescent="0.25">
      <c r="A60" s="29" t="s">
        <v>24</v>
      </c>
      <c r="B60" s="31" t="s">
        <v>83</v>
      </c>
      <c r="C60" s="119"/>
      <c r="D60" s="120">
        <f t="shared" si="273"/>
        <v>0</v>
      </c>
      <c r="E60" s="120">
        <f t="shared" si="273"/>
        <v>0</v>
      </c>
      <c r="F60" s="120">
        <f t="shared" si="273"/>
        <v>0</v>
      </c>
      <c r="G60" s="120">
        <f t="shared" si="273"/>
        <v>0</v>
      </c>
      <c r="H60" s="120">
        <f t="shared" si="273"/>
        <v>0</v>
      </c>
      <c r="I60" s="120">
        <f t="shared" si="273"/>
        <v>0</v>
      </c>
      <c r="J60" s="120">
        <f>2000000</f>
        <v>2000000</v>
      </c>
      <c r="K60" s="120">
        <f t="shared" si="274"/>
        <v>2000000</v>
      </c>
      <c r="L60" s="120">
        <f t="shared" si="274"/>
        <v>2000000</v>
      </c>
      <c r="M60" s="120">
        <f t="shared" si="274"/>
        <v>2000000</v>
      </c>
      <c r="N60" s="120">
        <f t="shared" si="274"/>
        <v>2000000</v>
      </c>
      <c r="O60" s="93">
        <f>-[1]Int!AS16+N60</f>
        <v>2000000</v>
      </c>
      <c r="P60" s="93">
        <f>-[1]Int!AT16+O60</f>
        <v>2000000</v>
      </c>
      <c r="Q60" s="93">
        <f>-[1]Int!AU16+P60</f>
        <v>2000000</v>
      </c>
      <c r="R60" s="93">
        <f>-[1]Int!AV16+Q60</f>
        <v>2000000</v>
      </c>
      <c r="S60" s="93">
        <f>-[1]Int!AW16+R60</f>
        <v>2000000</v>
      </c>
      <c r="T60" s="93">
        <f>-[1]Int!AX16+S60</f>
        <v>2000000</v>
      </c>
      <c r="U60" s="93">
        <f>-[1]Int!AY16+T60</f>
        <v>2000000</v>
      </c>
      <c r="V60" s="93">
        <f>-[1]Int!AZ16+U60</f>
        <v>2000000</v>
      </c>
      <c r="W60" s="93">
        <f>-[1]Int!BA16+V60</f>
        <v>2000000</v>
      </c>
      <c r="X60" s="93">
        <f>-[1]Int!BB16+W60</f>
        <v>2000000</v>
      </c>
      <c r="Y60" s="93">
        <f>-[1]Int!BC16+X60</f>
        <v>2000000</v>
      </c>
      <c r="Z60" s="93">
        <f>-[1]Int!BD16+Y60</f>
        <v>2000000</v>
      </c>
      <c r="AA60" s="93">
        <f>-[1]Int!BE16+Z60</f>
        <v>2000000</v>
      </c>
      <c r="AB60" s="93">
        <f>-[1]Int!BF16+AA60</f>
        <v>2000000</v>
      </c>
      <c r="AC60" s="93">
        <f>-[1]Int!BG16+AB60</f>
        <v>2000000</v>
      </c>
      <c r="AD60" s="93">
        <f>-[1]Int!BH16+AC60</f>
        <v>2000000</v>
      </c>
      <c r="AE60" s="93">
        <f>-[1]Int!BI16+AD60</f>
        <v>2000000</v>
      </c>
      <c r="AF60" s="93">
        <f>-[1]Int!BJ16+AE60</f>
        <v>2000000</v>
      </c>
      <c r="AG60" s="93">
        <f>-[1]Int!BK16+AF60</f>
        <v>2000000</v>
      </c>
      <c r="AH60" s="93">
        <f>-[1]Int!BL16+AG60</f>
        <v>2000000</v>
      </c>
      <c r="AI60" s="93">
        <f>-[1]Int!BM16+AH60</f>
        <v>2000000</v>
      </c>
      <c r="AJ60" s="93">
        <f>-[1]Int!BN16+AI60</f>
        <v>2000000</v>
      </c>
      <c r="AK60" s="93">
        <f>-[1]Int!BO16+AJ60</f>
        <v>2000000</v>
      </c>
      <c r="AL60" s="93">
        <f>-[1]Int!BP16+AK60</f>
        <v>2000000</v>
      </c>
      <c r="AM60" s="93">
        <f>-[1]Int!BQ16+AL60</f>
        <v>2000000</v>
      </c>
      <c r="AN60" s="93">
        <f>-[1]Int!BR16+AM60</f>
        <v>2000000</v>
      </c>
      <c r="AO60" s="93">
        <f>-[1]Int!BS16+AN60</f>
        <v>2000000</v>
      </c>
      <c r="AP60" s="93">
        <f>-[1]Int!BT16+AO60</f>
        <v>2000000</v>
      </c>
      <c r="AQ60" s="93">
        <f>-[1]Int!BU16+AP60</f>
        <v>2000000</v>
      </c>
      <c r="AR60" s="93">
        <f>-[1]Int!BV16+AQ60</f>
        <v>2000000</v>
      </c>
      <c r="AS60" s="93">
        <f>-[1]Int!BW16+AR60</f>
        <v>2000000</v>
      </c>
      <c r="AT60" s="93">
        <f>-[1]Int!BX16+AS60</f>
        <v>2000000</v>
      </c>
      <c r="AU60" s="93">
        <f>-[1]Int!BY16+AT60</f>
        <v>2000000</v>
      </c>
      <c r="AV60" s="93">
        <f>-[1]Int!BZ16+AU60</f>
        <v>2000000</v>
      </c>
      <c r="AW60" s="93">
        <f>-[1]Int!CA16+AV60</f>
        <v>2000000</v>
      </c>
      <c r="AX60" s="93">
        <f>-[1]Int!CB16+AW60</f>
        <v>2000000</v>
      </c>
      <c r="AY60" s="93">
        <f>-[1]Int!CC16+AX60</f>
        <v>2000000</v>
      </c>
      <c r="AZ60" s="93">
        <f>-[1]Int!CD16+AY60</f>
        <v>2000000</v>
      </c>
      <c r="BA60" s="93">
        <f>-[1]Int!CE16+AZ60</f>
        <v>2000000</v>
      </c>
      <c r="BB60" s="93">
        <f>-[1]Int!CF16+BA60</f>
        <v>2000000</v>
      </c>
      <c r="BC60" s="93">
        <f>-[1]Int!CG16+BB60</f>
        <v>2000000</v>
      </c>
      <c r="BD60" s="93">
        <f>-[1]Int!CH16+BC60</f>
        <v>2000000</v>
      </c>
      <c r="BE60" s="93">
        <f>-[1]Int!CI16+BD60</f>
        <v>2000000</v>
      </c>
      <c r="BF60" s="93">
        <f>-[1]Int!CJ16+BE60</f>
        <v>2000000</v>
      </c>
      <c r="BG60" s="93">
        <f>-[1]Int!CK16+BF60</f>
        <v>2000000</v>
      </c>
      <c r="BH60" s="93">
        <f>-[1]Int!CL16+BG60</f>
        <v>2000000</v>
      </c>
      <c r="BI60" s="93">
        <f>-[1]Int!CM16+BH60</f>
        <v>2000000</v>
      </c>
      <c r="BJ60" s="93">
        <f>-[1]Int!CN16+BI60</f>
        <v>2000000</v>
      </c>
      <c r="BK60" s="93">
        <f>-[1]Int!CO16+BJ60</f>
        <v>2000000</v>
      </c>
      <c r="BL60" s="93">
        <f>-[1]Int!CP16+BK60</f>
        <v>2000000</v>
      </c>
      <c r="BM60" s="93">
        <f>-[1]Int!CQ16+BL60</f>
        <v>2000000</v>
      </c>
      <c r="BN60" s="93">
        <f>-[1]Int!CR16+BM60</f>
        <v>2000000</v>
      </c>
      <c r="BO60" s="93">
        <f>-[1]Int!CS16+BN60</f>
        <v>2000000</v>
      </c>
      <c r="BP60" s="93">
        <f>-[1]Int!CT16+BO60</f>
        <v>2000000</v>
      </c>
      <c r="BQ60" s="93">
        <f>-[1]Int!CU16+BP60</f>
        <v>2000000</v>
      </c>
      <c r="BR60" s="93">
        <f>-[1]Int!CV16+BQ60</f>
        <v>0</v>
      </c>
      <c r="BS60" s="93">
        <f>-[1]Int!CW16+BR60</f>
        <v>0</v>
      </c>
      <c r="BT60" s="93">
        <f>-[1]Int!CX16+BS60</f>
        <v>0</v>
      </c>
      <c r="BU60" s="93">
        <f>-[1]Int!CY16+BT60</f>
        <v>0</v>
      </c>
      <c r="BV60" s="93">
        <f>-[1]Int!CZ16+BU60</f>
        <v>0</v>
      </c>
      <c r="BW60" s="93">
        <f>-[1]Int!DA16+BV60</f>
        <v>0</v>
      </c>
      <c r="BX60" s="93">
        <f>-[1]Int!DB16+BW60</f>
        <v>0</v>
      </c>
      <c r="BY60" s="93">
        <f>-[1]Int!DC16+BX60</f>
        <v>0</v>
      </c>
      <c r="BZ60" s="93">
        <f>-[1]Int!DD16+BY60</f>
        <v>0</v>
      </c>
      <c r="CA60" s="93">
        <f>-[1]Int!DE16+BZ60</f>
        <v>0</v>
      </c>
      <c r="CB60" s="93">
        <f>-[1]Int!DF16+CA60</f>
        <v>0</v>
      </c>
      <c r="CC60" s="93">
        <f>-[1]Int!DG16+CB60</f>
        <v>0</v>
      </c>
      <c r="CD60" s="93">
        <f>-[1]Int!DH16+CC60</f>
        <v>0</v>
      </c>
      <c r="CE60" s="93">
        <f>-[1]Int!DI16+CD60</f>
        <v>0</v>
      </c>
      <c r="CF60" s="93">
        <f>-[1]Int!DJ16+CE60</f>
        <v>0</v>
      </c>
      <c r="CG60" s="93">
        <f>-[1]Int!DK16+CF60</f>
        <v>0</v>
      </c>
      <c r="CH60" s="93">
        <f>-[1]Int!DL16+CG60</f>
        <v>0</v>
      </c>
    </row>
    <row r="61" spans="1:86" x14ac:dyDescent="0.25">
      <c r="A61" s="29" t="s">
        <v>4</v>
      </c>
      <c r="B61" s="31" t="s">
        <v>82</v>
      </c>
      <c r="C61" s="119"/>
      <c r="D61" s="120">
        <f t="shared" si="273"/>
        <v>0</v>
      </c>
      <c r="E61" s="120">
        <f t="shared" si="273"/>
        <v>0</v>
      </c>
      <c r="F61" s="120">
        <f t="shared" si="273"/>
        <v>0</v>
      </c>
      <c r="G61" s="120">
        <f t="shared" si="273"/>
        <v>0</v>
      </c>
      <c r="H61" s="120">
        <f t="shared" si="273"/>
        <v>0</v>
      </c>
      <c r="I61" s="120">
        <f t="shared" si="273"/>
        <v>0</v>
      </c>
      <c r="J61" s="120">
        <f>I61</f>
        <v>0</v>
      </c>
      <c r="K61" s="120">
        <f>J61</f>
        <v>0</v>
      </c>
      <c r="L61" s="120">
        <f>K61</f>
        <v>0</v>
      </c>
      <c r="M61" s="120">
        <f>L61</f>
        <v>0</v>
      </c>
      <c r="N61" s="120">
        <f>47014</f>
        <v>47014</v>
      </c>
      <c r="O61" s="92">
        <f t="shared" si="275"/>
        <v>47014</v>
      </c>
      <c r="P61" s="92">
        <f t="shared" si="276"/>
        <v>47014</v>
      </c>
      <c r="Q61" s="92">
        <f t="shared" si="277"/>
        <v>47014</v>
      </c>
      <c r="R61" s="92">
        <f t="shared" si="278"/>
        <v>47014</v>
      </c>
      <c r="S61" s="92">
        <f t="shared" si="279"/>
        <v>47014</v>
      </c>
      <c r="T61" s="92">
        <f t="shared" si="280"/>
        <v>47014</v>
      </c>
      <c r="U61" s="92">
        <f t="shared" si="281"/>
        <v>47014</v>
      </c>
      <c r="V61" s="92">
        <f t="shared" si="282"/>
        <v>47014</v>
      </c>
      <c r="W61" s="92">
        <f t="shared" si="283"/>
        <v>47014</v>
      </c>
      <c r="X61" s="92">
        <f t="shared" si="284"/>
        <v>47014</v>
      </c>
      <c r="Y61" s="92">
        <f t="shared" si="285"/>
        <v>47014</v>
      </c>
      <c r="Z61" s="92">
        <f t="shared" si="286"/>
        <v>47014</v>
      </c>
      <c r="AA61" s="92">
        <f t="shared" si="287"/>
        <v>47014</v>
      </c>
      <c r="AB61" s="92">
        <f t="shared" si="288"/>
        <v>47014</v>
      </c>
      <c r="AC61" s="92">
        <f t="shared" si="289"/>
        <v>47014</v>
      </c>
      <c r="AD61" s="92">
        <f t="shared" si="290"/>
        <v>47014</v>
      </c>
      <c r="AE61" s="92">
        <f t="shared" si="291"/>
        <v>47014</v>
      </c>
      <c r="AF61" s="92">
        <f t="shared" si="292"/>
        <v>47014</v>
      </c>
      <c r="AG61" s="92">
        <f t="shared" si="293"/>
        <v>47014</v>
      </c>
      <c r="AH61" s="92">
        <f t="shared" si="294"/>
        <v>47014</v>
      </c>
      <c r="AI61" s="92">
        <f t="shared" si="295"/>
        <v>47014</v>
      </c>
      <c r="AJ61" s="92">
        <f t="shared" si="296"/>
        <v>47014</v>
      </c>
      <c r="AK61" s="92">
        <f t="shared" si="297"/>
        <v>47014</v>
      </c>
      <c r="AL61" s="92">
        <f t="shared" si="298"/>
        <v>47014</v>
      </c>
      <c r="AM61" s="92">
        <f t="shared" si="299"/>
        <v>47014</v>
      </c>
      <c r="AN61" s="92">
        <f t="shared" si="300"/>
        <v>47014</v>
      </c>
      <c r="AO61" s="92">
        <f t="shared" si="301"/>
        <v>47014</v>
      </c>
      <c r="AP61" s="92">
        <f t="shared" si="302"/>
        <v>47014</v>
      </c>
      <c r="AQ61" s="92">
        <f t="shared" si="303"/>
        <v>47014</v>
      </c>
      <c r="AR61" s="92">
        <f t="shared" si="304"/>
        <v>47014</v>
      </c>
      <c r="AS61" s="92">
        <f t="shared" si="305"/>
        <v>47014</v>
      </c>
      <c r="AT61" s="92">
        <f t="shared" si="306"/>
        <v>47014</v>
      </c>
      <c r="AU61" s="92">
        <f t="shared" si="307"/>
        <v>47014</v>
      </c>
      <c r="AV61" s="92">
        <f t="shared" si="308"/>
        <v>47014</v>
      </c>
      <c r="AW61" s="92">
        <f t="shared" si="309"/>
        <v>47014</v>
      </c>
      <c r="AX61" s="92">
        <f t="shared" si="310"/>
        <v>47014</v>
      </c>
      <c r="AY61" s="92">
        <f t="shared" si="311"/>
        <v>47014</v>
      </c>
      <c r="AZ61" s="92">
        <f t="shared" si="312"/>
        <v>47014</v>
      </c>
      <c r="BA61" s="92">
        <f t="shared" si="313"/>
        <v>47014</v>
      </c>
      <c r="BB61" s="92">
        <f t="shared" si="314"/>
        <v>47014</v>
      </c>
      <c r="BC61" s="92">
        <f t="shared" si="315"/>
        <v>47014</v>
      </c>
      <c r="BD61" s="92">
        <f t="shared" si="316"/>
        <v>47014</v>
      </c>
      <c r="BE61" s="92">
        <f t="shared" si="317"/>
        <v>47014</v>
      </c>
      <c r="BF61" s="92">
        <f t="shared" si="318"/>
        <v>47014</v>
      </c>
      <c r="BG61" s="92">
        <f t="shared" si="319"/>
        <v>47014</v>
      </c>
      <c r="BH61" s="92">
        <f t="shared" si="320"/>
        <v>47014</v>
      </c>
      <c r="BI61" s="92">
        <f t="shared" si="321"/>
        <v>47014</v>
      </c>
      <c r="BJ61" s="92">
        <f t="shared" si="322"/>
        <v>47014</v>
      </c>
      <c r="BK61" s="92">
        <f t="shared" si="323"/>
        <v>47014</v>
      </c>
      <c r="BL61" s="92">
        <f t="shared" si="324"/>
        <v>47014</v>
      </c>
      <c r="BM61" s="92">
        <f t="shared" si="325"/>
        <v>47014</v>
      </c>
      <c r="BN61" s="92">
        <f t="shared" si="326"/>
        <v>47014</v>
      </c>
      <c r="BO61" s="92">
        <f t="shared" si="327"/>
        <v>47014</v>
      </c>
      <c r="BP61" s="92">
        <f t="shared" si="328"/>
        <v>47014</v>
      </c>
      <c r="BQ61" s="92">
        <f t="shared" si="329"/>
        <v>47014</v>
      </c>
      <c r="BR61" s="92">
        <f t="shared" si="330"/>
        <v>47014</v>
      </c>
      <c r="BS61" s="92">
        <f t="shared" si="331"/>
        <v>47014</v>
      </c>
      <c r="BT61" s="92">
        <f t="shared" si="332"/>
        <v>47014</v>
      </c>
      <c r="BU61" s="92">
        <f t="shared" si="333"/>
        <v>47014</v>
      </c>
      <c r="BV61" s="92">
        <f t="shared" si="334"/>
        <v>47014</v>
      </c>
      <c r="BW61" s="92">
        <f t="shared" si="335"/>
        <v>47014</v>
      </c>
      <c r="BX61" s="92">
        <f t="shared" si="336"/>
        <v>47014</v>
      </c>
      <c r="BY61" s="92">
        <f t="shared" si="337"/>
        <v>47014</v>
      </c>
      <c r="BZ61" s="92">
        <f t="shared" si="338"/>
        <v>47014</v>
      </c>
      <c r="CA61" s="92">
        <f t="shared" si="339"/>
        <v>47014</v>
      </c>
      <c r="CB61" s="92">
        <f t="shared" si="340"/>
        <v>47014</v>
      </c>
      <c r="CC61" s="92">
        <f t="shared" si="341"/>
        <v>47014</v>
      </c>
      <c r="CD61" s="92">
        <f t="shared" si="342"/>
        <v>47014</v>
      </c>
      <c r="CE61" s="92">
        <f t="shared" si="343"/>
        <v>47014</v>
      </c>
      <c r="CF61" s="92">
        <f t="shared" si="344"/>
        <v>47014</v>
      </c>
      <c r="CG61" s="92">
        <f t="shared" si="345"/>
        <v>47014</v>
      </c>
      <c r="CH61" s="92">
        <f t="shared" si="346"/>
        <v>47014</v>
      </c>
    </row>
    <row r="62" spans="1:86" x14ac:dyDescent="0.25">
      <c r="B62" s="31" t="s">
        <v>81</v>
      </c>
      <c r="C62" s="121">
        <f t="shared" ref="C62:N62" si="347">(C60)+(C61)</f>
        <v>0</v>
      </c>
      <c r="D62" s="121">
        <f t="shared" si="347"/>
        <v>0</v>
      </c>
      <c r="E62" s="121">
        <f t="shared" si="347"/>
        <v>0</v>
      </c>
      <c r="F62" s="121">
        <f t="shared" si="347"/>
        <v>0</v>
      </c>
      <c r="G62" s="121">
        <f t="shared" si="347"/>
        <v>0</v>
      </c>
      <c r="H62" s="121">
        <f t="shared" si="347"/>
        <v>0</v>
      </c>
      <c r="I62" s="121">
        <f t="shared" si="347"/>
        <v>0</v>
      </c>
      <c r="J62" s="121">
        <f t="shared" si="347"/>
        <v>2000000</v>
      </c>
      <c r="K62" s="121">
        <f t="shared" si="347"/>
        <v>2000000</v>
      </c>
      <c r="L62" s="121">
        <f t="shared" si="347"/>
        <v>2000000</v>
      </c>
      <c r="M62" s="121">
        <f t="shared" si="347"/>
        <v>2000000</v>
      </c>
      <c r="N62" s="121">
        <f t="shared" si="347"/>
        <v>2047014</v>
      </c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  <c r="BM62" s="90"/>
      <c r="BN62" s="90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0"/>
      <c r="CB62" s="90"/>
      <c r="CC62" s="90"/>
      <c r="CD62" s="90"/>
      <c r="CE62" s="90"/>
      <c r="CF62" s="90"/>
      <c r="CG62" s="90"/>
      <c r="CH62" s="90"/>
    </row>
    <row r="63" spans="1:86" x14ac:dyDescent="0.25">
      <c r="B63" s="31" t="s">
        <v>80</v>
      </c>
      <c r="C63" s="121">
        <f t="shared" ref="C63:N63" si="348">(((C57)+(C58))+(C59))+(C62)</f>
        <v>210593.65</v>
      </c>
      <c r="D63" s="121">
        <f t="shared" si="348"/>
        <v>215931.23</v>
      </c>
      <c r="E63" s="121">
        <f t="shared" si="348"/>
        <v>148368.52000000002</v>
      </c>
      <c r="F63" s="121">
        <f t="shared" si="348"/>
        <v>147737.60000000001</v>
      </c>
      <c r="G63" s="121">
        <f t="shared" si="348"/>
        <v>146154.78</v>
      </c>
      <c r="H63" s="121">
        <f t="shared" si="348"/>
        <v>131346.96</v>
      </c>
      <c r="I63" s="121">
        <f t="shared" si="348"/>
        <v>116539.14</v>
      </c>
      <c r="J63" s="121">
        <f t="shared" si="348"/>
        <v>5351731.32</v>
      </c>
      <c r="K63" s="121">
        <f t="shared" si="348"/>
        <v>5336923.5</v>
      </c>
      <c r="L63" s="121">
        <f t="shared" si="348"/>
        <v>5322115.68</v>
      </c>
      <c r="M63" s="121">
        <f t="shared" si="348"/>
        <v>5307307.8599999994</v>
      </c>
      <c r="N63" s="121">
        <f t="shared" si="348"/>
        <v>5339514</v>
      </c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</row>
    <row r="64" spans="1:86" x14ac:dyDescent="0.25">
      <c r="B64" s="31" t="s">
        <v>79</v>
      </c>
      <c r="C64" s="121">
        <f t="shared" ref="C64:N64" si="349">((C35)+(C48))+(C63)</f>
        <v>15701323.100000001</v>
      </c>
      <c r="D64" s="121">
        <f t="shared" si="349"/>
        <v>15434609.76</v>
      </c>
      <c r="E64" s="121">
        <f t="shared" si="349"/>
        <v>15046336.039999999</v>
      </c>
      <c r="F64" s="121">
        <f t="shared" si="349"/>
        <v>14722062.65</v>
      </c>
      <c r="G64" s="121">
        <f t="shared" si="349"/>
        <v>14327616.759999998</v>
      </c>
      <c r="H64" s="121">
        <f t="shared" si="349"/>
        <v>13837457.689999999</v>
      </c>
      <c r="I64" s="121">
        <f t="shared" si="349"/>
        <v>13444796.790000003</v>
      </c>
      <c r="J64" s="121">
        <f t="shared" si="349"/>
        <v>12914363.59</v>
      </c>
      <c r="K64" s="121">
        <f t="shared" si="349"/>
        <v>12873949.129999999</v>
      </c>
      <c r="L64" s="121">
        <f t="shared" si="349"/>
        <v>12863555.93</v>
      </c>
      <c r="M64" s="121">
        <f t="shared" si="349"/>
        <v>12181555.1</v>
      </c>
      <c r="N64" s="121">
        <f t="shared" si="349"/>
        <v>11580170.270000001</v>
      </c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  <c r="CA64" s="90"/>
      <c r="CB64" s="90"/>
      <c r="CC64" s="90"/>
      <c r="CD64" s="90"/>
      <c r="CE64" s="90"/>
      <c r="CF64" s="90"/>
      <c r="CG64" s="90"/>
      <c r="CH64" s="90"/>
    </row>
    <row r="65" spans="1:86" x14ac:dyDescent="0.25">
      <c r="B65" s="31" t="s">
        <v>78</v>
      </c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</row>
    <row r="66" spans="1:86" x14ac:dyDescent="0.25">
      <c r="B66" s="31" t="s">
        <v>77</v>
      </c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</row>
    <row r="67" spans="1:86" x14ac:dyDescent="0.25">
      <c r="B67" s="31" t="s">
        <v>76</v>
      </c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</row>
    <row r="68" spans="1:86" x14ac:dyDescent="0.25">
      <c r="B68" s="31" t="s">
        <v>75</v>
      </c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</row>
    <row r="69" spans="1:86" x14ac:dyDescent="0.25">
      <c r="A69" s="29" t="s">
        <v>12</v>
      </c>
      <c r="B69" s="31" t="s">
        <v>74</v>
      </c>
      <c r="C69" s="120">
        <f>33385.52</f>
        <v>33385.519999999997</v>
      </c>
      <c r="D69" s="120">
        <f>55385.52</f>
        <v>55385.52</v>
      </c>
      <c r="E69" s="120">
        <f>48721.49</f>
        <v>48721.49</v>
      </c>
      <c r="F69" s="120">
        <f>60285.3</f>
        <v>60285.3</v>
      </c>
      <c r="G69" s="120">
        <f>133427.71</f>
        <v>133427.71</v>
      </c>
      <c r="H69" s="120">
        <f>115356.32</f>
        <v>115356.32</v>
      </c>
      <c r="I69" s="120">
        <f>218481.05</f>
        <v>218481.05</v>
      </c>
      <c r="J69" s="120">
        <f>295353.79</f>
        <v>295353.78999999998</v>
      </c>
      <c r="K69" s="120">
        <f>358950.63</f>
        <v>358950.63</v>
      </c>
      <c r="L69" s="120">
        <f>422593.75</f>
        <v>422593.75</v>
      </c>
      <c r="M69" s="120">
        <f>386309.71</f>
        <v>386309.71</v>
      </c>
      <c r="N69" s="120">
        <f>437226.57</f>
        <v>437226.57</v>
      </c>
      <c r="O69" s="91">
        <f ca="1">WC!Z6</f>
        <v>783120.83000000007</v>
      </c>
      <c r="P69" s="91">
        <f ca="1">WC!AA6</f>
        <v>153170</v>
      </c>
      <c r="Q69" s="91">
        <f ca="1">WC!AB6</f>
        <v>14450</v>
      </c>
      <c r="R69" s="91">
        <f ca="1">WC!AC6</f>
        <v>14450</v>
      </c>
      <c r="S69" s="91">
        <f ca="1">WC!AD6</f>
        <v>361250</v>
      </c>
      <c r="T69" s="91">
        <f ca="1">WC!AE6</f>
        <v>346800</v>
      </c>
      <c r="U69" s="91">
        <f ca="1">WC!AF6</f>
        <v>28900</v>
      </c>
      <c r="V69" s="91">
        <f ca="1">WC!AG6</f>
        <v>53200</v>
      </c>
      <c r="W69" s="91">
        <f ca="1">WC!AH6</f>
        <v>161160</v>
      </c>
      <c r="X69" s="91">
        <f ca="1">WC!AI6</f>
        <v>412780</v>
      </c>
      <c r="Y69" s="91">
        <f ca="1">WC!AJ6</f>
        <v>334240</v>
      </c>
      <c r="Z69" s="91">
        <f ca="1">WC!AK6</f>
        <v>919340</v>
      </c>
      <c r="AA69" s="91">
        <f ca="1">WC!AL6</f>
        <v>993340</v>
      </c>
      <c r="AB69" s="91">
        <f ca="1">WC!AM6</f>
        <v>132320</v>
      </c>
      <c r="AC69" s="91">
        <f ca="1">WC!AN6</f>
        <v>357400</v>
      </c>
      <c r="AD69" s="91">
        <f ca="1">WC!AO6</f>
        <v>984740</v>
      </c>
      <c r="AE69" s="91">
        <f ca="1">WC!AP6</f>
        <v>813380</v>
      </c>
      <c r="AF69" s="91">
        <f ca="1">WC!AQ6</f>
        <v>1175040</v>
      </c>
      <c r="AG69" s="91">
        <f ca="1">WC!AR6</f>
        <v>1931840</v>
      </c>
      <c r="AH69" s="91">
        <f ca="1">WC!AS6</f>
        <v>1534680</v>
      </c>
      <c r="AI69" s="91">
        <f ca="1">WC!AT6</f>
        <v>1182400</v>
      </c>
      <c r="AJ69" s="91">
        <f ca="1">WC!AU6</f>
        <v>1799220</v>
      </c>
      <c r="AK69" s="91">
        <f ca="1">WC!AV6</f>
        <v>3525820</v>
      </c>
      <c r="AL69" s="91">
        <f ca="1">WC!AW6</f>
        <v>4589480</v>
      </c>
      <c r="AM69" s="91">
        <f ca="1">WC!AX6</f>
        <v>2648160</v>
      </c>
      <c r="AN69" s="91">
        <f ca="1">WC!AY6</f>
        <v>1258340</v>
      </c>
      <c r="AO69" s="91">
        <f ca="1">WC!AZ6</f>
        <v>1883380</v>
      </c>
      <c r="AP69" s="91">
        <f ca="1">WC!BA6</f>
        <v>2361680</v>
      </c>
      <c r="AQ69" s="91">
        <f ca="1">WC!BB6</f>
        <v>5047400</v>
      </c>
      <c r="AR69" s="91">
        <f ca="1">WC!BC6</f>
        <v>5134880</v>
      </c>
      <c r="AS69" s="91">
        <f ca="1">WC!BD6</f>
        <v>3027240</v>
      </c>
      <c r="AT69" s="91">
        <f ca="1">WC!BE6</f>
        <v>3329780</v>
      </c>
      <c r="AU69" s="91">
        <f ca="1">WC!BF6</f>
        <v>3090420</v>
      </c>
      <c r="AV69" s="91">
        <f ca="1">WC!BG6</f>
        <v>2590240</v>
      </c>
      <c r="AW69" s="91">
        <f ca="1">WC!BH6</f>
        <v>6723115</v>
      </c>
      <c r="AX69" s="91">
        <f ca="1">WC!BI6</f>
        <v>10634794</v>
      </c>
      <c r="AY69" s="91">
        <f ca="1">WC!BJ6</f>
        <v>5999535</v>
      </c>
      <c r="AZ69" s="91">
        <f ca="1">WC!BK6</f>
        <v>2522753.5</v>
      </c>
      <c r="BA69" s="91">
        <f ca="1">WC!BL6</f>
        <v>4214475.5</v>
      </c>
      <c r="BB69" s="91">
        <f ca="1">WC!BM6</f>
        <v>5625406</v>
      </c>
      <c r="BC69" s="91">
        <f ca="1">WC!BN6</f>
        <v>12549823</v>
      </c>
      <c r="BD69" s="91">
        <f ca="1">WC!BO6</f>
        <v>12472360</v>
      </c>
      <c r="BE69" s="91">
        <f ca="1">WC!BP6</f>
        <v>6535107</v>
      </c>
      <c r="BF69" s="91">
        <f ca="1">WC!BQ6</f>
        <v>6851447.5</v>
      </c>
      <c r="BG69" s="91">
        <f ca="1">WC!BR6</f>
        <v>6832903.5</v>
      </c>
      <c r="BH69" s="91">
        <f ca="1">WC!BS6</f>
        <v>6463724</v>
      </c>
      <c r="BI69" s="91">
        <f ca="1">WC!BT6</f>
        <v>15352185.25</v>
      </c>
      <c r="BJ69" s="91">
        <f ca="1">WC!BU6</f>
        <v>22385030.5</v>
      </c>
      <c r="BK69" s="91">
        <f ca="1">WC!BV6</f>
        <v>11408735.25</v>
      </c>
      <c r="BL69" s="91">
        <f ca="1">WC!BW6</f>
        <v>3949014.625</v>
      </c>
      <c r="BM69" s="91">
        <f ca="1">WC!BX6</f>
        <v>7863708.125</v>
      </c>
      <c r="BN69" s="91">
        <f ca="1">WC!BY6</f>
        <v>11454254.5</v>
      </c>
      <c r="BO69" s="91">
        <f ca="1">WC!BZ6</f>
        <v>29455068.25</v>
      </c>
      <c r="BP69" s="91">
        <f ca="1">WC!CA6</f>
        <v>28187830</v>
      </c>
      <c r="BQ69" s="91">
        <f ca="1">WC!CB6</f>
        <v>11727308.25</v>
      </c>
      <c r="BR69" s="91">
        <f ca="1">WC!CC6</f>
        <v>11878712.125</v>
      </c>
      <c r="BS69" s="91">
        <f ca="1">WC!CD6</f>
        <v>12833785.125</v>
      </c>
      <c r="BT69" s="91">
        <f ca="1">WC!CE6</f>
        <v>14081204</v>
      </c>
      <c r="BU69" s="91">
        <f ca="1">WC!CF6</f>
        <v>30708041.774999999</v>
      </c>
      <c r="BV69" s="91">
        <f ca="1">WC!CG6</f>
        <v>40251188.399999999</v>
      </c>
      <c r="BW69" s="91">
        <f ca="1">WC!CH6</f>
        <v>17852669.324999999</v>
      </c>
      <c r="BX69" s="91">
        <f ca="1">WC!CI6</f>
        <v>5364557.1375000002</v>
      </c>
      <c r="BY69" s="91">
        <f ca="1">WC!CJ6</f>
        <v>12029490.1875</v>
      </c>
      <c r="BZ69" s="91">
        <f ca="1">WC!CK6</f>
        <v>18697527.600000001</v>
      </c>
      <c r="CA69" s="91">
        <f ca="1">WC!CL6</f>
        <v>57669090.225000001</v>
      </c>
      <c r="CB69" s="91">
        <f ca="1">WC!CM6</f>
        <v>54473703</v>
      </c>
      <c r="CC69" s="91">
        <f ca="1">WC!CN6</f>
        <v>17834932.350000001</v>
      </c>
      <c r="CD69" s="91">
        <f ca="1">WC!CO6</f>
        <v>17579407.762499999</v>
      </c>
      <c r="CE69" s="91">
        <f ca="1">WC!CP6</f>
        <v>19674518.287500001</v>
      </c>
      <c r="CF69" s="91">
        <f ca="1">WC!CQ6</f>
        <v>23651806.574999999</v>
      </c>
      <c r="CG69" s="91">
        <f ca="1">WC!CR6</f>
        <v>26461689.381250001</v>
      </c>
      <c r="CH69" s="91">
        <f ca="1">WC!CS6</f>
        <v>31901639.112500001</v>
      </c>
    </row>
    <row r="70" spans="1:86" x14ac:dyDescent="0.25">
      <c r="B70" s="31" t="s">
        <v>73</v>
      </c>
      <c r="C70" s="121">
        <f t="shared" ref="C70:N70" si="350">C69</f>
        <v>33385.519999999997</v>
      </c>
      <c r="D70" s="121">
        <f t="shared" si="350"/>
        <v>55385.52</v>
      </c>
      <c r="E70" s="121">
        <f t="shared" si="350"/>
        <v>48721.49</v>
      </c>
      <c r="F70" s="121">
        <f t="shared" si="350"/>
        <v>60285.3</v>
      </c>
      <c r="G70" s="121">
        <f t="shared" si="350"/>
        <v>133427.71</v>
      </c>
      <c r="H70" s="121">
        <f t="shared" si="350"/>
        <v>115356.32</v>
      </c>
      <c r="I70" s="121">
        <f t="shared" si="350"/>
        <v>218481.05</v>
      </c>
      <c r="J70" s="121">
        <f t="shared" si="350"/>
        <v>295353.78999999998</v>
      </c>
      <c r="K70" s="121">
        <f t="shared" si="350"/>
        <v>358950.63</v>
      </c>
      <c r="L70" s="121">
        <f t="shared" si="350"/>
        <v>422593.75</v>
      </c>
      <c r="M70" s="121">
        <f t="shared" si="350"/>
        <v>386309.71</v>
      </c>
      <c r="N70" s="121">
        <f t="shared" si="350"/>
        <v>437226.57</v>
      </c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0"/>
      <c r="BQ70" s="90"/>
      <c r="BR70" s="90"/>
      <c r="BS70" s="90"/>
      <c r="BT70" s="90"/>
      <c r="BU70" s="90"/>
      <c r="BV70" s="90"/>
      <c r="BW70" s="90"/>
      <c r="BX70" s="90"/>
      <c r="BY70" s="90"/>
      <c r="BZ70" s="90"/>
      <c r="CA70" s="90"/>
      <c r="CB70" s="90"/>
      <c r="CC70" s="90"/>
      <c r="CD70" s="90"/>
      <c r="CE70" s="90"/>
      <c r="CF70" s="90"/>
      <c r="CG70" s="90"/>
      <c r="CH70" s="90"/>
    </row>
    <row r="71" spans="1:86" x14ac:dyDescent="0.25">
      <c r="B71" s="31" t="s">
        <v>72</v>
      </c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</row>
    <row r="72" spans="1:86" x14ac:dyDescent="0.25">
      <c r="A72" s="29" t="s">
        <v>12</v>
      </c>
      <c r="B72" s="31" t="s">
        <v>71</v>
      </c>
      <c r="C72" s="119"/>
      <c r="D72" s="120">
        <f t="shared" ref="D72:N72" si="351">C72</f>
        <v>0</v>
      </c>
      <c r="E72" s="120">
        <f t="shared" si="351"/>
        <v>0</v>
      </c>
      <c r="F72" s="120">
        <f t="shared" si="351"/>
        <v>0</v>
      </c>
      <c r="G72" s="120">
        <f t="shared" si="351"/>
        <v>0</v>
      </c>
      <c r="H72" s="120">
        <f t="shared" si="351"/>
        <v>0</v>
      </c>
      <c r="I72" s="120">
        <f t="shared" si="351"/>
        <v>0</v>
      </c>
      <c r="J72" s="120">
        <f t="shared" si="351"/>
        <v>0</v>
      </c>
      <c r="K72" s="120">
        <f t="shared" si="351"/>
        <v>0</v>
      </c>
      <c r="L72" s="120">
        <f t="shared" si="351"/>
        <v>0</v>
      </c>
      <c r="M72" s="120">
        <f t="shared" si="351"/>
        <v>0</v>
      </c>
      <c r="N72" s="120">
        <f t="shared" si="351"/>
        <v>0</v>
      </c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</row>
    <row r="73" spans="1:86" x14ac:dyDescent="0.25">
      <c r="A73" s="29" t="s">
        <v>12</v>
      </c>
      <c r="B73" s="31" t="s">
        <v>70</v>
      </c>
      <c r="C73" s="120">
        <f>2252</f>
        <v>2252</v>
      </c>
      <c r="D73" s="120">
        <f>27805.18</f>
        <v>27805.18</v>
      </c>
      <c r="E73" s="120">
        <f>41117.27</f>
        <v>41117.269999999997</v>
      </c>
      <c r="F73" s="120">
        <f>134589.69</f>
        <v>134589.69</v>
      </c>
      <c r="G73" s="120">
        <f>112121.54</f>
        <v>112121.54</v>
      </c>
      <c r="H73" s="120">
        <f>76764.66</f>
        <v>76764.66</v>
      </c>
      <c r="I73" s="120">
        <f>82675.28</f>
        <v>82675.28</v>
      </c>
      <c r="J73" s="120">
        <f>51034.82</f>
        <v>51034.82</v>
      </c>
      <c r="K73" s="120">
        <f>80103.71</f>
        <v>80103.710000000006</v>
      </c>
      <c r="L73" s="120">
        <f>109043.94</f>
        <v>109043.94</v>
      </c>
      <c r="M73" s="120">
        <f>91559.66</f>
        <v>91559.66</v>
      </c>
      <c r="N73" s="120">
        <f>207174.26</f>
        <v>207174.26</v>
      </c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89"/>
      <c r="BO73" s="89"/>
      <c r="BP73" s="89"/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89"/>
      <c r="CG73" s="89"/>
      <c r="CH73" s="89"/>
    </row>
    <row r="74" spans="1:86" x14ac:dyDescent="0.25">
      <c r="B74" s="31" t="s">
        <v>69</v>
      </c>
      <c r="C74" s="121">
        <f t="shared" ref="C74:N74" si="352">(C72)+(C73)</f>
        <v>2252</v>
      </c>
      <c r="D74" s="121">
        <f t="shared" si="352"/>
        <v>27805.18</v>
      </c>
      <c r="E74" s="121">
        <f t="shared" si="352"/>
        <v>41117.269999999997</v>
      </c>
      <c r="F74" s="121">
        <f t="shared" si="352"/>
        <v>134589.69</v>
      </c>
      <c r="G74" s="121">
        <f t="shared" si="352"/>
        <v>112121.54</v>
      </c>
      <c r="H74" s="121">
        <f t="shared" si="352"/>
        <v>76764.66</v>
      </c>
      <c r="I74" s="121">
        <f t="shared" si="352"/>
        <v>82675.28</v>
      </c>
      <c r="J74" s="121">
        <f t="shared" si="352"/>
        <v>51034.82</v>
      </c>
      <c r="K74" s="121">
        <f t="shared" si="352"/>
        <v>80103.710000000006</v>
      </c>
      <c r="L74" s="121">
        <f t="shared" si="352"/>
        <v>109043.94</v>
      </c>
      <c r="M74" s="121">
        <f t="shared" si="352"/>
        <v>91559.66</v>
      </c>
      <c r="N74" s="121">
        <f t="shared" si="352"/>
        <v>207174.26</v>
      </c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  <c r="BQ74" s="90"/>
      <c r="BR74" s="90"/>
      <c r="BS74" s="90"/>
      <c r="BT74" s="90"/>
      <c r="BU74" s="90"/>
      <c r="BV74" s="90"/>
      <c r="BW74" s="90"/>
      <c r="BX74" s="90"/>
      <c r="BY74" s="90"/>
      <c r="BZ74" s="90"/>
      <c r="CA74" s="90"/>
      <c r="CB74" s="90"/>
      <c r="CC74" s="90"/>
      <c r="CD74" s="90"/>
      <c r="CE74" s="90"/>
      <c r="CF74" s="90"/>
      <c r="CG74" s="90"/>
      <c r="CH74" s="90"/>
    </row>
    <row r="75" spans="1:86" x14ac:dyDescent="0.25">
      <c r="B75" s="31" t="s">
        <v>68</v>
      </c>
      <c r="C75" s="121">
        <f t="shared" ref="C75:N75" si="353">C74</f>
        <v>2252</v>
      </c>
      <c r="D75" s="121">
        <f t="shared" si="353"/>
        <v>27805.18</v>
      </c>
      <c r="E75" s="121">
        <f t="shared" si="353"/>
        <v>41117.269999999997</v>
      </c>
      <c r="F75" s="121">
        <f t="shared" si="353"/>
        <v>134589.69</v>
      </c>
      <c r="G75" s="121">
        <f t="shared" si="353"/>
        <v>112121.54</v>
      </c>
      <c r="H75" s="121">
        <f t="shared" si="353"/>
        <v>76764.66</v>
      </c>
      <c r="I75" s="121">
        <f t="shared" si="353"/>
        <v>82675.28</v>
      </c>
      <c r="J75" s="121">
        <f t="shared" si="353"/>
        <v>51034.82</v>
      </c>
      <c r="K75" s="121">
        <f t="shared" si="353"/>
        <v>80103.710000000006</v>
      </c>
      <c r="L75" s="121">
        <f t="shared" si="353"/>
        <v>109043.94</v>
      </c>
      <c r="M75" s="121">
        <f t="shared" si="353"/>
        <v>91559.66</v>
      </c>
      <c r="N75" s="121">
        <f t="shared" si="353"/>
        <v>207174.26</v>
      </c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90"/>
      <c r="CB75" s="90"/>
      <c r="CC75" s="90"/>
      <c r="CD75" s="90"/>
      <c r="CE75" s="90"/>
      <c r="CF75" s="90"/>
      <c r="CG75" s="90"/>
      <c r="CH75" s="90"/>
    </row>
    <row r="76" spans="1:86" x14ac:dyDescent="0.25">
      <c r="B76" s="31" t="s">
        <v>67</v>
      </c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</row>
    <row r="77" spans="1:86" x14ac:dyDescent="0.25">
      <c r="A77" s="29" t="s">
        <v>13</v>
      </c>
      <c r="B77" s="31" t="s">
        <v>66</v>
      </c>
      <c r="C77" s="120">
        <f>-28880.7</f>
        <v>-28880.7</v>
      </c>
      <c r="D77" s="120">
        <f>-30913.1</f>
        <v>-30913.1</v>
      </c>
      <c r="E77" s="120">
        <f>D77</f>
        <v>-30913.1</v>
      </c>
      <c r="F77" s="120">
        <f>0</f>
        <v>0</v>
      </c>
      <c r="G77" s="120">
        <f>11602</f>
        <v>11602</v>
      </c>
      <c r="H77" s="120">
        <f>32582.08</f>
        <v>32582.080000000002</v>
      </c>
      <c r="I77" s="120">
        <f>140107.25</f>
        <v>140107.25</v>
      </c>
      <c r="J77" s="120">
        <f>94625.87</f>
        <v>94625.87</v>
      </c>
      <c r="K77" s="120">
        <f>26998.55</f>
        <v>26998.55</v>
      </c>
      <c r="L77" s="120">
        <f>131057.5</f>
        <v>131057.5</v>
      </c>
      <c r="M77" s="120">
        <f>102738</f>
        <v>102738</v>
      </c>
      <c r="N77" s="120">
        <f>98000.5</f>
        <v>98000.5</v>
      </c>
      <c r="O77" s="92">
        <f t="shared" ref="O77:O81" si="354">N77</f>
        <v>98000.5</v>
      </c>
      <c r="P77" s="92">
        <f t="shared" ref="P77:P79" si="355">O77</f>
        <v>98000.5</v>
      </c>
      <c r="Q77" s="92">
        <f t="shared" ref="Q77:Q79" si="356">P77</f>
        <v>98000.5</v>
      </c>
      <c r="R77" s="92">
        <f t="shared" ref="R77:R79" si="357">Q77</f>
        <v>98000.5</v>
      </c>
      <c r="S77" s="92">
        <f t="shared" ref="S77:S79" si="358">R77</f>
        <v>98000.5</v>
      </c>
      <c r="T77" s="92">
        <f t="shared" ref="T77:T79" si="359">S77</f>
        <v>98000.5</v>
      </c>
      <c r="U77" s="92">
        <f t="shared" ref="U77:U79" si="360">T77</f>
        <v>98000.5</v>
      </c>
      <c r="V77" s="92">
        <f t="shared" ref="V77:V79" si="361">U77</f>
        <v>98000.5</v>
      </c>
      <c r="W77" s="92">
        <f t="shared" ref="W77:W79" si="362">V77</f>
        <v>98000.5</v>
      </c>
      <c r="X77" s="92">
        <f t="shared" ref="X77:X79" si="363">W77</f>
        <v>98000.5</v>
      </c>
      <c r="Y77" s="92">
        <f t="shared" ref="Y77:Y79" si="364">X77</f>
        <v>98000.5</v>
      </c>
      <c r="Z77" s="92">
        <f t="shared" ref="Z77:Z79" si="365">Y77</f>
        <v>98000.5</v>
      </c>
      <c r="AA77" s="92">
        <f t="shared" ref="AA77:AA79" si="366">Z77</f>
        <v>98000.5</v>
      </c>
      <c r="AB77" s="92">
        <f t="shared" ref="AB77:AB79" si="367">AA77</f>
        <v>98000.5</v>
      </c>
      <c r="AC77" s="92">
        <f t="shared" ref="AC77:AC79" si="368">AB77</f>
        <v>98000.5</v>
      </c>
      <c r="AD77" s="92">
        <f t="shared" ref="AD77:AD79" si="369">AC77</f>
        <v>98000.5</v>
      </c>
      <c r="AE77" s="92">
        <f t="shared" ref="AE77:AE79" si="370">AD77</f>
        <v>98000.5</v>
      </c>
      <c r="AF77" s="92">
        <f t="shared" ref="AF77:AF79" si="371">AE77</f>
        <v>98000.5</v>
      </c>
      <c r="AG77" s="92">
        <f t="shared" ref="AG77:AG79" si="372">AF77</f>
        <v>98000.5</v>
      </c>
      <c r="AH77" s="92">
        <f t="shared" ref="AH77:AH79" si="373">AG77</f>
        <v>98000.5</v>
      </c>
      <c r="AI77" s="92">
        <f t="shared" ref="AI77:AI79" si="374">AH77</f>
        <v>98000.5</v>
      </c>
      <c r="AJ77" s="92">
        <f t="shared" ref="AJ77:AJ79" si="375">AI77</f>
        <v>98000.5</v>
      </c>
      <c r="AK77" s="92">
        <f t="shared" ref="AK77:AK79" si="376">AJ77</f>
        <v>98000.5</v>
      </c>
      <c r="AL77" s="92">
        <f t="shared" ref="AL77:AL79" si="377">AK77</f>
        <v>98000.5</v>
      </c>
      <c r="AM77" s="92">
        <f t="shared" ref="AM77:AM79" si="378">AL77</f>
        <v>98000.5</v>
      </c>
      <c r="AN77" s="92">
        <f t="shared" ref="AN77:AN79" si="379">AM77</f>
        <v>98000.5</v>
      </c>
      <c r="AO77" s="92">
        <f t="shared" ref="AO77:AO79" si="380">AN77</f>
        <v>98000.5</v>
      </c>
      <c r="AP77" s="92">
        <f t="shared" ref="AP77:AP79" si="381">AO77</f>
        <v>98000.5</v>
      </c>
      <c r="AQ77" s="92">
        <f t="shared" ref="AQ77:AQ79" si="382">AP77</f>
        <v>98000.5</v>
      </c>
      <c r="AR77" s="92">
        <f t="shared" ref="AR77:AR79" si="383">AQ77</f>
        <v>98000.5</v>
      </c>
      <c r="AS77" s="92">
        <f t="shared" ref="AS77:AS79" si="384">AR77</f>
        <v>98000.5</v>
      </c>
      <c r="AT77" s="92">
        <f t="shared" ref="AT77:AT79" si="385">AS77</f>
        <v>98000.5</v>
      </c>
      <c r="AU77" s="92">
        <f t="shared" ref="AU77:AU79" si="386">AT77</f>
        <v>98000.5</v>
      </c>
      <c r="AV77" s="92">
        <f t="shared" ref="AV77:AV79" si="387">AU77</f>
        <v>98000.5</v>
      </c>
      <c r="AW77" s="92">
        <f t="shared" ref="AW77:AW79" si="388">AV77</f>
        <v>98000.5</v>
      </c>
      <c r="AX77" s="92">
        <f t="shared" ref="AX77:AX79" si="389">AW77</f>
        <v>98000.5</v>
      </c>
      <c r="AY77" s="92">
        <f t="shared" ref="AY77:AY79" si="390">AX77</f>
        <v>98000.5</v>
      </c>
      <c r="AZ77" s="92">
        <f t="shared" ref="AZ77:AZ79" si="391">AY77</f>
        <v>98000.5</v>
      </c>
      <c r="BA77" s="92">
        <f t="shared" ref="BA77:BA79" si="392">AZ77</f>
        <v>98000.5</v>
      </c>
      <c r="BB77" s="92">
        <f t="shared" ref="BB77:BB79" si="393">BA77</f>
        <v>98000.5</v>
      </c>
      <c r="BC77" s="92">
        <f t="shared" ref="BC77:BC79" si="394">BB77</f>
        <v>98000.5</v>
      </c>
      <c r="BD77" s="92">
        <f t="shared" ref="BD77:BD79" si="395">BC77</f>
        <v>98000.5</v>
      </c>
      <c r="BE77" s="92">
        <f t="shared" ref="BE77:BE79" si="396">BD77</f>
        <v>98000.5</v>
      </c>
      <c r="BF77" s="92">
        <f t="shared" ref="BF77:BF79" si="397">BE77</f>
        <v>98000.5</v>
      </c>
      <c r="BG77" s="92">
        <f t="shared" ref="BG77:BG79" si="398">BF77</f>
        <v>98000.5</v>
      </c>
      <c r="BH77" s="92">
        <f t="shared" ref="BH77:BH79" si="399">BG77</f>
        <v>98000.5</v>
      </c>
      <c r="BI77" s="92">
        <f t="shared" ref="BI77:BI79" si="400">BH77</f>
        <v>98000.5</v>
      </c>
      <c r="BJ77" s="92">
        <f t="shared" ref="BJ77:BJ79" si="401">BI77</f>
        <v>98000.5</v>
      </c>
      <c r="BK77" s="92">
        <f t="shared" ref="BK77:BK79" si="402">BJ77</f>
        <v>98000.5</v>
      </c>
      <c r="BL77" s="92">
        <f t="shared" ref="BL77:BL79" si="403">BK77</f>
        <v>98000.5</v>
      </c>
      <c r="BM77" s="92">
        <f t="shared" ref="BM77:BM79" si="404">BL77</f>
        <v>98000.5</v>
      </c>
      <c r="BN77" s="92">
        <f t="shared" ref="BN77:BN79" si="405">BM77</f>
        <v>98000.5</v>
      </c>
      <c r="BO77" s="92">
        <f t="shared" ref="BO77:BO79" si="406">BN77</f>
        <v>98000.5</v>
      </c>
      <c r="BP77" s="92">
        <f t="shared" ref="BP77:BP79" si="407">BO77</f>
        <v>98000.5</v>
      </c>
      <c r="BQ77" s="92">
        <f t="shared" ref="BQ77:BQ79" si="408">BP77</f>
        <v>98000.5</v>
      </c>
      <c r="BR77" s="92">
        <f t="shared" ref="BR77:BR79" si="409">BQ77</f>
        <v>98000.5</v>
      </c>
      <c r="BS77" s="92">
        <f t="shared" ref="BS77:BS79" si="410">BR77</f>
        <v>98000.5</v>
      </c>
      <c r="BT77" s="92">
        <f t="shared" ref="BT77:BT79" si="411">BS77</f>
        <v>98000.5</v>
      </c>
      <c r="BU77" s="92">
        <f t="shared" ref="BU77:BU79" si="412">BT77</f>
        <v>98000.5</v>
      </c>
      <c r="BV77" s="92">
        <f t="shared" ref="BV77:BV79" si="413">BU77</f>
        <v>98000.5</v>
      </c>
      <c r="BW77" s="92">
        <f t="shared" ref="BW77:BW79" si="414">BV77</f>
        <v>98000.5</v>
      </c>
      <c r="BX77" s="92">
        <f t="shared" ref="BX77:BX79" si="415">BW77</f>
        <v>98000.5</v>
      </c>
      <c r="BY77" s="92">
        <f t="shared" ref="BY77:BY79" si="416">BX77</f>
        <v>98000.5</v>
      </c>
      <c r="BZ77" s="92">
        <f t="shared" ref="BZ77:BZ79" si="417">BY77</f>
        <v>98000.5</v>
      </c>
      <c r="CA77" s="92">
        <f t="shared" ref="CA77:CA79" si="418">BZ77</f>
        <v>98000.5</v>
      </c>
      <c r="CB77" s="92">
        <f t="shared" ref="CB77:CB79" si="419">CA77</f>
        <v>98000.5</v>
      </c>
      <c r="CC77" s="92">
        <f t="shared" ref="CC77:CC79" si="420">CB77</f>
        <v>98000.5</v>
      </c>
      <c r="CD77" s="92">
        <f t="shared" ref="CD77:CD79" si="421">CC77</f>
        <v>98000.5</v>
      </c>
      <c r="CE77" s="92">
        <f t="shared" ref="CE77:CE79" si="422">CD77</f>
        <v>98000.5</v>
      </c>
      <c r="CF77" s="92">
        <f t="shared" ref="CF77:CF79" si="423">CE77</f>
        <v>98000.5</v>
      </c>
      <c r="CG77" s="92">
        <f t="shared" ref="CG77:CG79" si="424">CF77</f>
        <v>98000.5</v>
      </c>
      <c r="CH77" s="92">
        <f t="shared" ref="CH77:CH79" si="425">CG77</f>
        <v>98000.5</v>
      </c>
    </row>
    <row r="78" spans="1:86" x14ac:dyDescent="0.25">
      <c r="A78" s="29" t="s">
        <v>13</v>
      </c>
      <c r="B78" s="31" t="s">
        <v>65</v>
      </c>
      <c r="C78" s="119"/>
      <c r="D78" s="120">
        <f>C78</f>
        <v>0</v>
      </c>
      <c r="E78" s="120">
        <f>D78</f>
        <v>0</v>
      </c>
      <c r="F78" s="120">
        <f t="shared" ref="F78:N79" si="426">E78</f>
        <v>0</v>
      </c>
      <c r="G78" s="120">
        <f t="shared" si="426"/>
        <v>0</v>
      </c>
      <c r="H78" s="120">
        <f t="shared" si="426"/>
        <v>0</v>
      </c>
      <c r="I78" s="120">
        <f t="shared" si="426"/>
        <v>0</v>
      </c>
      <c r="J78" s="120">
        <f t="shared" si="426"/>
        <v>0</v>
      </c>
      <c r="K78" s="120">
        <f t="shared" si="426"/>
        <v>0</v>
      </c>
      <c r="L78" s="120">
        <f t="shared" si="426"/>
        <v>0</v>
      </c>
      <c r="M78" s="120">
        <f t="shared" si="426"/>
        <v>0</v>
      </c>
      <c r="N78" s="120">
        <f t="shared" si="426"/>
        <v>0</v>
      </c>
      <c r="O78" s="92">
        <f t="shared" si="354"/>
        <v>0</v>
      </c>
      <c r="P78" s="92">
        <f t="shared" si="355"/>
        <v>0</v>
      </c>
      <c r="Q78" s="92">
        <f t="shared" si="356"/>
        <v>0</v>
      </c>
      <c r="R78" s="92">
        <f t="shared" si="357"/>
        <v>0</v>
      </c>
      <c r="S78" s="92">
        <f t="shared" si="358"/>
        <v>0</v>
      </c>
      <c r="T78" s="92">
        <f t="shared" si="359"/>
        <v>0</v>
      </c>
      <c r="U78" s="92">
        <f t="shared" si="360"/>
        <v>0</v>
      </c>
      <c r="V78" s="92">
        <f t="shared" si="361"/>
        <v>0</v>
      </c>
      <c r="W78" s="92">
        <f t="shared" si="362"/>
        <v>0</v>
      </c>
      <c r="X78" s="92">
        <f t="shared" si="363"/>
        <v>0</v>
      </c>
      <c r="Y78" s="92">
        <f t="shared" si="364"/>
        <v>0</v>
      </c>
      <c r="Z78" s="92">
        <f t="shared" si="365"/>
        <v>0</v>
      </c>
      <c r="AA78" s="92">
        <f t="shared" si="366"/>
        <v>0</v>
      </c>
      <c r="AB78" s="92">
        <f t="shared" si="367"/>
        <v>0</v>
      </c>
      <c r="AC78" s="92">
        <f t="shared" si="368"/>
        <v>0</v>
      </c>
      <c r="AD78" s="92">
        <f t="shared" si="369"/>
        <v>0</v>
      </c>
      <c r="AE78" s="92">
        <f t="shared" si="370"/>
        <v>0</v>
      </c>
      <c r="AF78" s="92">
        <f t="shared" si="371"/>
        <v>0</v>
      </c>
      <c r="AG78" s="92">
        <f t="shared" si="372"/>
        <v>0</v>
      </c>
      <c r="AH78" s="92">
        <f t="shared" si="373"/>
        <v>0</v>
      </c>
      <c r="AI78" s="92">
        <f t="shared" si="374"/>
        <v>0</v>
      </c>
      <c r="AJ78" s="92">
        <f t="shared" si="375"/>
        <v>0</v>
      </c>
      <c r="AK78" s="92">
        <f t="shared" si="376"/>
        <v>0</v>
      </c>
      <c r="AL78" s="92">
        <f t="shared" si="377"/>
        <v>0</v>
      </c>
      <c r="AM78" s="92">
        <f t="shared" si="378"/>
        <v>0</v>
      </c>
      <c r="AN78" s="92">
        <f t="shared" si="379"/>
        <v>0</v>
      </c>
      <c r="AO78" s="92">
        <f t="shared" si="380"/>
        <v>0</v>
      </c>
      <c r="AP78" s="92">
        <f t="shared" si="381"/>
        <v>0</v>
      </c>
      <c r="AQ78" s="92">
        <f t="shared" si="382"/>
        <v>0</v>
      </c>
      <c r="AR78" s="92">
        <f t="shared" si="383"/>
        <v>0</v>
      </c>
      <c r="AS78" s="92">
        <f t="shared" si="384"/>
        <v>0</v>
      </c>
      <c r="AT78" s="92">
        <f t="shared" si="385"/>
        <v>0</v>
      </c>
      <c r="AU78" s="92">
        <f t="shared" si="386"/>
        <v>0</v>
      </c>
      <c r="AV78" s="92">
        <f t="shared" si="387"/>
        <v>0</v>
      </c>
      <c r="AW78" s="92">
        <f t="shared" si="388"/>
        <v>0</v>
      </c>
      <c r="AX78" s="92">
        <f t="shared" si="389"/>
        <v>0</v>
      </c>
      <c r="AY78" s="92">
        <f t="shared" si="390"/>
        <v>0</v>
      </c>
      <c r="AZ78" s="92">
        <f t="shared" si="391"/>
        <v>0</v>
      </c>
      <c r="BA78" s="92">
        <f t="shared" si="392"/>
        <v>0</v>
      </c>
      <c r="BB78" s="92">
        <f t="shared" si="393"/>
        <v>0</v>
      </c>
      <c r="BC78" s="92">
        <f t="shared" si="394"/>
        <v>0</v>
      </c>
      <c r="BD78" s="92">
        <f t="shared" si="395"/>
        <v>0</v>
      </c>
      <c r="BE78" s="92">
        <f t="shared" si="396"/>
        <v>0</v>
      </c>
      <c r="BF78" s="92">
        <f t="shared" si="397"/>
        <v>0</v>
      </c>
      <c r="BG78" s="92">
        <f t="shared" si="398"/>
        <v>0</v>
      </c>
      <c r="BH78" s="92">
        <f t="shared" si="399"/>
        <v>0</v>
      </c>
      <c r="BI78" s="92">
        <f t="shared" si="400"/>
        <v>0</v>
      </c>
      <c r="BJ78" s="92">
        <f t="shared" si="401"/>
        <v>0</v>
      </c>
      <c r="BK78" s="92">
        <f t="shared" si="402"/>
        <v>0</v>
      </c>
      <c r="BL78" s="92">
        <f t="shared" si="403"/>
        <v>0</v>
      </c>
      <c r="BM78" s="92">
        <f t="shared" si="404"/>
        <v>0</v>
      </c>
      <c r="BN78" s="92">
        <f t="shared" si="405"/>
        <v>0</v>
      </c>
      <c r="BO78" s="92">
        <f t="shared" si="406"/>
        <v>0</v>
      </c>
      <c r="BP78" s="92">
        <f t="shared" si="407"/>
        <v>0</v>
      </c>
      <c r="BQ78" s="92">
        <f t="shared" si="408"/>
        <v>0</v>
      </c>
      <c r="BR78" s="92">
        <f t="shared" si="409"/>
        <v>0</v>
      </c>
      <c r="BS78" s="92">
        <f t="shared" si="410"/>
        <v>0</v>
      </c>
      <c r="BT78" s="92">
        <f t="shared" si="411"/>
        <v>0</v>
      </c>
      <c r="BU78" s="92">
        <f t="shared" si="412"/>
        <v>0</v>
      </c>
      <c r="BV78" s="92">
        <f t="shared" si="413"/>
        <v>0</v>
      </c>
      <c r="BW78" s="92">
        <f t="shared" si="414"/>
        <v>0</v>
      </c>
      <c r="BX78" s="92">
        <f t="shared" si="415"/>
        <v>0</v>
      </c>
      <c r="BY78" s="92">
        <f t="shared" si="416"/>
        <v>0</v>
      </c>
      <c r="BZ78" s="92">
        <f t="shared" si="417"/>
        <v>0</v>
      </c>
      <c r="CA78" s="92">
        <f t="shared" si="418"/>
        <v>0</v>
      </c>
      <c r="CB78" s="92">
        <f t="shared" si="419"/>
        <v>0</v>
      </c>
      <c r="CC78" s="92">
        <f t="shared" si="420"/>
        <v>0</v>
      </c>
      <c r="CD78" s="92">
        <f t="shared" si="421"/>
        <v>0</v>
      </c>
      <c r="CE78" s="92">
        <f t="shared" si="422"/>
        <v>0</v>
      </c>
      <c r="CF78" s="92">
        <f t="shared" si="423"/>
        <v>0</v>
      </c>
      <c r="CG78" s="92">
        <f t="shared" si="424"/>
        <v>0</v>
      </c>
      <c r="CH78" s="92">
        <f t="shared" si="425"/>
        <v>0</v>
      </c>
    </row>
    <row r="79" spans="1:86" x14ac:dyDescent="0.25">
      <c r="A79" s="29" t="s">
        <v>13</v>
      </c>
      <c r="B79" s="31" t="s">
        <v>64</v>
      </c>
      <c r="C79" s="119"/>
      <c r="D79" s="120">
        <f>C79</f>
        <v>0</v>
      </c>
      <c r="E79" s="120">
        <f>D79</f>
        <v>0</v>
      </c>
      <c r="F79" s="120">
        <f t="shared" si="426"/>
        <v>0</v>
      </c>
      <c r="G79" s="120">
        <f t="shared" si="426"/>
        <v>0</v>
      </c>
      <c r="H79" s="120">
        <f t="shared" si="426"/>
        <v>0</v>
      </c>
      <c r="I79" s="120">
        <f t="shared" si="426"/>
        <v>0</v>
      </c>
      <c r="J79" s="120">
        <f t="shared" si="426"/>
        <v>0</v>
      </c>
      <c r="K79" s="120">
        <f t="shared" si="426"/>
        <v>0</v>
      </c>
      <c r="L79" s="120">
        <f t="shared" si="426"/>
        <v>0</v>
      </c>
      <c r="M79" s="120">
        <f t="shared" si="426"/>
        <v>0</v>
      </c>
      <c r="N79" s="120">
        <f t="shared" si="426"/>
        <v>0</v>
      </c>
      <c r="O79" s="92">
        <f t="shared" si="354"/>
        <v>0</v>
      </c>
      <c r="P79" s="92">
        <f t="shared" si="355"/>
        <v>0</v>
      </c>
      <c r="Q79" s="92">
        <f t="shared" si="356"/>
        <v>0</v>
      </c>
      <c r="R79" s="92">
        <f t="shared" si="357"/>
        <v>0</v>
      </c>
      <c r="S79" s="92">
        <f t="shared" si="358"/>
        <v>0</v>
      </c>
      <c r="T79" s="92">
        <f t="shared" si="359"/>
        <v>0</v>
      </c>
      <c r="U79" s="92">
        <f t="shared" si="360"/>
        <v>0</v>
      </c>
      <c r="V79" s="92">
        <f t="shared" si="361"/>
        <v>0</v>
      </c>
      <c r="W79" s="92">
        <f t="shared" si="362"/>
        <v>0</v>
      </c>
      <c r="X79" s="92">
        <f t="shared" si="363"/>
        <v>0</v>
      </c>
      <c r="Y79" s="92">
        <f t="shared" si="364"/>
        <v>0</v>
      </c>
      <c r="Z79" s="92">
        <f t="shared" si="365"/>
        <v>0</v>
      </c>
      <c r="AA79" s="92">
        <f t="shared" si="366"/>
        <v>0</v>
      </c>
      <c r="AB79" s="92">
        <f t="shared" si="367"/>
        <v>0</v>
      </c>
      <c r="AC79" s="92">
        <f t="shared" si="368"/>
        <v>0</v>
      </c>
      <c r="AD79" s="92">
        <f t="shared" si="369"/>
        <v>0</v>
      </c>
      <c r="AE79" s="92">
        <f t="shared" si="370"/>
        <v>0</v>
      </c>
      <c r="AF79" s="92">
        <f t="shared" si="371"/>
        <v>0</v>
      </c>
      <c r="AG79" s="92">
        <f t="shared" si="372"/>
        <v>0</v>
      </c>
      <c r="AH79" s="92">
        <f t="shared" si="373"/>
        <v>0</v>
      </c>
      <c r="AI79" s="92">
        <f t="shared" si="374"/>
        <v>0</v>
      </c>
      <c r="AJ79" s="92">
        <f t="shared" si="375"/>
        <v>0</v>
      </c>
      <c r="AK79" s="92">
        <f t="shared" si="376"/>
        <v>0</v>
      </c>
      <c r="AL79" s="92">
        <f t="shared" si="377"/>
        <v>0</v>
      </c>
      <c r="AM79" s="92">
        <f t="shared" si="378"/>
        <v>0</v>
      </c>
      <c r="AN79" s="92">
        <f t="shared" si="379"/>
        <v>0</v>
      </c>
      <c r="AO79" s="92">
        <f t="shared" si="380"/>
        <v>0</v>
      </c>
      <c r="AP79" s="92">
        <f t="shared" si="381"/>
        <v>0</v>
      </c>
      <c r="AQ79" s="92">
        <f t="shared" si="382"/>
        <v>0</v>
      </c>
      <c r="AR79" s="92">
        <f t="shared" si="383"/>
        <v>0</v>
      </c>
      <c r="AS79" s="92">
        <f t="shared" si="384"/>
        <v>0</v>
      </c>
      <c r="AT79" s="92">
        <f t="shared" si="385"/>
        <v>0</v>
      </c>
      <c r="AU79" s="92">
        <f t="shared" si="386"/>
        <v>0</v>
      </c>
      <c r="AV79" s="92">
        <f t="shared" si="387"/>
        <v>0</v>
      </c>
      <c r="AW79" s="92">
        <f t="shared" si="388"/>
        <v>0</v>
      </c>
      <c r="AX79" s="92">
        <f t="shared" si="389"/>
        <v>0</v>
      </c>
      <c r="AY79" s="92">
        <f t="shared" si="390"/>
        <v>0</v>
      </c>
      <c r="AZ79" s="92">
        <f t="shared" si="391"/>
        <v>0</v>
      </c>
      <c r="BA79" s="92">
        <f t="shared" si="392"/>
        <v>0</v>
      </c>
      <c r="BB79" s="92">
        <f t="shared" si="393"/>
        <v>0</v>
      </c>
      <c r="BC79" s="92">
        <f t="shared" si="394"/>
        <v>0</v>
      </c>
      <c r="BD79" s="92">
        <f t="shared" si="395"/>
        <v>0</v>
      </c>
      <c r="BE79" s="92">
        <f t="shared" si="396"/>
        <v>0</v>
      </c>
      <c r="BF79" s="92">
        <f t="shared" si="397"/>
        <v>0</v>
      </c>
      <c r="BG79" s="92">
        <f t="shared" si="398"/>
        <v>0</v>
      </c>
      <c r="BH79" s="92">
        <f t="shared" si="399"/>
        <v>0</v>
      </c>
      <c r="BI79" s="92">
        <f t="shared" si="400"/>
        <v>0</v>
      </c>
      <c r="BJ79" s="92">
        <f t="shared" si="401"/>
        <v>0</v>
      </c>
      <c r="BK79" s="92">
        <f t="shared" si="402"/>
        <v>0</v>
      </c>
      <c r="BL79" s="92">
        <f t="shared" si="403"/>
        <v>0</v>
      </c>
      <c r="BM79" s="92">
        <f t="shared" si="404"/>
        <v>0</v>
      </c>
      <c r="BN79" s="92">
        <f t="shared" si="405"/>
        <v>0</v>
      </c>
      <c r="BO79" s="92">
        <f t="shared" si="406"/>
        <v>0</v>
      </c>
      <c r="BP79" s="92">
        <f t="shared" si="407"/>
        <v>0</v>
      </c>
      <c r="BQ79" s="92">
        <f t="shared" si="408"/>
        <v>0</v>
      </c>
      <c r="BR79" s="92">
        <f t="shared" si="409"/>
        <v>0</v>
      </c>
      <c r="BS79" s="92">
        <f t="shared" si="410"/>
        <v>0</v>
      </c>
      <c r="BT79" s="92">
        <f t="shared" si="411"/>
        <v>0</v>
      </c>
      <c r="BU79" s="92">
        <f t="shared" si="412"/>
        <v>0</v>
      </c>
      <c r="BV79" s="92">
        <f t="shared" si="413"/>
        <v>0</v>
      </c>
      <c r="BW79" s="92">
        <f t="shared" si="414"/>
        <v>0</v>
      </c>
      <c r="BX79" s="92">
        <f t="shared" si="415"/>
        <v>0</v>
      </c>
      <c r="BY79" s="92">
        <f t="shared" si="416"/>
        <v>0</v>
      </c>
      <c r="BZ79" s="92">
        <f t="shared" si="417"/>
        <v>0</v>
      </c>
      <c r="CA79" s="92">
        <f t="shared" si="418"/>
        <v>0</v>
      </c>
      <c r="CB79" s="92">
        <f t="shared" si="419"/>
        <v>0</v>
      </c>
      <c r="CC79" s="92">
        <f t="shared" si="420"/>
        <v>0</v>
      </c>
      <c r="CD79" s="92">
        <f t="shared" si="421"/>
        <v>0</v>
      </c>
      <c r="CE79" s="92">
        <f t="shared" si="422"/>
        <v>0</v>
      </c>
      <c r="CF79" s="92">
        <f t="shared" si="423"/>
        <v>0</v>
      </c>
      <c r="CG79" s="92">
        <f t="shared" si="424"/>
        <v>0</v>
      </c>
      <c r="CH79" s="92">
        <f t="shared" si="425"/>
        <v>0</v>
      </c>
    </row>
    <row r="80" spans="1:86" x14ac:dyDescent="0.25">
      <c r="B80" s="31" t="s">
        <v>63</v>
      </c>
      <c r="C80" s="121">
        <f t="shared" ref="C80:N80" si="427">(C78)+(C79)</f>
        <v>0</v>
      </c>
      <c r="D80" s="121">
        <f t="shared" si="427"/>
        <v>0</v>
      </c>
      <c r="E80" s="121">
        <f t="shared" si="427"/>
        <v>0</v>
      </c>
      <c r="F80" s="121">
        <f t="shared" si="427"/>
        <v>0</v>
      </c>
      <c r="G80" s="121">
        <f t="shared" si="427"/>
        <v>0</v>
      </c>
      <c r="H80" s="121">
        <f t="shared" si="427"/>
        <v>0</v>
      </c>
      <c r="I80" s="121">
        <f t="shared" si="427"/>
        <v>0</v>
      </c>
      <c r="J80" s="121">
        <f t="shared" si="427"/>
        <v>0</v>
      </c>
      <c r="K80" s="121">
        <f t="shared" si="427"/>
        <v>0</v>
      </c>
      <c r="L80" s="121">
        <f t="shared" si="427"/>
        <v>0</v>
      </c>
      <c r="M80" s="121">
        <f t="shared" si="427"/>
        <v>0</v>
      </c>
      <c r="N80" s="121">
        <f t="shared" si="427"/>
        <v>0</v>
      </c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0"/>
      <c r="BS80" s="90"/>
      <c r="BT80" s="90"/>
      <c r="BU80" s="90"/>
      <c r="BV80" s="90"/>
      <c r="BW80" s="90"/>
      <c r="BX80" s="90"/>
      <c r="BY80" s="90"/>
      <c r="BZ80" s="90"/>
      <c r="CA80" s="90"/>
      <c r="CB80" s="90"/>
      <c r="CC80" s="90"/>
      <c r="CD80" s="90"/>
      <c r="CE80" s="90"/>
      <c r="CF80" s="90"/>
      <c r="CG80" s="90"/>
      <c r="CH80" s="90"/>
    </row>
    <row r="81" spans="1:86" x14ac:dyDescent="0.25">
      <c r="A81" s="29" t="s">
        <v>13</v>
      </c>
      <c r="B81" s="31" t="s">
        <v>62</v>
      </c>
      <c r="C81" s="119"/>
      <c r="D81" s="120">
        <f t="shared" ref="D81:N81" si="428">C81</f>
        <v>0</v>
      </c>
      <c r="E81" s="120">
        <f t="shared" si="428"/>
        <v>0</v>
      </c>
      <c r="F81" s="120">
        <f t="shared" si="428"/>
        <v>0</v>
      </c>
      <c r="G81" s="120">
        <f t="shared" si="428"/>
        <v>0</v>
      </c>
      <c r="H81" s="120">
        <f t="shared" si="428"/>
        <v>0</v>
      </c>
      <c r="I81" s="120">
        <f t="shared" si="428"/>
        <v>0</v>
      </c>
      <c r="J81" s="120">
        <f t="shared" si="428"/>
        <v>0</v>
      </c>
      <c r="K81" s="120">
        <f t="shared" si="428"/>
        <v>0</v>
      </c>
      <c r="L81" s="120">
        <f t="shared" si="428"/>
        <v>0</v>
      </c>
      <c r="M81" s="120">
        <f t="shared" si="428"/>
        <v>0</v>
      </c>
      <c r="N81" s="120">
        <f t="shared" si="428"/>
        <v>0</v>
      </c>
      <c r="O81" s="92">
        <f t="shared" si="354"/>
        <v>0</v>
      </c>
      <c r="P81" s="92">
        <f t="shared" ref="P81" si="429">O81</f>
        <v>0</v>
      </c>
      <c r="Q81" s="92">
        <f t="shared" ref="Q81" si="430">P81</f>
        <v>0</v>
      </c>
      <c r="R81" s="92">
        <f t="shared" ref="R81" si="431">Q81</f>
        <v>0</v>
      </c>
      <c r="S81" s="92">
        <f t="shared" ref="S81" si="432">R81</f>
        <v>0</v>
      </c>
      <c r="T81" s="92">
        <f t="shared" ref="T81" si="433">S81</f>
        <v>0</v>
      </c>
      <c r="U81" s="92">
        <f t="shared" ref="U81" si="434">T81</f>
        <v>0</v>
      </c>
      <c r="V81" s="92">
        <f t="shared" ref="V81" si="435">U81</f>
        <v>0</v>
      </c>
      <c r="W81" s="92">
        <f t="shared" ref="W81" si="436">V81</f>
        <v>0</v>
      </c>
      <c r="X81" s="92">
        <f t="shared" ref="X81" si="437">W81</f>
        <v>0</v>
      </c>
      <c r="Y81" s="92">
        <f t="shared" ref="Y81" si="438">X81</f>
        <v>0</v>
      </c>
      <c r="Z81" s="92">
        <f t="shared" ref="Z81" si="439">Y81</f>
        <v>0</v>
      </c>
      <c r="AA81" s="92">
        <f t="shared" ref="AA81" si="440">Z81</f>
        <v>0</v>
      </c>
      <c r="AB81" s="92">
        <f t="shared" ref="AB81" si="441">AA81</f>
        <v>0</v>
      </c>
      <c r="AC81" s="92">
        <f t="shared" ref="AC81" si="442">AB81</f>
        <v>0</v>
      </c>
      <c r="AD81" s="92">
        <f t="shared" ref="AD81" si="443">AC81</f>
        <v>0</v>
      </c>
      <c r="AE81" s="92">
        <f t="shared" ref="AE81" si="444">AD81</f>
        <v>0</v>
      </c>
      <c r="AF81" s="92">
        <f t="shared" ref="AF81" si="445">AE81</f>
        <v>0</v>
      </c>
      <c r="AG81" s="92">
        <f t="shared" ref="AG81" si="446">AF81</f>
        <v>0</v>
      </c>
      <c r="AH81" s="92">
        <f t="shared" ref="AH81" si="447">AG81</f>
        <v>0</v>
      </c>
      <c r="AI81" s="92">
        <f t="shared" ref="AI81" si="448">AH81</f>
        <v>0</v>
      </c>
      <c r="AJ81" s="92">
        <f t="shared" ref="AJ81" si="449">AI81</f>
        <v>0</v>
      </c>
      <c r="AK81" s="92">
        <f t="shared" ref="AK81" si="450">AJ81</f>
        <v>0</v>
      </c>
      <c r="AL81" s="92">
        <f t="shared" ref="AL81" si="451">AK81</f>
        <v>0</v>
      </c>
      <c r="AM81" s="92">
        <f t="shared" ref="AM81" si="452">AL81</f>
        <v>0</v>
      </c>
      <c r="AN81" s="92">
        <f t="shared" ref="AN81" si="453">AM81</f>
        <v>0</v>
      </c>
      <c r="AO81" s="92">
        <f t="shared" ref="AO81" si="454">AN81</f>
        <v>0</v>
      </c>
      <c r="AP81" s="92">
        <f t="shared" ref="AP81" si="455">AO81</f>
        <v>0</v>
      </c>
      <c r="AQ81" s="92">
        <f t="shared" ref="AQ81" si="456">AP81</f>
        <v>0</v>
      </c>
      <c r="AR81" s="92">
        <f t="shared" ref="AR81" si="457">AQ81</f>
        <v>0</v>
      </c>
      <c r="AS81" s="92">
        <f t="shared" ref="AS81" si="458">AR81</f>
        <v>0</v>
      </c>
      <c r="AT81" s="92">
        <f t="shared" ref="AT81" si="459">AS81</f>
        <v>0</v>
      </c>
      <c r="AU81" s="92">
        <f t="shared" ref="AU81" si="460">AT81</f>
        <v>0</v>
      </c>
      <c r="AV81" s="92">
        <f t="shared" ref="AV81" si="461">AU81</f>
        <v>0</v>
      </c>
      <c r="AW81" s="92">
        <f t="shared" ref="AW81" si="462">AV81</f>
        <v>0</v>
      </c>
      <c r="AX81" s="92">
        <f t="shared" ref="AX81" si="463">AW81</f>
        <v>0</v>
      </c>
      <c r="AY81" s="92">
        <f t="shared" ref="AY81" si="464">AX81</f>
        <v>0</v>
      </c>
      <c r="AZ81" s="92">
        <f t="shared" ref="AZ81" si="465">AY81</f>
        <v>0</v>
      </c>
      <c r="BA81" s="92">
        <f t="shared" ref="BA81" si="466">AZ81</f>
        <v>0</v>
      </c>
      <c r="BB81" s="92">
        <f t="shared" ref="BB81" si="467">BA81</f>
        <v>0</v>
      </c>
      <c r="BC81" s="92">
        <f t="shared" ref="BC81" si="468">BB81</f>
        <v>0</v>
      </c>
      <c r="BD81" s="92">
        <f t="shared" ref="BD81" si="469">BC81</f>
        <v>0</v>
      </c>
      <c r="BE81" s="92">
        <f t="shared" ref="BE81" si="470">BD81</f>
        <v>0</v>
      </c>
      <c r="BF81" s="92">
        <f t="shared" ref="BF81" si="471">BE81</f>
        <v>0</v>
      </c>
      <c r="BG81" s="92">
        <f t="shared" ref="BG81" si="472">BF81</f>
        <v>0</v>
      </c>
      <c r="BH81" s="92">
        <f t="shared" ref="BH81" si="473">BG81</f>
        <v>0</v>
      </c>
      <c r="BI81" s="92">
        <f t="shared" ref="BI81" si="474">BH81</f>
        <v>0</v>
      </c>
      <c r="BJ81" s="92">
        <f t="shared" ref="BJ81" si="475">BI81</f>
        <v>0</v>
      </c>
      <c r="BK81" s="92">
        <f t="shared" ref="BK81" si="476">BJ81</f>
        <v>0</v>
      </c>
      <c r="BL81" s="92">
        <f t="shared" ref="BL81" si="477">BK81</f>
        <v>0</v>
      </c>
      <c r="BM81" s="92">
        <f t="shared" ref="BM81" si="478">BL81</f>
        <v>0</v>
      </c>
      <c r="BN81" s="92">
        <f t="shared" ref="BN81" si="479">BM81</f>
        <v>0</v>
      </c>
      <c r="BO81" s="92">
        <f t="shared" ref="BO81" si="480">BN81</f>
        <v>0</v>
      </c>
      <c r="BP81" s="92">
        <f t="shared" ref="BP81" si="481">BO81</f>
        <v>0</v>
      </c>
      <c r="BQ81" s="92">
        <f t="shared" ref="BQ81" si="482">BP81</f>
        <v>0</v>
      </c>
      <c r="BR81" s="92">
        <f t="shared" ref="BR81" si="483">BQ81</f>
        <v>0</v>
      </c>
      <c r="BS81" s="92">
        <f t="shared" ref="BS81" si="484">BR81</f>
        <v>0</v>
      </c>
      <c r="BT81" s="92">
        <f t="shared" ref="BT81" si="485">BS81</f>
        <v>0</v>
      </c>
      <c r="BU81" s="92">
        <f t="shared" ref="BU81" si="486">BT81</f>
        <v>0</v>
      </c>
      <c r="BV81" s="92">
        <f t="shared" ref="BV81" si="487">BU81</f>
        <v>0</v>
      </c>
      <c r="BW81" s="92">
        <f t="shared" ref="BW81" si="488">BV81</f>
        <v>0</v>
      </c>
      <c r="BX81" s="92">
        <f t="shared" ref="BX81" si="489">BW81</f>
        <v>0</v>
      </c>
      <c r="BY81" s="92">
        <f t="shared" ref="BY81" si="490">BX81</f>
        <v>0</v>
      </c>
      <c r="BZ81" s="92">
        <f t="shared" ref="BZ81" si="491">BY81</f>
        <v>0</v>
      </c>
      <c r="CA81" s="92">
        <f t="shared" ref="CA81" si="492">BZ81</f>
        <v>0</v>
      </c>
      <c r="CB81" s="92">
        <f t="shared" ref="CB81" si="493">CA81</f>
        <v>0</v>
      </c>
      <c r="CC81" s="92">
        <f t="shared" ref="CC81" si="494">CB81</f>
        <v>0</v>
      </c>
      <c r="CD81" s="92">
        <f t="shared" ref="CD81" si="495">CC81</f>
        <v>0</v>
      </c>
      <c r="CE81" s="92">
        <f t="shared" ref="CE81" si="496">CD81</f>
        <v>0</v>
      </c>
      <c r="CF81" s="92">
        <f t="shared" ref="CF81" si="497">CE81</f>
        <v>0</v>
      </c>
      <c r="CG81" s="92">
        <f t="shared" ref="CG81" si="498">CF81</f>
        <v>0</v>
      </c>
      <c r="CH81" s="92">
        <f t="shared" ref="CH81" si="499">CG81</f>
        <v>0</v>
      </c>
    </row>
    <row r="82" spans="1:86" x14ac:dyDescent="0.25">
      <c r="B82" s="31" t="s">
        <v>61</v>
      </c>
      <c r="C82" s="121">
        <f t="shared" ref="C82:N82" si="500">((C77)+(C80))+(C81)</f>
        <v>-28880.7</v>
      </c>
      <c r="D82" s="121">
        <f t="shared" si="500"/>
        <v>-30913.1</v>
      </c>
      <c r="E82" s="121">
        <f t="shared" si="500"/>
        <v>-30913.1</v>
      </c>
      <c r="F82" s="121">
        <f t="shared" si="500"/>
        <v>0</v>
      </c>
      <c r="G82" s="121">
        <f t="shared" si="500"/>
        <v>11602</v>
      </c>
      <c r="H82" s="121">
        <f t="shared" si="500"/>
        <v>32582.080000000002</v>
      </c>
      <c r="I82" s="121">
        <f t="shared" si="500"/>
        <v>140107.25</v>
      </c>
      <c r="J82" s="121">
        <f t="shared" si="500"/>
        <v>94625.87</v>
      </c>
      <c r="K82" s="121">
        <f t="shared" si="500"/>
        <v>26998.55</v>
      </c>
      <c r="L82" s="121">
        <f t="shared" si="500"/>
        <v>131057.5</v>
      </c>
      <c r="M82" s="121">
        <f t="shared" si="500"/>
        <v>102738</v>
      </c>
      <c r="N82" s="121">
        <f t="shared" si="500"/>
        <v>98000.5</v>
      </c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0"/>
      <c r="BS82" s="90"/>
      <c r="BT82" s="90"/>
      <c r="BU82" s="90"/>
      <c r="BV82" s="90"/>
      <c r="BW82" s="90"/>
      <c r="BX82" s="90"/>
      <c r="BY82" s="90"/>
      <c r="BZ82" s="90"/>
      <c r="CA82" s="90"/>
      <c r="CB82" s="90"/>
      <c r="CC82" s="90"/>
      <c r="CD82" s="90"/>
      <c r="CE82" s="90"/>
      <c r="CF82" s="90"/>
      <c r="CG82" s="90"/>
      <c r="CH82" s="90"/>
    </row>
    <row r="83" spans="1:86" x14ac:dyDescent="0.25">
      <c r="B83" s="31" t="s">
        <v>60</v>
      </c>
      <c r="C83" s="121">
        <f t="shared" ref="C83:N83" si="501">C82</f>
        <v>-28880.7</v>
      </c>
      <c r="D83" s="121">
        <f t="shared" si="501"/>
        <v>-30913.1</v>
      </c>
      <c r="E83" s="121">
        <f t="shared" si="501"/>
        <v>-30913.1</v>
      </c>
      <c r="F83" s="121">
        <f t="shared" si="501"/>
        <v>0</v>
      </c>
      <c r="G83" s="121">
        <f t="shared" si="501"/>
        <v>11602</v>
      </c>
      <c r="H83" s="121">
        <f t="shared" si="501"/>
        <v>32582.080000000002</v>
      </c>
      <c r="I83" s="121">
        <f t="shared" si="501"/>
        <v>140107.25</v>
      </c>
      <c r="J83" s="121">
        <f t="shared" si="501"/>
        <v>94625.87</v>
      </c>
      <c r="K83" s="121">
        <f t="shared" si="501"/>
        <v>26998.55</v>
      </c>
      <c r="L83" s="121">
        <f t="shared" si="501"/>
        <v>131057.5</v>
      </c>
      <c r="M83" s="121">
        <f t="shared" si="501"/>
        <v>102738</v>
      </c>
      <c r="N83" s="121">
        <f t="shared" si="501"/>
        <v>98000.5</v>
      </c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0"/>
      <c r="CF83" s="90"/>
      <c r="CG83" s="90"/>
      <c r="CH83" s="90"/>
    </row>
    <row r="84" spans="1:86" x14ac:dyDescent="0.25">
      <c r="B84" s="31" t="s">
        <v>59</v>
      </c>
      <c r="C84" s="121">
        <f t="shared" ref="C84:N84" si="502">((C70)+(C75))+(C83)</f>
        <v>6756.8199999999961</v>
      </c>
      <c r="D84" s="121">
        <f t="shared" si="502"/>
        <v>52277.599999999999</v>
      </c>
      <c r="E84" s="121">
        <f t="shared" si="502"/>
        <v>58925.659999999996</v>
      </c>
      <c r="F84" s="121">
        <f t="shared" si="502"/>
        <v>194874.99</v>
      </c>
      <c r="G84" s="121">
        <f t="shared" si="502"/>
        <v>257151.25</v>
      </c>
      <c r="H84" s="121">
        <f t="shared" si="502"/>
        <v>224703.06</v>
      </c>
      <c r="I84" s="121">
        <f t="shared" si="502"/>
        <v>441263.57999999996</v>
      </c>
      <c r="J84" s="121">
        <f t="shared" si="502"/>
        <v>441014.48</v>
      </c>
      <c r="K84" s="121">
        <f t="shared" si="502"/>
        <v>466052.89</v>
      </c>
      <c r="L84" s="121">
        <f t="shared" si="502"/>
        <v>662695.18999999994</v>
      </c>
      <c r="M84" s="121">
        <f t="shared" si="502"/>
        <v>580607.37</v>
      </c>
      <c r="N84" s="121">
        <f t="shared" si="502"/>
        <v>742401.33000000007</v>
      </c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  <c r="CA84" s="90"/>
      <c r="CB84" s="90"/>
      <c r="CC84" s="90"/>
      <c r="CD84" s="90"/>
      <c r="CE84" s="90"/>
      <c r="CF84" s="90"/>
      <c r="CG84" s="90"/>
      <c r="CH84" s="90"/>
    </row>
    <row r="85" spans="1:86" x14ac:dyDescent="0.25">
      <c r="B85" s="31" t="s">
        <v>58</v>
      </c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</row>
    <row r="86" spans="1:86" x14ac:dyDescent="0.25">
      <c r="A86" s="29" t="s">
        <v>23</v>
      </c>
      <c r="B86" s="31" t="s">
        <v>57</v>
      </c>
      <c r="C86" s="119"/>
      <c r="D86" s="120">
        <f t="shared" ref="D86:N88" si="503">C86</f>
        <v>0</v>
      </c>
      <c r="E86" s="120">
        <f t="shared" si="503"/>
        <v>0</v>
      </c>
      <c r="F86" s="120">
        <f t="shared" si="503"/>
        <v>0</v>
      </c>
      <c r="G86" s="120">
        <f t="shared" si="503"/>
        <v>0</v>
      </c>
      <c r="H86" s="120">
        <f t="shared" si="503"/>
        <v>0</v>
      </c>
      <c r="I86" s="120">
        <f t="shared" si="503"/>
        <v>0</v>
      </c>
      <c r="J86" s="120">
        <f t="shared" si="503"/>
        <v>0</v>
      </c>
      <c r="K86" s="120">
        <f t="shared" si="503"/>
        <v>0</v>
      </c>
      <c r="L86" s="120">
        <f t="shared" si="503"/>
        <v>0</v>
      </c>
      <c r="M86" s="120">
        <f t="shared" si="503"/>
        <v>0</v>
      </c>
      <c r="N86" s="120">
        <f t="shared" si="503"/>
        <v>0</v>
      </c>
      <c r="O86" s="92">
        <f t="shared" ref="O86:O88" si="504">N86</f>
        <v>0</v>
      </c>
      <c r="P86" s="92">
        <f t="shared" ref="P86:P88" si="505">O86</f>
        <v>0</v>
      </c>
      <c r="Q86" s="92">
        <f t="shared" ref="Q86:Q88" si="506">P86</f>
        <v>0</v>
      </c>
      <c r="R86" s="92">
        <f t="shared" ref="R86:R88" si="507">Q86</f>
        <v>0</v>
      </c>
      <c r="S86" s="92">
        <f t="shared" ref="S86:S88" si="508">R86</f>
        <v>0</v>
      </c>
      <c r="T86" s="92">
        <f t="shared" ref="T86:T88" si="509">S86</f>
        <v>0</v>
      </c>
      <c r="U86" s="92">
        <f t="shared" ref="U86:U88" si="510">T86</f>
        <v>0</v>
      </c>
      <c r="V86" s="92">
        <f t="shared" ref="V86:V88" si="511">U86</f>
        <v>0</v>
      </c>
      <c r="W86" s="92">
        <f t="shared" ref="W86:W88" si="512">V86</f>
        <v>0</v>
      </c>
      <c r="X86" s="92">
        <f t="shared" ref="X86:X88" si="513">W86</f>
        <v>0</v>
      </c>
      <c r="Y86" s="92">
        <f t="shared" ref="Y86:Y88" si="514">X86</f>
        <v>0</v>
      </c>
      <c r="Z86" s="92">
        <f t="shared" ref="Z86:Z88" si="515">Y86</f>
        <v>0</v>
      </c>
      <c r="AA86" s="92">
        <f t="shared" ref="AA86:AA88" si="516">Z86</f>
        <v>0</v>
      </c>
      <c r="AB86" s="92">
        <f t="shared" ref="AB86:AB88" si="517">AA86</f>
        <v>0</v>
      </c>
      <c r="AC86" s="92">
        <f t="shared" ref="AC86:AC88" si="518">AB86</f>
        <v>0</v>
      </c>
      <c r="AD86" s="92">
        <f t="shared" ref="AD86:AD88" si="519">AC86</f>
        <v>0</v>
      </c>
      <c r="AE86" s="92">
        <f t="shared" ref="AE86:AE88" si="520">AD86</f>
        <v>0</v>
      </c>
      <c r="AF86" s="92">
        <f t="shared" ref="AF86:AF88" si="521">AE86</f>
        <v>0</v>
      </c>
      <c r="AG86" s="92">
        <f t="shared" ref="AG86:AG88" si="522">AF86</f>
        <v>0</v>
      </c>
      <c r="AH86" s="92">
        <f t="shared" ref="AH86:AH88" si="523">AG86</f>
        <v>0</v>
      </c>
      <c r="AI86" s="92">
        <f t="shared" ref="AI86:AI88" si="524">AH86</f>
        <v>0</v>
      </c>
      <c r="AJ86" s="92">
        <f t="shared" ref="AJ86:AJ88" si="525">AI86</f>
        <v>0</v>
      </c>
      <c r="AK86" s="92">
        <f t="shared" ref="AK86:AK88" si="526">AJ86</f>
        <v>0</v>
      </c>
      <c r="AL86" s="92">
        <f t="shared" ref="AL86:AL88" si="527">AK86</f>
        <v>0</v>
      </c>
      <c r="AM86" s="92">
        <f t="shared" ref="AM86:AM88" si="528">AL86</f>
        <v>0</v>
      </c>
      <c r="AN86" s="92">
        <f t="shared" ref="AN86:AN88" si="529">AM86</f>
        <v>0</v>
      </c>
      <c r="AO86" s="92">
        <f t="shared" ref="AO86:AO88" si="530">AN86</f>
        <v>0</v>
      </c>
      <c r="AP86" s="92">
        <f t="shared" ref="AP86:AP88" si="531">AO86</f>
        <v>0</v>
      </c>
      <c r="AQ86" s="92">
        <f t="shared" ref="AQ86:AQ88" si="532">AP86</f>
        <v>0</v>
      </c>
      <c r="AR86" s="92">
        <f t="shared" ref="AR86:AR88" si="533">AQ86</f>
        <v>0</v>
      </c>
      <c r="AS86" s="92">
        <f t="shared" ref="AS86:AS88" si="534">AR86</f>
        <v>0</v>
      </c>
      <c r="AT86" s="92">
        <f t="shared" ref="AT86:AT88" si="535">AS86</f>
        <v>0</v>
      </c>
      <c r="AU86" s="92">
        <f t="shared" ref="AU86:AU88" si="536">AT86</f>
        <v>0</v>
      </c>
      <c r="AV86" s="92">
        <f t="shared" ref="AV86:AV88" si="537">AU86</f>
        <v>0</v>
      </c>
      <c r="AW86" s="92">
        <f t="shared" ref="AW86:AW88" si="538">AV86</f>
        <v>0</v>
      </c>
      <c r="AX86" s="92">
        <f t="shared" ref="AX86:AX88" si="539">AW86</f>
        <v>0</v>
      </c>
      <c r="AY86" s="92">
        <f t="shared" ref="AY86:AY88" si="540">AX86</f>
        <v>0</v>
      </c>
      <c r="AZ86" s="92">
        <f t="shared" ref="AZ86:AZ88" si="541">AY86</f>
        <v>0</v>
      </c>
      <c r="BA86" s="92">
        <f t="shared" ref="BA86:BA88" si="542">AZ86</f>
        <v>0</v>
      </c>
      <c r="BB86" s="92">
        <f t="shared" ref="BB86:BB88" si="543">BA86</f>
        <v>0</v>
      </c>
      <c r="BC86" s="92">
        <f t="shared" ref="BC86:BC88" si="544">BB86</f>
        <v>0</v>
      </c>
      <c r="BD86" s="92">
        <f t="shared" ref="BD86:BD88" si="545">BC86</f>
        <v>0</v>
      </c>
      <c r="BE86" s="92">
        <f t="shared" ref="BE86:BE88" si="546">BD86</f>
        <v>0</v>
      </c>
      <c r="BF86" s="92">
        <f t="shared" ref="BF86:BF88" si="547">BE86</f>
        <v>0</v>
      </c>
      <c r="BG86" s="92">
        <f t="shared" ref="BG86:BG88" si="548">BF86</f>
        <v>0</v>
      </c>
      <c r="BH86" s="92">
        <f t="shared" ref="BH86:BH88" si="549">BG86</f>
        <v>0</v>
      </c>
      <c r="BI86" s="92">
        <f t="shared" ref="BI86:BI88" si="550">BH86</f>
        <v>0</v>
      </c>
      <c r="BJ86" s="92">
        <f t="shared" ref="BJ86:BJ88" si="551">BI86</f>
        <v>0</v>
      </c>
      <c r="BK86" s="92">
        <f t="shared" ref="BK86:BK88" si="552">BJ86</f>
        <v>0</v>
      </c>
      <c r="BL86" s="92">
        <f t="shared" ref="BL86:BL88" si="553">BK86</f>
        <v>0</v>
      </c>
      <c r="BM86" s="92">
        <f t="shared" ref="BM86:BM88" si="554">BL86</f>
        <v>0</v>
      </c>
      <c r="BN86" s="92">
        <f t="shared" ref="BN86:BN88" si="555">BM86</f>
        <v>0</v>
      </c>
      <c r="BO86" s="92">
        <f t="shared" ref="BO86:BO88" si="556">BN86</f>
        <v>0</v>
      </c>
      <c r="BP86" s="92">
        <f t="shared" ref="BP86:BP88" si="557">BO86</f>
        <v>0</v>
      </c>
      <c r="BQ86" s="92">
        <f t="shared" ref="BQ86:BQ88" si="558">BP86</f>
        <v>0</v>
      </c>
      <c r="BR86" s="92">
        <f t="shared" ref="BR86:BR88" si="559">BQ86</f>
        <v>0</v>
      </c>
      <c r="BS86" s="92">
        <f t="shared" ref="BS86:BS88" si="560">BR86</f>
        <v>0</v>
      </c>
      <c r="BT86" s="92">
        <f t="shared" ref="BT86:BT88" si="561">BS86</f>
        <v>0</v>
      </c>
      <c r="BU86" s="92">
        <f t="shared" ref="BU86:BU88" si="562">BT86</f>
        <v>0</v>
      </c>
      <c r="BV86" s="92">
        <f t="shared" ref="BV86:BV88" si="563">BU86</f>
        <v>0</v>
      </c>
      <c r="BW86" s="92">
        <f t="shared" ref="BW86:BW88" si="564">BV86</f>
        <v>0</v>
      </c>
      <c r="BX86" s="92">
        <f t="shared" ref="BX86:BX88" si="565">BW86</f>
        <v>0</v>
      </c>
      <c r="BY86" s="92">
        <f t="shared" ref="BY86:BY88" si="566">BX86</f>
        <v>0</v>
      </c>
      <c r="BZ86" s="92">
        <f t="shared" ref="BZ86:BZ88" si="567">BY86</f>
        <v>0</v>
      </c>
      <c r="CA86" s="92">
        <f t="shared" ref="CA86:CA88" si="568">BZ86</f>
        <v>0</v>
      </c>
      <c r="CB86" s="92">
        <f t="shared" ref="CB86:CB88" si="569">CA86</f>
        <v>0</v>
      </c>
      <c r="CC86" s="92">
        <f t="shared" ref="CC86:CC88" si="570">CB86</f>
        <v>0</v>
      </c>
      <c r="CD86" s="92">
        <f t="shared" ref="CD86:CD88" si="571">CC86</f>
        <v>0</v>
      </c>
      <c r="CE86" s="92">
        <f t="shared" ref="CE86:CE88" si="572">CD86</f>
        <v>0</v>
      </c>
      <c r="CF86" s="92">
        <f t="shared" ref="CF86:CF88" si="573">CE86</f>
        <v>0</v>
      </c>
      <c r="CG86" s="92">
        <f t="shared" ref="CG86:CG88" si="574">CF86</f>
        <v>0</v>
      </c>
      <c r="CH86" s="92">
        <f t="shared" ref="CH86:CH88" si="575">CG86</f>
        <v>0</v>
      </c>
    </row>
    <row r="87" spans="1:86" x14ac:dyDescent="0.25">
      <c r="A87" s="29" t="s">
        <v>23</v>
      </c>
      <c r="B87" s="31" t="s">
        <v>56</v>
      </c>
      <c r="C87" s="120">
        <f>5000</f>
        <v>5000</v>
      </c>
      <c r="D87" s="120">
        <f>C87</f>
        <v>5000</v>
      </c>
      <c r="E87" s="120">
        <f>D87</f>
        <v>5000</v>
      </c>
      <c r="F87" s="120">
        <f>0</f>
        <v>0</v>
      </c>
      <c r="G87" s="120">
        <f t="shared" si="503"/>
        <v>0</v>
      </c>
      <c r="H87" s="120">
        <f t="shared" si="503"/>
        <v>0</v>
      </c>
      <c r="I87" s="120">
        <f t="shared" si="503"/>
        <v>0</v>
      </c>
      <c r="J87" s="120">
        <f t="shared" si="503"/>
        <v>0</v>
      </c>
      <c r="K87" s="120">
        <f t="shared" si="503"/>
        <v>0</v>
      </c>
      <c r="L87" s="120">
        <f t="shared" si="503"/>
        <v>0</v>
      </c>
      <c r="M87" s="120">
        <f t="shared" si="503"/>
        <v>0</v>
      </c>
      <c r="N87" s="120">
        <f t="shared" si="503"/>
        <v>0</v>
      </c>
      <c r="O87" s="92">
        <f t="shared" si="504"/>
        <v>0</v>
      </c>
      <c r="P87" s="92">
        <f t="shared" si="505"/>
        <v>0</v>
      </c>
      <c r="Q87" s="92">
        <f t="shared" si="506"/>
        <v>0</v>
      </c>
      <c r="R87" s="92">
        <f t="shared" si="507"/>
        <v>0</v>
      </c>
      <c r="S87" s="92">
        <f t="shared" si="508"/>
        <v>0</v>
      </c>
      <c r="T87" s="92">
        <f t="shared" si="509"/>
        <v>0</v>
      </c>
      <c r="U87" s="92">
        <f t="shared" si="510"/>
        <v>0</v>
      </c>
      <c r="V87" s="92">
        <f t="shared" si="511"/>
        <v>0</v>
      </c>
      <c r="W87" s="92">
        <f t="shared" si="512"/>
        <v>0</v>
      </c>
      <c r="X87" s="92">
        <f t="shared" si="513"/>
        <v>0</v>
      </c>
      <c r="Y87" s="92">
        <f t="shared" si="514"/>
        <v>0</v>
      </c>
      <c r="Z87" s="92">
        <f t="shared" si="515"/>
        <v>0</v>
      </c>
      <c r="AA87" s="92">
        <f t="shared" si="516"/>
        <v>0</v>
      </c>
      <c r="AB87" s="92">
        <f t="shared" si="517"/>
        <v>0</v>
      </c>
      <c r="AC87" s="92">
        <f t="shared" si="518"/>
        <v>0</v>
      </c>
      <c r="AD87" s="92">
        <f t="shared" si="519"/>
        <v>0</v>
      </c>
      <c r="AE87" s="92">
        <f t="shared" si="520"/>
        <v>0</v>
      </c>
      <c r="AF87" s="92">
        <f t="shared" si="521"/>
        <v>0</v>
      </c>
      <c r="AG87" s="92">
        <f t="shared" si="522"/>
        <v>0</v>
      </c>
      <c r="AH87" s="92">
        <f t="shared" si="523"/>
        <v>0</v>
      </c>
      <c r="AI87" s="92">
        <f t="shared" si="524"/>
        <v>0</v>
      </c>
      <c r="AJ87" s="92">
        <f t="shared" si="525"/>
        <v>0</v>
      </c>
      <c r="AK87" s="92">
        <f t="shared" si="526"/>
        <v>0</v>
      </c>
      <c r="AL87" s="92">
        <f t="shared" si="527"/>
        <v>0</v>
      </c>
      <c r="AM87" s="92">
        <f t="shared" si="528"/>
        <v>0</v>
      </c>
      <c r="AN87" s="92">
        <f t="shared" si="529"/>
        <v>0</v>
      </c>
      <c r="AO87" s="92">
        <f t="shared" si="530"/>
        <v>0</v>
      </c>
      <c r="AP87" s="92">
        <f t="shared" si="531"/>
        <v>0</v>
      </c>
      <c r="AQ87" s="92">
        <f t="shared" si="532"/>
        <v>0</v>
      </c>
      <c r="AR87" s="92">
        <f t="shared" si="533"/>
        <v>0</v>
      </c>
      <c r="AS87" s="92">
        <f t="shared" si="534"/>
        <v>0</v>
      </c>
      <c r="AT87" s="92">
        <f t="shared" si="535"/>
        <v>0</v>
      </c>
      <c r="AU87" s="92">
        <f t="shared" si="536"/>
        <v>0</v>
      </c>
      <c r="AV87" s="92">
        <f t="shared" si="537"/>
        <v>0</v>
      </c>
      <c r="AW87" s="92">
        <f t="shared" si="538"/>
        <v>0</v>
      </c>
      <c r="AX87" s="92">
        <f t="shared" si="539"/>
        <v>0</v>
      </c>
      <c r="AY87" s="92">
        <f t="shared" si="540"/>
        <v>0</v>
      </c>
      <c r="AZ87" s="92">
        <f t="shared" si="541"/>
        <v>0</v>
      </c>
      <c r="BA87" s="92">
        <f t="shared" si="542"/>
        <v>0</v>
      </c>
      <c r="BB87" s="92">
        <f t="shared" si="543"/>
        <v>0</v>
      </c>
      <c r="BC87" s="92">
        <f t="shared" si="544"/>
        <v>0</v>
      </c>
      <c r="BD87" s="92">
        <f t="shared" si="545"/>
        <v>0</v>
      </c>
      <c r="BE87" s="92">
        <f t="shared" si="546"/>
        <v>0</v>
      </c>
      <c r="BF87" s="92">
        <f t="shared" si="547"/>
        <v>0</v>
      </c>
      <c r="BG87" s="92">
        <f t="shared" si="548"/>
        <v>0</v>
      </c>
      <c r="BH87" s="92">
        <f t="shared" si="549"/>
        <v>0</v>
      </c>
      <c r="BI87" s="92">
        <f t="shared" si="550"/>
        <v>0</v>
      </c>
      <c r="BJ87" s="92">
        <f t="shared" si="551"/>
        <v>0</v>
      </c>
      <c r="BK87" s="92">
        <f t="shared" si="552"/>
        <v>0</v>
      </c>
      <c r="BL87" s="92">
        <f t="shared" si="553"/>
        <v>0</v>
      </c>
      <c r="BM87" s="92">
        <f t="shared" si="554"/>
        <v>0</v>
      </c>
      <c r="BN87" s="92">
        <f t="shared" si="555"/>
        <v>0</v>
      </c>
      <c r="BO87" s="92">
        <f t="shared" si="556"/>
        <v>0</v>
      </c>
      <c r="BP87" s="92">
        <f t="shared" si="557"/>
        <v>0</v>
      </c>
      <c r="BQ87" s="92">
        <f t="shared" si="558"/>
        <v>0</v>
      </c>
      <c r="BR87" s="92">
        <f t="shared" si="559"/>
        <v>0</v>
      </c>
      <c r="BS87" s="92">
        <f t="shared" si="560"/>
        <v>0</v>
      </c>
      <c r="BT87" s="92">
        <f t="shared" si="561"/>
        <v>0</v>
      </c>
      <c r="BU87" s="92">
        <f t="shared" si="562"/>
        <v>0</v>
      </c>
      <c r="BV87" s="92">
        <f t="shared" si="563"/>
        <v>0</v>
      </c>
      <c r="BW87" s="92">
        <f t="shared" si="564"/>
        <v>0</v>
      </c>
      <c r="BX87" s="92">
        <f t="shared" si="565"/>
        <v>0</v>
      </c>
      <c r="BY87" s="92">
        <f t="shared" si="566"/>
        <v>0</v>
      </c>
      <c r="BZ87" s="92">
        <f t="shared" si="567"/>
        <v>0</v>
      </c>
      <c r="CA87" s="92">
        <f t="shared" si="568"/>
        <v>0</v>
      </c>
      <c r="CB87" s="92">
        <f t="shared" si="569"/>
        <v>0</v>
      </c>
      <c r="CC87" s="92">
        <f t="shared" si="570"/>
        <v>0</v>
      </c>
      <c r="CD87" s="92">
        <f t="shared" si="571"/>
        <v>0</v>
      </c>
      <c r="CE87" s="92">
        <f t="shared" si="572"/>
        <v>0</v>
      </c>
      <c r="CF87" s="92">
        <f t="shared" si="573"/>
        <v>0</v>
      </c>
      <c r="CG87" s="92">
        <f t="shared" si="574"/>
        <v>0</v>
      </c>
      <c r="CH87" s="92">
        <f t="shared" si="575"/>
        <v>0</v>
      </c>
    </row>
    <row r="88" spans="1:86" x14ac:dyDescent="0.25">
      <c r="A88" s="29" t="s">
        <v>23</v>
      </c>
      <c r="B88" s="31" t="s">
        <v>55</v>
      </c>
      <c r="C88" s="119"/>
      <c r="D88" s="120">
        <f>C88</f>
        <v>0</v>
      </c>
      <c r="E88" s="120">
        <f>D88</f>
        <v>0</v>
      </c>
      <c r="F88" s="120">
        <f>E88</f>
        <v>0</v>
      </c>
      <c r="G88" s="120">
        <f t="shared" si="503"/>
        <v>0</v>
      </c>
      <c r="H88" s="120">
        <f t="shared" si="503"/>
        <v>0</v>
      </c>
      <c r="I88" s="120">
        <f t="shared" si="503"/>
        <v>0</v>
      </c>
      <c r="J88" s="120">
        <f t="shared" si="503"/>
        <v>0</v>
      </c>
      <c r="K88" s="120">
        <f t="shared" si="503"/>
        <v>0</v>
      </c>
      <c r="L88" s="120">
        <f t="shared" si="503"/>
        <v>0</v>
      </c>
      <c r="M88" s="120">
        <f t="shared" si="503"/>
        <v>0</v>
      </c>
      <c r="N88" s="120">
        <f t="shared" si="503"/>
        <v>0</v>
      </c>
      <c r="O88" s="92">
        <f t="shared" si="504"/>
        <v>0</v>
      </c>
      <c r="P88" s="92">
        <f t="shared" si="505"/>
        <v>0</v>
      </c>
      <c r="Q88" s="92">
        <f t="shared" si="506"/>
        <v>0</v>
      </c>
      <c r="R88" s="92">
        <f t="shared" si="507"/>
        <v>0</v>
      </c>
      <c r="S88" s="92">
        <f t="shared" si="508"/>
        <v>0</v>
      </c>
      <c r="T88" s="92">
        <f t="shared" si="509"/>
        <v>0</v>
      </c>
      <c r="U88" s="92">
        <f t="shared" si="510"/>
        <v>0</v>
      </c>
      <c r="V88" s="92">
        <f t="shared" si="511"/>
        <v>0</v>
      </c>
      <c r="W88" s="92">
        <f t="shared" si="512"/>
        <v>0</v>
      </c>
      <c r="X88" s="92">
        <f t="shared" si="513"/>
        <v>0</v>
      </c>
      <c r="Y88" s="92">
        <f t="shared" si="514"/>
        <v>0</v>
      </c>
      <c r="Z88" s="92">
        <f t="shared" si="515"/>
        <v>0</v>
      </c>
      <c r="AA88" s="92">
        <f t="shared" si="516"/>
        <v>0</v>
      </c>
      <c r="AB88" s="92">
        <f t="shared" si="517"/>
        <v>0</v>
      </c>
      <c r="AC88" s="92">
        <f t="shared" si="518"/>
        <v>0</v>
      </c>
      <c r="AD88" s="92">
        <f t="shared" si="519"/>
        <v>0</v>
      </c>
      <c r="AE88" s="92">
        <f t="shared" si="520"/>
        <v>0</v>
      </c>
      <c r="AF88" s="92">
        <f t="shared" si="521"/>
        <v>0</v>
      </c>
      <c r="AG88" s="92">
        <f t="shared" si="522"/>
        <v>0</v>
      </c>
      <c r="AH88" s="92">
        <f t="shared" si="523"/>
        <v>0</v>
      </c>
      <c r="AI88" s="92">
        <f t="shared" si="524"/>
        <v>0</v>
      </c>
      <c r="AJ88" s="92">
        <f t="shared" si="525"/>
        <v>0</v>
      </c>
      <c r="AK88" s="92">
        <f t="shared" si="526"/>
        <v>0</v>
      </c>
      <c r="AL88" s="92">
        <f t="shared" si="527"/>
        <v>0</v>
      </c>
      <c r="AM88" s="92">
        <f t="shared" si="528"/>
        <v>0</v>
      </c>
      <c r="AN88" s="92">
        <f t="shared" si="529"/>
        <v>0</v>
      </c>
      <c r="AO88" s="92">
        <f t="shared" si="530"/>
        <v>0</v>
      </c>
      <c r="AP88" s="92">
        <f t="shared" si="531"/>
        <v>0</v>
      </c>
      <c r="AQ88" s="92">
        <f t="shared" si="532"/>
        <v>0</v>
      </c>
      <c r="AR88" s="92">
        <f t="shared" si="533"/>
        <v>0</v>
      </c>
      <c r="AS88" s="92">
        <f t="shared" si="534"/>
        <v>0</v>
      </c>
      <c r="AT88" s="92">
        <f t="shared" si="535"/>
        <v>0</v>
      </c>
      <c r="AU88" s="92">
        <f t="shared" si="536"/>
        <v>0</v>
      </c>
      <c r="AV88" s="92">
        <f t="shared" si="537"/>
        <v>0</v>
      </c>
      <c r="AW88" s="92">
        <f t="shared" si="538"/>
        <v>0</v>
      </c>
      <c r="AX88" s="92">
        <f t="shared" si="539"/>
        <v>0</v>
      </c>
      <c r="AY88" s="92">
        <f t="shared" si="540"/>
        <v>0</v>
      </c>
      <c r="AZ88" s="92">
        <f t="shared" si="541"/>
        <v>0</v>
      </c>
      <c r="BA88" s="92">
        <f t="shared" si="542"/>
        <v>0</v>
      </c>
      <c r="BB88" s="92">
        <f t="shared" si="543"/>
        <v>0</v>
      </c>
      <c r="BC88" s="92">
        <f t="shared" si="544"/>
        <v>0</v>
      </c>
      <c r="BD88" s="92">
        <f t="shared" si="545"/>
        <v>0</v>
      </c>
      <c r="BE88" s="92">
        <f t="shared" si="546"/>
        <v>0</v>
      </c>
      <c r="BF88" s="92">
        <f t="shared" si="547"/>
        <v>0</v>
      </c>
      <c r="BG88" s="92">
        <f t="shared" si="548"/>
        <v>0</v>
      </c>
      <c r="BH88" s="92">
        <f t="shared" si="549"/>
        <v>0</v>
      </c>
      <c r="BI88" s="92">
        <f t="shared" si="550"/>
        <v>0</v>
      </c>
      <c r="BJ88" s="92">
        <f t="shared" si="551"/>
        <v>0</v>
      </c>
      <c r="BK88" s="92">
        <f t="shared" si="552"/>
        <v>0</v>
      </c>
      <c r="BL88" s="92">
        <f t="shared" si="553"/>
        <v>0</v>
      </c>
      <c r="BM88" s="92">
        <f t="shared" si="554"/>
        <v>0</v>
      </c>
      <c r="BN88" s="92">
        <f t="shared" si="555"/>
        <v>0</v>
      </c>
      <c r="BO88" s="92">
        <f t="shared" si="556"/>
        <v>0</v>
      </c>
      <c r="BP88" s="92">
        <f t="shared" si="557"/>
        <v>0</v>
      </c>
      <c r="BQ88" s="92">
        <f t="shared" si="558"/>
        <v>0</v>
      </c>
      <c r="BR88" s="92">
        <f t="shared" si="559"/>
        <v>0</v>
      </c>
      <c r="BS88" s="92">
        <f t="shared" si="560"/>
        <v>0</v>
      </c>
      <c r="BT88" s="92">
        <f t="shared" si="561"/>
        <v>0</v>
      </c>
      <c r="BU88" s="92">
        <f t="shared" si="562"/>
        <v>0</v>
      </c>
      <c r="BV88" s="92">
        <f t="shared" si="563"/>
        <v>0</v>
      </c>
      <c r="BW88" s="92">
        <f t="shared" si="564"/>
        <v>0</v>
      </c>
      <c r="BX88" s="92">
        <f t="shared" si="565"/>
        <v>0</v>
      </c>
      <c r="BY88" s="92">
        <f t="shared" si="566"/>
        <v>0</v>
      </c>
      <c r="BZ88" s="92">
        <f t="shared" si="567"/>
        <v>0</v>
      </c>
      <c r="CA88" s="92">
        <f t="shared" si="568"/>
        <v>0</v>
      </c>
      <c r="CB88" s="92">
        <f t="shared" si="569"/>
        <v>0</v>
      </c>
      <c r="CC88" s="92">
        <f t="shared" si="570"/>
        <v>0</v>
      </c>
      <c r="CD88" s="92">
        <f t="shared" si="571"/>
        <v>0</v>
      </c>
      <c r="CE88" s="92">
        <f t="shared" si="572"/>
        <v>0</v>
      </c>
      <c r="CF88" s="92">
        <f t="shared" si="573"/>
        <v>0</v>
      </c>
      <c r="CG88" s="92">
        <f t="shared" si="574"/>
        <v>0</v>
      </c>
      <c r="CH88" s="92">
        <f t="shared" si="575"/>
        <v>0</v>
      </c>
    </row>
    <row r="89" spans="1:86" x14ac:dyDescent="0.25">
      <c r="B89" s="31" t="s">
        <v>54</v>
      </c>
      <c r="C89" s="121">
        <f t="shared" ref="C89:N89" si="576">((C86)+(C87))+(C88)</f>
        <v>5000</v>
      </c>
      <c r="D89" s="121">
        <f t="shared" si="576"/>
        <v>5000</v>
      </c>
      <c r="E89" s="121">
        <f t="shared" si="576"/>
        <v>5000</v>
      </c>
      <c r="F89" s="121">
        <f t="shared" si="576"/>
        <v>0</v>
      </c>
      <c r="G89" s="121">
        <f t="shared" si="576"/>
        <v>0</v>
      </c>
      <c r="H89" s="121">
        <f t="shared" si="576"/>
        <v>0</v>
      </c>
      <c r="I89" s="121">
        <f t="shared" si="576"/>
        <v>0</v>
      </c>
      <c r="J89" s="121">
        <f t="shared" si="576"/>
        <v>0</v>
      </c>
      <c r="K89" s="121">
        <f t="shared" si="576"/>
        <v>0</v>
      </c>
      <c r="L89" s="121">
        <f t="shared" si="576"/>
        <v>0</v>
      </c>
      <c r="M89" s="121">
        <f t="shared" si="576"/>
        <v>0</v>
      </c>
      <c r="N89" s="121">
        <f t="shared" si="576"/>
        <v>0</v>
      </c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0"/>
      <c r="CF89" s="90"/>
      <c r="CG89" s="90"/>
      <c r="CH89" s="90"/>
    </row>
    <row r="90" spans="1:86" x14ac:dyDescent="0.25">
      <c r="B90" s="31" t="s">
        <v>53</v>
      </c>
      <c r="C90" s="121">
        <f t="shared" ref="C90:N90" si="577">C89</f>
        <v>5000</v>
      </c>
      <c r="D90" s="121">
        <f t="shared" si="577"/>
        <v>5000</v>
      </c>
      <c r="E90" s="121">
        <f t="shared" si="577"/>
        <v>5000</v>
      </c>
      <c r="F90" s="121">
        <f t="shared" si="577"/>
        <v>0</v>
      </c>
      <c r="G90" s="121">
        <f t="shared" si="577"/>
        <v>0</v>
      </c>
      <c r="H90" s="121">
        <f t="shared" si="577"/>
        <v>0</v>
      </c>
      <c r="I90" s="121">
        <f t="shared" si="577"/>
        <v>0</v>
      </c>
      <c r="J90" s="121">
        <f t="shared" si="577"/>
        <v>0</v>
      </c>
      <c r="K90" s="121">
        <f t="shared" si="577"/>
        <v>0</v>
      </c>
      <c r="L90" s="121">
        <f t="shared" si="577"/>
        <v>0</v>
      </c>
      <c r="M90" s="121">
        <f t="shared" si="577"/>
        <v>0</v>
      </c>
      <c r="N90" s="121">
        <f t="shared" si="577"/>
        <v>0</v>
      </c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  <c r="CB90" s="90"/>
      <c r="CC90" s="90"/>
      <c r="CD90" s="90"/>
      <c r="CE90" s="90"/>
      <c r="CF90" s="90"/>
      <c r="CG90" s="90"/>
      <c r="CH90" s="90"/>
    </row>
    <row r="91" spans="1:86" x14ac:dyDescent="0.25">
      <c r="B91" s="31" t="s">
        <v>52</v>
      </c>
      <c r="C91" s="121">
        <f t="shared" ref="C91:N91" si="578">(C84)+(C90)</f>
        <v>11756.819999999996</v>
      </c>
      <c r="D91" s="121">
        <f t="shared" si="578"/>
        <v>57277.599999999999</v>
      </c>
      <c r="E91" s="121">
        <f t="shared" si="578"/>
        <v>63925.659999999996</v>
      </c>
      <c r="F91" s="121">
        <f t="shared" si="578"/>
        <v>194874.99</v>
      </c>
      <c r="G91" s="121">
        <f t="shared" si="578"/>
        <v>257151.25</v>
      </c>
      <c r="H91" s="121">
        <f t="shared" si="578"/>
        <v>224703.06</v>
      </c>
      <c r="I91" s="121">
        <f t="shared" si="578"/>
        <v>441263.57999999996</v>
      </c>
      <c r="J91" s="121">
        <f t="shared" si="578"/>
        <v>441014.48</v>
      </c>
      <c r="K91" s="121">
        <f t="shared" si="578"/>
        <v>466052.89</v>
      </c>
      <c r="L91" s="121">
        <f t="shared" si="578"/>
        <v>662695.18999999994</v>
      </c>
      <c r="M91" s="121">
        <f t="shared" si="578"/>
        <v>580607.37</v>
      </c>
      <c r="N91" s="121">
        <f t="shared" si="578"/>
        <v>742401.33000000007</v>
      </c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0"/>
      <c r="CF91" s="90"/>
      <c r="CG91" s="90"/>
      <c r="CH91" s="90"/>
    </row>
    <row r="92" spans="1:86" x14ac:dyDescent="0.25">
      <c r="B92" s="31" t="s">
        <v>51</v>
      </c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  <c r="CA92" s="88"/>
      <c r="CB92" s="88"/>
      <c r="CC92" s="88"/>
      <c r="CD92" s="88"/>
      <c r="CE92" s="88"/>
      <c r="CF92" s="88"/>
      <c r="CG92" s="88"/>
      <c r="CH92" s="88"/>
    </row>
    <row r="93" spans="1:86" x14ac:dyDescent="0.25">
      <c r="B93" s="31" t="s">
        <v>50</v>
      </c>
      <c r="C93" s="119"/>
      <c r="D93" s="120">
        <f t="shared" ref="D93:N107" si="579">C93</f>
        <v>0</v>
      </c>
      <c r="E93" s="120">
        <f t="shared" si="579"/>
        <v>0</v>
      </c>
      <c r="F93" s="120">
        <f t="shared" si="579"/>
        <v>0</v>
      </c>
      <c r="G93" s="120">
        <f t="shared" si="579"/>
        <v>0</v>
      </c>
      <c r="H93" s="120">
        <f t="shared" si="579"/>
        <v>0</v>
      </c>
      <c r="I93" s="120">
        <f t="shared" si="579"/>
        <v>0</v>
      </c>
      <c r="J93" s="120">
        <f t="shared" si="579"/>
        <v>0</v>
      </c>
      <c r="K93" s="120">
        <f t="shared" si="579"/>
        <v>0</v>
      </c>
      <c r="L93" s="120">
        <f t="shared" si="579"/>
        <v>0</v>
      </c>
      <c r="M93" s="120">
        <f t="shared" si="579"/>
        <v>0</v>
      </c>
      <c r="N93" s="120">
        <f t="shared" si="579"/>
        <v>0</v>
      </c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9"/>
      <c r="BF93" s="89"/>
      <c r="BG93" s="89"/>
      <c r="BH93" s="89"/>
      <c r="BI93" s="89"/>
      <c r="BJ93" s="89"/>
      <c r="BK93" s="89"/>
      <c r="BL93" s="89"/>
      <c r="BM93" s="89"/>
      <c r="BN93" s="89"/>
      <c r="BO93" s="89"/>
      <c r="BP93" s="89"/>
      <c r="BQ93" s="89"/>
      <c r="BR93" s="89"/>
      <c r="BS93" s="89"/>
      <c r="BT93" s="89"/>
      <c r="BU93" s="89"/>
      <c r="BV93" s="89"/>
      <c r="BW93" s="89"/>
      <c r="BX93" s="89"/>
      <c r="BY93" s="89"/>
      <c r="BZ93" s="89"/>
      <c r="CA93" s="89"/>
      <c r="CB93" s="89"/>
      <c r="CC93" s="89"/>
      <c r="CD93" s="89"/>
      <c r="CE93" s="89"/>
      <c r="CF93" s="89"/>
      <c r="CG93" s="89"/>
      <c r="CH93" s="89"/>
    </row>
    <row r="94" spans="1:86" x14ac:dyDescent="0.25">
      <c r="A94" s="29" t="s">
        <v>22</v>
      </c>
      <c r="B94" s="31" t="s">
        <v>49</v>
      </c>
      <c r="C94" s="119"/>
      <c r="D94" s="120">
        <f t="shared" si="579"/>
        <v>0</v>
      </c>
      <c r="E94" s="120">
        <f t="shared" si="579"/>
        <v>0</v>
      </c>
      <c r="F94" s="120">
        <f t="shared" si="579"/>
        <v>0</v>
      </c>
      <c r="G94" s="120">
        <f t="shared" si="579"/>
        <v>0</v>
      </c>
      <c r="H94" s="120">
        <f t="shared" si="579"/>
        <v>0</v>
      </c>
      <c r="I94" s="120">
        <f t="shared" si="579"/>
        <v>0</v>
      </c>
      <c r="J94" s="120">
        <f t="shared" si="579"/>
        <v>0</v>
      </c>
      <c r="K94" s="120">
        <f t="shared" si="579"/>
        <v>0</v>
      </c>
      <c r="L94" s="120">
        <f t="shared" si="579"/>
        <v>0</v>
      </c>
      <c r="M94" s="120">
        <f t="shared" si="579"/>
        <v>0</v>
      </c>
      <c r="N94" s="120">
        <f t="shared" si="579"/>
        <v>0</v>
      </c>
      <c r="O94" s="92">
        <f t="shared" ref="O94:O107" si="580">N94</f>
        <v>0</v>
      </c>
      <c r="P94" s="92">
        <f t="shared" ref="P94:P107" si="581">O94</f>
        <v>0</v>
      </c>
      <c r="Q94" s="92">
        <f t="shared" ref="Q94:Q107" si="582">P94</f>
        <v>0</v>
      </c>
      <c r="R94" s="92">
        <f t="shared" ref="R94:R107" si="583">Q94</f>
        <v>0</v>
      </c>
      <c r="S94" s="92">
        <f t="shared" ref="S94:S107" si="584">R94</f>
        <v>0</v>
      </c>
      <c r="T94" s="92">
        <f t="shared" ref="T94:T107" si="585">S94</f>
        <v>0</v>
      </c>
      <c r="U94" s="92">
        <f t="shared" ref="U94:U107" si="586">T94</f>
        <v>0</v>
      </c>
      <c r="V94" s="92">
        <f t="shared" ref="V94:V107" si="587">U94</f>
        <v>0</v>
      </c>
      <c r="W94" s="92">
        <f t="shared" ref="W94:W107" si="588">V94</f>
        <v>0</v>
      </c>
      <c r="X94" s="92">
        <f t="shared" ref="X94:X107" si="589">W94</f>
        <v>0</v>
      </c>
      <c r="Y94" s="92">
        <f t="shared" ref="Y94:Y107" si="590">X94</f>
        <v>0</v>
      </c>
      <c r="Z94" s="92">
        <f t="shared" ref="Z94:Z107" si="591">Y94</f>
        <v>0</v>
      </c>
      <c r="AA94" s="92">
        <f t="shared" ref="AA94:AA107" si="592">Z94</f>
        <v>0</v>
      </c>
      <c r="AB94" s="92">
        <f t="shared" ref="AB94:AB107" si="593">AA94</f>
        <v>0</v>
      </c>
      <c r="AC94" s="92">
        <f t="shared" ref="AC94:AC107" si="594">AB94</f>
        <v>0</v>
      </c>
      <c r="AD94" s="92">
        <f t="shared" ref="AD94:AD107" si="595">AC94</f>
        <v>0</v>
      </c>
      <c r="AE94" s="92">
        <f t="shared" ref="AE94:AE107" si="596">AD94</f>
        <v>0</v>
      </c>
      <c r="AF94" s="92">
        <f t="shared" ref="AF94:AF107" si="597">AE94</f>
        <v>0</v>
      </c>
      <c r="AG94" s="92">
        <f t="shared" ref="AG94:AG107" si="598">AF94</f>
        <v>0</v>
      </c>
      <c r="AH94" s="92">
        <f t="shared" ref="AH94:AH107" si="599">AG94</f>
        <v>0</v>
      </c>
      <c r="AI94" s="92">
        <f t="shared" ref="AI94:AI107" si="600">AH94</f>
        <v>0</v>
      </c>
      <c r="AJ94" s="92">
        <f t="shared" ref="AJ94:AJ107" si="601">AI94</f>
        <v>0</v>
      </c>
      <c r="AK94" s="92">
        <f t="shared" ref="AK94:AK107" si="602">AJ94</f>
        <v>0</v>
      </c>
      <c r="AL94" s="92">
        <f t="shared" ref="AL94:AL107" si="603">AK94</f>
        <v>0</v>
      </c>
      <c r="AM94" s="92">
        <f t="shared" ref="AM94:AM107" si="604">AL94</f>
        <v>0</v>
      </c>
      <c r="AN94" s="92">
        <f t="shared" ref="AN94:AN107" si="605">AM94</f>
        <v>0</v>
      </c>
      <c r="AO94" s="92">
        <f t="shared" ref="AO94:AO107" si="606">AN94</f>
        <v>0</v>
      </c>
      <c r="AP94" s="92">
        <f t="shared" ref="AP94:AP107" si="607">AO94</f>
        <v>0</v>
      </c>
      <c r="AQ94" s="92">
        <f t="shared" ref="AQ94:AQ107" si="608">AP94</f>
        <v>0</v>
      </c>
      <c r="AR94" s="92">
        <f t="shared" ref="AR94:AR107" si="609">AQ94</f>
        <v>0</v>
      </c>
      <c r="AS94" s="92">
        <f t="shared" ref="AS94:AS107" si="610">AR94</f>
        <v>0</v>
      </c>
      <c r="AT94" s="92">
        <f t="shared" ref="AT94:AT107" si="611">AS94</f>
        <v>0</v>
      </c>
      <c r="AU94" s="92">
        <f t="shared" ref="AU94:AU107" si="612">AT94</f>
        <v>0</v>
      </c>
      <c r="AV94" s="92">
        <f t="shared" ref="AV94:AV107" si="613">AU94</f>
        <v>0</v>
      </c>
      <c r="AW94" s="92">
        <f t="shared" ref="AW94:AW107" si="614">AV94</f>
        <v>0</v>
      </c>
      <c r="AX94" s="92">
        <f t="shared" ref="AX94:AX107" si="615">AW94</f>
        <v>0</v>
      </c>
      <c r="AY94" s="92">
        <f t="shared" ref="AY94:AY107" si="616">AX94</f>
        <v>0</v>
      </c>
      <c r="AZ94" s="92">
        <f t="shared" ref="AZ94:AZ107" si="617">AY94</f>
        <v>0</v>
      </c>
      <c r="BA94" s="92">
        <f t="shared" ref="BA94:BA107" si="618">AZ94</f>
        <v>0</v>
      </c>
      <c r="BB94" s="92">
        <f t="shared" ref="BB94:BB107" si="619">BA94</f>
        <v>0</v>
      </c>
      <c r="BC94" s="92">
        <f t="shared" ref="BC94:BC107" si="620">BB94</f>
        <v>0</v>
      </c>
      <c r="BD94" s="92">
        <f t="shared" ref="BD94:BD107" si="621">BC94</f>
        <v>0</v>
      </c>
      <c r="BE94" s="92">
        <f t="shared" ref="BE94:BE107" si="622">BD94</f>
        <v>0</v>
      </c>
      <c r="BF94" s="92">
        <f t="shared" ref="BF94:BF107" si="623">BE94</f>
        <v>0</v>
      </c>
      <c r="BG94" s="92">
        <f t="shared" ref="BG94:BG107" si="624">BF94</f>
        <v>0</v>
      </c>
      <c r="BH94" s="92">
        <f t="shared" ref="BH94:BH107" si="625">BG94</f>
        <v>0</v>
      </c>
      <c r="BI94" s="92">
        <f t="shared" ref="BI94:BI107" si="626">BH94</f>
        <v>0</v>
      </c>
      <c r="BJ94" s="92">
        <f t="shared" ref="BJ94:BJ107" si="627">BI94</f>
        <v>0</v>
      </c>
      <c r="BK94" s="92">
        <f t="shared" ref="BK94:BK107" si="628">BJ94</f>
        <v>0</v>
      </c>
      <c r="BL94" s="92">
        <f t="shared" ref="BL94:BL107" si="629">BK94</f>
        <v>0</v>
      </c>
      <c r="BM94" s="92">
        <f t="shared" ref="BM94:BM107" si="630">BL94</f>
        <v>0</v>
      </c>
      <c r="BN94" s="92">
        <f t="shared" ref="BN94:BN107" si="631">BM94</f>
        <v>0</v>
      </c>
      <c r="BO94" s="92">
        <f t="shared" ref="BO94:BO107" si="632">BN94</f>
        <v>0</v>
      </c>
      <c r="BP94" s="92">
        <f t="shared" ref="BP94:BP107" si="633">BO94</f>
        <v>0</v>
      </c>
      <c r="BQ94" s="92">
        <f t="shared" ref="BQ94:BQ107" si="634">BP94</f>
        <v>0</v>
      </c>
      <c r="BR94" s="92">
        <f t="shared" ref="BR94:BR107" si="635">BQ94</f>
        <v>0</v>
      </c>
      <c r="BS94" s="92">
        <f t="shared" ref="BS94:BS107" si="636">BR94</f>
        <v>0</v>
      </c>
      <c r="BT94" s="92">
        <f t="shared" ref="BT94:BT107" si="637">BS94</f>
        <v>0</v>
      </c>
      <c r="BU94" s="92">
        <f t="shared" ref="BU94:BU107" si="638">BT94</f>
        <v>0</v>
      </c>
      <c r="BV94" s="92">
        <f t="shared" ref="BV94:BV107" si="639">BU94</f>
        <v>0</v>
      </c>
      <c r="BW94" s="92">
        <f t="shared" ref="BW94:BW107" si="640">BV94</f>
        <v>0</v>
      </c>
      <c r="BX94" s="92">
        <f t="shared" ref="BX94:BX107" si="641">BW94</f>
        <v>0</v>
      </c>
      <c r="BY94" s="92">
        <f t="shared" ref="BY94:BY107" si="642">BX94</f>
        <v>0</v>
      </c>
      <c r="BZ94" s="92">
        <f t="shared" ref="BZ94:BZ107" si="643">BY94</f>
        <v>0</v>
      </c>
      <c r="CA94" s="92">
        <f t="shared" ref="CA94:CA107" si="644">BZ94</f>
        <v>0</v>
      </c>
      <c r="CB94" s="92">
        <f t="shared" ref="CB94:CB107" si="645">CA94</f>
        <v>0</v>
      </c>
      <c r="CC94" s="92">
        <f t="shared" ref="CC94:CC107" si="646">CB94</f>
        <v>0</v>
      </c>
      <c r="CD94" s="92">
        <f t="shared" ref="CD94:CD107" si="647">CC94</f>
        <v>0</v>
      </c>
      <c r="CE94" s="92">
        <f t="shared" ref="CE94:CE107" si="648">CD94</f>
        <v>0</v>
      </c>
      <c r="CF94" s="92">
        <f t="shared" ref="CF94:CF107" si="649">CE94</f>
        <v>0</v>
      </c>
      <c r="CG94" s="92">
        <f t="shared" ref="CG94:CG107" si="650">CF94</f>
        <v>0</v>
      </c>
      <c r="CH94" s="92">
        <f t="shared" ref="CH94:CH107" si="651">CG94</f>
        <v>0</v>
      </c>
    </row>
    <row r="95" spans="1:86" x14ac:dyDescent="0.25">
      <c r="A95" s="29" t="s">
        <v>22</v>
      </c>
      <c r="B95" s="31" t="s">
        <v>48</v>
      </c>
      <c r="C95" s="120">
        <f>2500000</f>
        <v>2500000</v>
      </c>
      <c r="D95" s="120">
        <f t="shared" si="579"/>
        <v>2500000</v>
      </c>
      <c r="E95" s="120">
        <f t="shared" si="579"/>
        <v>2500000</v>
      </c>
      <c r="F95" s="120">
        <f t="shared" si="579"/>
        <v>2500000</v>
      </c>
      <c r="G95" s="120">
        <f t="shared" si="579"/>
        <v>2500000</v>
      </c>
      <c r="H95" s="120">
        <f t="shared" si="579"/>
        <v>2500000</v>
      </c>
      <c r="I95" s="120">
        <f t="shared" si="579"/>
        <v>2500000</v>
      </c>
      <c r="J95" s="120">
        <f t="shared" si="579"/>
        <v>2500000</v>
      </c>
      <c r="K95" s="120">
        <f t="shared" si="579"/>
        <v>2500000</v>
      </c>
      <c r="L95" s="120">
        <f t="shared" si="579"/>
        <v>2500000</v>
      </c>
      <c r="M95" s="120">
        <f t="shared" si="579"/>
        <v>2500000</v>
      </c>
      <c r="N95" s="120">
        <f t="shared" si="579"/>
        <v>2500000</v>
      </c>
      <c r="O95" s="92">
        <f t="shared" si="580"/>
        <v>2500000</v>
      </c>
      <c r="P95" s="92">
        <f t="shared" si="581"/>
        <v>2500000</v>
      </c>
      <c r="Q95" s="92">
        <f t="shared" si="582"/>
        <v>2500000</v>
      </c>
      <c r="R95" s="92">
        <f t="shared" si="583"/>
        <v>2500000</v>
      </c>
      <c r="S95" s="92">
        <f t="shared" si="584"/>
        <v>2500000</v>
      </c>
      <c r="T95" s="92">
        <f t="shared" si="585"/>
        <v>2500000</v>
      </c>
      <c r="U95" s="92">
        <f t="shared" si="586"/>
        <v>2500000</v>
      </c>
      <c r="V95" s="92">
        <f t="shared" si="587"/>
        <v>2500000</v>
      </c>
      <c r="W95" s="92">
        <f t="shared" si="588"/>
        <v>2500000</v>
      </c>
      <c r="X95" s="92">
        <f t="shared" si="589"/>
        <v>2500000</v>
      </c>
      <c r="Y95" s="92">
        <f t="shared" si="590"/>
        <v>2500000</v>
      </c>
      <c r="Z95" s="92">
        <f t="shared" si="591"/>
        <v>2500000</v>
      </c>
      <c r="AA95" s="92">
        <f t="shared" si="592"/>
        <v>2500000</v>
      </c>
      <c r="AB95" s="92">
        <f t="shared" si="593"/>
        <v>2500000</v>
      </c>
      <c r="AC95" s="92">
        <f t="shared" si="594"/>
        <v>2500000</v>
      </c>
      <c r="AD95" s="92">
        <f t="shared" si="595"/>
        <v>2500000</v>
      </c>
      <c r="AE95" s="92">
        <f t="shared" si="596"/>
        <v>2500000</v>
      </c>
      <c r="AF95" s="92">
        <f t="shared" si="597"/>
        <v>2500000</v>
      </c>
      <c r="AG95" s="92">
        <f t="shared" si="598"/>
        <v>2500000</v>
      </c>
      <c r="AH95" s="92">
        <f t="shared" si="599"/>
        <v>2500000</v>
      </c>
      <c r="AI95" s="92">
        <f t="shared" si="600"/>
        <v>2500000</v>
      </c>
      <c r="AJ95" s="92">
        <f t="shared" si="601"/>
        <v>2500000</v>
      </c>
      <c r="AK95" s="92">
        <f t="shared" si="602"/>
        <v>2500000</v>
      </c>
      <c r="AL95" s="92">
        <f t="shared" si="603"/>
        <v>2500000</v>
      </c>
      <c r="AM95" s="92">
        <f t="shared" si="604"/>
        <v>2500000</v>
      </c>
      <c r="AN95" s="92">
        <f t="shared" si="605"/>
        <v>2500000</v>
      </c>
      <c r="AO95" s="92">
        <f t="shared" si="606"/>
        <v>2500000</v>
      </c>
      <c r="AP95" s="92">
        <f t="shared" si="607"/>
        <v>2500000</v>
      </c>
      <c r="AQ95" s="92">
        <f t="shared" si="608"/>
        <v>2500000</v>
      </c>
      <c r="AR95" s="92">
        <f t="shared" si="609"/>
        <v>2500000</v>
      </c>
      <c r="AS95" s="92">
        <f t="shared" si="610"/>
        <v>2500000</v>
      </c>
      <c r="AT95" s="92">
        <f t="shared" si="611"/>
        <v>2500000</v>
      </c>
      <c r="AU95" s="92">
        <f t="shared" si="612"/>
        <v>2500000</v>
      </c>
      <c r="AV95" s="92">
        <f t="shared" si="613"/>
        <v>2500000</v>
      </c>
      <c r="AW95" s="92">
        <f t="shared" si="614"/>
        <v>2500000</v>
      </c>
      <c r="AX95" s="92">
        <f t="shared" si="615"/>
        <v>2500000</v>
      </c>
      <c r="AY95" s="92">
        <f t="shared" si="616"/>
        <v>2500000</v>
      </c>
      <c r="AZ95" s="92">
        <f t="shared" si="617"/>
        <v>2500000</v>
      </c>
      <c r="BA95" s="92">
        <f t="shared" si="618"/>
        <v>2500000</v>
      </c>
      <c r="BB95" s="92">
        <f t="shared" si="619"/>
        <v>2500000</v>
      </c>
      <c r="BC95" s="92">
        <f t="shared" si="620"/>
        <v>2500000</v>
      </c>
      <c r="BD95" s="92">
        <f t="shared" si="621"/>
        <v>2500000</v>
      </c>
      <c r="BE95" s="92">
        <f t="shared" si="622"/>
        <v>2500000</v>
      </c>
      <c r="BF95" s="92">
        <f t="shared" si="623"/>
        <v>2500000</v>
      </c>
      <c r="BG95" s="92">
        <f t="shared" si="624"/>
        <v>2500000</v>
      </c>
      <c r="BH95" s="92">
        <f t="shared" si="625"/>
        <v>2500000</v>
      </c>
      <c r="BI95" s="92">
        <f t="shared" si="626"/>
        <v>2500000</v>
      </c>
      <c r="BJ95" s="92">
        <f t="shared" si="627"/>
        <v>2500000</v>
      </c>
      <c r="BK95" s="92">
        <f t="shared" si="628"/>
        <v>2500000</v>
      </c>
      <c r="BL95" s="92">
        <f t="shared" si="629"/>
        <v>2500000</v>
      </c>
      <c r="BM95" s="92">
        <f t="shared" si="630"/>
        <v>2500000</v>
      </c>
      <c r="BN95" s="92">
        <f t="shared" si="631"/>
        <v>2500000</v>
      </c>
      <c r="BO95" s="92">
        <f t="shared" si="632"/>
        <v>2500000</v>
      </c>
      <c r="BP95" s="92">
        <f t="shared" si="633"/>
        <v>2500000</v>
      </c>
      <c r="BQ95" s="92">
        <f t="shared" si="634"/>
        <v>2500000</v>
      </c>
      <c r="BR95" s="92">
        <f t="shared" si="635"/>
        <v>2500000</v>
      </c>
      <c r="BS95" s="92">
        <f t="shared" si="636"/>
        <v>2500000</v>
      </c>
      <c r="BT95" s="92">
        <f t="shared" si="637"/>
        <v>2500000</v>
      </c>
      <c r="BU95" s="92">
        <f t="shared" si="638"/>
        <v>2500000</v>
      </c>
      <c r="BV95" s="92">
        <f t="shared" si="639"/>
        <v>2500000</v>
      </c>
      <c r="BW95" s="92">
        <f t="shared" si="640"/>
        <v>2500000</v>
      </c>
      <c r="BX95" s="92">
        <f t="shared" si="641"/>
        <v>2500000</v>
      </c>
      <c r="BY95" s="92">
        <f t="shared" si="642"/>
        <v>2500000</v>
      </c>
      <c r="BZ95" s="92">
        <f t="shared" si="643"/>
        <v>2500000</v>
      </c>
      <c r="CA95" s="92">
        <f t="shared" si="644"/>
        <v>2500000</v>
      </c>
      <c r="CB95" s="92">
        <f t="shared" si="645"/>
        <v>2500000</v>
      </c>
      <c r="CC95" s="92">
        <f t="shared" si="646"/>
        <v>2500000</v>
      </c>
      <c r="CD95" s="92">
        <f t="shared" si="647"/>
        <v>2500000</v>
      </c>
      <c r="CE95" s="92">
        <f t="shared" si="648"/>
        <v>2500000</v>
      </c>
      <c r="CF95" s="92">
        <f t="shared" si="649"/>
        <v>2500000</v>
      </c>
      <c r="CG95" s="92">
        <f t="shared" si="650"/>
        <v>2500000</v>
      </c>
      <c r="CH95" s="92">
        <f t="shared" si="651"/>
        <v>2500000</v>
      </c>
    </row>
    <row r="96" spans="1:86" x14ac:dyDescent="0.25">
      <c r="A96" s="29" t="s">
        <v>22</v>
      </c>
      <c r="B96" s="31" t="s">
        <v>47</v>
      </c>
      <c r="C96" s="120">
        <f>3000000</f>
        <v>3000000</v>
      </c>
      <c r="D96" s="120">
        <f t="shared" si="579"/>
        <v>3000000</v>
      </c>
      <c r="E96" s="120">
        <f t="shared" si="579"/>
        <v>3000000</v>
      </c>
      <c r="F96" s="120">
        <f t="shared" si="579"/>
        <v>3000000</v>
      </c>
      <c r="G96" s="120">
        <f t="shared" si="579"/>
        <v>3000000</v>
      </c>
      <c r="H96" s="120">
        <f t="shared" si="579"/>
        <v>3000000</v>
      </c>
      <c r="I96" s="120">
        <f t="shared" si="579"/>
        <v>3000000</v>
      </c>
      <c r="J96" s="120">
        <f t="shared" si="579"/>
        <v>3000000</v>
      </c>
      <c r="K96" s="120">
        <f>3500000</f>
        <v>3500000</v>
      </c>
      <c r="L96" s="120">
        <f>4000000</f>
        <v>4000000</v>
      </c>
      <c r="M96" s="120">
        <f t="shared" si="579"/>
        <v>4000000</v>
      </c>
      <c r="N96" s="120">
        <f t="shared" si="579"/>
        <v>4000000</v>
      </c>
      <c r="O96" s="92">
        <f t="shared" si="580"/>
        <v>4000000</v>
      </c>
      <c r="P96" s="92">
        <f t="shared" si="581"/>
        <v>4000000</v>
      </c>
      <c r="Q96" s="92">
        <f t="shared" si="582"/>
        <v>4000000</v>
      </c>
      <c r="R96" s="92">
        <f t="shared" si="583"/>
        <v>4000000</v>
      </c>
      <c r="S96" s="92">
        <f t="shared" si="584"/>
        <v>4000000</v>
      </c>
      <c r="T96" s="92">
        <f t="shared" si="585"/>
        <v>4000000</v>
      </c>
      <c r="U96" s="92">
        <f t="shared" si="586"/>
        <v>4000000</v>
      </c>
      <c r="V96" s="92">
        <f t="shared" si="587"/>
        <v>4000000</v>
      </c>
      <c r="W96" s="92">
        <f t="shared" si="588"/>
        <v>4000000</v>
      </c>
      <c r="X96" s="92">
        <f t="shared" si="589"/>
        <v>4000000</v>
      </c>
      <c r="Y96" s="92">
        <f t="shared" si="590"/>
        <v>4000000</v>
      </c>
      <c r="Z96" s="92">
        <f t="shared" si="591"/>
        <v>4000000</v>
      </c>
      <c r="AA96" s="92">
        <f t="shared" si="592"/>
        <v>4000000</v>
      </c>
      <c r="AB96" s="92">
        <f t="shared" si="593"/>
        <v>4000000</v>
      </c>
      <c r="AC96" s="92">
        <f t="shared" si="594"/>
        <v>4000000</v>
      </c>
      <c r="AD96" s="92">
        <f t="shared" si="595"/>
        <v>4000000</v>
      </c>
      <c r="AE96" s="92">
        <f t="shared" si="596"/>
        <v>4000000</v>
      </c>
      <c r="AF96" s="92">
        <f t="shared" si="597"/>
        <v>4000000</v>
      </c>
      <c r="AG96" s="92">
        <f t="shared" si="598"/>
        <v>4000000</v>
      </c>
      <c r="AH96" s="92">
        <f t="shared" si="599"/>
        <v>4000000</v>
      </c>
      <c r="AI96" s="92">
        <f t="shared" si="600"/>
        <v>4000000</v>
      </c>
      <c r="AJ96" s="92">
        <f t="shared" si="601"/>
        <v>4000000</v>
      </c>
      <c r="AK96" s="92">
        <f t="shared" si="602"/>
        <v>4000000</v>
      </c>
      <c r="AL96" s="92">
        <f t="shared" si="603"/>
        <v>4000000</v>
      </c>
      <c r="AM96" s="92">
        <f t="shared" si="604"/>
        <v>4000000</v>
      </c>
      <c r="AN96" s="92">
        <f t="shared" si="605"/>
        <v>4000000</v>
      </c>
      <c r="AO96" s="92">
        <f t="shared" si="606"/>
        <v>4000000</v>
      </c>
      <c r="AP96" s="92">
        <f t="shared" si="607"/>
        <v>4000000</v>
      </c>
      <c r="AQ96" s="92">
        <f t="shared" si="608"/>
        <v>4000000</v>
      </c>
      <c r="AR96" s="92">
        <f t="shared" si="609"/>
        <v>4000000</v>
      </c>
      <c r="AS96" s="92">
        <f t="shared" si="610"/>
        <v>4000000</v>
      </c>
      <c r="AT96" s="92">
        <f t="shared" si="611"/>
        <v>4000000</v>
      </c>
      <c r="AU96" s="92">
        <f t="shared" si="612"/>
        <v>4000000</v>
      </c>
      <c r="AV96" s="92">
        <f t="shared" si="613"/>
        <v>4000000</v>
      </c>
      <c r="AW96" s="92">
        <f t="shared" si="614"/>
        <v>4000000</v>
      </c>
      <c r="AX96" s="92">
        <f t="shared" si="615"/>
        <v>4000000</v>
      </c>
      <c r="AY96" s="92">
        <f t="shared" si="616"/>
        <v>4000000</v>
      </c>
      <c r="AZ96" s="92">
        <f t="shared" si="617"/>
        <v>4000000</v>
      </c>
      <c r="BA96" s="92">
        <f t="shared" si="618"/>
        <v>4000000</v>
      </c>
      <c r="BB96" s="92">
        <f t="shared" si="619"/>
        <v>4000000</v>
      </c>
      <c r="BC96" s="92">
        <f t="shared" si="620"/>
        <v>4000000</v>
      </c>
      <c r="BD96" s="92">
        <f t="shared" si="621"/>
        <v>4000000</v>
      </c>
      <c r="BE96" s="92">
        <f t="shared" si="622"/>
        <v>4000000</v>
      </c>
      <c r="BF96" s="92">
        <f t="shared" si="623"/>
        <v>4000000</v>
      </c>
      <c r="BG96" s="92">
        <f t="shared" si="624"/>
        <v>4000000</v>
      </c>
      <c r="BH96" s="92">
        <f t="shared" si="625"/>
        <v>4000000</v>
      </c>
      <c r="BI96" s="92">
        <f t="shared" si="626"/>
        <v>4000000</v>
      </c>
      <c r="BJ96" s="92">
        <f t="shared" si="627"/>
        <v>4000000</v>
      </c>
      <c r="BK96" s="92">
        <f t="shared" si="628"/>
        <v>4000000</v>
      </c>
      <c r="BL96" s="92">
        <f t="shared" si="629"/>
        <v>4000000</v>
      </c>
      <c r="BM96" s="92">
        <f t="shared" si="630"/>
        <v>4000000</v>
      </c>
      <c r="BN96" s="92">
        <f t="shared" si="631"/>
        <v>4000000</v>
      </c>
      <c r="BO96" s="92">
        <f t="shared" si="632"/>
        <v>4000000</v>
      </c>
      <c r="BP96" s="92">
        <f t="shared" si="633"/>
        <v>4000000</v>
      </c>
      <c r="BQ96" s="92">
        <f t="shared" si="634"/>
        <v>4000000</v>
      </c>
      <c r="BR96" s="92">
        <f t="shared" si="635"/>
        <v>4000000</v>
      </c>
      <c r="BS96" s="92">
        <f t="shared" si="636"/>
        <v>4000000</v>
      </c>
      <c r="BT96" s="92">
        <f t="shared" si="637"/>
        <v>4000000</v>
      </c>
      <c r="BU96" s="92">
        <f t="shared" si="638"/>
        <v>4000000</v>
      </c>
      <c r="BV96" s="92">
        <f t="shared" si="639"/>
        <v>4000000</v>
      </c>
      <c r="BW96" s="92">
        <f t="shared" si="640"/>
        <v>4000000</v>
      </c>
      <c r="BX96" s="92">
        <f t="shared" si="641"/>
        <v>4000000</v>
      </c>
      <c r="BY96" s="92">
        <f t="shared" si="642"/>
        <v>4000000</v>
      </c>
      <c r="BZ96" s="92">
        <f t="shared" si="643"/>
        <v>4000000</v>
      </c>
      <c r="CA96" s="92">
        <f t="shared" si="644"/>
        <v>4000000</v>
      </c>
      <c r="CB96" s="92">
        <f t="shared" si="645"/>
        <v>4000000</v>
      </c>
      <c r="CC96" s="92">
        <f t="shared" si="646"/>
        <v>4000000</v>
      </c>
      <c r="CD96" s="92">
        <f t="shared" si="647"/>
        <v>4000000</v>
      </c>
      <c r="CE96" s="92">
        <f t="shared" si="648"/>
        <v>4000000</v>
      </c>
      <c r="CF96" s="92">
        <f t="shared" si="649"/>
        <v>4000000</v>
      </c>
      <c r="CG96" s="92">
        <f t="shared" si="650"/>
        <v>4000000</v>
      </c>
      <c r="CH96" s="92">
        <f t="shared" si="651"/>
        <v>4000000</v>
      </c>
    </row>
    <row r="97" spans="1:86" x14ac:dyDescent="0.25">
      <c r="A97" s="29" t="s">
        <v>22</v>
      </c>
      <c r="B97" s="31" t="s">
        <v>46</v>
      </c>
      <c r="C97" s="120">
        <f>350000</f>
        <v>350000</v>
      </c>
      <c r="D97" s="120">
        <f t="shared" si="579"/>
        <v>350000</v>
      </c>
      <c r="E97" s="120">
        <f t="shared" si="579"/>
        <v>350000</v>
      </c>
      <c r="F97" s="120">
        <f t="shared" si="579"/>
        <v>350000</v>
      </c>
      <c r="G97" s="120">
        <f t="shared" si="579"/>
        <v>350000</v>
      </c>
      <c r="H97" s="120">
        <f t="shared" si="579"/>
        <v>350000</v>
      </c>
      <c r="I97" s="120">
        <f t="shared" si="579"/>
        <v>350000</v>
      </c>
      <c r="J97" s="120">
        <f t="shared" si="579"/>
        <v>350000</v>
      </c>
      <c r="K97" s="120">
        <f t="shared" si="579"/>
        <v>350000</v>
      </c>
      <c r="L97" s="120">
        <f t="shared" si="579"/>
        <v>350000</v>
      </c>
      <c r="M97" s="120">
        <f t="shared" si="579"/>
        <v>350000</v>
      </c>
      <c r="N97" s="120">
        <f t="shared" si="579"/>
        <v>350000</v>
      </c>
      <c r="O97" s="92">
        <f t="shared" si="580"/>
        <v>350000</v>
      </c>
      <c r="P97" s="92">
        <f t="shared" si="581"/>
        <v>350000</v>
      </c>
      <c r="Q97" s="92">
        <f t="shared" si="582"/>
        <v>350000</v>
      </c>
      <c r="R97" s="92">
        <f t="shared" si="583"/>
        <v>350000</v>
      </c>
      <c r="S97" s="92">
        <f t="shared" si="584"/>
        <v>350000</v>
      </c>
      <c r="T97" s="92">
        <f t="shared" si="585"/>
        <v>350000</v>
      </c>
      <c r="U97" s="92">
        <f t="shared" si="586"/>
        <v>350000</v>
      </c>
      <c r="V97" s="92">
        <f t="shared" si="587"/>
        <v>350000</v>
      </c>
      <c r="W97" s="92">
        <f t="shared" si="588"/>
        <v>350000</v>
      </c>
      <c r="X97" s="92">
        <f t="shared" si="589"/>
        <v>350000</v>
      </c>
      <c r="Y97" s="92">
        <f t="shared" si="590"/>
        <v>350000</v>
      </c>
      <c r="Z97" s="92">
        <f t="shared" si="591"/>
        <v>350000</v>
      </c>
      <c r="AA97" s="92">
        <f t="shared" si="592"/>
        <v>350000</v>
      </c>
      <c r="AB97" s="92">
        <f t="shared" si="593"/>
        <v>350000</v>
      </c>
      <c r="AC97" s="92">
        <f t="shared" si="594"/>
        <v>350000</v>
      </c>
      <c r="AD97" s="92">
        <f t="shared" si="595"/>
        <v>350000</v>
      </c>
      <c r="AE97" s="92">
        <f t="shared" si="596"/>
        <v>350000</v>
      </c>
      <c r="AF97" s="92">
        <f t="shared" si="597"/>
        <v>350000</v>
      </c>
      <c r="AG97" s="92">
        <f t="shared" si="598"/>
        <v>350000</v>
      </c>
      <c r="AH97" s="92">
        <f t="shared" si="599"/>
        <v>350000</v>
      </c>
      <c r="AI97" s="92">
        <f t="shared" si="600"/>
        <v>350000</v>
      </c>
      <c r="AJ97" s="92">
        <f t="shared" si="601"/>
        <v>350000</v>
      </c>
      <c r="AK97" s="92">
        <f t="shared" si="602"/>
        <v>350000</v>
      </c>
      <c r="AL97" s="92">
        <f t="shared" si="603"/>
        <v>350000</v>
      </c>
      <c r="AM97" s="92">
        <f t="shared" si="604"/>
        <v>350000</v>
      </c>
      <c r="AN97" s="92">
        <f t="shared" si="605"/>
        <v>350000</v>
      </c>
      <c r="AO97" s="92">
        <f t="shared" si="606"/>
        <v>350000</v>
      </c>
      <c r="AP97" s="92">
        <f t="shared" si="607"/>
        <v>350000</v>
      </c>
      <c r="AQ97" s="92">
        <f t="shared" si="608"/>
        <v>350000</v>
      </c>
      <c r="AR97" s="92">
        <f t="shared" si="609"/>
        <v>350000</v>
      </c>
      <c r="AS97" s="92">
        <f t="shared" si="610"/>
        <v>350000</v>
      </c>
      <c r="AT97" s="92">
        <f t="shared" si="611"/>
        <v>350000</v>
      </c>
      <c r="AU97" s="92">
        <f t="shared" si="612"/>
        <v>350000</v>
      </c>
      <c r="AV97" s="92">
        <f t="shared" si="613"/>
        <v>350000</v>
      </c>
      <c r="AW97" s="92">
        <f t="shared" si="614"/>
        <v>350000</v>
      </c>
      <c r="AX97" s="92">
        <f t="shared" si="615"/>
        <v>350000</v>
      </c>
      <c r="AY97" s="92">
        <f t="shared" si="616"/>
        <v>350000</v>
      </c>
      <c r="AZ97" s="92">
        <f t="shared" si="617"/>
        <v>350000</v>
      </c>
      <c r="BA97" s="92">
        <f t="shared" si="618"/>
        <v>350000</v>
      </c>
      <c r="BB97" s="92">
        <f t="shared" si="619"/>
        <v>350000</v>
      </c>
      <c r="BC97" s="92">
        <f t="shared" si="620"/>
        <v>350000</v>
      </c>
      <c r="BD97" s="92">
        <f t="shared" si="621"/>
        <v>350000</v>
      </c>
      <c r="BE97" s="92">
        <f t="shared" si="622"/>
        <v>350000</v>
      </c>
      <c r="BF97" s="92">
        <f t="shared" si="623"/>
        <v>350000</v>
      </c>
      <c r="BG97" s="92">
        <f t="shared" si="624"/>
        <v>350000</v>
      </c>
      <c r="BH97" s="92">
        <f t="shared" si="625"/>
        <v>350000</v>
      </c>
      <c r="BI97" s="92">
        <f t="shared" si="626"/>
        <v>350000</v>
      </c>
      <c r="BJ97" s="92">
        <f t="shared" si="627"/>
        <v>350000</v>
      </c>
      <c r="BK97" s="92">
        <f t="shared" si="628"/>
        <v>350000</v>
      </c>
      <c r="BL97" s="92">
        <f t="shared" si="629"/>
        <v>350000</v>
      </c>
      <c r="BM97" s="92">
        <f t="shared" si="630"/>
        <v>350000</v>
      </c>
      <c r="BN97" s="92">
        <f t="shared" si="631"/>
        <v>350000</v>
      </c>
      <c r="BO97" s="92">
        <f t="shared" si="632"/>
        <v>350000</v>
      </c>
      <c r="BP97" s="92">
        <f t="shared" si="633"/>
        <v>350000</v>
      </c>
      <c r="BQ97" s="92">
        <f t="shared" si="634"/>
        <v>350000</v>
      </c>
      <c r="BR97" s="92">
        <f t="shared" si="635"/>
        <v>350000</v>
      </c>
      <c r="BS97" s="92">
        <f t="shared" si="636"/>
        <v>350000</v>
      </c>
      <c r="BT97" s="92">
        <f t="shared" si="637"/>
        <v>350000</v>
      </c>
      <c r="BU97" s="92">
        <f t="shared" si="638"/>
        <v>350000</v>
      </c>
      <c r="BV97" s="92">
        <f t="shared" si="639"/>
        <v>350000</v>
      </c>
      <c r="BW97" s="92">
        <f t="shared" si="640"/>
        <v>350000</v>
      </c>
      <c r="BX97" s="92">
        <f t="shared" si="641"/>
        <v>350000</v>
      </c>
      <c r="BY97" s="92">
        <f t="shared" si="642"/>
        <v>350000</v>
      </c>
      <c r="BZ97" s="92">
        <f t="shared" si="643"/>
        <v>350000</v>
      </c>
      <c r="CA97" s="92">
        <f t="shared" si="644"/>
        <v>350000</v>
      </c>
      <c r="CB97" s="92">
        <f t="shared" si="645"/>
        <v>350000</v>
      </c>
      <c r="CC97" s="92">
        <f t="shared" si="646"/>
        <v>350000</v>
      </c>
      <c r="CD97" s="92">
        <f t="shared" si="647"/>
        <v>350000</v>
      </c>
      <c r="CE97" s="92">
        <f t="shared" si="648"/>
        <v>350000</v>
      </c>
      <c r="CF97" s="92">
        <f t="shared" si="649"/>
        <v>350000</v>
      </c>
      <c r="CG97" s="92">
        <f t="shared" si="650"/>
        <v>350000</v>
      </c>
      <c r="CH97" s="92">
        <f t="shared" si="651"/>
        <v>350000</v>
      </c>
    </row>
    <row r="98" spans="1:86" x14ac:dyDescent="0.25">
      <c r="A98" s="29" t="s">
        <v>22</v>
      </c>
      <c r="B98" s="31" t="s">
        <v>45</v>
      </c>
      <c r="C98" s="120">
        <f>500000</f>
        <v>500000</v>
      </c>
      <c r="D98" s="120">
        <f t="shared" si="579"/>
        <v>500000</v>
      </c>
      <c r="E98" s="120">
        <f t="shared" si="579"/>
        <v>500000</v>
      </c>
      <c r="F98" s="120">
        <f t="shared" si="579"/>
        <v>500000</v>
      </c>
      <c r="G98" s="120">
        <f t="shared" si="579"/>
        <v>500000</v>
      </c>
      <c r="H98" s="120">
        <f t="shared" si="579"/>
        <v>500000</v>
      </c>
      <c r="I98" s="120">
        <f t="shared" si="579"/>
        <v>500000</v>
      </c>
      <c r="J98" s="120">
        <f t="shared" si="579"/>
        <v>500000</v>
      </c>
      <c r="K98" s="120">
        <f t="shared" si="579"/>
        <v>500000</v>
      </c>
      <c r="L98" s="120">
        <f t="shared" si="579"/>
        <v>500000</v>
      </c>
      <c r="M98" s="120">
        <f t="shared" si="579"/>
        <v>500000</v>
      </c>
      <c r="N98" s="120">
        <f t="shared" si="579"/>
        <v>500000</v>
      </c>
      <c r="O98" s="92">
        <f t="shared" si="580"/>
        <v>500000</v>
      </c>
      <c r="P98" s="92">
        <f t="shared" si="581"/>
        <v>500000</v>
      </c>
      <c r="Q98" s="92">
        <f t="shared" si="582"/>
        <v>500000</v>
      </c>
      <c r="R98" s="92">
        <f t="shared" si="583"/>
        <v>500000</v>
      </c>
      <c r="S98" s="92">
        <f t="shared" si="584"/>
        <v>500000</v>
      </c>
      <c r="T98" s="92">
        <f t="shared" si="585"/>
        <v>500000</v>
      </c>
      <c r="U98" s="92">
        <f t="shared" si="586"/>
        <v>500000</v>
      </c>
      <c r="V98" s="92">
        <f t="shared" si="587"/>
        <v>500000</v>
      </c>
      <c r="W98" s="92">
        <f t="shared" si="588"/>
        <v>500000</v>
      </c>
      <c r="X98" s="92">
        <f t="shared" si="589"/>
        <v>500000</v>
      </c>
      <c r="Y98" s="92">
        <f t="shared" si="590"/>
        <v>500000</v>
      </c>
      <c r="Z98" s="92">
        <f t="shared" si="591"/>
        <v>500000</v>
      </c>
      <c r="AA98" s="92">
        <f t="shared" si="592"/>
        <v>500000</v>
      </c>
      <c r="AB98" s="92">
        <f t="shared" si="593"/>
        <v>500000</v>
      </c>
      <c r="AC98" s="92">
        <f t="shared" si="594"/>
        <v>500000</v>
      </c>
      <c r="AD98" s="92">
        <f t="shared" si="595"/>
        <v>500000</v>
      </c>
      <c r="AE98" s="92">
        <f t="shared" si="596"/>
        <v>500000</v>
      </c>
      <c r="AF98" s="92">
        <f t="shared" si="597"/>
        <v>500000</v>
      </c>
      <c r="AG98" s="92">
        <f t="shared" si="598"/>
        <v>500000</v>
      </c>
      <c r="AH98" s="92">
        <f t="shared" si="599"/>
        <v>500000</v>
      </c>
      <c r="AI98" s="92">
        <f t="shared" si="600"/>
        <v>500000</v>
      </c>
      <c r="AJ98" s="92">
        <f t="shared" si="601"/>
        <v>500000</v>
      </c>
      <c r="AK98" s="92">
        <f t="shared" si="602"/>
        <v>500000</v>
      </c>
      <c r="AL98" s="92">
        <f t="shared" si="603"/>
        <v>500000</v>
      </c>
      <c r="AM98" s="92">
        <f t="shared" si="604"/>
        <v>500000</v>
      </c>
      <c r="AN98" s="92">
        <f t="shared" si="605"/>
        <v>500000</v>
      </c>
      <c r="AO98" s="92">
        <f t="shared" si="606"/>
        <v>500000</v>
      </c>
      <c r="AP98" s="92">
        <f t="shared" si="607"/>
        <v>500000</v>
      </c>
      <c r="AQ98" s="92">
        <f t="shared" si="608"/>
        <v>500000</v>
      </c>
      <c r="AR98" s="92">
        <f t="shared" si="609"/>
        <v>500000</v>
      </c>
      <c r="AS98" s="92">
        <f t="shared" si="610"/>
        <v>500000</v>
      </c>
      <c r="AT98" s="92">
        <f t="shared" si="611"/>
        <v>500000</v>
      </c>
      <c r="AU98" s="92">
        <f t="shared" si="612"/>
        <v>500000</v>
      </c>
      <c r="AV98" s="92">
        <f t="shared" si="613"/>
        <v>500000</v>
      </c>
      <c r="AW98" s="92">
        <f t="shared" si="614"/>
        <v>500000</v>
      </c>
      <c r="AX98" s="92">
        <f t="shared" si="615"/>
        <v>500000</v>
      </c>
      <c r="AY98" s="92">
        <f t="shared" si="616"/>
        <v>500000</v>
      </c>
      <c r="AZ98" s="92">
        <f t="shared" si="617"/>
        <v>500000</v>
      </c>
      <c r="BA98" s="92">
        <f t="shared" si="618"/>
        <v>500000</v>
      </c>
      <c r="BB98" s="92">
        <f t="shared" si="619"/>
        <v>500000</v>
      </c>
      <c r="BC98" s="92">
        <f t="shared" si="620"/>
        <v>500000</v>
      </c>
      <c r="BD98" s="92">
        <f t="shared" si="621"/>
        <v>500000</v>
      </c>
      <c r="BE98" s="92">
        <f t="shared" si="622"/>
        <v>500000</v>
      </c>
      <c r="BF98" s="92">
        <f t="shared" si="623"/>
        <v>500000</v>
      </c>
      <c r="BG98" s="92">
        <f t="shared" si="624"/>
        <v>500000</v>
      </c>
      <c r="BH98" s="92">
        <f t="shared" si="625"/>
        <v>500000</v>
      </c>
      <c r="BI98" s="92">
        <f t="shared" si="626"/>
        <v>500000</v>
      </c>
      <c r="BJ98" s="92">
        <f t="shared" si="627"/>
        <v>500000</v>
      </c>
      <c r="BK98" s="92">
        <f t="shared" si="628"/>
        <v>500000</v>
      </c>
      <c r="BL98" s="92">
        <f t="shared" si="629"/>
        <v>500000</v>
      </c>
      <c r="BM98" s="92">
        <f t="shared" si="630"/>
        <v>500000</v>
      </c>
      <c r="BN98" s="92">
        <f t="shared" si="631"/>
        <v>500000</v>
      </c>
      <c r="BO98" s="92">
        <f t="shared" si="632"/>
        <v>500000</v>
      </c>
      <c r="BP98" s="92">
        <f t="shared" si="633"/>
        <v>500000</v>
      </c>
      <c r="BQ98" s="92">
        <f t="shared" si="634"/>
        <v>500000</v>
      </c>
      <c r="BR98" s="92">
        <f t="shared" si="635"/>
        <v>500000</v>
      </c>
      <c r="BS98" s="92">
        <f t="shared" si="636"/>
        <v>500000</v>
      </c>
      <c r="BT98" s="92">
        <f t="shared" si="637"/>
        <v>500000</v>
      </c>
      <c r="BU98" s="92">
        <f t="shared" si="638"/>
        <v>500000</v>
      </c>
      <c r="BV98" s="92">
        <f t="shared" si="639"/>
        <v>500000</v>
      </c>
      <c r="BW98" s="92">
        <f t="shared" si="640"/>
        <v>500000</v>
      </c>
      <c r="BX98" s="92">
        <f t="shared" si="641"/>
        <v>500000</v>
      </c>
      <c r="BY98" s="92">
        <f t="shared" si="642"/>
        <v>500000</v>
      </c>
      <c r="BZ98" s="92">
        <f t="shared" si="643"/>
        <v>500000</v>
      </c>
      <c r="CA98" s="92">
        <f t="shared" si="644"/>
        <v>500000</v>
      </c>
      <c r="CB98" s="92">
        <f t="shared" si="645"/>
        <v>500000</v>
      </c>
      <c r="CC98" s="92">
        <f t="shared" si="646"/>
        <v>500000</v>
      </c>
      <c r="CD98" s="92">
        <f t="shared" si="647"/>
        <v>500000</v>
      </c>
      <c r="CE98" s="92">
        <f t="shared" si="648"/>
        <v>500000</v>
      </c>
      <c r="CF98" s="92">
        <f t="shared" si="649"/>
        <v>500000</v>
      </c>
      <c r="CG98" s="92">
        <f t="shared" si="650"/>
        <v>500000</v>
      </c>
      <c r="CH98" s="92">
        <f t="shared" si="651"/>
        <v>500000</v>
      </c>
    </row>
    <row r="99" spans="1:86" x14ac:dyDescent="0.25">
      <c r="A99" s="29" t="s">
        <v>22</v>
      </c>
      <c r="B99" s="31" t="s">
        <v>44</v>
      </c>
      <c r="C99" s="120">
        <f>500000</f>
        <v>500000</v>
      </c>
      <c r="D99" s="120">
        <f t="shared" si="579"/>
        <v>500000</v>
      </c>
      <c r="E99" s="120">
        <f t="shared" si="579"/>
        <v>500000</v>
      </c>
      <c r="F99" s="120">
        <f t="shared" si="579"/>
        <v>500000</v>
      </c>
      <c r="G99" s="120">
        <f t="shared" si="579"/>
        <v>500000</v>
      </c>
      <c r="H99" s="120">
        <f t="shared" si="579"/>
        <v>500000</v>
      </c>
      <c r="I99" s="120">
        <f t="shared" si="579"/>
        <v>500000</v>
      </c>
      <c r="J99" s="120">
        <f t="shared" si="579"/>
        <v>500000</v>
      </c>
      <c r="K99" s="120">
        <f t="shared" si="579"/>
        <v>500000</v>
      </c>
      <c r="L99" s="120">
        <f t="shared" si="579"/>
        <v>500000</v>
      </c>
      <c r="M99" s="120">
        <f t="shared" si="579"/>
        <v>500000</v>
      </c>
      <c r="N99" s="120">
        <f t="shared" si="579"/>
        <v>500000</v>
      </c>
      <c r="O99" s="92">
        <f t="shared" si="580"/>
        <v>500000</v>
      </c>
      <c r="P99" s="92">
        <f t="shared" si="581"/>
        <v>500000</v>
      </c>
      <c r="Q99" s="92">
        <f t="shared" si="582"/>
        <v>500000</v>
      </c>
      <c r="R99" s="92">
        <f t="shared" si="583"/>
        <v>500000</v>
      </c>
      <c r="S99" s="92">
        <f t="shared" si="584"/>
        <v>500000</v>
      </c>
      <c r="T99" s="92">
        <f t="shared" si="585"/>
        <v>500000</v>
      </c>
      <c r="U99" s="92">
        <f t="shared" si="586"/>
        <v>500000</v>
      </c>
      <c r="V99" s="92">
        <f t="shared" si="587"/>
        <v>500000</v>
      </c>
      <c r="W99" s="92">
        <f t="shared" si="588"/>
        <v>500000</v>
      </c>
      <c r="X99" s="92">
        <f t="shared" si="589"/>
        <v>500000</v>
      </c>
      <c r="Y99" s="92">
        <f t="shared" si="590"/>
        <v>500000</v>
      </c>
      <c r="Z99" s="92">
        <f t="shared" si="591"/>
        <v>500000</v>
      </c>
      <c r="AA99" s="92">
        <f t="shared" si="592"/>
        <v>500000</v>
      </c>
      <c r="AB99" s="92">
        <f t="shared" si="593"/>
        <v>500000</v>
      </c>
      <c r="AC99" s="92">
        <f t="shared" si="594"/>
        <v>500000</v>
      </c>
      <c r="AD99" s="92">
        <f t="shared" si="595"/>
        <v>500000</v>
      </c>
      <c r="AE99" s="92">
        <f t="shared" si="596"/>
        <v>500000</v>
      </c>
      <c r="AF99" s="92">
        <f t="shared" si="597"/>
        <v>500000</v>
      </c>
      <c r="AG99" s="92">
        <f t="shared" si="598"/>
        <v>500000</v>
      </c>
      <c r="AH99" s="92">
        <f t="shared" si="599"/>
        <v>500000</v>
      </c>
      <c r="AI99" s="92">
        <f t="shared" si="600"/>
        <v>500000</v>
      </c>
      <c r="AJ99" s="92">
        <f t="shared" si="601"/>
        <v>500000</v>
      </c>
      <c r="AK99" s="92">
        <f t="shared" si="602"/>
        <v>500000</v>
      </c>
      <c r="AL99" s="92">
        <f t="shared" si="603"/>
        <v>500000</v>
      </c>
      <c r="AM99" s="92">
        <f t="shared" si="604"/>
        <v>500000</v>
      </c>
      <c r="AN99" s="92">
        <f t="shared" si="605"/>
        <v>500000</v>
      </c>
      <c r="AO99" s="92">
        <f t="shared" si="606"/>
        <v>500000</v>
      </c>
      <c r="AP99" s="92">
        <f t="shared" si="607"/>
        <v>500000</v>
      </c>
      <c r="AQ99" s="92">
        <f t="shared" si="608"/>
        <v>500000</v>
      </c>
      <c r="AR99" s="92">
        <f t="shared" si="609"/>
        <v>500000</v>
      </c>
      <c r="AS99" s="92">
        <f t="shared" si="610"/>
        <v>500000</v>
      </c>
      <c r="AT99" s="92">
        <f t="shared" si="611"/>
        <v>500000</v>
      </c>
      <c r="AU99" s="92">
        <f t="shared" si="612"/>
        <v>500000</v>
      </c>
      <c r="AV99" s="92">
        <f t="shared" si="613"/>
        <v>500000</v>
      </c>
      <c r="AW99" s="92">
        <f t="shared" si="614"/>
        <v>500000</v>
      </c>
      <c r="AX99" s="92">
        <f t="shared" si="615"/>
        <v>500000</v>
      </c>
      <c r="AY99" s="92">
        <f t="shared" si="616"/>
        <v>500000</v>
      </c>
      <c r="AZ99" s="92">
        <f t="shared" si="617"/>
        <v>500000</v>
      </c>
      <c r="BA99" s="92">
        <f t="shared" si="618"/>
        <v>500000</v>
      </c>
      <c r="BB99" s="92">
        <f t="shared" si="619"/>
        <v>500000</v>
      </c>
      <c r="BC99" s="92">
        <f t="shared" si="620"/>
        <v>500000</v>
      </c>
      <c r="BD99" s="92">
        <f t="shared" si="621"/>
        <v>500000</v>
      </c>
      <c r="BE99" s="92">
        <f t="shared" si="622"/>
        <v>500000</v>
      </c>
      <c r="BF99" s="92">
        <f t="shared" si="623"/>
        <v>500000</v>
      </c>
      <c r="BG99" s="92">
        <f t="shared" si="624"/>
        <v>500000</v>
      </c>
      <c r="BH99" s="92">
        <f t="shared" si="625"/>
        <v>500000</v>
      </c>
      <c r="BI99" s="92">
        <f t="shared" si="626"/>
        <v>500000</v>
      </c>
      <c r="BJ99" s="92">
        <f t="shared" si="627"/>
        <v>500000</v>
      </c>
      <c r="BK99" s="92">
        <f t="shared" si="628"/>
        <v>500000</v>
      </c>
      <c r="BL99" s="92">
        <f t="shared" si="629"/>
        <v>500000</v>
      </c>
      <c r="BM99" s="92">
        <f t="shared" si="630"/>
        <v>500000</v>
      </c>
      <c r="BN99" s="92">
        <f t="shared" si="631"/>
        <v>500000</v>
      </c>
      <c r="BO99" s="92">
        <f t="shared" si="632"/>
        <v>500000</v>
      </c>
      <c r="BP99" s="92">
        <f t="shared" si="633"/>
        <v>500000</v>
      </c>
      <c r="BQ99" s="92">
        <f t="shared" si="634"/>
        <v>500000</v>
      </c>
      <c r="BR99" s="92">
        <f t="shared" si="635"/>
        <v>500000</v>
      </c>
      <c r="BS99" s="92">
        <f t="shared" si="636"/>
        <v>500000</v>
      </c>
      <c r="BT99" s="92">
        <f t="shared" si="637"/>
        <v>500000</v>
      </c>
      <c r="BU99" s="92">
        <f t="shared" si="638"/>
        <v>500000</v>
      </c>
      <c r="BV99" s="92">
        <f t="shared" si="639"/>
        <v>500000</v>
      </c>
      <c r="BW99" s="92">
        <f t="shared" si="640"/>
        <v>500000</v>
      </c>
      <c r="BX99" s="92">
        <f t="shared" si="641"/>
        <v>500000</v>
      </c>
      <c r="BY99" s="92">
        <f t="shared" si="642"/>
        <v>500000</v>
      </c>
      <c r="BZ99" s="92">
        <f t="shared" si="643"/>
        <v>500000</v>
      </c>
      <c r="CA99" s="92">
        <f t="shared" si="644"/>
        <v>500000</v>
      </c>
      <c r="CB99" s="92">
        <f t="shared" si="645"/>
        <v>500000</v>
      </c>
      <c r="CC99" s="92">
        <f t="shared" si="646"/>
        <v>500000</v>
      </c>
      <c r="CD99" s="92">
        <f t="shared" si="647"/>
        <v>500000</v>
      </c>
      <c r="CE99" s="92">
        <f t="shared" si="648"/>
        <v>500000</v>
      </c>
      <c r="CF99" s="92">
        <f t="shared" si="649"/>
        <v>500000</v>
      </c>
      <c r="CG99" s="92">
        <f t="shared" si="650"/>
        <v>500000</v>
      </c>
      <c r="CH99" s="92">
        <f t="shared" si="651"/>
        <v>500000</v>
      </c>
    </row>
    <row r="100" spans="1:86" x14ac:dyDescent="0.25">
      <c r="A100" s="29" t="s">
        <v>22</v>
      </c>
      <c r="B100" s="31" t="s">
        <v>43</v>
      </c>
      <c r="C100" s="120">
        <f>500000</f>
        <v>500000</v>
      </c>
      <c r="D100" s="120">
        <f t="shared" si="579"/>
        <v>500000</v>
      </c>
      <c r="E100" s="120">
        <f t="shared" si="579"/>
        <v>500000</v>
      </c>
      <c r="F100" s="120">
        <f t="shared" si="579"/>
        <v>500000</v>
      </c>
      <c r="G100" s="120">
        <f t="shared" si="579"/>
        <v>500000</v>
      </c>
      <c r="H100" s="120">
        <f t="shared" si="579"/>
        <v>500000</v>
      </c>
      <c r="I100" s="120">
        <f t="shared" si="579"/>
        <v>500000</v>
      </c>
      <c r="J100" s="120">
        <f t="shared" si="579"/>
        <v>500000</v>
      </c>
      <c r="K100" s="120">
        <f t="shared" si="579"/>
        <v>500000</v>
      </c>
      <c r="L100" s="120">
        <f t="shared" si="579"/>
        <v>500000</v>
      </c>
      <c r="M100" s="120">
        <f t="shared" si="579"/>
        <v>500000</v>
      </c>
      <c r="N100" s="120">
        <f t="shared" si="579"/>
        <v>500000</v>
      </c>
      <c r="O100" s="92">
        <f t="shared" si="580"/>
        <v>500000</v>
      </c>
      <c r="P100" s="92">
        <f t="shared" si="581"/>
        <v>500000</v>
      </c>
      <c r="Q100" s="92">
        <f t="shared" si="582"/>
        <v>500000</v>
      </c>
      <c r="R100" s="92">
        <f t="shared" si="583"/>
        <v>500000</v>
      </c>
      <c r="S100" s="92">
        <f t="shared" si="584"/>
        <v>500000</v>
      </c>
      <c r="T100" s="92">
        <f t="shared" si="585"/>
        <v>500000</v>
      </c>
      <c r="U100" s="92">
        <f t="shared" si="586"/>
        <v>500000</v>
      </c>
      <c r="V100" s="92">
        <f t="shared" si="587"/>
        <v>500000</v>
      </c>
      <c r="W100" s="92">
        <f t="shared" si="588"/>
        <v>500000</v>
      </c>
      <c r="X100" s="92">
        <f t="shared" si="589"/>
        <v>500000</v>
      </c>
      <c r="Y100" s="92">
        <f t="shared" si="590"/>
        <v>500000</v>
      </c>
      <c r="Z100" s="92">
        <f t="shared" si="591"/>
        <v>500000</v>
      </c>
      <c r="AA100" s="92">
        <f t="shared" si="592"/>
        <v>500000</v>
      </c>
      <c r="AB100" s="92">
        <f t="shared" si="593"/>
        <v>500000</v>
      </c>
      <c r="AC100" s="92">
        <f t="shared" si="594"/>
        <v>500000</v>
      </c>
      <c r="AD100" s="92">
        <f t="shared" si="595"/>
        <v>500000</v>
      </c>
      <c r="AE100" s="92">
        <f t="shared" si="596"/>
        <v>500000</v>
      </c>
      <c r="AF100" s="92">
        <f t="shared" si="597"/>
        <v>500000</v>
      </c>
      <c r="AG100" s="92">
        <f t="shared" si="598"/>
        <v>500000</v>
      </c>
      <c r="AH100" s="92">
        <f t="shared" si="599"/>
        <v>500000</v>
      </c>
      <c r="AI100" s="92">
        <f t="shared" si="600"/>
        <v>500000</v>
      </c>
      <c r="AJ100" s="92">
        <f t="shared" si="601"/>
        <v>500000</v>
      </c>
      <c r="AK100" s="92">
        <f t="shared" si="602"/>
        <v>500000</v>
      </c>
      <c r="AL100" s="92">
        <f t="shared" si="603"/>
        <v>500000</v>
      </c>
      <c r="AM100" s="92">
        <f t="shared" si="604"/>
        <v>500000</v>
      </c>
      <c r="AN100" s="92">
        <f t="shared" si="605"/>
        <v>500000</v>
      </c>
      <c r="AO100" s="92">
        <f t="shared" si="606"/>
        <v>500000</v>
      </c>
      <c r="AP100" s="92">
        <f t="shared" si="607"/>
        <v>500000</v>
      </c>
      <c r="AQ100" s="92">
        <f t="shared" si="608"/>
        <v>500000</v>
      </c>
      <c r="AR100" s="92">
        <f t="shared" si="609"/>
        <v>500000</v>
      </c>
      <c r="AS100" s="92">
        <f t="shared" si="610"/>
        <v>500000</v>
      </c>
      <c r="AT100" s="92">
        <f t="shared" si="611"/>
        <v>500000</v>
      </c>
      <c r="AU100" s="92">
        <f t="shared" si="612"/>
        <v>500000</v>
      </c>
      <c r="AV100" s="92">
        <f t="shared" si="613"/>
        <v>500000</v>
      </c>
      <c r="AW100" s="92">
        <f t="shared" si="614"/>
        <v>500000</v>
      </c>
      <c r="AX100" s="92">
        <f t="shared" si="615"/>
        <v>500000</v>
      </c>
      <c r="AY100" s="92">
        <f t="shared" si="616"/>
        <v>500000</v>
      </c>
      <c r="AZ100" s="92">
        <f t="shared" si="617"/>
        <v>500000</v>
      </c>
      <c r="BA100" s="92">
        <f t="shared" si="618"/>
        <v>500000</v>
      </c>
      <c r="BB100" s="92">
        <f t="shared" si="619"/>
        <v>500000</v>
      </c>
      <c r="BC100" s="92">
        <f t="shared" si="620"/>
        <v>500000</v>
      </c>
      <c r="BD100" s="92">
        <f t="shared" si="621"/>
        <v>500000</v>
      </c>
      <c r="BE100" s="92">
        <f t="shared" si="622"/>
        <v>500000</v>
      </c>
      <c r="BF100" s="92">
        <f t="shared" si="623"/>
        <v>500000</v>
      </c>
      <c r="BG100" s="92">
        <f t="shared" si="624"/>
        <v>500000</v>
      </c>
      <c r="BH100" s="92">
        <f t="shared" si="625"/>
        <v>500000</v>
      </c>
      <c r="BI100" s="92">
        <f t="shared" si="626"/>
        <v>500000</v>
      </c>
      <c r="BJ100" s="92">
        <f t="shared" si="627"/>
        <v>500000</v>
      </c>
      <c r="BK100" s="92">
        <f t="shared" si="628"/>
        <v>500000</v>
      </c>
      <c r="BL100" s="92">
        <f t="shared" si="629"/>
        <v>500000</v>
      </c>
      <c r="BM100" s="92">
        <f t="shared" si="630"/>
        <v>500000</v>
      </c>
      <c r="BN100" s="92">
        <f t="shared" si="631"/>
        <v>500000</v>
      </c>
      <c r="BO100" s="92">
        <f t="shared" si="632"/>
        <v>500000</v>
      </c>
      <c r="BP100" s="92">
        <f t="shared" si="633"/>
        <v>500000</v>
      </c>
      <c r="BQ100" s="92">
        <f t="shared" si="634"/>
        <v>500000</v>
      </c>
      <c r="BR100" s="92">
        <f t="shared" si="635"/>
        <v>500000</v>
      </c>
      <c r="BS100" s="92">
        <f t="shared" si="636"/>
        <v>500000</v>
      </c>
      <c r="BT100" s="92">
        <f t="shared" si="637"/>
        <v>500000</v>
      </c>
      <c r="BU100" s="92">
        <f t="shared" si="638"/>
        <v>500000</v>
      </c>
      <c r="BV100" s="92">
        <f t="shared" si="639"/>
        <v>500000</v>
      </c>
      <c r="BW100" s="92">
        <f t="shared" si="640"/>
        <v>500000</v>
      </c>
      <c r="BX100" s="92">
        <f t="shared" si="641"/>
        <v>500000</v>
      </c>
      <c r="BY100" s="92">
        <f t="shared" si="642"/>
        <v>500000</v>
      </c>
      <c r="BZ100" s="92">
        <f t="shared" si="643"/>
        <v>500000</v>
      </c>
      <c r="CA100" s="92">
        <f t="shared" si="644"/>
        <v>500000</v>
      </c>
      <c r="CB100" s="92">
        <f t="shared" si="645"/>
        <v>500000</v>
      </c>
      <c r="CC100" s="92">
        <f t="shared" si="646"/>
        <v>500000</v>
      </c>
      <c r="CD100" s="92">
        <f t="shared" si="647"/>
        <v>500000</v>
      </c>
      <c r="CE100" s="92">
        <f t="shared" si="648"/>
        <v>500000</v>
      </c>
      <c r="CF100" s="92">
        <f t="shared" si="649"/>
        <v>500000</v>
      </c>
      <c r="CG100" s="92">
        <f t="shared" si="650"/>
        <v>500000</v>
      </c>
      <c r="CH100" s="92">
        <f t="shared" si="651"/>
        <v>500000</v>
      </c>
    </row>
    <row r="101" spans="1:86" x14ac:dyDescent="0.25">
      <c r="A101" s="29" t="s">
        <v>22</v>
      </c>
      <c r="B101" s="31" t="s">
        <v>42</v>
      </c>
      <c r="C101" s="120">
        <f>2500000</f>
        <v>2500000</v>
      </c>
      <c r="D101" s="120">
        <f t="shared" si="579"/>
        <v>2500000</v>
      </c>
      <c r="E101" s="120">
        <f t="shared" si="579"/>
        <v>2500000</v>
      </c>
      <c r="F101" s="120">
        <f t="shared" si="579"/>
        <v>2500000</v>
      </c>
      <c r="G101" s="120">
        <f t="shared" si="579"/>
        <v>2500000</v>
      </c>
      <c r="H101" s="120">
        <f t="shared" si="579"/>
        <v>2500000</v>
      </c>
      <c r="I101" s="120">
        <f t="shared" si="579"/>
        <v>2500000</v>
      </c>
      <c r="J101" s="120">
        <f t="shared" si="579"/>
        <v>2500000</v>
      </c>
      <c r="K101" s="120">
        <f t="shared" si="579"/>
        <v>2500000</v>
      </c>
      <c r="L101" s="120">
        <f t="shared" si="579"/>
        <v>2500000</v>
      </c>
      <c r="M101" s="120">
        <f t="shared" si="579"/>
        <v>2500000</v>
      </c>
      <c r="N101" s="120">
        <f t="shared" si="579"/>
        <v>2500000</v>
      </c>
      <c r="O101" s="92">
        <f t="shared" si="580"/>
        <v>2500000</v>
      </c>
      <c r="P101" s="92">
        <f t="shared" si="581"/>
        <v>2500000</v>
      </c>
      <c r="Q101" s="92">
        <f t="shared" si="582"/>
        <v>2500000</v>
      </c>
      <c r="R101" s="92">
        <f t="shared" si="583"/>
        <v>2500000</v>
      </c>
      <c r="S101" s="92">
        <f t="shared" si="584"/>
        <v>2500000</v>
      </c>
      <c r="T101" s="92">
        <f t="shared" si="585"/>
        <v>2500000</v>
      </c>
      <c r="U101" s="92">
        <f t="shared" si="586"/>
        <v>2500000</v>
      </c>
      <c r="V101" s="92">
        <f t="shared" si="587"/>
        <v>2500000</v>
      </c>
      <c r="W101" s="92">
        <f t="shared" si="588"/>
        <v>2500000</v>
      </c>
      <c r="X101" s="92">
        <f t="shared" si="589"/>
        <v>2500000</v>
      </c>
      <c r="Y101" s="92">
        <f t="shared" si="590"/>
        <v>2500000</v>
      </c>
      <c r="Z101" s="92">
        <f t="shared" si="591"/>
        <v>2500000</v>
      </c>
      <c r="AA101" s="92">
        <f t="shared" si="592"/>
        <v>2500000</v>
      </c>
      <c r="AB101" s="92">
        <f t="shared" si="593"/>
        <v>2500000</v>
      </c>
      <c r="AC101" s="92">
        <f t="shared" si="594"/>
        <v>2500000</v>
      </c>
      <c r="AD101" s="92">
        <f t="shared" si="595"/>
        <v>2500000</v>
      </c>
      <c r="AE101" s="92">
        <f t="shared" si="596"/>
        <v>2500000</v>
      </c>
      <c r="AF101" s="92">
        <f t="shared" si="597"/>
        <v>2500000</v>
      </c>
      <c r="AG101" s="92">
        <f t="shared" si="598"/>
        <v>2500000</v>
      </c>
      <c r="AH101" s="92">
        <f t="shared" si="599"/>
        <v>2500000</v>
      </c>
      <c r="AI101" s="92">
        <f t="shared" si="600"/>
        <v>2500000</v>
      </c>
      <c r="AJ101" s="92">
        <f t="shared" si="601"/>
        <v>2500000</v>
      </c>
      <c r="AK101" s="92">
        <f t="shared" si="602"/>
        <v>2500000</v>
      </c>
      <c r="AL101" s="92">
        <f t="shared" si="603"/>
        <v>2500000</v>
      </c>
      <c r="AM101" s="92">
        <f t="shared" si="604"/>
        <v>2500000</v>
      </c>
      <c r="AN101" s="92">
        <f t="shared" si="605"/>
        <v>2500000</v>
      </c>
      <c r="AO101" s="92">
        <f t="shared" si="606"/>
        <v>2500000</v>
      </c>
      <c r="AP101" s="92">
        <f t="shared" si="607"/>
        <v>2500000</v>
      </c>
      <c r="AQ101" s="92">
        <f t="shared" si="608"/>
        <v>2500000</v>
      </c>
      <c r="AR101" s="92">
        <f t="shared" si="609"/>
        <v>2500000</v>
      </c>
      <c r="AS101" s="92">
        <f t="shared" si="610"/>
        <v>2500000</v>
      </c>
      <c r="AT101" s="92">
        <f t="shared" si="611"/>
        <v>2500000</v>
      </c>
      <c r="AU101" s="92">
        <f t="shared" si="612"/>
        <v>2500000</v>
      </c>
      <c r="AV101" s="92">
        <f t="shared" si="613"/>
        <v>2500000</v>
      </c>
      <c r="AW101" s="92">
        <f t="shared" si="614"/>
        <v>2500000</v>
      </c>
      <c r="AX101" s="92">
        <f t="shared" si="615"/>
        <v>2500000</v>
      </c>
      <c r="AY101" s="92">
        <f t="shared" si="616"/>
        <v>2500000</v>
      </c>
      <c r="AZ101" s="92">
        <f t="shared" si="617"/>
        <v>2500000</v>
      </c>
      <c r="BA101" s="92">
        <f t="shared" si="618"/>
        <v>2500000</v>
      </c>
      <c r="BB101" s="92">
        <f t="shared" si="619"/>
        <v>2500000</v>
      </c>
      <c r="BC101" s="92">
        <f t="shared" si="620"/>
        <v>2500000</v>
      </c>
      <c r="BD101" s="92">
        <f t="shared" si="621"/>
        <v>2500000</v>
      </c>
      <c r="BE101" s="92">
        <f t="shared" si="622"/>
        <v>2500000</v>
      </c>
      <c r="BF101" s="92">
        <f t="shared" si="623"/>
        <v>2500000</v>
      </c>
      <c r="BG101" s="92">
        <f t="shared" si="624"/>
        <v>2500000</v>
      </c>
      <c r="BH101" s="92">
        <f t="shared" si="625"/>
        <v>2500000</v>
      </c>
      <c r="BI101" s="92">
        <f t="shared" si="626"/>
        <v>2500000</v>
      </c>
      <c r="BJ101" s="92">
        <f t="shared" si="627"/>
        <v>2500000</v>
      </c>
      <c r="BK101" s="92">
        <f t="shared" si="628"/>
        <v>2500000</v>
      </c>
      <c r="BL101" s="92">
        <f t="shared" si="629"/>
        <v>2500000</v>
      </c>
      <c r="BM101" s="92">
        <f t="shared" si="630"/>
        <v>2500000</v>
      </c>
      <c r="BN101" s="92">
        <f t="shared" si="631"/>
        <v>2500000</v>
      </c>
      <c r="BO101" s="92">
        <f t="shared" si="632"/>
        <v>2500000</v>
      </c>
      <c r="BP101" s="92">
        <f t="shared" si="633"/>
        <v>2500000</v>
      </c>
      <c r="BQ101" s="92">
        <f t="shared" si="634"/>
        <v>2500000</v>
      </c>
      <c r="BR101" s="92">
        <f t="shared" si="635"/>
        <v>2500000</v>
      </c>
      <c r="BS101" s="92">
        <f t="shared" si="636"/>
        <v>2500000</v>
      </c>
      <c r="BT101" s="92">
        <f t="shared" si="637"/>
        <v>2500000</v>
      </c>
      <c r="BU101" s="92">
        <f t="shared" si="638"/>
        <v>2500000</v>
      </c>
      <c r="BV101" s="92">
        <f t="shared" si="639"/>
        <v>2500000</v>
      </c>
      <c r="BW101" s="92">
        <f t="shared" si="640"/>
        <v>2500000</v>
      </c>
      <c r="BX101" s="92">
        <f t="shared" si="641"/>
        <v>2500000</v>
      </c>
      <c r="BY101" s="92">
        <f t="shared" si="642"/>
        <v>2500000</v>
      </c>
      <c r="BZ101" s="92">
        <f t="shared" si="643"/>
        <v>2500000</v>
      </c>
      <c r="CA101" s="92">
        <f t="shared" si="644"/>
        <v>2500000</v>
      </c>
      <c r="CB101" s="92">
        <f t="shared" si="645"/>
        <v>2500000</v>
      </c>
      <c r="CC101" s="92">
        <f t="shared" si="646"/>
        <v>2500000</v>
      </c>
      <c r="CD101" s="92">
        <f t="shared" si="647"/>
        <v>2500000</v>
      </c>
      <c r="CE101" s="92">
        <f t="shared" si="648"/>
        <v>2500000</v>
      </c>
      <c r="CF101" s="92">
        <f t="shared" si="649"/>
        <v>2500000</v>
      </c>
      <c r="CG101" s="92">
        <f t="shared" si="650"/>
        <v>2500000</v>
      </c>
      <c r="CH101" s="92">
        <f t="shared" si="651"/>
        <v>2500000</v>
      </c>
    </row>
    <row r="102" spans="1:86" x14ac:dyDescent="0.25">
      <c r="A102" s="29" t="s">
        <v>22</v>
      </c>
      <c r="B102" s="31" t="s">
        <v>41</v>
      </c>
      <c r="C102" s="120">
        <f>2500000</f>
        <v>2500000</v>
      </c>
      <c r="D102" s="120">
        <f t="shared" si="579"/>
        <v>2500000</v>
      </c>
      <c r="E102" s="120">
        <f t="shared" si="579"/>
        <v>2500000</v>
      </c>
      <c r="F102" s="120">
        <f t="shared" si="579"/>
        <v>2500000</v>
      </c>
      <c r="G102" s="120">
        <f t="shared" si="579"/>
        <v>2500000</v>
      </c>
      <c r="H102" s="120">
        <f t="shared" si="579"/>
        <v>2500000</v>
      </c>
      <c r="I102" s="120">
        <f t="shared" si="579"/>
        <v>2500000</v>
      </c>
      <c r="J102" s="120">
        <f t="shared" si="579"/>
        <v>2500000</v>
      </c>
      <c r="K102" s="120">
        <f t="shared" si="579"/>
        <v>2500000</v>
      </c>
      <c r="L102" s="120">
        <f t="shared" si="579"/>
        <v>2500000</v>
      </c>
      <c r="M102" s="120">
        <f t="shared" si="579"/>
        <v>2500000</v>
      </c>
      <c r="N102" s="120">
        <f t="shared" si="579"/>
        <v>2500000</v>
      </c>
      <c r="O102" s="92">
        <f t="shared" si="580"/>
        <v>2500000</v>
      </c>
      <c r="P102" s="92">
        <f t="shared" si="581"/>
        <v>2500000</v>
      </c>
      <c r="Q102" s="92">
        <f t="shared" si="582"/>
        <v>2500000</v>
      </c>
      <c r="R102" s="92">
        <f t="shared" si="583"/>
        <v>2500000</v>
      </c>
      <c r="S102" s="92">
        <f t="shared" si="584"/>
        <v>2500000</v>
      </c>
      <c r="T102" s="92">
        <f t="shared" si="585"/>
        <v>2500000</v>
      </c>
      <c r="U102" s="92">
        <f t="shared" si="586"/>
        <v>2500000</v>
      </c>
      <c r="V102" s="92">
        <f t="shared" si="587"/>
        <v>2500000</v>
      </c>
      <c r="W102" s="92">
        <f t="shared" si="588"/>
        <v>2500000</v>
      </c>
      <c r="X102" s="92">
        <f t="shared" si="589"/>
        <v>2500000</v>
      </c>
      <c r="Y102" s="92">
        <f t="shared" si="590"/>
        <v>2500000</v>
      </c>
      <c r="Z102" s="92">
        <f t="shared" si="591"/>
        <v>2500000</v>
      </c>
      <c r="AA102" s="92">
        <f t="shared" si="592"/>
        <v>2500000</v>
      </c>
      <c r="AB102" s="92">
        <f t="shared" si="593"/>
        <v>2500000</v>
      </c>
      <c r="AC102" s="92">
        <f t="shared" si="594"/>
        <v>2500000</v>
      </c>
      <c r="AD102" s="92">
        <f t="shared" si="595"/>
        <v>2500000</v>
      </c>
      <c r="AE102" s="92">
        <f t="shared" si="596"/>
        <v>2500000</v>
      </c>
      <c r="AF102" s="92">
        <f t="shared" si="597"/>
        <v>2500000</v>
      </c>
      <c r="AG102" s="92">
        <f t="shared" si="598"/>
        <v>2500000</v>
      </c>
      <c r="AH102" s="92">
        <f t="shared" si="599"/>
        <v>2500000</v>
      </c>
      <c r="AI102" s="92">
        <f t="shared" si="600"/>
        <v>2500000</v>
      </c>
      <c r="AJ102" s="92">
        <f t="shared" si="601"/>
        <v>2500000</v>
      </c>
      <c r="AK102" s="92">
        <f t="shared" si="602"/>
        <v>2500000</v>
      </c>
      <c r="AL102" s="92">
        <f t="shared" si="603"/>
        <v>2500000</v>
      </c>
      <c r="AM102" s="92">
        <f t="shared" si="604"/>
        <v>2500000</v>
      </c>
      <c r="AN102" s="92">
        <f t="shared" si="605"/>
        <v>2500000</v>
      </c>
      <c r="AO102" s="92">
        <f t="shared" si="606"/>
        <v>2500000</v>
      </c>
      <c r="AP102" s="92">
        <f t="shared" si="607"/>
        <v>2500000</v>
      </c>
      <c r="AQ102" s="92">
        <f t="shared" si="608"/>
        <v>2500000</v>
      </c>
      <c r="AR102" s="92">
        <f t="shared" si="609"/>
        <v>2500000</v>
      </c>
      <c r="AS102" s="92">
        <f t="shared" si="610"/>
        <v>2500000</v>
      </c>
      <c r="AT102" s="92">
        <f t="shared" si="611"/>
        <v>2500000</v>
      </c>
      <c r="AU102" s="92">
        <f t="shared" si="612"/>
        <v>2500000</v>
      </c>
      <c r="AV102" s="92">
        <f t="shared" si="613"/>
        <v>2500000</v>
      </c>
      <c r="AW102" s="92">
        <f t="shared" si="614"/>
        <v>2500000</v>
      </c>
      <c r="AX102" s="92">
        <f t="shared" si="615"/>
        <v>2500000</v>
      </c>
      <c r="AY102" s="92">
        <f t="shared" si="616"/>
        <v>2500000</v>
      </c>
      <c r="AZ102" s="92">
        <f t="shared" si="617"/>
        <v>2500000</v>
      </c>
      <c r="BA102" s="92">
        <f t="shared" si="618"/>
        <v>2500000</v>
      </c>
      <c r="BB102" s="92">
        <f t="shared" si="619"/>
        <v>2500000</v>
      </c>
      <c r="BC102" s="92">
        <f t="shared" si="620"/>
        <v>2500000</v>
      </c>
      <c r="BD102" s="92">
        <f t="shared" si="621"/>
        <v>2500000</v>
      </c>
      <c r="BE102" s="92">
        <f t="shared" si="622"/>
        <v>2500000</v>
      </c>
      <c r="BF102" s="92">
        <f t="shared" si="623"/>
        <v>2500000</v>
      </c>
      <c r="BG102" s="92">
        <f t="shared" si="624"/>
        <v>2500000</v>
      </c>
      <c r="BH102" s="92">
        <f t="shared" si="625"/>
        <v>2500000</v>
      </c>
      <c r="BI102" s="92">
        <f t="shared" si="626"/>
        <v>2500000</v>
      </c>
      <c r="BJ102" s="92">
        <f t="shared" si="627"/>
        <v>2500000</v>
      </c>
      <c r="BK102" s="92">
        <f t="shared" si="628"/>
        <v>2500000</v>
      </c>
      <c r="BL102" s="92">
        <f t="shared" si="629"/>
        <v>2500000</v>
      </c>
      <c r="BM102" s="92">
        <f t="shared" si="630"/>
        <v>2500000</v>
      </c>
      <c r="BN102" s="92">
        <f t="shared" si="631"/>
        <v>2500000</v>
      </c>
      <c r="BO102" s="92">
        <f t="shared" si="632"/>
        <v>2500000</v>
      </c>
      <c r="BP102" s="92">
        <f t="shared" si="633"/>
        <v>2500000</v>
      </c>
      <c r="BQ102" s="92">
        <f t="shared" si="634"/>
        <v>2500000</v>
      </c>
      <c r="BR102" s="92">
        <f t="shared" si="635"/>
        <v>2500000</v>
      </c>
      <c r="BS102" s="92">
        <f t="shared" si="636"/>
        <v>2500000</v>
      </c>
      <c r="BT102" s="92">
        <f t="shared" si="637"/>
        <v>2500000</v>
      </c>
      <c r="BU102" s="92">
        <f t="shared" si="638"/>
        <v>2500000</v>
      </c>
      <c r="BV102" s="92">
        <f t="shared" si="639"/>
        <v>2500000</v>
      </c>
      <c r="BW102" s="92">
        <f t="shared" si="640"/>
        <v>2500000</v>
      </c>
      <c r="BX102" s="92">
        <f t="shared" si="641"/>
        <v>2500000</v>
      </c>
      <c r="BY102" s="92">
        <f t="shared" si="642"/>
        <v>2500000</v>
      </c>
      <c r="BZ102" s="92">
        <f t="shared" si="643"/>
        <v>2500000</v>
      </c>
      <c r="CA102" s="92">
        <f t="shared" si="644"/>
        <v>2500000</v>
      </c>
      <c r="CB102" s="92">
        <f t="shared" si="645"/>
        <v>2500000</v>
      </c>
      <c r="CC102" s="92">
        <f t="shared" si="646"/>
        <v>2500000</v>
      </c>
      <c r="CD102" s="92">
        <f t="shared" si="647"/>
        <v>2500000</v>
      </c>
      <c r="CE102" s="92">
        <f t="shared" si="648"/>
        <v>2500000</v>
      </c>
      <c r="CF102" s="92">
        <f t="shared" si="649"/>
        <v>2500000</v>
      </c>
      <c r="CG102" s="92">
        <f t="shared" si="650"/>
        <v>2500000</v>
      </c>
      <c r="CH102" s="92">
        <f t="shared" si="651"/>
        <v>2500000</v>
      </c>
    </row>
    <row r="103" spans="1:86" x14ac:dyDescent="0.25">
      <c r="A103" s="29" t="s">
        <v>22</v>
      </c>
      <c r="B103" s="31" t="s">
        <v>40</v>
      </c>
      <c r="C103" s="120">
        <f>1000000</f>
        <v>1000000</v>
      </c>
      <c r="D103" s="120">
        <f t="shared" si="579"/>
        <v>1000000</v>
      </c>
      <c r="E103" s="120">
        <f t="shared" si="579"/>
        <v>1000000</v>
      </c>
      <c r="F103" s="120">
        <f t="shared" si="579"/>
        <v>1000000</v>
      </c>
      <c r="G103" s="120">
        <f t="shared" si="579"/>
        <v>1000000</v>
      </c>
      <c r="H103" s="120">
        <f t="shared" si="579"/>
        <v>1000000</v>
      </c>
      <c r="I103" s="120">
        <f t="shared" si="579"/>
        <v>1000000</v>
      </c>
      <c r="J103" s="120">
        <f t="shared" si="579"/>
        <v>1000000</v>
      </c>
      <c r="K103" s="120">
        <f t="shared" si="579"/>
        <v>1000000</v>
      </c>
      <c r="L103" s="120">
        <f t="shared" si="579"/>
        <v>1000000</v>
      </c>
      <c r="M103" s="120">
        <f t="shared" si="579"/>
        <v>1000000</v>
      </c>
      <c r="N103" s="120">
        <f t="shared" si="579"/>
        <v>1000000</v>
      </c>
      <c r="O103" s="92">
        <f t="shared" si="580"/>
        <v>1000000</v>
      </c>
      <c r="P103" s="92">
        <f t="shared" si="581"/>
        <v>1000000</v>
      </c>
      <c r="Q103" s="92">
        <f t="shared" si="582"/>
        <v>1000000</v>
      </c>
      <c r="R103" s="92">
        <f t="shared" si="583"/>
        <v>1000000</v>
      </c>
      <c r="S103" s="92">
        <f t="shared" si="584"/>
        <v>1000000</v>
      </c>
      <c r="T103" s="92">
        <f t="shared" si="585"/>
        <v>1000000</v>
      </c>
      <c r="U103" s="92">
        <f t="shared" si="586"/>
        <v>1000000</v>
      </c>
      <c r="V103" s="92">
        <f t="shared" si="587"/>
        <v>1000000</v>
      </c>
      <c r="W103" s="92">
        <f t="shared" si="588"/>
        <v>1000000</v>
      </c>
      <c r="X103" s="92">
        <f t="shared" si="589"/>
        <v>1000000</v>
      </c>
      <c r="Y103" s="92">
        <f t="shared" si="590"/>
        <v>1000000</v>
      </c>
      <c r="Z103" s="92">
        <f t="shared" si="591"/>
        <v>1000000</v>
      </c>
      <c r="AA103" s="92">
        <f t="shared" si="592"/>
        <v>1000000</v>
      </c>
      <c r="AB103" s="92">
        <f t="shared" si="593"/>
        <v>1000000</v>
      </c>
      <c r="AC103" s="92">
        <f t="shared" si="594"/>
        <v>1000000</v>
      </c>
      <c r="AD103" s="92">
        <f t="shared" si="595"/>
        <v>1000000</v>
      </c>
      <c r="AE103" s="92">
        <f t="shared" si="596"/>
        <v>1000000</v>
      </c>
      <c r="AF103" s="92">
        <f t="shared" si="597"/>
        <v>1000000</v>
      </c>
      <c r="AG103" s="92">
        <f t="shared" si="598"/>
        <v>1000000</v>
      </c>
      <c r="AH103" s="92">
        <f t="shared" si="599"/>
        <v>1000000</v>
      </c>
      <c r="AI103" s="92">
        <f t="shared" si="600"/>
        <v>1000000</v>
      </c>
      <c r="AJ103" s="92">
        <f t="shared" si="601"/>
        <v>1000000</v>
      </c>
      <c r="AK103" s="92">
        <f t="shared" si="602"/>
        <v>1000000</v>
      </c>
      <c r="AL103" s="92">
        <f t="shared" si="603"/>
        <v>1000000</v>
      </c>
      <c r="AM103" s="92">
        <f t="shared" si="604"/>
        <v>1000000</v>
      </c>
      <c r="AN103" s="92">
        <f t="shared" si="605"/>
        <v>1000000</v>
      </c>
      <c r="AO103" s="92">
        <f t="shared" si="606"/>
        <v>1000000</v>
      </c>
      <c r="AP103" s="92">
        <f t="shared" si="607"/>
        <v>1000000</v>
      </c>
      <c r="AQ103" s="92">
        <f t="shared" si="608"/>
        <v>1000000</v>
      </c>
      <c r="AR103" s="92">
        <f t="shared" si="609"/>
        <v>1000000</v>
      </c>
      <c r="AS103" s="92">
        <f t="shared" si="610"/>
        <v>1000000</v>
      </c>
      <c r="AT103" s="92">
        <f t="shared" si="611"/>
        <v>1000000</v>
      </c>
      <c r="AU103" s="92">
        <f t="shared" si="612"/>
        <v>1000000</v>
      </c>
      <c r="AV103" s="92">
        <f t="shared" si="613"/>
        <v>1000000</v>
      </c>
      <c r="AW103" s="92">
        <f t="shared" si="614"/>
        <v>1000000</v>
      </c>
      <c r="AX103" s="92">
        <f t="shared" si="615"/>
        <v>1000000</v>
      </c>
      <c r="AY103" s="92">
        <f t="shared" si="616"/>
        <v>1000000</v>
      </c>
      <c r="AZ103" s="92">
        <f t="shared" si="617"/>
        <v>1000000</v>
      </c>
      <c r="BA103" s="92">
        <f t="shared" si="618"/>
        <v>1000000</v>
      </c>
      <c r="BB103" s="92">
        <f t="shared" si="619"/>
        <v>1000000</v>
      </c>
      <c r="BC103" s="92">
        <f t="shared" si="620"/>
        <v>1000000</v>
      </c>
      <c r="BD103" s="92">
        <f t="shared" si="621"/>
        <v>1000000</v>
      </c>
      <c r="BE103" s="92">
        <f t="shared" si="622"/>
        <v>1000000</v>
      </c>
      <c r="BF103" s="92">
        <f t="shared" si="623"/>
        <v>1000000</v>
      </c>
      <c r="BG103" s="92">
        <f t="shared" si="624"/>
        <v>1000000</v>
      </c>
      <c r="BH103" s="92">
        <f t="shared" si="625"/>
        <v>1000000</v>
      </c>
      <c r="BI103" s="92">
        <f t="shared" si="626"/>
        <v>1000000</v>
      </c>
      <c r="BJ103" s="92">
        <f t="shared" si="627"/>
        <v>1000000</v>
      </c>
      <c r="BK103" s="92">
        <f t="shared" si="628"/>
        <v>1000000</v>
      </c>
      <c r="BL103" s="92">
        <f t="shared" si="629"/>
        <v>1000000</v>
      </c>
      <c r="BM103" s="92">
        <f t="shared" si="630"/>
        <v>1000000</v>
      </c>
      <c r="BN103" s="92">
        <f t="shared" si="631"/>
        <v>1000000</v>
      </c>
      <c r="BO103" s="92">
        <f t="shared" si="632"/>
        <v>1000000</v>
      </c>
      <c r="BP103" s="92">
        <f t="shared" si="633"/>
        <v>1000000</v>
      </c>
      <c r="BQ103" s="92">
        <f t="shared" si="634"/>
        <v>1000000</v>
      </c>
      <c r="BR103" s="92">
        <f t="shared" si="635"/>
        <v>1000000</v>
      </c>
      <c r="BS103" s="92">
        <f t="shared" si="636"/>
        <v>1000000</v>
      </c>
      <c r="BT103" s="92">
        <f t="shared" si="637"/>
        <v>1000000</v>
      </c>
      <c r="BU103" s="92">
        <f t="shared" si="638"/>
        <v>1000000</v>
      </c>
      <c r="BV103" s="92">
        <f t="shared" si="639"/>
        <v>1000000</v>
      </c>
      <c r="BW103" s="92">
        <f t="shared" si="640"/>
        <v>1000000</v>
      </c>
      <c r="BX103" s="92">
        <f t="shared" si="641"/>
        <v>1000000</v>
      </c>
      <c r="BY103" s="92">
        <f t="shared" si="642"/>
        <v>1000000</v>
      </c>
      <c r="BZ103" s="92">
        <f t="shared" si="643"/>
        <v>1000000</v>
      </c>
      <c r="CA103" s="92">
        <f t="shared" si="644"/>
        <v>1000000</v>
      </c>
      <c r="CB103" s="92">
        <f t="shared" si="645"/>
        <v>1000000</v>
      </c>
      <c r="CC103" s="92">
        <f t="shared" si="646"/>
        <v>1000000</v>
      </c>
      <c r="CD103" s="92">
        <f t="shared" si="647"/>
        <v>1000000</v>
      </c>
      <c r="CE103" s="92">
        <f t="shared" si="648"/>
        <v>1000000</v>
      </c>
      <c r="CF103" s="92">
        <f t="shared" si="649"/>
        <v>1000000</v>
      </c>
      <c r="CG103" s="92">
        <f t="shared" si="650"/>
        <v>1000000</v>
      </c>
      <c r="CH103" s="92">
        <f t="shared" si="651"/>
        <v>1000000</v>
      </c>
    </row>
    <row r="104" spans="1:86" x14ac:dyDescent="0.25">
      <c r="A104" s="29" t="s">
        <v>22</v>
      </c>
      <c r="B104" s="31" t="s">
        <v>39</v>
      </c>
      <c r="C104" s="120">
        <f>2500000</f>
        <v>2500000</v>
      </c>
      <c r="D104" s="120">
        <f t="shared" si="579"/>
        <v>2500000</v>
      </c>
      <c r="E104" s="120">
        <f t="shared" si="579"/>
        <v>2500000</v>
      </c>
      <c r="F104" s="120">
        <f t="shared" si="579"/>
        <v>2500000</v>
      </c>
      <c r="G104" s="120">
        <f t="shared" si="579"/>
        <v>2500000</v>
      </c>
      <c r="H104" s="120">
        <f t="shared" si="579"/>
        <v>2500000</v>
      </c>
      <c r="I104" s="120">
        <f t="shared" si="579"/>
        <v>2500000</v>
      </c>
      <c r="J104" s="120">
        <f t="shared" si="579"/>
        <v>2500000</v>
      </c>
      <c r="K104" s="120">
        <f t="shared" si="579"/>
        <v>2500000</v>
      </c>
      <c r="L104" s="120">
        <f t="shared" si="579"/>
        <v>2500000</v>
      </c>
      <c r="M104" s="120">
        <f t="shared" si="579"/>
        <v>2500000</v>
      </c>
      <c r="N104" s="120">
        <f t="shared" si="579"/>
        <v>2500000</v>
      </c>
      <c r="O104" s="92">
        <f t="shared" si="580"/>
        <v>2500000</v>
      </c>
      <c r="P104" s="92">
        <f t="shared" si="581"/>
        <v>2500000</v>
      </c>
      <c r="Q104" s="92">
        <f t="shared" si="582"/>
        <v>2500000</v>
      </c>
      <c r="R104" s="92">
        <f t="shared" si="583"/>
        <v>2500000</v>
      </c>
      <c r="S104" s="92">
        <f t="shared" si="584"/>
        <v>2500000</v>
      </c>
      <c r="T104" s="92">
        <f t="shared" si="585"/>
        <v>2500000</v>
      </c>
      <c r="U104" s="92">
        <f t="shared" si="586"/>
        <v>2500000</v>
      </c>
      <c r="V104" s="92">
        <f t="shared" si="587"/>
        <v>2500000</v>
      </c>
      <c r="W104" s="92">
        <f t="shared" si="588"/>
        <v>2500000</v>
      </c>
      <c r="X104" s="92">
        <f t="shared" si="589"/>
        <v>2500000</v>
      </c>
      <c r="Y104" s="92">
        <f t="shared" si="590"/>
        <v>2500000</v>
      </c>
      <c r="Z104" s="92">
        <f t="shared" si="591"/>
        <v>2500000</v>
      </c>
      <c r="AA104" s="92">
        <f t="shared" si="592"/>
        <v>2500000</v>
      </c>
      <c r="AB104" s="92">
        <f t="shared" si="593"/>
        <v>2500000</v>
      </c>
      <c r="AC104" s="92">
        <f t="shared" si="594"/>
        <v>2500000</v>
      </c>
      <c r="AD104" s="92">
        <f t="shared" si="595"/>
        <v>2500000</v>
      </c>
      <c r="AE104" s="92">
        <f t="shared" si="596"/>
        <v>2500000</v>
      </c>
      <c r="AF104" s="92">
        <f t="shared" si="597"/>
        <v>2500000</v>
      </c>
      <c r="AG104" s="92">
        <f t="shared" si="598"/>
        <v>2500000</v>
      </c>
      <c r="AH104" s="92">
        <f t="shared" si="599"/>
        <v>2500000</v>
      </c>
      <c r="AI104" s="92">
        <f t="shared" si="600"/>
        <v>2500000</v>
      </c>
      <c r="AJ104" s="92">
        <f t="shared" si="601"/>
        <v>2500000</v>
      </c>
      <c r="AK104" s="92">
        <f t="shared" si="602"/>
        <v>2500000</v>
      </c>
      <c r="AL104" s="92">
        <f t="shared" si="603"/>
        <v>2500000</v>
      </c>
      <c r="AM104" s="92">
        <f t="shared" si="604"/>
        <v>2500000</v>
      </c>
      <c r="AN104" s="92">
        <f t="shared" si="605"/>
        <v>2500000</v>
      </c>
      <c r="AO104" s="92">
        <f t="shared" si="606"/>
        <v>2500000</v>
      </c>
      <c r="AP104" s="92">
        <f t="shared" si="607"/>
        <v>2500000</v>
      </c>
      <c r="AQ104" s="92">
        <f t="shared" si="608"/>
        <v>2500000</v>
      </c>
      <c r="AR104" s="92">
        <f t="shared" si="609"/>
        <v>2500000</v>
      </c>
      <c r="AS104" s="92">
        <f t="shared" si="610"/>
        <v>2500000</v>
      </c>
      <c r="AT104" s="92">
        <f t="shared" si="611"/>
        <v>2500000</v>
      </c>
      <c r="AU104" s="92">
        <f t="shared" si="612"/>
        <v>2500000</v>
      </c>
      <c r="AV104" s="92">
        <f t="shared" si="613"/>
        <v>2500000</v>
      </c>
      <c r="AW104" s="92">
        <f t="shared" si="614"/>
        <v>2500000</v>
      </c>
      <c r="AX104" s="92">
        <f t="shared" si="615"/>
        <v>2500000</v>
      </c>
      <c r="AY104" s="92">
        <f t="shared" si="616"/>
        <v>2500000</v>
      </c>
      <c r="AZ104" s="92">
        <f t="shared" si="617"/>
        <v>2500000</v>
      </c>
      <c r="BA104" s="92">
        <f t="shared" si="618"/>
        <v>2500000</v>
      </c>
      <c r="BB104" s="92">
        <f t="shared" si="619"/>
        <v>2500000</v>
      </c>
      <c r="BC104" s="92">
        <f t="shared" si="620"/>
        <v>2500000</v>
      </c>
      <c r="BD104" s="92">
        <f t="shared" si="621"/>
        <v>2500000</v>
      </c>
      <c r="BE104" s="92">
        <f t="shared" si="622"/>
        <v>2500000</v>
      </c>
      <c r="BF104" s="92">
        <f t="shared" si="623"/>
        <v>2500000</v>
      </c>
      <c r="BG104" s="92">
        <f t="shared" si="624"/>
        <v>2500000</v>
      </c>
      <c r="BH104" s="92">
        <f t="shared" si="625"/>
        <v>2500000</v>
      </c>
      <c r="BI104" s="92">
        <f t="shared" si="626"/>
        <v>2500000</v>
      </c>
      <c r="BJ104" s="92">
        <f t="shared" si="627"/>
        <v>2500000</v>
      </c>
      <c r="BK104" s="92">
        <f t="shared" si="628"/>
        <v>2500000</v>
      </c>
      <c r="BL104" s="92">
        <f t="shared" si="629"/>
        <v>2500000</v>
      </c>
      <c r="BM104" s="92">
        <f t="shared" si="630"/>
        <v>2500000</v>
      </c>
      <c r="BN104" s="92">
        <f t="shared" si="631"/>
        <v>2500000</v>
      </c>
      <c r="BO104" s="92">
        <f t="shared" si="632"/>
        <v>2500000</v>
      </c>
      <c r="BP104" s="92">
        <f t="shared" si="633"/>
        <v>2500000</v>
      </c>
      <c r="BQ104" s="92">
        <f t="shared" si="634"/>
        <v>2500000</v>
      </c>
      <c r="BR104" s="92">
        <f t="shared" si="635"/>
        <v>2500000</v>
      </c>
      <c r="BS104" s="92">
        <f t="shared" si="636"/>
        <v>2500000</v>
      </c>
      <c r="BT104" s="92">
        <f t="shared" si="637"/>
        <v>2500000</v>
      </c>
      <c r="BU104" s="92">
        <f t="shared" si="638"/>
        <v>2500000</v>
      </c>
      <c r="BV104" s="92">
        <f t="shared" si="639"/>
        <v>2500000</v>
      </c>
      <c r="BW104" s="92">
        <f t="shared" si="640"/>
        <v>2500000</v>
      </c>
      <c r="BX104" s="92">
        <f t="shared" si="641"/>
        <v>2500000</v>
      </c>
      <c r="BY104" s="92">
        <f t="shared" si="642"/>
        <v>2500000</v>
      </c>
      <c r="BZ104" s="92">
        <f t="shared" si="643"/>
        <v>2500000</v>
      </c>
      <c r="CA104" s="92">
        <f t="shared" si="644"/>
        <v>2500000</v>
      </c>
      <c r="CB104" s="92">
        <f t="shared" si="645"/>
        <v>2500000</v>
      </c>
      <c r="CC104" s="92">
        <f t="shared" si="646"/>
        <v>2500000</v>
      </c>
      <c r="CD104" s="92">
        <f t="shared" si="647"/>
        <v>2500000</v>
      </c>
      <c r="CE104" s="92">
        <f t="shared" si="648"/>
        <v>2500000</v>
      </c>
      <c r="CF104" s="92">
        <f t="shared" si="649"/>
        <v>2500000</v>
      </c>
      <c r="CG104" s="92">
        <f t="shared" si="650"/>
        <v>2500000</v>
      </c>
      <c r="CH104" s="92">
        <f t="shared" si="651"/>
        <v>2500000</v>
      </c>
    </row>
    <row r="105" spans="1:86" x14ac:dyDescent="0.25">
      <c r="A105" s="29" t="s">
        <v>22</v>
      </c>
      <c r="B105" s="31" t="s">
        <v>38</v>
      </c>
      <c r="C105" s="120">
        <f>50000</f>
        <v>50000</v>
      </c>
      <c r="D105" s="120">
        <f t="shared" si="579"/>
        <v>50000</v>
      </c>
      <c r="E105" s="120">
        <f t="shared" si="579"/>
        <v>50000</v>
      </c>
      <c r="F105" s="120">
        <f t="shared" si="579"/>
        <v>50000</v>
      </c>
      <c r="G105" s="120">
        <f t="shared" si="579"/>
        <v>50000</v>
      </c>
      <c r="H105" s="120">
        <f t="shared" si="579"/>
        <v>50000</v>
      </c>
      <c r="I105" s="120">
        <f t="shared" si="579"/>
        <v>50000</v>
      </c>
      <c r="J105" s="120">
        <f t="shared" si="579"/>
        <v>50000</v>
      </c>
      <c r="K105" s="120">
        <f t="shared" si="579"/>
        <v>50000</v>
      </c>
      <c r="L105" s="120">
        <f t="shared" si="579"/>
        <v>50000</v>
      </c>
      <c r="M105" s="120">
        <f t="shared" si="579"/>
        <v>50000</v>
      </c>
      <c r="N105" s="120">
        <f t="shared" si="579"/>
        <v>50000</v>
      </c>
      <c r="O105" s="92">
        <f t="shared" si="580"/>
        <v>50000</v>
      </c>
      <c r="P105" s="92">
        <f t="shared" si="581"/>
        <v>50000</v>
      </c>
      <c r="Q105" s="92">
        <f t="shared" si="582"/>
        <v>50000</v>
      </c>
      <c r="R105" s="92">
        <f t="shared" si="583"/>
        <v>50000</v>
      </c>
      <c r="S105" s="92">
        <f t="shared" si="584"/>
        <v>50000</v>
      </c>
      <c r="T105" s="92">
        <f t="shared" si="585"/>
        <v>50000</v>
      </c>
      <c r="U105" s="92">
        <f t="shared" si="586"/>
        <v>50000</v>
      </c>
      <c r="V105" s="92">
        <f t="shared" si="587"/>
        <v>50000</v>
      </c>
      <c r="W105" s="92">
        <f t="shared" si="588"/>
        <v>50000</v>
      </c>
      <c r="X105" s="92">
        <f t="shared" si="589"/>
        <v>50000</v>
      </c>
      <c r="Y105" s="92">
        <f t="shared" si="590"/>
        <v>50000</v>
      </c>
      <c r="Z105" s="92">
        <f t="shared" si="591"/>
        <v>50000</v>
      </c>
      <c r="AA105" s="92">
        <f t="shared" si="592"/>
        <v>50000</v>
      </c>
      <c r="AB105" s="92">
        <f t="shared" si="593"/>
        <v>50000</v>
      </c>
      <c r="AC105" s="92">
        <f t="shared" si="594"/>
        <v>50000</v>
      </c>
      <c r="AD105" s="92">
        <f t="shared" si="595"/>
        <v>50000</v>
      </c>
      <c r="AE105" s="92">
        <f t="shared" si="596"/>
        <v>50000</v>
      </c>
      <c r="AF105" s="92">
        <f t="shared" si="597"/>
        <v>50000</v>
      </c>
      <c r="AG105" s="92">
        <f t="shared" si="598"/>
        <v>50000</v>
      </c>
      <c r="AH105" s="92">
        <f t="shared" si="599"/>
        <v>50000</v>
      </c>
      <c r="AI105" s="92">
        <f t="shared" si="600"/>
        <v>50000</v>
      </c>
      <c r="AJ105" s="92">
        <f t="shared" si="601"/>
        <v>50000</v>
      </c>
      <c r="AK105" s="92">
        <f t="shared" si="602"/>
        <v>50000</v>
      </c>
      <c r="AL105" s="92">
        <f t="shared" si="603"/>
        <v>50000</v>
      </c>
      <c r="AM105" s="92">
        <f t="shared" si="604"/>
        <v>50000</v>
      </c>
      <c r="AN105" s="92">
        <f t="shared" si="605"/>
        <v>50000</v>
      </c>
      <c r="AO105" s="92">
        <f t="shared" si="606"/>
        <v>50000</v>
      </c>
      <c r="AP105" s="92">
        <f t="shared" si="607"/>
        <v>50000</v>
      </c>
      <c r="AQ105" s="92">
        <f t="shared" si="608"/>
        <v>50000</v>
      </c>
      <c r="AR105" s="92">
        <f t="shared" si="609"/>
        <v>50000</v>
      </c>
      <c r="AS105" s="92">
        <f t="shared" si="610"/>
        <v>50000</v>
      </c>
      <c r="AT105" s="92">
        <f t="shared" si="611"/>
        <v>50000</v>
      </c>
      <c r="AU105" s="92">
        <f t="shared" si="612"/>
        <v>50000</v>
      </c>
      <c r="AV105" s="92">
        <f t="shared" si="613"/>
        <v>50000</v>
      </c>
      <c r="AW105" s="92">
        <f t="shared" si="614"/>
        <v>50000</v>
      </c>
      <c r="AX105" s="92">
        <f t="shared" si="615"/>
        <v>50000</v>
      </c>
      <c r="AY105" s="92">
        <f t="shared" si="616"/>
        <v>50000</v>
      </c>
      <c r="AZ105" s="92">
        <f t="shared" si="617"/>
        <v>50000</v>
      </c>
      <c r="BA105" s="92">
        <f t="shared" si="618"/>
        <v>50000</v>
      </c>
      <c r="BB105" s="92">
        <f t="shared" si="619"/>
        <v>50000</v>
      </c>
      <c r="BC105" s="92">
        <f t="shared" si="620"/>
        <v>50000</v>
      </c>
      <c r="BD105" s="92">
        <f t="shared" si="621"/>
        <v>50000</v>
      </c>
      <c r="BE105" s="92">
        <f t="shared" si="622"/>
        <v>50000</v>
      </c>
      <c r="BF105" s="92">
        <f t="shared" si="623"/>
        <v>50000</v>
      </c>
      <c r="BG105" s="92">
        <f t="shared" si="624"/>
        <v>50000</v>
      </c>
      <c r="BH105" s="92">
        <f t="shared" si="625"/>
        <v>50000</v>
      </c>
      <c r="BI105" s="92">
        <f t="shared" si="626"/>
        <v>50000</v>
      </c>
      <c r="BJ105" s="92">
        <f t="shared" si="627"/>
        <v>50000</v>
      </c>
      <c r="BK105" s="92">
        <f t="shared" si="628"/>
        <v>50000</v>
      </c>
      <c r="BL105" s="92">
        <f t="shared" si="629"/>
        <v>50000</v>
      </c>
      <c r="BM105" s="92">
        <f t="shared" si="630"/>
        <v>50000</v>
      </c>
      <c r="BN105" s="92">
        <f t="shared" si="631"/>
        <v>50000</v>
      </c>
      <c r="BO105" s="92">
        <f t="shared" si="632"/>
        <v>50000</v>
      </c>
      <c r="BP105" s="92">
        <f t="shared" si="633"/>
        <v>50000</v>
      </c>
      <c r="BQ105" s="92">
        <f t="shared" si="634"/>
        <v>50000</v>
      </c>
      <c r="BR105" s="92">
        <f t="shared" si="635"/>
        <v>50000</v>
      </c>
      <c r="BS105" s="92">
        <f t="shared" si="636"/>
        <v>50000</v>
      </c>
      <c r="BT105" s="92">
        <f t="shared" si="637"/>
        <v>50000</v>
      </c>
      <c r="BU105" s="92">
        <f t="shared" si="638"/>
        <v>50000</v>
      </c>
      <c r="BV105" s="92">
        <f t="shared" si="639"/>
        <v>50000</v>
      </c>
      <c r="BW105" s="92">
        <f t="shared" si="640"/>
        <v>50000</v>
      </c>
      <c r="BX105" s="92">
        <f t="shared" si="641"/>
        <v>50000</v>
      </c>
      <c r="BY105" s="92">
        <f t="shared" si="642"/>
        <v>50000</v>
      </c>
      <c r="BZ105" s="92">
        <f t="shared" si="643"/>
        <v>50000</v>
      </c>
      <c r="CA105" s="92">
        <f t="shared" si="644"/>
        <v>50000</v>
      </c>
      <c r="CB105" s="92">
        <f t="shared" si="645"/>
        <v>50000</v>
      </c>
      <c r="CC105" s="92">
        <f t="shared" si="646"/>
        <v>50000</v>
      </c>
      <c r="CD105" s="92">
        <f t="shared" si="647"/>
        <v>50000</v>
      </c>
      <c r="CE105" s="92">
        <f t="shared" si="648"/>
        <v>50000</v>
      </c>
      <c r="CF105" s="92">
        <f t="shared" si="649"/>
        <v>50000</v>
      </c>
      <c r="CG105" s="92">
        <f t="shared" si="650"/>
        <v>50000</v>
      </c>
      <c r="CH105" s="92">
        <f t="shared" si="651"/>
        <v>50000</v>
      </c>
    </row>
    <row r="106" spans="1:86" x14ac:dyDescent="0.25">
      <c r="A106" s="29" t="s">
        <v>22</v>
      </c>
      <c r="B106" s="31" t="s">
        <v>37</v>
      </c>
      <c r="C106" s="120">
        <f>100000</f>
        <v>100000</v>
      </c>
      <c r="D106" s="120">
        <f t="shared" si="579"/>
        <v>100000</v>
      </c>
      <c r="E106" s="120">
        <f t="shared" si="579"/>
        <v>100000</v>
      </c>
      <c r="F106" s="120">
        <f t="shared" si="579"/>
        <v>100000</v>
      </c>
      <c r="G106" s="120">
        <f t="shared" si="579"/>
        <v>100000</v>
      </c>
      <c r="H106" s="120">
        <f t="shared" si="579"/>
        <v>100000</v>
      </c>
      <c r="I106" s="120">
        <f t="shared" si="579"/>
        <v>100000</v>
      </c>
      <c r="J106" s="120">
        <f t="shared" si="579"/>
        <v>100000</v>
      </c>
      <c r="K106" s="120">
        <f t="shared" si="579"/>
        <v>100000</v>
      </c>
      <c r="L106" s="120">
        <f t="shared" si="579"/>
        <v>100000</v>
      </c>
      <c r="M106" s="120">
        <f t="shared" si="579"/>
        <v>100000</v>
      </c>
      <c r="N106" s="120">
        <f t="shared" si="579"/>
        <v>100000</v>
      </c>
      <c r="O106" s="92">
        <f t="shared" si="580"/>
        <v>100000</v>
      </c>
      <c r="P106" s="92">
        <f t="shared" si="581"/>
        <v>100000</v>
      </c>
      <c r="Q106" s="92">
        <f t="shared" si="582"/>
        <v>100000</v>
      </c>
      <c r="R106" s="92">
        <f t="shared" si="583"/>
        <v>100000</v>
      </c>
      <c r="S106" s="92">
        <f t="shared" si="584"/>
        <v>100000</v>
      </c>
      <c r="T106" s="92">
        <f t="shared" si="585"/>
        <v>100000</v>
      </c>
      <c r="U106" s="92">
        <f t="shared" si="586"/>
        <v>100000</v>
      </c>
      <c r="V106" s="92">
        <f t="shared" si="587"/>
        <v>100000</v>
      </c>
      <c r="W106" s="92">
        <f t="shared" si="588"/>
        <v>100000</v>
      </c>
      <c r="X106" s="92">
        <f t="shared" si="589"/>
        <v>100000</v>
      </c>
      <c r="Y106" s="92">
        <f t="shared" si="590"/>
        <v>100000</v>
      </c>
      <c r="Z106" s="92">
        <f t="shared" si="591"/>
        <v>100000</v>
      </c>
      <c r="AA106" s="92">
        <f t="shared" si="592"/>
        <v>100000</v>
      </c>
      <c r="AB106" s="92">
        <f t="shared" si="593"/>
        <v>100000</v>
      </c>
      <c r="AC106" s="92">
        <f t="shared" si="594"/>
        <v>100000</v>
      </c>
      <c r="AD106" s="92">
        <f t="shared" si="595"/>
        <v>100000</v>
      </c>
      <c r="AE106" s="92">
        <f t="shared" si="596"/>
        <v>100000</v>
      </c>
      <c r="AF106" s="92">
        <f t="shared" si="597"/>
        <v>100000</v>
      </c>
      <c r="AG106" s="92">
        <f t="shared" si="598"/>
        <v>100000</v>
      </c>
      <c r="AH106" s="92">
        <f t="shared" si="599"/>
        <v>100000</v>
      </c>
      <c r="AI106" s="92">
        <f t="shared" si="600"/>
        <v>100000</v>
      </c>
      <c r="AJ106" s="92">
        <f t="shared" si="601"/>
        <v>100000</v>
      </c>
      <c r="AK106" s="92">
        <f t="shared" si="602"/>
        <v>100000</v>
      </c>
      <c r="AL106" s="92">
        <f t="shared" si="603"/>
        <v>100000</v>
      </c>
      <c r="AM106" s="92">
        <f t="shared" si="604"/>
        <v>100000</v>
      </c>
      <c r="AN106" s="92">
        <f t="shared" si="605"/>
        <v>100000</v>
      </c>
      <c r="AO106" s="92">
        <f t="shared" si="606"/>
        <v>100000</v>
      </c>
      <c r="AP106" s="92">
        <f t="shared" si="607"/>
        <v>100000</v>
      </c>
      <c r="AQ106" s="92">
        <f t="shared" si="608"/>
        <v>100000</v>
      </c>
      <c r="AR106" s="92">
        <f t="shared" si="609"/>
        <v>100000</v>
      </c>
      <c r="AS106" s="92">
        <f t="shared" si="610"/>
        <v>100000</v>
      </c>
      <c r="AT106" s="92">
        <f t="shared" si="611"/>
        <v>100000</v>
      </c>
      <c r="AU106" s="92">
        <f t="shared" si="612"/>
        <v>100000</v>
      </c>
      <c r="AV106" s="92">
        <f t="shared" si="613"/>
        <v>100000</v>
      </c>
      <c r="AW106" s="92">
        <f t="shared" si="614"/>
        <v>100000</v>
      </c>
      <c r="AX106" s="92">
        <f t="shared" si="615"/>
        <v>100000</v>
      </c>
      <c r="AY106" s="92">
        <f t="shared" si="616"/>
        <v>100000</v>
      </c>
      <c r="AZ106" s="92">
        <f t="shared" si="617"/>
        <v>100000</v>
      </c>
      <c r="BA106" s="92">
        <f t="shared" si="618"/>
        <v>100000</v>
      </c>
      <c r="BB106" s="92">
        <f t="shared" si="619"/>
        <v>100000</v>
      </c>
      <c r="BC106" s="92">
        <f t="shared" si="620"/>
        <v>100000</v>
      </c>
      <c r="BD106" s="92">
        <f t="shared" si="621"/>
        <v>100000</v>
      </c>
      <c r="BE106" s="92">
        <f t="shared" si="622"/>
        <v>100000</v>
      </c>
      <c r="BF106" s="92">
        <f t="shared" si="623"/>
        <v>100000</v>
      </c>
      <c r="BG106" s="92">
        <f t="shared" si="624"/>
        <v>100000</v>
      </c>
      <c r="BH106" s="92">
        <f t="shared" si="625"/>
        <v>100000</v>
      </c>
      <c r="BI106" s="92">
        <f t="shared" si="626"/>
        <v>100000</v>
      </c>
      <c r="BJ106" s="92">
        <f t="shared" si="627"/>
        <v>100000</v>
      </c>
      <c r="BK106" s="92">
        <f t="shared" si="628"/>
        <v>100000</v>
      </c>
      <c r="BL106" s="92">
        <f t="shared" si="629"/>
        <v>100000</v>
      </c>
      <c r="BM106" s="92">
        <f t="shared" si="630"/>
        <v>100000</v>
      </c>
      <c r="BN106" s="92">
        <f t="shared" si="631"/>
        <v>100000</v>
      </c>
      <c r="BO106" s="92">
        <f t="shared" si="632"/>
        <v>100000</v>
      </c>
      <c r="BP106" s="92">
        <f t="shared" si="633"/>
        <v>100000</v>
      </c>
      <c r="BQ106" s="92">
        <f t="shared" si="634"/>
        <v>100000</v>
      </c>
      <c r="BR106" s="92">
        <f t="shared" si="635"/>
        <v>100000</v>
      </c>
      <c r="BS106" s="92">
        <f t="shared" si="636"/>
        <v>100000</v>
      </c>
      <c r="BT106" s="92">
        <f t="shared" si="637"/>
        <v>100000</v>
      </c>
      <c r="BU106" s="92">
        <f t="shared" si="638"/>
        <v>100000</v>
      </c>
      <c r="BV106" s="92">
        <f t="shared" si="639"/>
        <v>100000</v>
      </c>
      <c r="BW106" s="92">
        <f t="shared" si="640"/>
        <v>100000</v>
      </c>
      <c r="BX106" s="92">
        <f t="shared" si="641"/>
        <v>100000</v>
      </c>
      <c r="BY106" s="92">
        <f t="shared" si="642"/>
        <v>100000</v>
      </c>
      <c r="BZ106" s="92">
        <f t="shared" si="643"/>
        <v>100000</v>
      </c>
      <c r="CA106" s="92">
        <f t="shared" si="644"/>
        <v>100000</v>
      </c>
      <c r="CB106" s="92">
        <f t="shared" si="645"/>
        <v>100000</v>
      </c>
      <c r="CC106" s="92">
        <f t="shared" si="646"/>
        <v>100000</v>
      </c>
      <c r="CD106" s="92">
        <f t="shared" si="647"/>
        <v>100000</v>
      </c>
      <c r="CE106" s="92">
        <f t="shared" si="648"/>
        <v>100000</v>
      </c>
      <c r="CF106" s="92">
        <f t="shared" si="649"/>
        <v>100000</v>
      </c>
      <c r="CG106" s="92">
        <f t="shared" si="650"/>
        <v>100000</v>
      </c>
      <c r="CH106" s="92">
        <f t="shared" si="651"/>
        <v>100000</v>
      </c>
    </row>
    <row r="107" spans="1:86" x14ac:dyDescent="0.25">
      <c r="A107" s="29" t="s">
        <v>22</v>
      </c>
      <c r="B107" s="31" t="s">
        <v>36</v>
      </c>
      <c r="C107" s="120">
        <f>500000</f>
        <v>500000</v>
      </c>
      <c r="D107" s="120">
        <f t="shared" si="579"/>
        <v>500000</v>
      </c>
      <c r="E107" s="120">
        <f t="shared" si="579"/>
        <v>500000</v>
      </c>
      <c r="F107" s="120">
        <f t="shared" si="579"/>
        <v>500000</v>
      </c>
      <c r="G107" s="120">
        <f t="shared" si="579"/>
        <v>500000</v>
      </c>
      <c r="H107" s="120">
        <f t="shared" si="579"/>
        <v>500000</v>
      </c>
      <c r="I107" s="120">
        <f t="shared" si="579"/>
        <v>500000</v>
      </c>
      <c r="J107" s="120">
        <f t="shared" si="579"/>
        <v>500000</v>
      </c>
      <c r="K107" s="120">
        <f t="shared" si="579"/>
        <v>500000</v>
      </c>
      <c r="L107" s="120">
        <f t="shared" si="579"/>
        <v>500000</v>
      </c>
      <c r="M107" s="120">
        <f t="shared" si="579"/>
        <v>500000</v>
      </c>
      <c r="N107" s="120">
        <f t="shared" si="579"/>
        <v>500000</v>
      </c>
      <c r="O107" s="92">
        <f t="shared" si="580"/>
        <v>500000</v>
      </c>
      <c r="P107" s="92">
        <f t="shared" si="581"/>
        <v>500000</v>
      </c>
      <c r="Q107" s="92">
        <f t="shared" si="582"/>
        <v>500000</v>
      </c>
      <c r="R107" s="92">
        <f t="shared" si="583"/>
        <v>500000</v>
      </c>
      <c r="S107" s="92">
        <f t="shared" si="584"/>
        <v>500000</v>
      </c>
      <c r="T107" s="92">
        <f t="shared" si="585"/>
        <v>500000</v>
      </c>
      <c r="U107" s="92">
        <f t="shared" si="586"/>
        <v>500000</v>
      </c>
      <c r="V107" s="92">
        <f t="shared" si="587"/>
        <v>500000</v>
      </c>
      <c r="W107" s="92">
        <f t="shared" si="588"/>
        <v>500000</v>
      </c>
      <c r="X107" s="92">
        <f t="shared" si="589"/>
        <v>500000</v>
      </c>
      <c r="Y107" s="92">
        <f t="shared" si="590"/>
        <v>500000</v>
      </c>
      <c r="Z107" s="92">
        <f t="shared" si="591"/>
        <v>500000</v>
      </c>
      <c r="AA107" s="92">
        <f t="shared" si="592"/>
        <v>500000</v>
      </c>
      <c r="AB107" s="92">
        <f t="shared" si="593"/>
        <v>500000</v>
      </c>
      <c r="AC107" s="92">
        <f t="shared" si="594"/>
        <v>500000</v>
      </c>
      <c r="AD107" s="92">
        <f t="shared" si="595"/>
        <v>500000</v>
      </c>
      <c r="AE107" s="92">
        <f t="shared" si="596"/>
        <v>500000</v>
      </c>
      <c r="AF107" s="92">
        <f t="shared" si="597"/>
        <v>500000</v>
      </c>
      <c r="AG107" s="92">
        <f t="shared" si="598"/>
        <v>500000</v>
      </c>
      <c r="AH107" s="92">
        <f t="shared" si="599"/>
        <v>500000</v>
      </c>
      <c r="AI107" s="92">
        <f t="shared" si="600"/>
        <v>500000</v>
      </c>
      <c r="AJ107" s="92">
        <f t="shared" si="601"/>
        <v>500000</v>
      </c>
      <c r="AK107" s="92">
        <f t="shared" si="602"/>
        <v>500000</v>
      </c>
      <c r="AL107" s="92">
        <f t="shared" si="603"/>
        <v>500000</v>
      </c>
      <c r="AM107" s="92">
        <f t="shared" si="604"/>
        <v>500000</v>
      </c>
      <c r="AN107" s="92">
        <f t="shared" si="605"/>
        <v>500000</v>
      </c>
      <c r="AO107" s="92">
        <f t="shared" si="606"/>
        <v>500000</v>
      </c>
      <c r="AP107" s="92">
        <f t="shared" si="607"/>
        <v>500000</v>
      </c>
      <c r="AQ107" s="92">
        <f t="shared" si="608"/>
        <v>500000</v>
      </c>
      <c r="AR107" s="92">
        <f t="shared" si="609"/>
        <v>500000</v>
      </c>
      <c r="AS107" s="92">
        <f t="shared" si="610"/>
        <v>500000</v>
      </c>
      <c r="AT107" s="92">
        <f t="shared" si="611"/>
        <v>500000</v>
      </c>
      <c r="AU107" s="92">
        <f t="shared" si="612"/>
        <v>500000</v>
      </c>
      <c r="AV107" s="92">
        <f t="shared" si="613"/>
        <v>500000</v>
      </c>
      <c r="AW107" s="92">
        <f t="shared" si="614"/>
        <v>500000</v>
      </c>
      <c r="AX107" s="92">
        <f t="shared" si="615"/>
        <v>500000</v>
      </c>
      <c r="AY107" s="92">
        <f t="shared" si="616"/>
        <v>500000</v>
      </c>
      <c r="AZ107" s="92">
        <f t="shared" si="617"/>
        <v>500000</v>
      </c>
      <c r="BA107" s="92">
        <f t="shared" si="618"/>
        <v>500000</v>
      </c>
      <c r="BB107" s="92">
        <f t="shared" si="619"/>
        <v>500000</v>
      </c>
      <c r="BC107" s="92">
        <f t="shared" si="620"/>
        <v>500000</v>
      </c>
      <c r="BD107" s="92">
        <f t="shared" si="621"/>
        <v>500000</v>
      </c>
      <c r="BE107" s="92">
        <f t="shared" si="622"/>
        <v>500000</v>
      </c>
      <c r="BF107" s="92">
        <f t="shared" si="623"/>
        <v>500000</v>
      </c>
      <c r="BG107" s="92">
        <f t="shared" si="624"/>
        <v>500000</v>
      </c>
      <c r="BH107" s="92">
        <f t="shared" si="625"/>
        <v>500000</v>
      </c>
      <c r="BI107" s="92">
        <f t="shared" si="626"/>
        <v>500000</v>
      </c>
      <c r="BJ107" s="92">
        <f t="shared" si="627"/>
        <v>500000</v>
      </c>
      <c r="BK107" s="92">
        <f t="shared" si="628"/>
        <v>500000</v>
      </c>
      <c r="BL107" s="92">
        <f t="shared" si="629"/>
        <v>500000</v>
      </c>
      <c r="BM107" s="92">
        <f t="shared" si="630"/>
        <v>500000</v>
      </c>
      <c r="BN107" s="92">
        <f t="shared" si="631"/>
        <v>500000</v>
      </c>
      <c r="BO107" s="92">
        <f t="shared" si="632"/>
        <v>500000</v>
      </c>
      <c r="BP107" s="92">
        <f t="shared" si="633"/>
        <v>500000</v>
      </c>
      <c r="BQ107" s="92">
        <f t="shared" si="634"/>
        <v>500000</v>
      </c>
      <c r="BR107" s="92">
        <f t="shared" si="635"/>
        <v>500000</v>
      </c>
      <c r="BS107" s="92">
        <f t="shared" si="636"/>
        <v>500000</v>
      </c>
      <c r="BT107" s="92">
        <f t="shared" si="637"/>
        <v>500000</v>
      </c>
      <c r="BU107" s="92">
        <f t="shared" si="638"/>
        <v>500000</v>
      </c>
      <c r="BV107" s="92">
        <f t="shared" si="639"/>
        <v>500000</v>
      </c>
      <c r="BW107" s="92">
        <f t="shared" si="640"/>
        <v>500000</v>
      </c>
      <c r="BX107" s="92">
        <f t="shared" si="641"/>
        <v>500000</v>
      </c>
      <c r="BY107" s="92">
        <f t="shared" si="642"/>
        <v>500000</v>
      </c>
      <c r="BZ107" s="92">
        <f t="shared" si="643"/>
        <v>500000</v>
      </c>
      <c r="CA107" s="92">
        <f t="shared" si="644"/>
        <v>500000</v>
      </c>
      <c r="CB107" s="92">
        <f t="shared" si="645"/>
        <v>500000</v>
      </c>
      <c r="CC107" s="92">
        <f t="shared" si="646"/>
        <v>500000</v>
      </c>
      <c r="CD107" s="92">
        <f t="shared" si="647"/>
        <v>500000</v>
      </c>
      <c r="CE107" s="92">
        <f t="shared" si="648"/>
        <v>500000</v>
      </c>
      <c r="CF107" s="92">
        <f t="shared" si="649"/>
        <v>500000</v>
      </c>
      <c r="CG107" s="92">
        <f t="shared" si="650"/>
        <v>500000</v>
      </c>
      <c r="CH107" s="92">
        <f t="shared" si="651"/>
        <v>500000</v>
      </c>
    </row>
    <row r="108" spans="1:86" x14ac:dyDescent="0.25">
      <c r="B108" s="31" t="s">
        <v>35</v>
      </c>
      <c r="C108" s="121">
        <f t="shared" ref="C108:N108" si="652">(((((((((((((C94)+(C95))+(C96))+(C97))+(C98))+(C99))+(C100))+(C101))+(C102))+(C103))+(C104))+(C105))+(C106))+(C107)</f>
        <v>16500000</v>
      </c>
      <c r="D108" s="121">
        <f t="shared" si="652"/>
        <v>16500000</v>
      </c>
      <c r="E108" s="121">
        <f t="shared" si="652"/>
        <v>16500000</v>
      </c>
      <c r="F108" s="121">
        <f t="shared" si="652"/>
        <v>16500000</v>
      </c>
      <c r="G108" s="121">
        <f t="shared" si="652"/>
        <v>16500000</v>
      </c>
      <c r="H108" s="121">
        <f t="shared" si="652"/>
        <v>16500000</v>
      </c>
      <c r="I108" s="121">
        <f t="shared" si="652"/>
        <v>16500000</v>
      </c>
      <c r="J108" s="121">
        <f t="shared" si="652"/>
        <v>16500000</v>
      </c>
      <c r="K108" s="121">
        <f t="shared" si="652"/>
        <v>17000000</v>
      </c>
      <c r="L108" s="121">
        <f t="shared" si="652"/>
        <v>17500000</v>
      </c>
      <c r="M108" s="121">
        <f t="shared" si="652"/>
        <v>17500000</v>
      </c>
      <c r="N108" s="121">
        <f t="shared" si="652"/>
        <v>17500000</v>
      </c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  <c r="CA108" s="90"/>
      <c r="CB108" s="90"/>
      <c r="CC108" s="90"/>
      <c r="CD108" s="90"/>
      <c r="CE108" s="90"/>
      <c r="CF108" s="90"/>
      <c r="CG108" s="90"/>
      <c r="CH108" s="90"/>
    </row>
    <row r="109" spans="1:86" x14ac:dyDescent="0.25">
      <c r="B109" s="31" t="s">
        <v>34</v>
      </c>
      <c r="C109" s="119"/>
      <c r="D109" s="120">
        <f t="shared" ref="D109:N109" si="653">C109</f>
        <v>0</v>
      </c>
      <c r="E109" s="120">
        <f t="shared" si="653"/>
        <v>0</v>
      </c>
      <c r="F109" s="120">
        <f t="shared" si="653"/>
        <v>0</v>
      </c>
      <c r="G109" s="120">
        <f t="shared" si="653"/>
        <v>0</v>
      </c>
      <c r="H109" s="120">
        <f t="shared" si="653"/>
        <v>0</v>
      </c>
      <c r="I109" s="120">
        <f t="shared" si="653"/>
        <v>0</v>
      </c>
      <c r="J109" s="120">
        <f t="shared" si="653"/>
        <v>0</v>
      </c>
      <c r="K109" s="120">
        <f t="shared" si="653"/>
        <v>0</v>
      </c>
      <c r="L109" s="120">
        <f t="shared" si="653"/>
        <v>0</v>
      </c>
      <c r="M109" s="120">
        <f t="shared" si="653"/>
        <v>0</v>
      </c>
      <c r="N109" s="120">
        <f t="shared" si="653"/>
        <v>0</v>
      </c>
      <c r="O109" s="92">
        <f t="shared" ref="O109:O111" si="654">N109</f>
        <v>0</v>
      </c>
      <c r="P109" s="92">
        <f t="shared" ref="P109:P111" si="655">O109</f>
        <v>0</v>
      </c>
      <c r="Q109" s="92">
        <f t="shared" ref="Q109:Q111" si="656">P109</f>
        <v>0</v>
      </c>
      <c r="R109" s="92">
        <f t="shared" ref="R109:R111" si="657">Q109</f>
        <v>0</v>
      </c>
      <c r="S109" s="92">
        <f t="shared" ref="S109:S111" si="658">R109</f>
        <v>0</v>
      </c>
      <c r="T109" s="92">
        <f t="shared" ref="T109:T111" si="659">S109</f>
        <v>0</v>
      </c>
      <c r="U109" s="92">
        <f t="shared" ref="U109:U111" si="660">T109</f>
        <v>0</v>
      </c>
      <c r="V109" s="92">
        <f t="shared" ref="V109:V111" si="661">U109</f>
        <v>0</v>
      </c>
      <c r="W109" s="92">
        <f t="shared" ref="W109:W111" si="662">V109</f>
        <v>0</v>
      </c>
      <c r="X109" s="92">
        <f t="shared" ref="X109:X111" si="663">W109</f>
        <v>0</v>
      </c>
      <c r="Y109" s="92">
        <f t="shared" ref="Y109:Y111" si="664">X109</f>
        <v>0</v>
      </c>
      <c r="Z109" s="92">
        <f t="shared" ref="Z109:Z111" si="665">Y109</f>
        <v>0</v>
      </c>
      <c r="AA109" s="92">
        <f t="shared" ref="AA109:AA111" si="666">Z109</f>
        <v>0</v>
      </c>
      <c r="AB109" s="92">
        <f t="shared" ref="AB109:AB111" si="667">AA109</f>
        <v>0</v>
      </c>
      <c r="AC109" s="92">
        <f t="shared" ref="AC109:AC111" si="668">AB109</f>
        <v>0</v>
      </c>
      <c r="AD109" s="92">
        <f t="shared" ref="AD109:AD111" si="669">AC109</f>
        <v>0</v>
      </c>
      <c r="AE109" s="92">
        <f t="shared" ref="AE109:AE111" si="670">AD109</f>
        <v>0</v>
      </c>
      <c r="AF109" s="92">
        <f t="shared" ref="AF109:AF111" si="671">AE109</f>
        <v>0</v>
      </c>
      <c r="AG109" s="92">
        <f t="shared" ref="AG109:AG111" si="672">AF109</f>
        <v>0</v>
      </c>
      <c r="AH109" s="92">
        <f t="shared" ref="AH109:AH111" si="673">AG109</f>
        <v>0</v>
      </c>
      <c r="AI109" s="92">
        <f t="shared" ref="AI109:AI111" si="674">AH109</f>
        <v>0</v>
      </c>
      <c r="AJ109" s="92">
        <f t="shared" ref="AJ109:AJ111" si="675">AI109</f>
        <v>0</v>
      </c>
      <c r="AK109" s="92">
        <f t="shared" ref="AK109:AK111" si="676">AJ109</f>
        <v>0</v>
      </c>
      <c r="AL109" s="92">
        <f t="shared" ref="AL109:AL111" si="677">AK109</f>
        <v>0</v>
      </c>
      <c r="AM109" s="92">
        <f t="shared" ref="AM109:AM111" si="678">AL109</f>
        <v>0</v>
      </c>
      <c r="AN109" s="92">
        <f t="shared" ref="AN109:AN111" si="679">AM109</f>
        <v>0</v>
      </c>
      <c r="AO109" s="92">
        <f t="shared" ref="AO109:AO111" si="680">AN109</f>
        <v>0</v>
      </c>
      <c r="AP109" s="92">
        <f t="shared" ref="AP109:AP111" si="681">AO109</f>
        <v>0</v>
      </c>
      <c r="AQ109" s="92">
        <f t="shared" ref="AQ109:AQ111" si="682">AP109</f>
        <v>0</v>
      </c>
      <c r="AR109" s="92">
        <f t="shared" ref="AR109:AR111" si="683">AQ109</f>
        <v>0</v>
      </c>
      <c r="AS109" s="92">
        <f t="shared" ref="AS109:AS111" si="684">AR109</f>
        <v>0</v>
      </c>
      <c r="AT109" s="92">
        <f t="shared" ref="AT109:AT111" si="685">AS109</f>
        <v>0</v>
      </c>
      <c r="AU109" s="92">
        <f t="shared" ref="AU109:AU111" si="686">AT109</f>
        <v>0</v>
      </c>
      <c r="AV109" s="92">
        <f t="shared" ref="AV109:AV111" si="687">AU109</f>
        <v>0</v>
      </c>
      <c r="AW109" s="92">
        <f t="shared" ref="AW109:AW111" si="688">AV109</f>
        <v>0</v>
      </c>
      <c r="AX109" s="92">
        <f t="shared" ref="AX109:AX111" si="689">AW109</f>
        <v>0</v>
      </c>
      <c r="AY109" s="92">
        <f t="shared" ref="AY109:AY111" si="690">AX109</f>
        <v>0</v>
      </c>
      <c r="AZ109" s="92">
        <f t="shared" ref="AZ109:AZ111" si="691">AY109</f>
        <v>0</v>
      </c>
      <c r="BA109" s="92">
        <f t="shared" ref="BA109:BA111" si="692">AZ109</f>
        <v>0</v>
      </c>
      <c r="BB109" s="92">
        <f t="shared" ref="BB109:BB111" si="693">BA109</f>
        <v>0</v>
      </c>
      <c r="BC109" s="92">
        <f t="shared" ref="BC109:BC111" si="694">BB109</f>
        <v>0</v>
      </c>
      <c r="BD109" s="92">
        <f t="shared" ref="BD109:BD111" si="695">BC109</f>
        <v>0</v>
      </c>
      <c r="BE109" s="92">
        <f t="shared" ref="BE109:BE111" si="696">BD109</f>
        <v>0</v>
      </c>
      <c r="BF109" s="92">
        <f t="shared" ref="BF109:BF111" si="697">BE109</f>
        <v>0</v>
      </c>
      <c r="BG109" s="92">
        <f t="shared" ref="BG109:BG111" si="698">BF109</f>
        <v>0</v>
      </c>
      <c r="BH109" s="92">
        <f t="shared" ref="BH109:BH111" si="699">BG109</f>
        <v>0</v>
      </c>
      <c r="BI109" s="92">
        <f t="shared" ref="BI109:BI111" si="700">BH109</f>
        <v>0</v>
      </c>
      <c r="BJ109" s="92">
        <f t="shared" ref="BJ109:BJ111" si="701">BI109</f>
        <v>0</v>
      </c>
      <c r="BK109" s="92">
        <f t="shared" ref="BK109:BK111" si="702">BJ109</f>
        <v>0</v>
      </c>
      <c r="BL109" s="92">
        <f t="shared" ref="BL109:BL111" si="703">BK109</f>
        <v>0</v>
      </c>
      <c r="BM109" s="92">
        <f t="shared" ref="BM109:BM111" si="704">BL109</f>
        <v>0</v>
      </c>
      <c r="BN109" s="92">
        <f t="shared" ref="BN109:BN111" si="705">BM109</f>
        <v>0</v>
      </c>
      <c r="BO109" s="92">
        <f t="shared" ref="BO109:BO111" si="706">BN109</f>
        <v>0</v>
      </c>
      <c r="BP109" s="92">
        <f t="shared" ref="BP109:BP111" si="707">BO109</f>
        <v>0</v>
      </c>
      <c r="BQ109" s="92">
        <f t="shared" ref="BQ109:BQ111" si="708">BP109</f>
        <v>0</v>
      </c>
      <c r="BR109" s="92">
        <f t="shared" ref="BR109:BR111" si="709">BQ109</f>
        <v>0</v>
      </c>
      <c r="BS109" s="92">
        <f t="shared" ref="BS109:BS111" si="710">BR109</f>
        <v>0</v>
      </c>
      <c r="BT109" s="92">
        <f t="shared" ref="BT109:BT111" si="711">BS109</f>
        <v>0</v>
      </c>
      <c r="BU109" s="92">
        <f t="shared" ref="BU109:BU111" si="712">BT109</f>
        <v>0</v>
      </c>
      <c r="BV109" s="92">
        <f t="shared" ref="BV109:BV111" si="713">BU109</f>
        <v>0</v>
      </c>
      <c r="BW109" s="92">
        <f t="shared" ref="BW109:BW111" si="714">BV109</f>
        <v>0</v>
      </c>
      <c r="BX109" s="92">
        <f t="shared" ref="BX109:BX111" si="715">BW109</f>
        <v>0</v>
      </c>
      <c r="BY109" s="92">
        <f t="shared" ref="BY109:BY111" si="716">BX109</f>
        <v>0</v>
      </c>
      <c r="BZ109" s="92">
        <f t="shared" ref="BZ109:BZ111" si="717">BY109</f>
        <v>0</v>
      </c>
      <c r="CA109" s="92">
        <f t="shared" ref="CA109:CA111" si="718">BZ109</f>
        <v>0</v>
      </c>
      <c r="CB109" s="92">
        <f t="shared" ref="CB109:CB111" si="719">CA109</f>
        <v>0</v>
      </c>
      <c r="CC109" s="92">
        <f t="shared" ref="CC109:CC111" si="720">CB109</f>
        <v>0</v>
      </c>
      <c r="CD109" s="92">
        <f t="shared" ref="CD109:CD111" si="721">CC109</f>
        <v>0</v>
      </c>
      <c r="CE109" s="92">
        <f t="shared" ref="CE109:CE111" si="722">CD109</f>
        <v>0</v>
      </c>
      <c r="CF109" s="92">
        <f t="shared" ref="CF109:CF111" si="723">CE109</f>
        <v>0</v>
      </c>
      <c r="CG109" s="92">
        <f t="shared" ref="CG109:CG111" si="724">CF109</f>
        <v>0</v>
      </c>
      <c r="CH109" s="92">
        <f t="shared" ref="CH109:CH111" si="725">CG109</f>
        <v>0</v>
      </c>
    </row>
    <row r="110" spans="1:86" x14ac:dyDescent="0.25">
      <c r="A110" s="29" t="s">
        <v>22</v>
      </c>
      <c r="B110" s="31" t="s">
        <v>33</v>
      </c>
      <c r="C110" s="120">
        <f>-81250</f>
        <v>-81250</v>
      </c>
      <c r="D110" s="120">
        <f>-108333.33</f>
        <v>-108333.33</v>
      </c>
      <c r="E110" s="120">
        <f>-135416.66</f>
        <v>-135416.66</v>
      </c>
      <c r="F110" s="120">
        <f>-162499.99</f>
        <v>-162499.99</v>
      </c>
      <c r="G110" s="120">
        <f>-189583.32</f>
        <v>-189583.32</v>
      </c>
      <c r="H110" s="120">
        <f>-216666.65</f>
        <v>-216666.65</v>
      </c>
      <c r="I110" s="120">
        <f>-243749.98</f>
        <v>-243749.98</v>
      </c>
      <c r="J110" s="120">
        <f>-270833.31</f>
        <v>-270833.31</v>
      </c>
      <c r="K110" s="120">
        <f>-297916.64</f>
        <v>-297916.64</v>
      </c>
      <c r="L110" s="120">
        <f>-324999.97</f>
        <v>-324999.96999999997</v>
      </c>
      <c r="M110" s="120">
        <f>-352083.3</f>
        <v>-352083.3</v>
      </c>
      <c r="N110" s="120">
        <f>0</f>
        <v>0</v>
      </c>
      <c r="O110" s="92">
        <f t="shared" si="654"/>
        <v>0</v>
      </c>
      <c r="P110" s="92">
        <f t="shared" si="655"/>
        <v>0</v>
      </c>
      <c r="Q110" s="92">
        <f t="shared" si="656"/>
        <v>0</v>
      </c>
      <c r="R110" s="92">
        <f t="shared" si="657"/>
        <v>0</v>
      </c>
      <c r="S110" s="92">
        <f t="shared" si="658"/>
        <v>0</v>
      </c>
      <c r="T110" s="92">
        <f t="shared" si="659"/>
        <v>0</v>
      </c>
      <c r="U110" s="92">
        <f t="shared" si="660"/>
        <v>0</v>
      </c>
      <c r="V110" s="92">
        <f t="shared" si="661"/>
        <v>0</v>
      </c>
      <c r="W110" s="92">
        <f t="shared" si="662"/>
        <v>0</v>
      </c>
      <c r="X110" s="92">
        <f t="shared" si="663"/>
        <v>0</v>
      </c>
      <c r="Y110" s="92">
        <f t="shared" si="664"/>
        <v>0</v>
      </c>
      <c r="Z110" s="92">
        <f t="shared" si="665"/>
        <v>0</v>
      </c>
      <c r="AA110" s="92">
        <f t="shared" si="666"/>
        <v>0</v>
      </c>
      <c r="AB110" s="92">
        <f t="shared" si="667"/>
        <v>0</v>
      </c>
      <c r="AC110" s="92">
        <f t="shared" si="668"/>
        <v>0</v>
      </c>
      <c r="AD110" s="92">
        <f t="shared" si="669"/>
        <v>0</v>
      </c>
      <c r="AE110" s="92">
        <f t="shared" si="670"/>
        <v>0</v>
      </c>
      <c r="AF110" s="92">
        <f t="shared" si="671"/>
        <v>0</v>
      </c>
      <c r="AG110" s="92">
        <f t="shared" si="672"/>
        <v>0</v>
      </c>
      <c r="AH110" s="92">
        <f t="shared" si="673"/>
        <v>0</v>
      </c>
      <c r="AI110" s="92">
        <f t="shared" si="674"/>
        <v>0</v>
      </c>
      <c r="AJ110" s="92">
        <f t="shared" si="675"/>
        <v>0</v>
      </c>
      <c r="AK110" s="92">
        <f t="shared" si="676"/>
        <v>0</v>
      </c>
      <c r="AL110" s="92">
        <f t="shared" si="677"/>
        <v>0</v>
      </c>
      <c r="AM110" s="92">
        <f t="shared" si="678"/>
        <v>0</v>
      </c>
      <c r="AN110" s="92">
        <f t="shared" si="679"/>
        <v>0</v>
      </c>
      <c r="AO110" s="92">
        <f t="shared" si="680"/>
        <v>0</v>
      </c>
      <c r="AP110" s="92">
        <f t="shared" si="681"/>
        <v>0</v>
      </c>
      <c r="AQ110" s="92">
        <f t="shared" si="682"/>
        <v>0</v>
      </c>
      <c r="AR110" s="92">
        <f t="shared" si="683"/>
        <v>0</v>
      </c>
      <c r="AS110" s="92">
        <f t="shared" si="684"/>
        <v>0</v>
      </c>
      <c r="AT110" s="92">
        <f t="shared" si="685"/>
        <v>0</v>
      </c>
      <c r="AU110" s="92">
        <f t="shared" si="686"/>
        <v>0</v>
      </c>
      <c r="AV110" s="92">
        <f t="shared" si="687"/>
        <v>0</v>
      </c>
      <c r="AW110" s="92">
        <f t="shared" si="688"/>
        <v>0</v>
      </c>
      <c r="AX110" s="92">
        <f t="shared" si="689"/>
        <v>0</v>
      </c>
      <c r="AY110" s="92">
        <f t="shared" si="690"/>
        <v>0</v>
      </c>
      <c r="AZ110" s="92">
        <f t="shared" si="691"/>
        <v>0</v>
      </c>
      <c r="BA110" s="92">
        <f t="shared" si="692"/>
        <v>0</v>
      </c>
      <c r="BB110" s="92">
        <f t="shared" si="693"/>
        <v>0</v>
      </c>
      <c r="BC110" s="92">
        <f t="shared" si="694"/>
        <v>0</v>
      </c>
      <c r="BD110" s="92">
        <f t="shared" si="695"/>
        <v>0</v>
      </c>
      <c r="BE110" s="92">
        <f t="shared" si="696"/>
        <v>0</v>
      </c>
      <c r="BF110" s="92">
        <f t="shared" si="697"/>
        <v>0</v>
      </c>
      <c r="BG110" s="92">
        <f t="shared" si="698"/>
        <v>0</v>
      </c>
      <c r="BH110" s="92">
        <f t="shared" si="699"/>
        <v>0</v>
      </c>
      <c r="BI110" s="92">
        <f t="shared" si="700"/>
        <v>0</v>
      </c>
      <c r="BJ110" s="92">
        <f t="shared" si="701"/>
        <v>0</v>
      </c>
      <c r="BK110" s="92">
        <f t="shared" si="702"/>
        <v>0</v>
      </c>
      <c r="BL110" s="92">
        <f t="shared" si="703"/>
        <v>0</v>
      </c>
      <c r="BM110" s="92">
        <f t="shared" si="704"/>
        <v>0</v>
      </c>
      <c r="BN110" s="92">
        <f t="shared" si="705"/>
        <v>0</v>
      </c>
      <c r="BO110" s="92">
        <f t="shared" si="706"/>
        <v>0</v>
      </c>
      <c r="BP110" s="92">
        <f t="shared" si="707"/>
        <v>0</v>
      </c>
      <c r="BQ110" s="92">
        <f t="shared" si="708"/>
        <v>0</v>
      </c>
      <c r="BR110" s="92">
        <f t="shared" si="709"/>
        <v>0</v>
      </c>
      <c r="BS110" s="92">
        <f t="shared" si="710"/>
        <v>0</v>
      </c>
      <c r="BT110" s="92">
        <f t="shared" si="711"/>
        <v>0</v>
      </c>
      <c r="BU110" s="92">
        <f t="shared" si="712"/>
        <v>0</v>
      </c>
      <c r="BV110" s="92">
        <f t="shared" si="713"/>
        <v>0</v>
      </c>
      <c r="BW110" s="92">
        <f t="shared" si="714"/>
        <v>0</v>
      </c>
      <c r="BX110" s="92">
        <f t="shared" si="715"/>
        <v>0</v>
      </c>
      <c r="BY110" s="92">
        <f t="shared" si="716"/>
        <v>0</v>
      </c>
      <c r="BZ110" s="92">
        <f t="shared" si="717"/>
        <v>0</v>
      </c>
      <c r="CA110" s="92">
        <f t="shared" si="718"/>
        <v>0</v>
      </c>
      <c r="CB110" s="92">
        <f t="shared" si="719"/>
        <v>0</v>
      </c>
      <c r="CC110" s="92">
        <f t="shared" si="720"/>
        <v>0</v>
      </c>
      <c r="CD110" s="92">
        <f t="shared" si="721"/>
        <v>0</v>
      </c>
      <c r="CE110" s="92">
        <f t="shared" si="722"/>
        <v>0</v>
      </c>
      <c r="CF110" s="92">
        <f t="shared" si="723"/>
        <v>0</v>
      </c>
      <c r="CG110" s="92">
        <f t="shared" si="724"/>
        <v>0</v>
      </c>
      <c r="CH110" s="92">
        <f t="shared" si="725"/>
        <v>0</v>
      </c>
    </row>
    <row r="111" spans="1:86" x14ac:dyDescent="0.25">
      <c r="A111" s="29" t="s">
        <v>22</v>
      </c>
      <c r="B111" s="31" t="s">
        <v>32</v>
      </c>
      <c r="C111" s="120">
        <f>-81250</f>
        <v>-81250</v>
      </c>
      <c r="D111" s="120">
        <f>-108333.33</f>
        <v>-108333.33</v>
      </c>
      <c r="E111" s="120">
        <f>-135416.66</f>
        <v>-135416.66</v>
      </c>
      <c r="F111" s="120">
        <f>-162499.99</f>
        <v>-162499.99</v>
      </c>
      <c r="G111" s="120">
        <f>-189583.32</f>
        <v>-189583.32</v>
      </c>
      <c r="H111" s="120">
        <f>-216666.65</f>
        <v>-216666.65</v>
      </c>
      <c r="I111" s="120">
        <f>-243749.98</f>
        <v>-243749.98</v>
      </c>
      <c r="J111" s="120">
        <f>-270833.31</f>
        <v>-270833.31</v>
      </c>
      <c r="K111" s="120">
        <f>-297916.64</f>
        <v>-297916.64</v>
      </c>
      <c r="L111" s="120">
        <f>-324999.97</f>
        <v>-324999.96999999997</v>
      </c>
      <c r="M111" s="120">
        <f>-352083.3</f>
        <v>-352083.3</v>
      </c>
      <c r="N111" s="120">
        <f>0</f>
        <v>0</v>
      </c>
      <c r="O111" s="92">
        <f t="shared" si="654"/>
        <v>0</v>
      </c>
      <c r="P111" s="92">
        <f t="shared" si="655"/>
        <v>0</v>
      </c>
      <c r="Q111" s="92">
        <f t="shared" si="656"/>
        <v>0</v>
      </c>
      <c r="R111" s="92">
        <f t="shared" si="657"/>
        <v>0</v>
      </c>
      <c r="S111" s="92">
        <f t="shared" si="658"/>
        <v>0</v>
      </c>
      <c r="T111" s="92">
        <f t="shared" si="659"/>
        <v>0</v>
      </c>
      <c r="U111" s="92">
        <f t="shared" si="660"/>
        <v>0</v>
      </c>
      <c r="V111" s="92">
        <f t="shared" si="661"/>
        <v>0</v>
      </c>
      <c r="W111" s="92">
        <f t="shared" si="662"/>
        <v>0</v>
      </c>
      <c r="X111" s="92">
        <f t="shared" si="663"/>
        <v>0</v>
      </c>
      <c r="Y111" s="92">
        <f t="shared" si="664"/>
        <v>0</v>
      </c>
      <c r="Z111" s="92">
        <f t="shared" si="665"/>
        <v>0</v>
      </c>
      <c r="AA111" s="92">
        <f t="shared" si="666"/>
        <v>0</v>
      </c>
      <c r="AB111" s="92">
        <f t="shared" si="667"/>
        <v>0</v>
      </c>
      <c r="AC111" s="92">
        <f t="shared" si="668"/>
        <v>0</v>
      </c>
      <c r="AD111" s="92">
        <f t="shared" si="669"/>
        <v>0</v>
      </c>
      <c r="AE111" s="92">
        <f t="shared" si="670"/>
        <v>0</v>
      </c>
      <c r="AF111" s="92">
        <f t="shared" si="671"/>
        <v>0</v>
      </c>
      <c r="AG111" s="92">
        <f t="shared" si="672"/>
        <v>0</v>
      </c>
      <c r="AH111" s="92">
        <f t="shared" si="673"/>
        <v>0</v>
      </c>
      <c r="AI111" s="92">
        <f t="shared" si="674"/>
        <v>0</v>
      </c>
      <c r="AJ111" s="92">
        <f t="shared" si="675"/>
        <v>0</v>
      </c>
      <c r="AK111" s="92">
        <f t="shared" si="676"/>
        <v>0</v>
      </c>
      <c r="AL111" s="92">
        <f t="shared" si="677"/>
        <v>0</v>
      </c>
      <c r="AM111" s="92">
        <f t="shared" si="678"/>
        <v>0</v>
      </c>
      <c r="AN111" s="92">
        <f t="shared" si="679"/>
        <v>0</v>
      </c>
      <c r="AO111" s="92">
        <f t="shared" si="680"/>
        <v>0</v>
      </c>
      <c r="AP111" s="92">
        <f t="shared" si="681"/>
        <v>0</v>
      </c>
      <c r="AQ111" s="92">
        <f t="shared" si="682"/>
        <v>0</v>
      </c>
      <c r="AR111" s="92">
        <f t="shared" si="683"/>
        <v>0</v>
      </c>
      <c r="AS111" s="92">
        <f t="shared" si="684"/>
        <v>0</v>
      </c>
      <c r="AT111" s="92">
        <f t="shared" si="685"/>
        <v>0</v>
      </c>
      <c r="AU111" s="92">
        <f t="shared" si="686"/>
        <v>0</v>
      </c>
      <c r="AV111" s="92">
        <f t="shared" si="687"/>
        <v>0</v>
      </c>
      <c r="AW111" s="92">
        <f t="shared" si="688"/>
        <v>0</v>
      </c>
      <c r="AX111" s="92">
        <f t="shared" si="689"/>
        <v>0</v>
      </c>
      <c r="AY111" s="92">
        <f t="shared" si="690"/>
        <v>0</v>
      </c>
      <c r="AZ111" s="92">
        <f t="shared" si="691"/>
        <v>0</v>
      </c>
      <c r="BA111" s="92">
        <f t="shared" si="692"/>
        <v>0</v>
      </c>
      <c r="BB111" s="92">
        <f t="shared" si="693"/>
        <v>0</v>
      </c>
      <c r="BC111" s="92">
        <f t="shared" si="694"/>
        <v>0</v>
      </c>
      <c r="BD111" s="92">
        <f t="shared" si="695"/>
        <v>0</v>
      </c>
      <c r="BE111" s="92">
        <f t="shared" si="696"/>
        <v>0</v>
      </c>
      <c r="BF111" s="92">
        <f t="shared" si="697"/>
        <v>0</v>
      </c>
      <c r="BG111" s="92">
        <f t="shared" si="698"/>
        <v>0</v>
      </c>
      <c r="BH111" s="92">
        <f t="shared" si="699"/>
        <v>0</v>
      </c>
      <c r="BI111" s="92">
        <f t="shared" si="700"/>
        <v>0</v>
      </c>
      <c r="BJ111" s="92">
        <f t="shared" si="701"/>
        <v>0</v>
      </c>
      <c r="BK111" s="92">
        <f t="shared" si="702"/>
        <v>0</v>
      </c>
      <c r="BL111" s="92">
        <f t="shared" si="703"/>
        <v>0</v>
      </c>
      <c r="BM111" s="92">
        <f t="shared" si="704"/>
        <v>0</v>
      </c>
      <c r="BN111" s="92">
        <f t="shared" si="705"/>
        <v>0</v>
      </c>
      <c r="BO111" s="92">
        <f t="shared" si="706"/>
        <v>0</v>
      </c>
      <c r="BP111" s="92">
        <f t="shared" si="707"/>
        <v>0</v>
      </c>
      <c r="BQ111" s="92">
        <f t="shared" si="708"/>
        <v>0</v>
      </c>
      <c r="BR111" s="92">
        <f t="shared" si="709"/>
        <v>0</v>
      </c>
      <c r="BS111" s="92">
        <f t="shared" si="710"/>
        <v>0</v>
      </c>
      <c r="BT111" s="92">
        <f t="shared" si="711"/>
        <v>0</v>
      </c>
      <c r="BU111" s="92">
        <f t="shared" si="712"/>
        <v>0</v>
      </c>
      <c r="BV111" s="92">
        <f t="shared" si="713"/>
        <v>0</v>
      </c>
      <c r="BW111" s="92">
        <f t="shared" si="714"/>
        <v>0</v>
      </c>
      <c r="BX111" s="92">
        <f t="shared" si="715"/>
        <v>0</v>
      </c>
      <c r="BY111" s="92">
        <f t="shared" si="716"/>
        <v>0</v>
      </c>
      <c r="BZ111" s="92">
        <f t="shared" si="717"/>
        <v>0</v>
      </c>
      <c r="CA111" s="92">
        <f t="shared" si="718"/>
        <v>0</v>
      </c>
      <c r="CB111" s="92">
        <f t="shared" si="719"/>
        <v>0</v>
      </c>
      <c r="CC111" s="92">
        <f t="shared" si="720"/>
        <v>0</v>
      </c>
      <c r="CD111" s="92">
        <f t="shared" si="721"/>
        <v>0</v>
      </c>
      <c r="CE111" s="92">
        <f t="shared" si="722"/>
        <v>0</v>
      </c>
      <c r="CF111" s="92">
        <f t="shared" si="723"/>
        <v>0</v>
      </c>
      <c r="CG111" s="92">
        <f t="shared" si="724"/>
        <v>0</v>
      </c>
      <c r="CH111" s="92">
        <f t="shared" si="725"/>
        <v>0</v>
      </c>
    </row>
    <row r="112" spans="1:86" x14ac:dyDescent="0.25">
      <c r="B112" s="31" t="s">
        <v>31</v>
      </c>
      <c r="C112" s="121">
        <f t="shared" ref="C112:N112" si="726">((C109)+(C110))+(C111)</f>
        <v>-162500</v>
      </c>
      <c r="D112" s="121">
        <f t="shared" si="726"/>
        <v>-216666.66</v>
      </c>
      <c r="E112" s="121">
        <f t="shared" si="726"/>
        <v>-270833.32</v>
      </c>
      <c r="F112" s="121">
        <f t="shared" si="726"/>
        <v>-324999.98</v>
      </c>
      <c r="G112" s="121">
        <f t="shared" si="726"/>
        <v>-379166.64</v>
      </c>
      <c r="H112" s="121">
        <f t="shared" si="726"/>
        <v>-433333.3</v>
      </c>
      <c r="I112" s="121">
        <f t="shared" si="726"/>
        <v>-487499.96</v>
      </c>
      <c r="J112" s="121">
        <f t="shared" si="726"/>
        <v>-541666.62</v>
      </c>
      <c r="K112" s="121">
        <f t="shared" si="726"/>
        <v>-595833.28</v>
      </c>
      <c r="L112" s="121">
        <f t="shared" si="726"/>
        <v>-649999.93999999994</v>
      </c>
      <c r="M112" s="121">
        <f t="shared" si="726"/>
        <v>-704166.6</v>
      </c>
      <c r="N112" s="121">
        <f t="shared" si="726"/>
        <v>0</v>
      </c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  <c r="CA112" s="90"/>
      <c r="CB112" s="90"/>
      <c r="CC112" s="90"/>
      <c r="CD112" s="90"/>
      <c r="CE112" s="90"/>
      <c r="CF112" s="90"/>
      <c r="CG112" s="90"/>
      <c r="CH112" s="90"/>
    </row>
    <row r="113" spans="1:86" x14ac:dyDescent="0.25">
      <c r="B113" s="31" t="s">
        <v>30</v>
      </c>
      <c r="C113" s="121">
        <f t="shared" ref="C113:N113" si="727">((C93)+(C108))+(C112)</f>
        <v>16337500</v>
      </c>
      <c r="D113" s="121">
        <f t="shared" si="727"/>
        <v>16283333.34</v>
      </c>
      <c r="E113" s="121">
        <f t="shared" si="727"/>
        <v>16229166.68</v>
      </c>
      <c r="F113" s="121">
        <f t="shared" si="727"/>
        <v>16175000.02</v>
      </c>
      <c r="G113" s="121">
        <f t="shared" si="727"/>
        <v>16120833.359999999</v>
      </c>
      <c r="H113" s="121">
        <f t="shared" si="727"/>
        <v>16066666.699999999</v>
      </c>
      <c r="I113" s="121">
        <f t="shared" si="727"/>
        <v>16012500.039999999</v>
      </c>
      <c r="J113" s="121">
        <f t="shared" si="727"/>
        <v>15958333.380000001</v>
      </c>
      <c r="K113" s="121">
        <f t="shared" si="727"/>
        <v>16404166.720000001</v>
      </c>
      <c r="L113" s="121">
        <f t="shared" si="727"/>
        <v>16850000.059999999</v>
      </c>
      <c r="M113" s="121">
        <f t="shared" si="727"/>
        <v>16795833.399999999</v>
      </c>
      <c r="N113" s="121">
        <f t="shared" si="727"/>
        <v>17500000</v>
      </c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</row>
    <row r="114" spans="1:86" x14ac:dyDescent="0.25">
      <c r="B114" s="31" t="s">
        <v>29</v>
      </c>
      <c r="C114" s="119"/>
      <c r="D114" s="120">
        <f t="shared" ref="D114:N115" si="728">C114</f>
        <v>0</v>
      </c>
      <c r="E114" s="120">
        <f t="shared" si="728"/>
        <v>0</v>
      </c>
      <c r="F114" s="120">
        <f t="shared" si="728"/>
        <v>0</v>
      </c>
      <c r="G114" s="120">
        <f t="shared" si="728"/>
        <v>0</v>
      </c>
      <c r="H114" s="120">
        <f t="shared" si="728"/>
        <v>0</v>
      </c>
      <c r="I114" s="120">
        <f t="shared" si="728"/>
        <v>0</v>
      </c>
      <c r="J114" s="120">
        <f t="shared" si="728"/>
        <v>0</v>
      </c>
      <c r="K114" s="120">
        <f t="shared" si="728"/>
        <v>0</v>
      </c>
      <c r="L114" s="120">
        <f t="shared" si="728"/>
        <v>0</v>
      </c>
      <c r="M114" s="120">
        <f t="shared" si="728"/>
        <v>0</v>
      </c>
      <c r="N114" s="120">
        <f t="shared" si="728"/>
        <v>0</v>
      </c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  <c r="AY114" s="89"/>
      <c r="AZ114" s="89"/>
      <c r="BA114" s="89"/>
      <c r="BB114" s="89"/>
      <c r="BC114" s="89"/>
      <c r="BD114" s="89"/>
      <c r="BE114" s="89"/>
      <c r="BF114" s="89"/>
      <c r="BG114" s="89"/>
      <c r="BH114" s="89"/>
      <c r="BI114" s="89"/>
      <c r="BJ114" s="89"/>
      <c r="BK114" s="89"/>
      <c r="BL114" s="89"/>
      <c r="BM114" s="89"/>
      <c r="BN114" s="89"/>
      <c r="BO114" s="89"/>
      <c r="BP114" s="89"/>
      <c r="BQ114" s="89"/>
      <c r="BR114" s="89"/>
      <c r="BS114" s="89"/>
      <c r="BT114" s="89"/>
      <c r="BU114" s="89"/>
      <c r="BV114" s="89"/>
      <c r="BW114" s="89"/>
      <c r="BX114" s="89"/>
      <c r="BY114" s="89"/>
      <c r="BZ114" s="89"/>
      <c r="CA114" s="89"/>
      <c r="CB114" s="89"/>
      <c r="CC114" s="89"/>
      <c r="CD114" s="89"/>
      <c r="CE114" s="89"/>
      <c r="CF114" s="89"/>
      <c r="CG114" s="89"/>
      <c r="CH114" s="89"/>
    </row>
    <row r="115" spans="1:86" x14ac:dyDescent="0.25">
      <c r="A115" s="29" t="s">
        <v>16</v>
      </c>
      <c r="B115" s="31" t="s">
        <v>28</v>
      </c>
      <c r="C115" s="120">
        <f>-508602.86</f>
        <v>-508602.86</v>
      </c>
      <c r="D115" s="120">
        <f t="shared" si="728"/>
        <v>-508602.86</v>
      </c>
      <c r="E115" s="120">
        <f t="shared" si="728"/>
        <v>-508602.86</v>
      </c>
      <c r="F115" s="120">
        <f t="shared" si="728"/>
        <v>-508602.86</v>
      </c>
      <c r="G115" s="120">
        <f t="shared" si="728"/>
        <v>-508602.86</v>
      </c>
      <c r="H115" s="120">
        <f t="shared" si="728"/>
        <v>-508602.86</v>
      </c>
      <c r="I115" s="120">
        <f t="shared" si="728"/>
        <v>-508602.86</v>
      </c>
      <c r="J115" s="120">
        <f t="shared" si="728"/>
        <v>-508602.86</v>
      </c>
      <c r="K115" s="120">
        <f t="shared" si="728"/>
        <v>-508602.86</v>
      </c>
      <c r="L115" s="120">
        <f t="shared" si="728"/>
        <v>-508602.86</v>
      </c>
      <c r="M115" s="120">
        <f t="shared" si="728"/>
        <v>-508602.86</v>
      </c>
      <c r="N115" s="120">
        <f t="shared" si="728"/>
        <v>-508602.86</v>
      </c>
      <c r="O115" s="89">
        <f>+N115+N116</f>
        <v>-6662231.0600000005</v>
      </c>
      <c r="P115" s="92">
        <f>O115</f>
        <v>-6662231.0600000005</v>
      </c>
      <c r="Q115" s="92">
        <f t="shared" ref="Q115:AX115" si="729">P115</f>
        <v>-6662231.0600000005</v>
      </c>
      <c r="R115" s="92">
        <f t="shared" si="729"/>
        <v>-6662231.0600000005</v>
      </c>
      <c r="S115" s="92">
        <f t="shared" si="729"/>
        <v>-6662231.0600000005</v>
      </c>
      <c r="T115" s="92">
        <f t="shared" si="729"/>
        <v>-6662231.0600000005</v>
      </c>
      <c r="U115" s="92">
        <f t="shared" si="729"/>
        <v>-6662231.0600000005</v>
      </c>
      <c r="V115" s="92">
        <f t="shared" si="729"/>
        <v>-6662231.0600000005</v>
      </c>
      <c r="W115" s="92">
        <f t="shared" si="729"/>
        <v>-6662231.0600000005</v>
      </c>
      <c r="X115" s="92">
        <f t="shared" si="729"/>
        <v>-6662231.0600000005</v>
      </c>
      <c r="Y115" s="92">
        <f t="shared" si="729"/>
        <v>-6662231.0600000005</v>
      </c>
      <c r="Z115" s="92">
        <f t="shared" si="729"/>
        <v>-6662231.0600000005</v>
      </c>
      <c r="AA115" s="92">
        <f t="shared" si="729"/>
        <v>-6662231.0600000005</v>
      </c>
      <c r="AB115" s="92">
        <f t="shared" si="729"/>
        <v>-6662231.0600000005</v>
      </c>
      <c r="AC115" s="92">
        <f t="shared" si="729"/>
        <v>-6662231.0600000005</v>
      </c>
      <c r="AD115" s="92">
        <f t="shared" si="729"/>
        <v>-6662231.0600000005</v>
      </c>
      <c r="AE115" s="92">
        <f t="shared" si="729"/>
        <v>-6662231.0600000005</v>
      </c>
      <c r="AF115" s="92">
        <f t="shared" si="729"/>
        <v>-6662231.0600000005</v>
      </c>
      <c r="AG115" s="92">
        <f t="shared" si="729"/>
        <v>-6662231.0600000005</v>
      </c>
      <c r="AH115" s="92">
        <f t="shared" si="729"/>
        <v>-6662231.0600000005</v>
      </c>
      <c r="AI115" s="92">
        <f t="shared" si="729"/>
        <v>-6662231.0600000005</v>
      </c>
      <c r="AJ115" s="92">
        <f t="shared" si="729"/>
        <v>-6662231.0600000005</v>
      </c>
      <c r="AK115" s="92">
        <f t="shared" si="729"/>
        <v>-6662231.0600000005</v>
      </c>
      <c r="AL115" s="92">
        <f t="shared" si="729"/>
        <v>-6662231.0600000005</v>
      </c>
      <c r="AM115" s="92">
        <f t="shared" si="729"/>
        <v>-6662231.0600000005</v>
      </c>
      <c r="AN115" s="92">
        <f t="shared" si="729"/>
        <v>-6662231.0600000005</v>
      </c>
      <c r="AO115" s="92">
        <f t="shared" si="729"/>
        <v>-6662231.0600000005</v>
      </c>
      <c r="AP115" s="92">
        <f t="shared" si="729"/>
        <v>-6662231.0600000005</v>
      </c>
      <c r="AQ115" s="92">
        <f t="shared" si="729"/>
        <v>-6662231.0600000005</v>
      </c>
      <c r="AR115" s="92">
        <f t="shared" si="729"/>
        <v>-6662231.0600000005</v>
      </c>
      <c r="AS115" s="92">
        <f t="shared" si="729"/>
        <v>-6662231.0600000005</v>
      </c>
      <c r="AT115" s="92">
        <f t="shared" si="729"/>
        <v>-6662231.0600000005</v>
      </c>
      <c r="AU115" s="92">
        <f t="shared" si="729"/>
        <v>-6662231.0600000005</v>
      </c>
      <c r="AV115" s="92">
        <f t="shared" si="729"/>
        <v>-6662231.0600000005</v>
      </c>
      <c r="AW115" s="92">
        <f t="shared" si="729"/>
        <v>-6662231.0600000005</v>
      </c>
      <c r="AX115" s="92">
        <f t="shared" si="729"/>
        <v>-6662231.0600000005</v>
      </c>
      <c r="AY115" s="92">
        <f t="shared" ref="AY115" si="730">AX115</f>
        <v>-6662231.0600000005</v>
      </c>
      <c r="AZ115" s="92">
        <f t="shared" ref="AZ115" si="731">AY115</f>
        <v>-6662231.0600000005</v>
      </c>
      <c r="BA115" s="92">
        <f t="shared" ref="BA115" si="732">AZ115</f>
        <v>-6662231.0600000005</v>
      </c>
      <c r="BB115" s="92">
        <f t="shared" ref="BB115" si="733">BA115</f>
        <v>-6662231.0600000005</v>
      </c>
      <c r="BC115" s="92">
        <f t="shared" ref="BC115" si="734">BB115</f>
        <v>-6662231.0600000005</v>
      </c>
      <c r="BD115" s="92">
        <f t="shared" ref="BD115" si="735">BC115</f>
        <v>-6662231.0600000005</v>
      </c>
      <c r="BE115" s="92">
        <f t="shared" ref="BE115" si="736">BD115</f>
        <v>-6662231.0600000005</v>
      </c>
      <c r="BF115" s="92">
        <f t="shared" ref="BF115" si="737">BE115</f>
        <v>-6662231.0600000005</v>
      </c>
      <c r="BG115" s="92">
        <f t="shared" ref="BG115" si="738">BF115</f>
        <v>-6662231.0600000005</v>
      </c>
      <c r="BH115" s="92">
        <f t="shared" ref="BH115" si="739">BG115</f>
        <v>-6662231.0600000005</v>
      </c>
      <c r="BI115" s="92">
        <f t="shared" ref="BI115" si="740">BH115</f>
        <v>-6662231.0600000005</v>
      </c>
      <c r="BJ115" s="92">
        <f t="shared" ref="BJ115" si="741">BI115</f>
        <v>-6662231.0600000005</v>
      </c>
      <c r="BK115" s="92">
        <f t="shared" ref="BK115" si="742">BJ115</f>
        <v>-6662231.0600000005</v>
      </c>
      <c r="BL115" s="92">
        <f t="shared" ref="BL115" si="743">BK115</f>
        <v>-6662231.0600000005</v>
      </c>
      <c r="BM115" s="92">
        <f t="shared" ref="BM115" si="744">BL115</f>
        <v>-6662231.0600000005</v>
      </c>
      <c r="BN115" s="92">
        <f t="shared" ref="BN115" si="745">BM115</f>
        <v>-6662231.0600000005</v>
      </c>
      <c r="BO115" s="92">
        <f t="shared" ref="BO115" si="746">BN115</f>
        <v>-6662231.0600000005</v>
      </c>
      <c r="BP115" s="92">
        <f t="shared" ref="BP115" si="747">BO115</f>
        <v>-6662231.0600000005</v>
      </c>
      <c r="BQ115" s="92">
        <f t="shared" ref="BQ115" si="748">BP115</f>
        <v>-6662231.0600000005</v>
      </c>
      <c r="BR115" s="92">
        <f t="shared" ref="BR115" si="749">BQ115</f>
        <v>-6662231.0600000005</v>
      </c>
      <c r="BS115" s="92">
        <f t="shared" ref="BS115" si="750">BR115</f>
        <v>-6662231.0600000005</v>
      </c>
      <c r="BT115" s="92">
        <f t="shared" ref="BT115" si="751">BS115</f>
        <v>-6662231.0600000005</v>
      </c>
      <c r="BU115" s="92">
        <f t="shared" ref="BU115" si="752">BT115</f>
        <v>-6662231.0600000005</v>
      </c>
      <c r="BV115" s="92">
        <f t="shared" ref="BV115" si="753">BU115</f>
        <v>-6662231.0600000005</v>
      </c>
      <c r="BW115" s="92">
        <f t="shared" ref="BW115" si="754">BV115</f>
        <v>-6662231.0600000005</v>
      </c>
      <c r="BX115" s="92">
        <f t="shared" ref="BX115" si="755">BW115</f>
        <v>-6662231.0600000005</v>
      </c>
      <c r="BY115" s="92">
        <f t="shared" ref="BY115" si="756">BX115</f>
        <v>-6662231.0600000005</v>
      </c>
      <c r="BZ115" s="92">
        <f t="shared" ref="BZ115" si="757">BY115</f>
        <v>-6662231.0600000005</v>
      </c>
      <c r="CA115" s="92">
        <f t="shared" ref="CA115" si="758">BZ115</f>
        <v>-6662231.0600000005</v>
      </c>
      <c r="CB115" s="92">
        <f t="shared" ref="CB115" si="759">CA115</f>
        <v>-6662231.0600000005</v>
      </c>
      <c r="CC115" s="92">
        <f t="shared" ref="CC115" si="760">CB115</f>
        <v>-6662231.0600000005</v>
      </c>
      <c r="CD115" s="92">
        <f t="shared" ref="CD115" si="761">CC115</f>
        <v>-6662231.0600000005</v>
      </c>
      <c r="CE115" s="92">
        <f t="shared" ref="CE115" si="762">CD115</f>
        <v>-6662231.0600000005</v>
      </c>
      <c r="CF115" s="92">
        <f t="shared" ref="CF115" si="763">CE115</f>
        <v>-6662231.0600000005</v>
      </c>
      <c r="CG115" s="92">
        <f t="shared" ref="CG115" si="764">CF115</f>
        <v>-6662231.0600000005</v>
      </c>
      <c r="CH115" s="92">
        <f t="shared" ref="CH115" si="765">CG115</f>
        <v>-6662231.0600000005</v>
      </c>
    </row>
    <row r="116" spans="1:86" x14ac:dyDescent="0.25">
      <c r="A116" s="29" t="s">
        <v>16</v>
      </c>
      <c r="B116" s="31" t="s">
        <v>27</v>
      </c>
      <c r="C116" s="120">
        <f>-139330.86</f>
        <v>-139330.85999999999</v>
      </c>
      <c r="D116" s="120">
        <f>-397398.32</f>
        <v>-397398.32</v>
      </c>
      <c r="E116" s="120">
        <f>-738153.44</f>
        <v>-738153.44</v>
      </c>
      <c r="F116" s="120">
        <f>-1139209.5</f>
        <v>-1139209.5</v>
      </c>
      <c r="G116" s="120">
        <f>-1541764.99</f>
        <v>-1541764.99</v>
      </c>
      <c r="H116" s="120">
        <f>-1945309.21</f>
        <v>-1945309.21</v>
      </c>
      <c r="I116" s="120">
        <f>-2500363.97</f>
        <v>-2500363.9700000002</v>
      </c>
      <c r="J116" s="120">
        <f>-2976381.41</f>
        <v>-2976381.41</v>
      </c>
      <c r="K116" s="120">
        <f>-3487667.62</f>
        <v>-3487667.62</v>
      </c>
      <c r="L116" s="120">
        <f>-4140536.46</f>
        <v>-4140536.46</v>
      </c>
      <c r="M116" s="120">
        <f>-4686282.81</f>
        <v>-4686282.8099999996</v>
      </c>
      <c r="N116" s="133">
        <f>[1]ConsolIS!$H$102+360.07</f>
        <v>-6153628.2000000002</v>
      </c>
      <c r="O116" s="93">
        <f>SUM([1]ConsolIS!$BE$102:BE$102)</f>
        <v>-593059.9770833333</v>
      </c>
      <c r="P116" s="93">
        <f>SUM([1]ConsolIS!$BE$102:BF$102)</f>
        <v>-1316819.9541666666</v>
      </c>
      <c r="Q116" s="93">
        <f>SUM([1]ConsolIS!$BE$102:BG$102)</f>
        <v>-1999280.4645833333</v>
      </c>
      <c r="R116" s="93">
        <f>SUM([1]ConsolIS!$BE$102:BH$102)</f>
        <v>-2826468.2749999999</v>
      </c>
      <c r="S116" s="93">
        <f>SUM([1]ConsolIS!$BE$102:BI$102)</f>
        <v>-3617186.5854166662</v>
      </c>
      <c r="T116" s="93">
        <f>SUM([1]ConsolIS!$BE$102:BJ$102)</f>
        <v>-4348980.4366593473</v>
      </c>
      <c r="U116" s="93">
        <f>SUM([1]ConsolIS!$BE$102:BK$102)</f>
        <v>-4654064.2369881906</v>
      </c>
      <c r="V116" s="93">
        <f>SUM([1]ConsolIS!$BE$102:BL$102)</f>
        <v>-5478307.5474048574</v>
      </c>
      <c r="W116" s="93">
        <f>SUM([1]ConsolIS!$BE$102:BM$102)</f>
        <v>-6170951.9394735536</v>
      </c>
      <c r="X116" s="93">
        <f>SUM([1]ConsolIS!$BE$102:BN$102)</f>
        <v>-6935293.2498902204</v>
      </c>
      <c r="Y116" s="93">
        <f>SUM([1]ConsolIS!$BE$102:BO$102)</f>
        <v>-7732461.7686402202</v>
      </c>
      <c r="Z116" s="93">
        <f>SUM([1]ConsolIS!$BE$102:BP$102)</f>
        <v>-8434183.4873902202</v>
      </c>
      <c r="AA116" s="93">
        <f>SUM([1]ConsolIS!$BE$102:BQ$102)</f>
        <v>-9232246.5394735541</v>
      </c>
      <c r="AB116" s="93">
        <f>SUM([1]ConsolIS!$BE$102:BR$102)</f>
        <v>-9650850.9165272173</v>
      </c>
      <c r="AC116" s="93">
        <f>SUM([1]ConsolIS!$BE$102:BS$102)</f>
        <v>-10440124.468610551</v>
      </c>
      <c r="AD116" s="93">
        <f>SUM([1]ConsolIS!$BE$102:BT$102)</f>
        <v>-11279792.820693884</v>
      </c>
      <c r="AE116" s="93">
        <f>SUM([1]ConsolIS!$BE$102:BU$102)</f>
        <v>-12105419.796402505</v>
      </c>
      <c r="AF116" s="93">
        <f>SUM([1]ConsolIS!$BE$102:BV$102)</f>
        <v>-12517938.725042528</v>
      </c>
      <c r="AG116" s="93">
        <f>SUM([1]ConsolIS!$BE$102:BW$102)</f>
        <v>-13303894.888076095</v>
      </c>
      <c r="AH116" s="93">
        <f>SUM([1]ConsolIS!$BE$102:BX$102)</f>
        <v>-13632453.367147323</v>
      </c>
      <c r="AI116" s="93">
        <f>SUM([1]ConsolIS!$BE$102:BY$102)</f>
        <v>-13939776.533828329</v>
      </c>
      <c r="AJ116" s="93">
        <f>SUM([1]ConsolIS!$BE$102:BZ$102)</f>
        <v>-14473379.425004946</v>
      </c>
      <c r="AK116" s="93">
        <f>SUM([1]ConsolIS!$BE$102:CA$102)</f>
        <v>-15057382.712241378</v>
      </c>
      <c r="AL116" s="93">
        <f>SUM([1]ConsolIS!$BE$102:CB$102)</f>
        <v>-15105798.577094708</v>
      </c>
      <c r="AM116" s="93">
        <f>SUM([1]ConsolIS!$BE$102:CC$102)</f>
        <v>-15430107.758014876</v>
      </c>
      <c r="AN116" s="93">
        <f>SUM([1]ConsolIS!$BE$102:CD$102)</f>
        <v>-14979073.562180554</v>
      </c>
      <c r="AO116" s="93">
        <f>SUM([1]ConsolIS!$BE$102:CE$102)</f>
        <v>-15851827.531390935</v>
      </c>
      <c r="AP116" s="93">
        <f>SUM([1]ConsolIS!$BE$102:CF$102)</f>
        <v>-16244838.788590873</v>
      </c>
      <c r="AQ116" s="93">
        <f>SUM([1]ConsolIS!$BE$102:CG$102)</f>
        <v>-16689484.574891213</v>
      </c>
      <c r="AR116" s="93">
        <f>SUM([1]ConsolIS!$BE$102:CH$102)</f>
        <v>-16682459.940446241</v>
      </c>
      <c r="AS116" s="93">
        <f>SUM([1]ConsolIS!$BE$102:CI$102)</f>
        <v>-16316755.55594193</v>
      </c>
      <c r="AT116" s="93">
        <f>SUM([1]ConsolIS!$BE$102:CJ$102)</f>
        <v>-16438961.370678063</v>
      </c>
      <c r="AU116" s="93">
        <f>SUM([1]ConsolIS!$BE$102:CK$102)</f>
        <v>-16648662.077636683</v>
      </c>
      <c r="AV116" s="93">
        <f>SUM([1]ConsolIS!$BE$102:CL$102)</f>
        <v>-16270638.084880136</v>
      </c>
      <c r="AW116" s="93">
        <f>SUM([1]ConsolIS!$BE$102:CM$102)</f>
        <v>-16288383.281867635</v>
      </c>
      <c r="AX116" s="93">
        <f>SUM([1]ConsolIS!$BE$102:CN$102)</f>
        <v>-16434109.468292588</v>
      </c>
      <c r="AY116" s="93">
        <f>SUM([1]ConsolIS!$BE$102:CO$102)</f>
        <v>-16290520.71589458</v>
      </c>
      <c r="AZ116" s="93">
        <f>SUM([1]ConsolIS!$BE$102:CP$102)</f>
        <v>-15180729.117363174</v>
      </c>
      <c r="BA116" s="93">
        <f>SUM([1]ConsolIS!$BE$102:CQ$102)</f>
        <v>-16288412.365010856</v>
      </c>
      <c r="BB116" s="93">
        <f>SUM([1]ConsolIS!$BE$102:CR$102)</f>
        <v>-16946327.122844569</v>
      </c>
      <c r="BC116" s="93">
        <f>SUM([1]ConsolIS!$BE$102:CS$102)</f>
        <v>-17219594.348224372</v>
      </c>
      <c r="BD116" s="93">
        <f>SUM([1]ConsolIS!$BE$102:CT$102)</f>
        <v>-16961704.270176686</v>
      </c>
      <c r="BE116" s="93">
        <f>SUM([1]ConsolIS!$BE$102:CU$102)</f>
        <v>-16063938.375065153</v>
      </c>
      <c r="BF116" s="93">
        <f>SUM([1]ConsolIS!$BE$102:CV$102)</f>
        <v>-15891496.299443886</v>
      </c>
      <c r="BG116" s="93">
        <f>SUM([1]ConsolIS!$BE$102:CW$102)</f>
        <v>-15682359.326703385</v>
      </c>
      <c r="BH116" s="93">
        <f>SUM([1]ConsolIS!$BE$102:CX$102)</f>
        <v>-15303822.593790798</v>
      </c>
      <c r="BI116" s="93">
        <f>SUM([1]ConsolIS!$BE$102:CY$102)</f>
        <v>-14733241.421663281</v>
      </c>
      <c r="BJ116" s="93">
        <f>SUM([1]ConsolIS!$BE$102:CZ$102)</f>
        <v>-14626416.903995767</v>
      </c>
      <c r="BK116" s="93">
        <f>SUM([1]ConsolIS!$BE$102:DA$102)</f>
        <v>-16466277.397991056</v>
      </c>
      <c r="BL116" s="93">
        <f>SUM([1]ConsolIS!$BE$102:DB$102)</f>
        <v>-13942260.271373954</v>
      </c>
      <c r="BM116" s="93">
        <f>SUM([1]ConsolIS!$BE$102:DC$102)</f>
        <v>-16084652.89597288</v>
      </c>
      <c r="BN116" s="93">
        <f>SUM([1]ConsolIS!$BE$102:DD$102)</f>
        <v>-17557541.0942345</v>
      </c>
      <c r="BO116" s="93">
        <f>SUM([1]ConsolIS!$BE$102:DE$102)</f>
        <v>-17415758.743230455</v>
      </c>
      <c r="BP116" s="93">
        <f>SUM([1]ConsolIS!$BE$102:DF$102)</f>
        <v>-16975831.879971091</v>
      </c>
      <c r="BQ116" s="93">
        <f>SUM([1]ConsolIS!$BE$102:DG$102)</f>
        <v>-14952993.974592689</v>
      </c>
      <c r="BR116" s="93">
        <f>SUM([1]ConsolIS!$BE$102:DH$102)</f>
        <v>-15166542.055762621</v>
      </c>
      <c r="BS116" s="93">
        <f>SUM([1]ConsolIS!$BE$102:DI$102)</f>
        <v>-14675306.323808294</v>
      </c>
      <c r="BT116" s="93">
        <f>SUM([1]ConsolIS!$BE$102:DJ$102)</f>
        <v>-14616768.541158799</v>
      </c>
      <c r="BU116" s="93">
        <f>SUM([1]ConsolIS!$BE$102:DK$102)</f>
        <v>-12677847.630898187</v>
      </c>
      <c r="BV116" s="93">
        <f>SUM([1]ConsolIS!$BE$102:DL$102)</f>
        <v>-12172378.976849303</v>
      </c>
      <c r="BW116" s="93">
        <f>SUM([1]ConsolIS!$BE$102:DM$102)</f>
        <v>-12430044.546854325</v>
      </c>
      <c r="BX116" s="93">
        <f>SUM([1]ConsolIS!$BE$102:DN$102)</f>
        <v>-7494989.9395036586</v>
      </c>
      <c r="BY116" s="93">
        <f>SUM([1]ConsolIS!$BE$102:DO$102)</f>
        <v>-10046601.262841616</v>
      </c>
      <c r="BZ116" s="93">
        <f>SUM([1]ConsolIS!$BE$102:DP$102)</f>
        <v>-11730881.96125631</v>
      </c>
      <c r="CA116" s="93">
        <f>SUM([1]ConsolIS!$BE$102:DQ$102)</f>
        <v>-10193033.643982507</v>
      </c>
      <c r="CB116" s="93">
        <f>SUM([1]ConsolIS!$BE$102:DR$102)</f>
        <v>-8577490.9654134288</v>
      </c>
      <c r="CC116" s="93">
        <f>SUM([1]ConsolIS!$BE$102:DS$102)</f>
        <v>-5280852.8088294603</v>
      </c>
      <c r="CD116" s="93">
        <f>SUM([1]ConsolIS!$BE$102:DT$102)</f>
        <v>-5233474.4718207978</v>
      </c>
      <c r="CE116" s="93">
        <f>SUM([1]ConsolIS!$BE$102:DU$102)</f>
        <v>-3398054.1817634795</v>
      </c>
      <c r="CF116" s="93">
        <f>SUM([1]ConsolIS!$BE$102:DV$102)</f>
        <v>-3038876.3927541366</v>
      </c>
      <c r="CG116" s="93">
        <f>SUM([1]ConsolIS!$BE$102:DW$102)</f>
        <v>1581435.9305237746</v>
      </c>
      <c r="CH116" s="93">
        <f>SUM([1]ConsolIS!$BE$102:DX$102)</f>
        <v>3623370.5765491938</v>
      </c>
    </row>
    <row r="117" spans="1:86" x14ac:dyDescent="0.25">
      <c r="B117" s="31" t="s">
        <v>26</v>
      </c>
      <c r="C117" s="121">
        <f t="shared" ref="C117:N117" si="766">(((C113)+(C114))+(C115))+(C116)</f>
        <v>15689566.280000001</v>
      </c>
      <c r="D117" s="121">
        <f t="shared" si="766"/>
        <v>15377332.16</v>
      </c>
      <c r="E117" s="121">
        <f t="shared" si="766"/>
        <v>14982410.380000001</v>
      </c>
      <c r="F117" s="121">
        <f t="shared" si="766"/>
        <v>14527187.66</v>
      </c>
      <c r="G117" s="121">
        <f t="shared" si="766"/>
        <v>14070465.51</v>
      </c>
      <c r="H117" s="121">
        <f t="shared" si="766"/>
        <v>13612754.629999999</v>
      </c>
      <c r="I117" s="121">
        <f t="shared" si="766"/>
        <v>13003533.209999999</v>
      </c>
      <c r="J117" s="121">
        <f t="shared" si="766"/>
        <v>12473349.110000001</v>
      </c>
      <c r="K117" s="121">
        <f t="shared" si="766"/>
        <v>12407896.240000002</v>
      </c>
      <c r="L117" s="121">
        <f t="shared" si="766"/>
        <v>12200860.739999998</v>
      </c>
      <c r="M117" s="121">
        <f t="shared" si="766"/>
        <v>11600947.73</v>
      </c>
      <c r="N117" s="121">
        <f t="shared" si="766"/>
        <v>10837768.940000001</v>
      </c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  <c r="CB117" s="90"/>
      <c r="CC117" s="90"/>
      <c r="CD117" s="90"/>
      <c r="CE117" s="90"/>
      <c r="CF117" s="90"/>
      <c r="CG117" s="90"/>
      <c r="CH117" s="90"/>
    </row>
    <row r="118" spans="1:86" x14ac:dyDescent="0.25">
      <c r="B118" s="31" t="s">
        <v>25</v>
      </c>
      <c r="C118" s="121">
        <f t="shared" ref="C118:N118" si="767">(C91)+(C117)</f>
        <v>15701323.100000001</v>
      </c>
      <c r="D118" s="121">
        <f t="shared" si="767"/>
        <v>15434609.76</v>
      </c>
      <c r="E118" s="121">
        <f t="shared" si="767"/>
        <v>15046336.040000001</v>
      </c>
      <c r="F118" s="121">
        <f t="shared" si="767"/>
        <v>14722062.65</v>
      </c>
      <c r="G118" s="121">
        <f t="shared" si="767"/>
        <v>14327616.76</v>
      </c>
      <c r="H118" s="121">
        <f t="shared" si="767"/>
        <v>13837457.689999999</v>
      </c>
      <c r="I118" s="121">
        <f t="shared" si="767"/>
        <v>13444796.789999999</v>
      </c>
      <c r="J118" s="121">
        <f t="shared" si="767"/>
        <v>12914363.590000002</v>
      </c>
      <c r="K118" s="121">
        <f t="shared" si="767"/>
        <v>12873949.130000003</v>
      </c>
      <c r="L118" s="121">
        <f t="shared" si="767"/>
        <v>12863555.929999998</v>
      </c>
      <c r="M118" s="121">
        <f t="shared" si="767"/>
        <v>12181555.1</v>
      </c>
      <c r="N118" s="121">
        <f t="shared" si="767"/>
        <v>11580170.270000001</v>
      </c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  <c r="CA118" s="90"/>
      <c r="CB118" s="90"/>
      <c r="CC118" s="90"/>
      <c r="CD118" s="90"/>
      <c r="CE118" s="90"/>
      <c r="CF118" s="90"/>
      <c r="CG118" s="90"/>
      <c r="CH118" s="90"/>
    </row>
    <row r="119" spans="1:86" x14ac:dyDescent="0.25">
      <c r="B119" s="31"/>
      <c r="C119" s="134">
        <f t="shared" ref="C119:M119" si="768">+C64-C118</f>
        <v>0</v>
      </c>
      <c r="D119" s="134">
        <f t="shared" si="768"/>
        <v>0</v>
      </c>
      <c r="E119" s="134">
        <f t="shared" si="768"/>
        <v>0</v>
      </c>
      <c r="F119" s="134">
        <f t="shared" si="768"/>
        <v>0</v>
      </c>
      <c r="G119" s="134">
        <f t="shared" si="768"/>
        <v>0</v>
      </c>
      <c r="H119" s="134">
        <f t="shared" si="768"/>
        <v>0</v>
      </c>
      <c r="I119" s="134">
        <f t="shared" si="768"/>
        <v>0</v>
      </c>
      <c r="J119" s="134">
        <f t="shared" si="768"/>
        <v>0</v>
      </c>
      <c r="K119" s="134">
        <f t="shared" si="768"/>
        <v>0</v>
      </c>
      <c r="L119" s="134">
        <f t="shared" si="768"/>
        <v>0</v>
      </c>
      <c r="M119" s="134">
        <f t="shared" si="768"/>
        <v>0</v>
      </c>
      <c r="N119" s="134">
        <f>+N64-N118</f>
        <v>0</v>
      </c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  <c r="BY119" s="88"/>
      <c r="BZ119" s="88"/>
      <c r="CA119" s="88"/>
      <c r="CB119" s="88"/>
      <c r="CC119" s="88"/>
      <c r="CD119" s="88"/>
      <c r="CE119" s="88"/>
      <c r="CF119" s="88"/>
      <c r="CG119" s="88"/>
      <c r="CH119" s="88"/>
    </row>
    <row r="122" spans="1:86" x14ac:dyDescent="0.25">
      <c r="B122" s="30"/>
    </row>
    <row r="124" spans="1:86" x14ac:dyDescent="0.25">
      <c r="B124" s="123" t="s">
        <v>215</v>
      </c>
    </row>
    <row r="125" spans="1:86" x14ac:dyDescent="0.25">
      <c r="B125" s="122"/>
      <c r="N125" s="87">
        <f>N38</f>
        <v>364212.73</v>
      </c>
      <c r="O125" s="87">
        <f>N127</f>
        <v>326168.68</v>
      </c>
      <c r="P125" s="87">
        <f t="shared" ref="P125:AX125" si="769">O127</f>
        <v>312578.3183333333</v>
      </c>
      <c r="Q125" s="87">
        <f t="shared" si="769"/>
        <v>298987.95666666661</v>
      </c>
      <c r="R125" s="87">
        <f t="shared" si="769"/>
        <v>285397.59499999991</v>
      </c>
      <c r="S125" s="87">
        <f t="shared" si="769"/>
        <v>271807.23333333322</v>
      </c>
      <c r="T125" s="87">
        <f t="shared" si="769"/>
        <v>258216.87166666656</v>
      </c>
      <c r="U125" s="87">
        <f t="shared" si="769"/>
        <v>244626.50999999989</v>
      </c>
      <c r="V125" s="87">
        <f t="shared" si="769"/>
        <v>231036.14833333323</v>
      </c>
      <c r="W125" s="87">
        <f t="shared" si="769"/>
        <v>217445.78666666656</v>
      </c>
      <c r="X125" s="87">
        <f t="shared" si="769"/>
        <v>203855.4249999999</v>
      </c>
      <c r="Y125" s="87">
        <f t="shared" si="769"/>
        <v>190265.06333333324</v>
      </c>
      <c r="Z125" s="87">
        <f t="shared" si="769"/>
        <v>176674.70166666657</v>
      </c>
      <c r="AA125" s="87">
        <f t="shared" si="769"/>
        <v>163084.33999999991</v>
      </c>
      <c r="AB125" s="87">
        <f t="shared" si="769"/>
        <v>149493.97833333325</v>
      </c>
      <c r="AC125" s="87">
        <f t="shared" si="769"/>
        <v>135903.61666666658</v>
      </c>
      <c r="AD125" s="87">
        <f t="shared" si="769"/>
        <v>122313.25499999992</v>
      </c>
      <c r="AE125" s="87">
        <f t="shared" si="769"/>
        <v>108722.89333333325</v>
      </c>
      <c r="AF125" s="87">
        <f t="shared" si="769"/>
        <v>95132.531666666589</v>
      </c>
      <c r="AG125" s="87">
        <f t="shared" si="769"/>
        <v>81542.169999999925</v>
      </c>
      <c r="AH125" s="87">
        <f t="shared" si="769"/>
        <v>67951.808333333262</v>
      </c>
      <c r="AI125" s="87">
        <f t="shared" si="769"/>
        <v>54361.446666666598</v>
      </c>
      <c r="AJ125" s="87">
        <f t="shared" si="769"/>
        <v>40771.084999999934</v>
      </c>
      <c r="AK125" s="87">
        <f t="shared" si="769"/>
        <v>27180.72333333327</v>
      </c>
      <c r="AL125" s="87">
        <f t="shared" si="769"/>
        <v>13590.361666666604</v>
      </c>
      <c r="AM125" s="87">
        <f t="shared" si="769"/>
        <v>-6.184563972055912E-11</v>
      </c>
      <c r="AN125" s="87">
        <f t="shared" si="769"/>
        <v>-6.184563972055912E-11</v>
      </c>
      <c r="AO125" s="87">
        <f t="shared" si="769"/>
        <v>-6.184563972055912E-11</v>
      </c>
      <c r="AP125" s="87">
        <f t="shared" si="769"/>
        <v>-6.184563972055912E-11</v>
      </c>
      <c r="AQ125" s="87">
        <f t="shared" si="769"/>
        <v>-6.184563972055912E-11</v>
      </c>
      <c r="AR125" s="87">
        <f t="shared" si="769"/>
        <v>-6.184563972055912E-11</v>
      </c>
      <c r="AS125" s="87">
        <f t="shared" si="769"/>
        <v>-6.184563972055912E-11</v>
      </c>
      <c r="AT125" s="87">
        <f t="shared" si="769"/>
        <v>-6.184563972055912E-11</v>
      </c>
      <c r="AU125" s="87">
        <f t="shared" si="769"/>
        <v>-6.184563972055912E-11</v>
      </c>
      <c r="AV125" s="87">
        <f t="shared" si="769"/>
        <v>-6.184563972055912E-11</v>
      </c>
      <c r="AW125" s="87">
        <f t="shared" si="769"/>
        <v>-6.184563972055912E-11</v>
      </c>
      <c r="AX125" s="87">
        <f t="shared" si="769"/>
        <v>-6.184563972055912E-11</v>
      </c>
      <c r="AY125" s="87">
        <f t="shared" ref="AY125" si="770">AX127</f>
        <v>-6.184563972055912E-11</v>
      </c>
      <c r="AZ125" s="87">
        <f t="shared" ref="AZ125" si="771">AY127</f>
        <v>-6.184563972055912E-11</v>
      </c>
      <c r="BA125" s="87">
        <f t="shared" ref="BA125" si="772">AZ127</f>
        <v>-6.184563972055912E-11</v>
      </c>
      <c r="BB125" s="87">
        <f t="shared" ref="BB125" si="773">BA127</f>
        <v>-6.184563972055912E-11</v>
      </c>
      <c r="BC125" s="87">
        <f t="shared" ref="BC125" si="774">BB127</f>
        <v>-6.184563972055912E-11</v>
      </c>
      <c r="BD125" s="87">
        <f t="shared" ref="BD125" si="775">BC127</f>
        <v>-6.184563972055912E-11</v>
      </c>
      <c r="BE125" s="87">
        <f t="shared" ref="BE125" si="776">BD127</f>
        <v>-6.184563972055912E-11</v>
      </c>
      <c r="BF125" s="87">
        <f t="shared" ref="BF125" si="777">BE127</f>
        <v>-6.184563972055912E-11</v>
      </c>
      <c r="BG125" s="87">
        <f t="shared" ref="BG125" si="778">BF127</f>
        <v>-6.184563972055912E-11</v>
      </c>
      <c r="BH125" s="87">
        <f t="shared" ref="BH125" si="779">BG127</f>
        <v>-6.184563972055912E-11</v>
      </c>
      <c r="BI125" s="87">
        <f t="shared" ref="BI125" si="780">BH127</f>
        <v>-6.184563972055912E-11</v>
      </c>
      <c r="BJ125" s="87">
        <f t="shared" ref="BJ125" si="781">BI127</f>
        <v>-6.184563972055912E-11</v>
      </c>
      <c r="BK125" s="87">
        <f t="shared" ref="BK125" si="782">BJ127</f>
        <v>-6.184563972055912E-11</v>
      </c>
      <c r="BL125" s="87">
        <f t="shared" ref="BL125" si="783">BK127</f>
        <v>-6.184563972055912E-11</v>
      </c>
      <c r="BM125" s="87">
        <f t="shared" ref="BM125" si="784">BL127</f>
        <v>-6.184563972055912E-11</v>
      </c>
      <c r="BN125" s="87">
        <f t="shared" ref="BN125" si="785">BM127</f>
        <v>-6.184563972055912E-11</v>
      </c>
      <c r="BO125" s="87">
        <f t="shared" ref="BO125" si="786">BN127</f>
        <v>-6.184563972055912E-11</v>
      </c>
      <c r="BP125" s="87">
        <f t="shared" ref="BP125" si="787">BO127</f>
        <v>-6.184563972055912E-11</v>
      </c>
      <c r="BQ125" s="87">
        <f t="shared" ref="BQ125" si="788">BP127</f>
        <v>-6.184563972055912E-11</v>
      </c>
      <c r="BR125" s="87">
        <f t="shared" ref="BR125" si="789">BQ127</f>
        <v>-6.184563972055912E-11</v>
      </c>
      <c r="BS125" s="87">
        <f t="shared" ref="BS125" si="790">BR127</f>
        <v>-6.184563972055912E-11</v>
      </c>
      <c r="BT125" s="87">
        <f t="shared" ref="BT125" si="791">BS127</f>
        <v>-6.184563972055912E-11</v>
      </c>
      <c r="BU125" s="87">
        <f t="shared" ref="BU125" si="792">BT127</f>
        <v>-6.184563972055912E-11</v>
      </c>
      <c r="BV125" s="87">
        <f t="shared" ref="BV125" si="793">BU127</f>
        <v>-6.184563972055912E-11</v>
      </c>
      <c r="BW125" s="87">
        <f t="shared" ref="BW125" si="794">BV127</f>
        <v>-6.184563972055912E-11</v>
      </c>
      <c r="BX125" s="87">
        <f t="shared" ref="BX125" si="795">BW127</f>
        <v>-6.184563972055912E-11</v>
      </c>
      <c r="BY125" s="87">
        <f t="shared" ref="BY125" si="796">BX127</f>
        <v>-6.184563972055912E-11</v>
      </c>
      <c r="BZ125" s="87">
        <f t="shared" ref="BZ125" si="797">BY127</f>
        <v>-6.184563972055912E-11</v>
      </c>
      <c r="CA125" s="87">
        <f t="shared" ref="CA125" si="798">BZ127</f>
        <v>-6.184563972055912E-11</v>
      </c>
      <c r="CB125" s="87">
        <f t="shared" ref="CB125" si="799">CA127</f>
        <v>-6.184563972055912E-11</v>
      </c>
      <c r="CC125" s="87">
        <f t="shared" ref="CC125" si="800">CB127</f>
        <v>-6.184563972055912E-11</v>
      </c>
      <c r="CD125" s="87">
        <f t="shared" ref="CD125" si="801">CC127</f>
        <v>-6.184563972055912E-11</v>
      </c>
      <c r="CE125" s="87">
        <f t="shared" ref="CE125" si="802">CD127</f>
        <v>-6.184563972055912E-11</v>
      </c>
      <c r="CF125" s="87">
        <f t="shared" ref="CF125" si="803">CE127</f>
        <v>-6.184563972055912E-11</v>
      </c>
      <c r="CG125" s="87">
        <f t="shared" ref="CG125" si="804">CF127</f>
        <v>-6.184563972055912E-11</v>
      </c>
      <c r="CH125" s="87">
        <f t="shared" ref="CH125" si="805">CG127</f>
        <v>-6.184563972055912E-11</v>
      </c>
    </row>
    <row r="126" spans="1:86" x14ac:dyDescent="0.25">
      <c r="B126" s="31" t="s">
        <v>103</v>
      </c>
      <c r="H126" s="87"/>
      <c r="I126" s="87"/>
      <c r="J126" s="87"/>
      <c r="K126" s="87"/>
      <c r="L126" s="87"/>
      <c r="M126" s="87"/>
      <c r="N126" s="87">
        <f>N39</f>
        <v>-38044.050000000003</v>
      </c>
      <c r="O126" s="97">
        <f>-N127/24</f>
        <v>-13590.361666666666</v>
      </c>
      <c r="P126" s="95">
        <f>O126</f>
        <v>-13590.361666666666</v>
      </c>
      <c r="Q126" s="95">
        <f t="shared" ref="Q126:AL126" si="806">P126</f>
        <v>-13590.361666666666</v>
      </c>
      <c r="R126" s="95">
        <f t="shared" si="806"/>
        <v>-13590.361666666666</v>
      </c>
      <c r="S126" s="95">
        <f t="shared" si="806"/>
        <v>-13590.361666666666</v>
      </c>
      <c r="T126" s="95">
        <f t="shared" si="806"/>
        <v>-13590.361666666666</v>
      </c>
      <c r="U126" s="95">
        <f t="shared" si="806"/>
        <v>-13590.361666666666</v>
      </c>
      <c r="V126" s="95">
        <f t="shared" si="806"/>
        <v>-13590.361666666666</v>
      </c>
      <c r="W126" s="95">
        <f t="shared" si="806"/>
        <v>-13590.361666666666</v>
      </c>
      <c r="X126" s="95">
        <f t="shared" si="806"/>
        <v>-13590.361666666666</v>
      </c>
      <c r="Y126" s="95">
        <f t="shared" si="806"/>
        <v>-13590.361666666666</v>
      </c>
      <c r="Z126" s="95">
        <f t="shared" si="806"/>
        <v>-13590.361666666666</v>
      </c>
      <c r="AA126" s="95">
        <f t="shared" si="806"/>
        <v>-13590.361666666666</v>
      </c>
      <c r="AB126" s="95">
        <f t="shared" si="806"/>
        <v>-13590.361666666666</v>
      </c>
      <c r="AC126" s="95">
        <f t="shared" si="806"/>
        <v>-13590.361666666666</v>
      </c>
      <c r="AD126" s="95">
        <f t="shared" si="806"/>
        <v>-13590.361666666666</v>
      </c>
      <c r="AE126" s="95">
        <f t="shared" si="806"/>
        <v>-13590.361666666666</v>
      </c>
      <c r="AF126" s="95">
        <f t="shared" si="806"/>
        <v>-13590.361666666666</v>
      </c>
      <c r="AG126" s="95">
        <f t="shared" si="806"/>
        <v>-13590.361666666666</v>
      </c>
      <c r="AH126" s="95">
        <f t="shared" si="806"/>
        <v>-13590.361666666666</v>
      </c>
      <c r="AI126" s="95">
        <f t="shared" si="806"/>
        <v>-13590.361666666666</v>
      </c>
      <c r="AJ126" s="95">
        <f t="shared" si="806"/>
        <v>-13590.361666666666</v>
      </c>
      <c r="AK126" s="95">
        <f t="shared" si="806"/>
        <v>-13590.361666666666</v>
      </c>
      <c r="AL126" s="95">
        <f t="shared" si="806"/>
        <v>-13590.361666666666</v>
      </c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  <c r="AY126" s="95"/>
      <c r="AZ126" s="95"/>
      <c r="BA126" s="95"/>
      <c r="BB126" s="95"/>
      <c r="BC126" s="95"/>
      <c r="BD126" s="95"/>
      <c r="BE126" s="95"/>
      <c r="BF126" s="95"/>
      <c r="BG126" s="95"/>
      <c r="BH126" s="95"/>
      <c r="BI126" s="95"/>
      <c r="BJ126" s="95"/>
      <c r="BK126" s="95"/>
      <c r="BL126" s="95"/>
      <c r="BM126" s="95"/>
      <c r="BN126" s="95"/>
      <c r="BO126" s="95"/>
      <c r="BP126" s="95"/>
      <c r="BQ126" s="95"/>
      <c r="BR126" s="95"/>
      <c r="BS126" s="95"/>
      <c r="BT126" s="95"/>
      <c r="BU126" s="95"/>
      <c r="BV126" s="95"/>
      <c r="BW126" s="95"/>
      <c r="BX126" s="95"/>
      <c r="BY126" s="95"/>
      <c r="BZ126" s="95"/>
      <c r="CA126" s="95"/>
      <c r="CB126" s="95"/>
      <c r="CC126" s="95"/>
      <c r="CD126" s="95"/>
      <c r="CE126" s="95"/>
      <c r="CF126" s="95"/>
      <c r="CG126" s="95"/>
      <c r="CH126" s="95"/>
    </row>
    <row r="127" spans="1:86" x14ac:dyDescent="0.25">
      <c r="B127" s="31"/>
      <c r="H127" s="87"/>
      <c r="I127" s="87"/>
      <c r="J127" s="87"/>
      <c r="K127" s="87"/>
      <c r="L127" s="87"/>
      <c r="M127" s="87"/>
      <c r="N127" s="96">
        <f>SUM(N125:N126)</f>
        <v>326168.68</v>
      </c>
      <c r="O127" s="96">
        <f>SUM(O125:O126)</f>
        <v>312578.3183333333</v>
      </c>
      <c r="P127" s="96">
        <f t="shared" ref="P127:AX127" si="807">SUM(P125:P126)</f>
        <v>298987.95666666661</v>
      </c>
      <c r="Q127" s="96">
        <f t="shared" si="807"/>
        <v>285397.59499999991</v>
      </c>
      <c r="R127" s="96">
        <f t="shared" si="807"/>
        <v>271807.23333333322</v>
      </c>
      <c r="S127" s="96">
        <f t="shared" si="807"/>
        <v>258216.87166666656</v>
      </c>
      <c r="T127" s="96">
        <f t="shared" si="807"/>
        <v>244626.50999999989</v>
      </c>
      <c r="U127" s="96">
        <f t="shared" si="807"/>
        <v>231036.14833333323</v>
      </c>
      <c r="V127" s="96">
        <f t="shared" si="807"/>
        <v>217445.78666666656</v>
      </c>
      <c r="W127" s="96">
        <f t="shared" si="807"/>
        <v>203855.4249999999</v>
      </c>
      <c r="X127" s="96">
        <f t="shared" si="807"/>
        <v>190265.06333333324</v>
      </c>
      <c r="Y127" s="96">
        <f t="shared" si="807"/>
        <v>176674.70166666657</v>
      </c>
      <c r="Z127" s="96">
        <f t="shared" si="807"/>
        <v>163084.33999999991</v>
      </c>
      <c r="AA127" s="96">
        <f t="shared" si="807"/>
        <v>149493.97833333325</v>
      </c>
      <c r="AB127" s="96">
        <f t="shared" si="807"/>
        <v>135903.61666666658</v>
      </c>
      <c r="AC127" s="96">
        <f t="shared" si="807"/>
        <v>122313.25499999992</v>
      </c>
      <c r="AD127" s="96">
        <f t="shared" si="807"/>
        <v>108722.89333333325</v>
      </c>
      <c r="AE127" s="96">
        <f t="shared" si="807"/>
        <v>95132.531666666589</v>
      </c>
      <c r="AF127" s="96">
        <f t="shared" si="807"/>
        <v>81542.169999999925</v>
      </c>
      <c r="AG127" s="96">
        <f t="shared" si="807"/>
        <v>67951.808333333262</v>
      </c>
      <c r="AH127" s="96">
        <f t="shared" si="807"/>
        <v>54361.446666666598</v>
      </c>
      <c r="AI127" s="96">
        <f t="shared" si="807"/>
        <v>40771.084999999934</v>
      </c>
      <c r="AJ127" s="96">
        <f t="shared" si="807"/>
        <v>27180.72333333327</v>
      </c>
      <c r="AK127" s="96">
        <f t="shared" si="807"/>
        <v>13590.361666666604</v>
      </c>
      <c r="AL127" s="96">
        <f t="shared" si="807"/>
        <v>-6.184563972055912E-11</v>
      </c>
      <c r="AM127" s="96">
        <f t="shared" si="807"/>
        <v>-6.184563972055912E-11</v>
      </c>
      <c r="AN127" s="96">
        <f t="shared" si="807"/>
        <v>-6.184563972055912E-11</v>
      </c>
      <c r="AO127" s="96">
        <f t="shared" si="807"/>
        <v>-6.184563972055912E-11</v>
      </c>
      <c r="AP127" s="96">
        <f t="shared" si="807"/>
        <v>-6.184563972055912E-11</v>
      </c>
      <c r="AQ127" s="96">
        <f t="shared" si="807"/>
        <v>-6.184563972055912E-11</v>
      </c>
      <c r="AR127" s="96">
        <f t="shared" si="807"/>
        <v>-6.184563972055912E-11</v>
      </c>
      <c r="AS127" s="96">
        <f t="shared" si="807"/>
        <v>-6.184563972055912E-11</v>
      </c>
      <c r="AT127" s="96">
        <f t="shared" si="807"/>
        <v>-6.184563972055912E-11</v>
      </c>
      <c r="AU127" s="96">
        <f t="shared" si="807"/>
        <v>-6.184563972055912E-11</v>
      </c>
      <c r="AV127" s="96">
        <f t="shared" si="807"/>
        <v>-6.184563972055912E-11</v>
      </c>
      <c r="AW127" s="96">
        <f t="shared" si="807"/>
        <v>-6.184563972055912E-11</v>
      </c>
      <c r="AX127" s="96">
        <f t="shared" si="807"/>
        <v>-6.184563972055912E-11</v>
      </c>
      <c r="AY127" s="96">
        <f t="shared" ref="AY127:CH127" si="808">SUM(AY125:AY126)</f>
        <v>-6.184563972055912E-11</v>
      </c>
      <c r="AZ127" s="96">
        <f t="shared" si="808"/>
        <v>-6.184563972055912E-11</v>
      </c>
      <c r="BA127" s="96">
        <f t="shared" si="808"/>
        <v>-6.184563972055912E-11</v>
      </c>
      <c r="BB127" s="96">
        <f t="shared" si="808"/>
        <v>-6.184563972055912E-11</v>
      </c>
      <c r="BC127" s="96">
        <f t="shared" si="808"/>
        <v>-6.184563972055912E-11</v>
      </c>
      <c r="BD127" s="96">
        <f t="shared" si="808"/>
        <v>-6.184563972055912E-11</v>
      </c>
      <c r="BE127" s="96">
        <f t="shared" si="808"/>
        <v>-6.184563972055912E-11</v>
      </c>
      <c r="BF127" s="96">
        <f t="shared" si="808"/>
        <v>-6.184563972055912E-11</v>
      </c>
      <c r="BG127" s="96">
        <f t="shared" si="808"/>
        <v>-6.184563972055912E-11</v>
      </c>
      <c r="BH127" s="96">
        <f t="shared" si="808"/>
        <v>-6.184563972055912E-11</v>
      </c>
      <c r="BI127" s="96">
        <f t="shared" si="808"/>
        <v>-6.184563972055912E-11</v>
      </c>
      <c r="BJ127" s="96">
        <f t="shared" si="808"/>
        <v>-6.184563972055912E-11</v>
      </c>
      <c r="BK127" s="96">
        <f t="shared" si="808"/>
        <v>-6.184563972055912E-11</v>
      </c>
      <c r="BL127" s="96">
        <f t="shared" si="808"/>
        <v>-6.184563972055912E-11</v>
      </c>
      <c r="BM127" s="96">
        <f t="shared" si="808"/>
        <v>-6.184563972055912E-11</v>
      </c>
      <c r="BN127" s="96">
        <f t="shared" si="808"/>
        <v>-6.184563972055912E-11</v>
      </c>
      <c r="BO127" s="96">
        <f t="shared" si="808"/>
        <v>-6.184563972055912E-11</v>
      </c>
      <c r="BP127" s="96">
        <f t="shared" si="808"/>
        <v>-6.184563972055912E-11</v>
      </c>
      <c r="BQ127" s="96">
        <f t="shared" si="808"/>
        <v>-6.184563972055912E-11</v>
      </c>
      <c r="BR127" s="96">
        <f t="shared" si="808"/>
        <v>-6.184563972055912E-11</v>
      </c>
      <c r="BS127" s="96">
        <f t="shared" si="808"/>
        <v>-6.184563972055912E-11</v>
      </c>
      <c r="BT127" s="96">
        <f t="shared" si="808"/>
        <v>-6.184563972055912E-11</v>
      </c>
      <c r="BU127" s="96">
        <f t="shared" si="808"/>
        <v>-6.184563972055912E-11</v>
      </c>
      <c r="BV127" s="96">
        <f t="shared" si="808"/>
        <v>-6.184563972055912E-11</v>
      </c>
      <c r="BW127" s="96">
        <f t="shared" si="808"/>
        <v>-6.184563972055912E-11</v>
      </c>
      <c r="BX127" s="96">
        <f t="shared" si="808"/>
        <v>-6.184563972055912E-11</v>
      </c>
      <c r="BY127" s="96">
        <f t="shared" si="808"/>
        <v>-6.184563972055912E-11</v>
      </c>
      <c r="BZ127" s="96">
        <f t="shared" si="808"/>
        <v>-6.184563972055912E-11</v>
      </c>
      <c r="CA127" s="96">
        <f t="shared" si="808"/>
        <v>-6.184563972055912E-11</v>
      </c>
      <c r="CB127" s="96">
        <f t="shared" si="808"/>
        <v>-6.184563972055912E-11</v>
      </c>
      <c r="CC127" s="96">
        <f t="shared" si="808"/>
        <v>-6.184563972055912E-11</v>
      </c>
      <c r="CD127" s="96">
        <f t="shared" si="808"/>
        <v>-6.184563972055912E-11</v>
      </c>
      <c r="CE127" s="96">
        <f t="shared" si="808"/>
        <v>-6.184563972055912E-11</v>
      </c>
      <c r="CF127" s="96">
        <f t="shared" si="808"/>
        <v>-6.184563972055912E-11</v>
      </c>
      <c r="CG127" s="96">
        <f t="shared" si="808"/>
        <v>-6.184563972055912E-11</v>
      </c>
      <c r="CH127" s="96">
        <f t="shared" si="808"/>
        <v>-6.184563972055912E-11</v>
      </c>
    </row>
    <row r="128" spans="1:86" x14ac:dyDescent="0.25">
      <c r="B128" s="31"/>
      <c r="H128" s="87"/>
      <c r="I128" s="87"/>
      <c r="J128" s="87"/>
      <c r="K128" s="87"/>
      <c r="L128" s="87"/>
      <c r="M128" s="87"/>
      <c r="N128" s="87"/>
    </row>
    <row r="129" spans="2:86" x14ac:dyDescent="0.25">
      <c r="B129" s="31" t="s">
        <v>102</v>
      </c>
      <c r="N129" s="87">
        <f>N40</f>
        <v>61328.82</v>
      </c>
      <c r="O129" s="87">
        <f>N131</f>
        <v>52698.770000000004</v>
      </c>
      <c r="P129" s="87">
        <f t="shared" ref="P129:AX129" si="809">O131</f>
        <v>50502.987916666672</v>
      </c>
      <c r="Q129" s="87">
        <f t="shared" si="809"/>
        <v>48307.205833333341</v>
      </c>
      <c r="R129" s="87">
        <f t="shared" si="809"/>
        <v>46111.423750000009</v>
      </c>
      <c r="S129" s="87">
        <f t="shared" si="809"/>
        <v>43915.641666666677</v>
      </c>
      <c r="T129" s="87">
        <f t="shared" si="809"/>
        <v>41719.859583333346</v>
      </c>
      <c r="U129" s="87">
        <f t="shared" si="809"/>
        <v>39524.077500000014</v>
      </c>
      <c r="V129" s="87">
        <f t="shared" si="809"/>
        <v>37328.295416666682</v>
      </c>
      <c r="W129" s="87">
        <f t="shared" si="809"/>
        <v>35132.513333333351</v>
      </c>
      <c r="X129" s="87">
        <f t="shared" si="809"/>
        <v>32936.731250000019</v>
      </c>
      <c r="Y129" s="87">
        <f t="shared" si="809"/>
        <v>30740.949166666687</v>
      </c>
      <c r="Z129" s="87">
        <f t="shared" si="809"/>
        <v>28545.167083333356</v>
      </c>
      <c r="AA129" s="87">
        <f t="shared" si="809"/>
        <v>26349.385000000024</v>
      </c>
      <c r="AB129" s="87">
        <f t="shared" si="809"/>
        <v>24153.602916666692</v>
      </c>
      <c r="AC129" s="87">
        <f t="shared" si="809"/>
        <v>21957.82083333336</v>
      </c>
      <c r="AD129" s="87">
        <f t="shared" si="809"/>
        <v>19762.038750000029</v>
      </c>
      <c r="AE129" s="87">
        <f t="shared" si="809"/>
        <v>17566.256666666697</v>
      </c>
      <c r="AF129" s="87">
        <f t="shared" si="809"/>
        <v>15370.474583333364</v>
      </c>
      <c r="AG129" s="87">
        <f t="shared" si="809"/>
        <v>13174.69250000003</v>
      </c>
      <c r="AH129" s="87">
        <f t="shared" si="809"/>
        <v>10978.910416666697</v>
      </c>
      <c r="AI129" s="87">
        <f t="shared" si="809"/>
        <v>8783.1283333333631</v>
      </c>
      <c r="AJ129" s="87">
        <f t="shared" si="809"/>
        <v>6587.3462500000296</v>
      </c>
      <c r="AK129" s="87">
        <f t="shared" si="809"/>
        <v>4391.5641666666961</v>
      </c>
      <c r="AL129" s="87">
        <f t="shared" si="809"/>
        <v>2195.7820833333626</v>
      </c>
      <c r="AM129" s="87">
        <f t="shared" si="809"/>
        <v>2.9103830456733704E-11</v>
      </c>
      <c r="AN129" s="87">
        <f t="shared" si="809"/>
        <v>2.9103830456733704E-11</v>
      </c>
      <c r="AO129" s="87">
        <f t="shared" si="809"/>
        <v>2.9103830456733704E-11</v>
      </c>
      <c r="AP129" s="87">
        <f t="shared" si="809"/>
        <v>2.9103830456733704E-11</v>
      </c>
      <c r="AQ129" s="87">
        <f t="shared" si="809"/>
        <v>2.9103830456733704E-11</v>
      </c>
      <c r="AR129" s="87">
        <f t="shared" si="809"/>
        <v>2.9103830456733704E-11</v>
      </c>
      <c r="AS129" s="87">
        <f t="shared" si="809"/>
        <v>2.9103830456733704E-11</v>
      </c>
      <c r="AT129" s="87">
        <f t="shared" si="809"/>
        <v>2.9103830456733704E-11</v>
      </c>
      <c r="AU129" s="87">
        <f t="shared" si="809"/>
        <v>2.9103830456733704E-11</v>
      </c>
      <c r="AV129" s="87">
        <f t="shared" si="809"/>
        <v>2.9103830456733704E-11</v>
      </c>
      <c r="AW129" s="87">
        <f t="shared" si="809"/>
        <v>2.9103830456733704E-11</v>
      </c>
      <c r="AX129" s="87">
        <f t="shared" si="809"/>
        <v>2.9103830456733704E-11</v>
      </c>
      <c r="AY129" s="87">
        <f t="shared" ref="AY129" si="810">AX131</f>
        <v>2.9103830456733704E-11</v>
      </c>
      <c r="AZ129" s="87">
        <f t="shared" ref="AZ129" si="811">AY131</f>
        <v>2.9103830456733704E-11</v>
      </c>
      <c r="BA129" s="87">
        <f t="shared" ref="BA129" si="812">AZ131</f>
        <v>2.9103830456733704E-11</v>
      </c>
      <c r="BB129" s="87">
        <f t="shared" ref="BB129" si="813">BA131</f>
        <v>2.9103830456733704E-11</v>
      </c>
      <c r="BC129" s="87">
        <f t="shared" ref="BC129" si="814">BB131</f>
        <v>2.9103830456733704E-11</v>
      </c>
      <c r="BD129" s="87">
        <f t="shared" ref="BD129" si="815">BC131</f>
        <v>2.9103830456733704E-11</v>
      </c>
      <c r="BE129" s="87">
        <f t="shared" ref="BE129" si="816">BD131</f>
        <v>2.9103830456733704E-11</v>
      </c>
      <c r="BF129" s="87">
        <f t="shared" ref="BF129" si="817">BE131</f>
        <v>2.9103830456733704E-11</v>
      </c>
      <c r="BG129" s="87">
        <f t="shared" ref="BG129" si="818">BF131</f>
        <v>2.9103830456733704E-11</v>
      </c>
      <c r="BH129" s="87">
        <f t="shared" ref="BH129" si="819">BG131</f>
        <v>2.9103830456733704E-11</v>
      </c>
      <c r="BI129" s="87">
        <f t="shared" ref="BI129" si="820">BH131</f>
        <v>2.9103830456733704E-11</v>
      </c>
      <c r="BJ129" s="87">
        <f t="shared" ref="BJ129" si="821">BI131</f>
        <v>2.9103830456733704E-11</v>
      </c>
      <c r="BK129" s="87">
        <f t="shared" ref="BK129" si="822">BJ131</f>
        <v>2.9103830456733704E-11</v>
      </c>
      <c r="BL129" s="87">
        <f t="shared" ref="BL129" si="823">BK131</f>
        <v>2.9103830456733704E-11</v>
      </c>
      <c r="BM129" s="87">
        <f t="shared" ref="BM129" si="824">BL131</f>
        <v>2.9103830456733704E-11</v>
      </c>
      <c r="BN129" s="87">
        <f t="shared" ref="BN129" si="825">BM131</f>
        <v>2.9103830456733704E-11</v>
      </c>
      <c r="BO129" s="87">
        <f t="shared" ref="BO129" si="826">BN131</f>
        <v>2.9103830456733704E-11</v>
      </c>
      <c r="BP129" s="87">
        <f t="shared" ref="BP129" si="827">BO131</f>
        <v>2.9103830456733704E-11</v>
      </c>
      <c r="BQ129" s="87">
        <f t="shared" ref="BQ129" si="828">BP131</f>
        <v>2.9103830456733704E-11</v>
      </c>
      <c r="BR129" s="87">
        <f t="shared" ref="BR129" si="829">BQ131</f>
        <v>2.9103830456733704E-11</v>
      </c>
      <c r="BS129" s="87">
        <f t="shared" ref="BS129" si="830">BR131</f>
        <v>2.9103830456733704E-11</v>
      </c>
      <c r="BT129" s="87">
        <f t="shared" ref="BT129" si="831">BS131</f>
        <v>2.9103830456733704E-11</v>
      </c>
      <c r="BU129" s="87">
        <f t="shared" ref="BU129" si="832">BT131</f>
        <v>2.9103830456733704E-11</v>
      </c>
      <c r="BV129" s="87">
        <f t="shared" ref="BV129" si="833">BU131</f>
        <v>2.9103830456733704E-11</v>
      </c>
      <c r="BW129" s="87">
        <f t="shared" ref="BW129" si="834">BV131</f>
        <v>2.9103830456733704E-11</v>
      </c>
      <c r="BX129" s="87">
        <f t="shared" ref="BX129" si="835">BW131</f>
        <v>2.9103830456733704E-11</v>
      </c>
      <c r="BY129" s="87">
        <f t="shared" ref="BY129" si="836">BX131</f>
        <v>2.9103830456733704E-11</v>
      </c>
      <c r="BZ129" s="87">
        <f t="shared" ref="BZ129" si="837">BY131</f>
        <v>2.9103830456733704E-11</v>
      </c>
      <c r="CA129" s="87">
        <f t="shared" ref="CA129" si="838">BZ131</f>
        <v>2.9103830456733704E-11</v>
      </c>
      <c r="CB129" s="87">
        <f t="shared" ref="CB129" si="839">CA131</f>
        <v>2.9103830456733704E-11</v>
      </c>
      <c r="CC129" s="87">
        <f t="shared" ref="CC129" si="840">CB131</f>
        <v>2.9103830456733704E-11</v>
      </c>
      <c r="CD129" s="87">
        <f t="shared" ref="CD129" si="841">CC131</f>
        <v>2.9103830456733704E-11</v>
      </c>
      <c r="CE129" s="87">
        <f t="shared" ref="CE129" si="842">CD131</f>
        <v>2.9103830456733704E-11</v>
      </c>
      <c r="CF129" s="87">
        <f t="shared" ref="CF129" si="843">CE131</f>
        <v>2.9103830456733704E-11</v>
      </c>
      <c r="CG129" s="87">
        <f t="shared" ref="CG129" si="844">CF131</f>
        <v>2.9103830456733704E-11</v>
      </c>
      <c r="CH129" s="87">
        <f t="shared" ref="CH129" si="845">CG131</f>
        <v>2.9103830456733704E-11</v>
      </c>
    </row>
    <row r="130" spans="2:86" x14ac:dyDescent="0.25">
      <c r="B130" s="31" t="s">
        <v>101</v>
      </c>
      <c r="H130" s="87"/>
      <c r="I130" s="87"/>
      <c r="J130" s="87"/>
      <c r="K130" s="87"/>
      <c r="L130" s="87"/>
      <c r="M130" s="87"/>
      <c r="N130" s="87">
        <f>N41</f>
        <v>-8630.0499999999993</v>
      </c>
      <c r="O130" s="97">
        <f>-N131/24</f>
        <v>-2195.7820833333335</v>
      </c>
      <c r="P130" s="95">
        <f>O130</f>
        <v>-2195.7820833333335</v>
      </c>
      <c r="Q130" s="95">
        <f t="shared" ref="Q130:T130" si="846">+P130</f>
        <v>-2195.7820833333335</v>
      </c>
      <c r="R130" s="95">
        <f t="shared" si="846"/>
        <v>-2195.7820833333335</v>
      </c>
      <c r="S130" s="95">
        <f t="shared" si="846"/>
        <v>-2195.7820833333335</v>
      </c>
      <c r="T130" s="95">
        <f t="shared" si="846"/>
        <v>-2195.7820833333335</v>
      </c>
      <c r="U130" s="95">
        <f t="shared" ref="U130:AL130" si="847">T130</f>
        <v>-2195.7820833333335</v>
      </c>
      <c r="V130" s="95">
        <f t="shared" si="847"/>
        <v>-2195.7820833333335</v>
      </c>
      <c r="W130" s="95">
        <f t="shared" si="847"/>
        <v>-2195.7820833333335</v>
      </c>
      <c r="X130" s="95">
        <f t="shared" si="847"/>
        <v>-2195.7820833333335</v>
      </c>
      <c r="Y130" s="95">
        <f t="shared" si="847"/>
        <v>-2195.7820833333335</v>
      </c>
      <c r="Z130" s="95">
        <f t="shared" si="847"/>
        <v>-2195.7820833333335</v>
      </c>
      <c r="AA130" s="95">
        <f t="shared" si="847"/>
        <v>-2195.7820833333335</v>
      </c>
      <c r="AB130" s="95">
        <f t="shared" si="847"/>
        <v>-2195.7820833333335</v>
      </c>
      <c r="AC130" s="95">
        <f t="shared" si="847"/>
        <v>-2195.7820833333335</v>
      </c>
      <c r="AD130" s="95">
        <f t="shared" si="847"/>
        <v>-2195.7820833333335</v>
      </c>
      <c r="AE130" s="95">
        <f t="shared" si="847"/>
        <v>-2195.7820833333335</v>
      </c>
      <c r="AF130" s="95">
        <f t="shared" si="847"/>
        <v>-2195.7820833333335</v>
      </c>
      <c r="AG130" s="95">
        <f t="shared" si="847"/>
        <v>-2195.7820833333335</v>
      </c>
      <c r="AH130" s="95">
        <f t="shared" si="847"/>
        <v>-2195.7820833333335</v>
      </c>
      <c r="AI130" s="95">
        <f t="shared" si="847"/>
        <v>-2195.7820833333335</v>
      </c>
      <c r="AJ130" s="95">
        <f t="shared" si="847"/>
        <v>-2195.7820833333335</v>
      </c>
      <c r="AK130" s="95">
        <f t="shared" si="847"/>
        <v>-2195.7820833333335</v>
      </c>
      <c r="AL130" s="95">
        <f t="shared" si="847"/>
        <v>-2195.7820833333335</v>
      </c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  <c r="BM130" s="95"/>
      <c r="BN130" s="95"/>
      <c r="BO130" s="95"/>
      <c r="BP130" s="95"/>
      <c r="BQ130" s="95"/>
      <c r="BR130" s="95"/>
      <c r="BS130" s="95"/>
      <c r="BT130" s="95"/>
      <c r="BU130" s="95"/>
      <c r="BV130" s="95"/>
      <c r="BW130" s="95"/>
      <c r="BX130" s="95"/>
      <c r="BY130" s="95"/>
      <c r="BZ130" s="95"/>
      <c r="CA130" s="95"/>
      <c r="CB130" s="95"/>
      <c r="CC130" s="95"/>
      <c r="CD130" s="95"/>
      <c r="CE130" s="95"/>
      <c r="CF130" s="95"/>
      <c r="CG130" s="95"/>
      <c r="CH130" s="95"/>
    </row>
    <row r="131" spans="2:86" x14ac:dyDescent="0.25">
      <c r="B131" s="31" t="s">
        <v>100</v>
      </c>
      <c r="N131" s="96">
        <f>SUM(N129:N130)</f>
        <v>52698.770000000004</v>
      </c>
      <c r="O131" s="96">
        <f>SUM(O129:O130)</f>
        <v>50502.987916666672</v>
      </c>
      <c r="P131" s="96">
        <f t="shared" ref="P131:AX131" si="848">SUM(P129:P130)</f>
        <v>48307.205833333341</v>
      </c>
      <c r="Q131" s="96">
        <f t="shared" si="848"/>
        <v>46111.423750000009</v>
      </c>
      <c r="R131" s="96">
        <f t="shared" si="848"/>
        <v>43915.641666666677</v>
      </c>
      <c r="S131" s="96">
        <f t="shared" si="848"/>
        <v>41719.859583333346</v>
      </c>
      <c r="T131" s="96">
        <f t="shared" si="848"/>
        <v>39524.077500000014</v>
      </c>
      <c r="U131" s="96">
        <f t="shared" si="848"/>
        <v>37328.295416666682</v>
      </c>
      <c r="V131" s="96">
        <f t="shared" si="848"/>
        <v>35132.513333333351</v>
      </c>
      <c r="W131" s="96">
        <f t="shared" si="848"/>
        <v>32936.731250000019</v>
      </c>
      <c r="X131" s="96">
        <f t="shared" si="848"/>
        <v>30740.949166666687</v>
      </c>
      <c r="Y131" s="96">
        <f t="shared" si="848"/>
        <v>28545.167083333356</v>
      </c>
      <c r="Z131" s="96">
        <f t="shared" si="848"/>
        <v>26349.385000000024</v>
      </c>
      <c r="AA131" s="96">
        <f t="shared" si="848"/>
        <v>24153.602916666692</v>
      </c>
      <c r="AB131" s="96">
        <f t="shared" si="848"/>
        <v>21957.82083333336</v>
      </c>
      <c r="AC131" s="96">
        <f t="shared" si="848"/>
        <v>19762.038750000029</v>
      </c>
      <c r="AD131" s="96">
        <f t="shared" si="848"/>
        <v>17566.256666666697</v>
      </c>
      <c r="AE131" s="96">
        <f t="shared" si="848"/>
        <v>15370.474583333364</v>
      </c>
      <c r="AF131" s="96">
        <f t="shared" si="848"/>
        <v>13174.69250000003</v>
      </c>
      <c r="AG131" s="96">
        <f t="shared" si="848"/>
        <v>10978.910416666697</v>
      </c>
      <c r="AH131" s="96">
        <f t="shared" si="848"/>
        <v>8783.1283333333631</v>
      </c>
      <c r="AI131" s="96">
        <f t="shared" si="848"/>
        <v>6587.3462500000296</v>
      </c>
      <c r="AJ131" s="96">
        <f t="shared" si="848"/>
        <v>4391.5641666666961</v>
      </c>
      <c r="AK131" s="96">
        <f t="shared" si="848"/>
        <v>2195.7820833333626</v>
      </c>
      <c r="AL131" s="96">
        <f t="shared" si="848"/>
        <v>2.9103830456733704E-11</v>
      </c>
      <c r="AM131" s="96">
        <f t="shared" si="848"/>
        <v>2.9103830456733704E-11</v>
      </c>
      <c r="AN131" s="96">
        <f t="shared" si="848"/>
        <v>2.9103830456733704E-11</v>
      </c>
      <c r="AO131" s="96">
        <f t="shared" si="848"/>
        <v>2.9103830456733704E-11</v>
      </c>
      <c r="AP131" s="96">
        <f t="shared" si="848"/>
        <v>2.9103830456733704E-11</v>
      </c>
      <c r="AQ131" s="96">
        <f t="shared" si="848"/>
        <v>2.9103830456733704E-11</v>
      </c>
      <c r="AR131" s="96">
        <f t="shared" si="848"/>
        <v>2.9103830456733704E-11</v>
      </c>
      <c r="AS131" s="96">
        <f t="shared" si="848"/>
        <v>2.9103830456733704E-11</v>
      </c>
      <c r="AT131" s="96">
        <f t="shared" si="848"/>
        <v>2.9103830456733704E-11</v>
      </c>
      <c r="AU131" s="96">
        <f t="shared" si="848"/>
        <v>2.9103830456733704E-11</v>
      </c>
      <c r="AV131" s="96">
        <f t="shared" si="848"/>
        <v>2.9103830456733704E-11</v>
      </c>
      <c r="AW131" s="96">
        <f t="shared" si="848"/>
        <v>2.9103830456733704E-11</v>
      </c>
      <c r="AX131" s="96">
        <f t="shared" si="848"/>
        <v>2.9103830456733704E-11</v>
      </c>
      <c r="AY131" s="96">
        <f t="shared" ref="AY131:CH131" si="849">SUM(AY129:AY130)</f>
        <v>2.9103830456733704E-11</v>
      </c>
      <c r="AZ131" s="96">
        <f t="shared" si="849"/>
        <v>2.9103830456733704E-11</v>
      </c>
      <c r="BA131" s="96">
        <f t="shared" si="849"/>
        <v>2.9103830456733704E-11</v>
      </c>
      <c r="BB131" s="96">
        <f t="shared" si="849"/>
        <v>2.9103830456733704E-11</v>
      </c>
      <c r="BC131" s="96">
        <f t="shared" si="849"/>
        <v>2.9103830456733704E-11</v>
      </c>
      <c r="BD131" s="96">
        <f t="shared" si="849"/>
        <v>2.9103830456733704E-11</v>
      </c>
      <c r="BE131" s="96">
        <f t="shared" si="849"/>
        <v>2.9103830456733704E-11</v>
      </c>
      <c r="BF131" s="96">
        <f t="shared" si="849"/>
        <v>2.9103830456733704E-11</v>
      </c>
      <c r="BG131" s="96">
        <f t="shared" si="849"/>
        <v>2.9103830456733704E-11</v>
      </c>
      <c r="BH131" s="96">
        <f t="shared" si="849"/>
        <v>2.9103830456733704E-11</v>
      </c>
      <c r="BI131" s="96">
        <f t="shared" si="849"/>
        <v>2.9103830456733704E-11</v>
      </c>
      <c r="BJ131" s="96">
        <f t="shared" si="849"/>
        <v>2.9103830456733704E-11</v>
      </c>
      <c r="BK131" s="96">
        <f t="shared" si="849"/>
        <v>2.9103830456733704E-11</v>
      </c>
      <c r="BL131" s="96">
        <f t="shared" si="849"/>
        <v>2.9103830456733704E-11</v>
      </c>
      <c r="BM131" s="96">
        <f t="shared" si="849"/>
        <v>2.9103830456733704E-11</v>
      </c>
      <c r="BN131" s="96">
        <f t="shared" si="849"/>
        <v>2.9103830456733704E-11</v>
      </c>
      <c r="BO131" s="96">
        <f t="shared" si="849"/>
        <v>2.9103830456733704E-11</v>
      </c>
      <c r="BP131" s="96">
        <f t="shared" si="849"/>
        <v>2.9103830456733704E-11</v>
      </c>
      <c r="BQ131" s="96">
        <f t="shared" si="849"/>
        <v>2.9103830456733704E-11</v>
      </c>
      <c r="BR131" s="96">
        <f t="shared" si="849"/>
        <v>2.9103830456733704E-11</v>
      </c>
      <c r="BS131" s="96">
        <f t="shared" si="849"/>
        <v>2.9103830456733704E-11</v>
      </c>
      <c r="BT131" s="96">
        <f t="shared" si="849"/>
        <v>2.9103830456733704E-11</v>
      </c>
      <c r="BU131" s="96">
        <f t="shared" si="849"/>
        <v>2.9103830456733704E-11</v>
      </c>
      <c r="BV131" s="96">
        <f t="shared" si="849"/>
        <v>2.9103830456733704E-11</v>
      </c>
      <c r="BW131" s="96">
        <f t="shared" si="849"/>
        <v>2.9103830456733704E-11</v>
      </c>
      <c r="BX131" s="96">
        <f t="shared" si="849"/>
        <v>2.9103830456733704E-11</v>
      </c>
      <c r="BY131" s="96">
        <f t="shared" si="849"/>
        <v>2.9103830456733704E-11</v>
      </c>
      <c r="BZ131" s="96">
        <f t="shared" si="849"/>
        <v>2.9103830456733704E-11</v>
      </c>
      <c r="CA131" s="96">
        <f t="shared" si="849"/>
        <v>2.9103830456733704E-11</v>
      </c>
      <c r="CB131" s="96">
        <f t="shared" si="849"/>
        <v>2.9103830456733704E-11</v>
      </c>
      <c r="CC131" s="96">
        <f t="shared" si="849"/>
        <v>2.9103830456733704E-11</v>
      </c>
      <c r="CD131" s="96">
        <f t="shared" si="849"/>
        <v>2.9103830456733704E-11</v>
      </c>
      <c r="CE131" s="96">
        <f t="shared" si="849"/>
        <v>2.9103830456733704E-11</v>
      </c>
      <c r="CF131" s="96">
        <f t="shared" si="849"/>
        <v>2.9103830456733704E-11</v>
      </c>
      <c r="CG131" s="96">
        <f t="shared" si="849"/>
        <v>2.9103830456733704E-11</v>
      </c>
      <c r="CH131" s="96">
        <f t="shared" si="849"/>
        <v>2.9103830456733704E-11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CFSPres</vt:lpstr>
      <vt:lpstr>BSPres</vt:lpstr>
      <vt:lpstr>BS</vt:lpstr>
      <vt:lpstr>CFS</vt:lpstr>
      <vt:lpstr>WC</vt:lpstr>
      <vt:lpstr>ActBS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 Butcher</dc:creator>
  <cp:lastModifiedBy>Bret Butcher</cp:lastModifiedBy>
  <dcterms:created xsi:type="dcterms:W3CDTF">2024-01-30T23:15:16Z</dcterms:created>
  <dcterms:modified xsi:type="dcterms:W3CDTF">2024-07-17T22:21:22Z</dcterms:modified>
</cp:coreProperties>
</file>