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https://markmanassociates-my.sharepoint.com/personal/marianna_markmanassociates_com1/Documents/MM folder/Accounting/"/>
    </mc:Choice>
  </mc:AlternateContent>
  <xr:revisionPtr revIDLastSave="214" documentId="8_{38D79ED8-F05D-F548-80B0-0E7E8EFA5642}" xr6:coauthVersionLast="47" xr6:coauthVersionMax="47" xr10:uidLastSave="{702AF713-DDF9-9F46-A074-1B694EFE179F}"/>
  <bookViews>
    <workbookView xWindow="-38420" yWindow="500" windowWidth="38400" windowHeight="21100" firstSheet="2" activeTab="7" xr2:uid="{3FE57BA2-424A-5640-9169-04845D74B411}"/>
  </bookViews>
  <sheets>
    <sheet name="forecast" sheetId="36" r:id="rId1"/>
    <sheet name="summary" sheetId="23" r:id="rId2"/>
    <sheet name="P&amp;L" sheetId="2" r:id="rId3"/>
    <sheet name="Bank statement" sheetId="3" r:id="rId4"/>
    <sheet name="Credit card statement" sheetId="6" r:id="rId5"/>
    <sheet name="AR" sheetId="1" r:id="rId6"/>
    <sheet name="Upwork" sheetId="5" r:id="rId7"/>
    <sheet name="Freelance charges" sheetId="9" r:id="rId8"/>
    <sheet name="reimbursement personal expenses" sheetId="20" r:id="rId9"/>
    <sheet name="Brain Dead BC" sheetId="24" r:id="rId10"/>
    <sheet name="Metropolitan" sheetId="27" r:id="rId11"/>
    <sheet name="Laurel" sheetId="28" r:id="rId12"/>
    <sheet name="Sheet1" sheetId="37" r:id="rId13"/>
  </sheets>
  <definedNames>
    <definedName name="_xlnm._FilterDatabase" localSheetId="4" hidden="1">'Credit card statement'!$A$1:$H$174</definedName>
    <definedName name="_xlnm._FilterDatabase" localSheetId="2" hidden="1">'P&amp;L'!$A$1:$G$252</definedName>
    <definedName name="_xlnm._FilterDatabase" localSheetId="1" hidden="1">summary!#REF!</definedName>
  </definedNames>
  <calcPr calcId="191028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9" l="1"/>
  <c r="E10" i="9"/>
  <c r="F10" i="9"/>
  <c r="G10" i="9"/>
  <c r="H10" i="9"/>
  <c r="I10" i="9"/>
  <c r="C7" i="1" l="1"/>
  <c r="B4" i="36" l="1"/>
  <c r="AB6" i="27" l="1"/>
  <c r="AB7" i="27"/>
  <c r="AB8" i="27"/>
  <c r="AB9" i="27"/>
  <c r="AB10" i="27"/>
  <c r="AB11" i="27"/>
  <c r="AB5" i="27"/>
  <c r="T6" i="27"/>
  <c r="T7" i="27"/>
  <c r="T8" i="27"/>
  <c r="T9" i="27"/>
  <c r="T10" i="27"/>
  <c r="T11" i="27"/>
  <c r="T5" i="27"/>
  <c r="X11" i="27"/>
  <c r="C19" i="1" l="1"/>
  <c r="C14" i="1"/>
  <c r="C21" i="1" l="1"/>
  <c r="B8" i="36" l="1"/>
  <c r="B6" i="36"/>
  <c r="B11" i="28"/>
  <c r="D11" i="28" s="1"/>
  <c r="D12" i="28" s="1"/>
  <c r="X6" i="27" l="1"/>
  <c r="X7" i="27"/>
  <c r="X8" i="27"/>
  <c r="X9" i="27"/>
  <c r="X10" i="27"/>
  <c r="X5" i="27"/>
  <c r="X12" i="27" l="1"/>
  <c r="Z12" i="27" s="1"/>
  <c r="Z13" i="27" s="1"/>
  <c r="U10" i="27"/>
  <c r="U9" i="27"/>
  <c r="U8" i="27"/>
  <c r="U7" i="27"/>
  <c r="U6" i="27"/>
  <c r="U5" i="27"/>
  <c r="D3" i="24" l="1"/>
  <c r="D2" i="24"/>
  <c r="D1" i="24"/>
  <c r="C10" i="9"/>
  <c r="AV14" i="5" l="1"/>
  <c r="AV2" i="5"/>
  <c r="D129" i="6"/>
  <c r="AR14" i="5"/>
  <c r="AU14" i="5"/>
  <c r="AT14" i="5"/>
  <c r="AS14" i="5"/>
  <c r="AS2" i="5"/>
  <c r="AQ14" i="5"/>
  <c r="AP14" i="5"/>
  <c r="AV7" i="5"/>
  <c r="AV9" i="5"/>
  <c r="AV11" i="5"/>
  <c r="AV13" i="5"/>
  <c r="AM14" i="5"/>
  <c r="AN14" i="5"/>
  <c r="AN2" i="5"/>
  <c r="AL2" i="5"/>
  <c r="AL14" i="5" s="1"/>
  <c r="AK14" i="5"/>
  <c r="AI14" i="5"/>
  <c r="AJ2" i="5"/>
  <c r="AJ14" i="5" s="1"/>
  <c r="C233" i="2"/>
  <c r="C159" i="2"/>
  <c r="D121" i="6"/>
  <c r="AG14" i="5"/>
  <c r="AH14" i="5"/>
  <c r="C164" i="2"/>
  <c r="C168" i="2"/>
  <c r="C167" i="2"/>
  <c r="D126" i="6"/>
  <c r="D128" i="6"/>
  <c r="AC14" i="5"/>
  <c r="AD14" i="5"/>
  <c r="AE14" i="5"/>
  <c r="AF14" i="5"/>
  <c r="C231" i="2"/>
  <c r="C207" i="2"/>
  <c r="C197" i="2"/>
  <c r="C190" i="2"/>
  <c r="C183" i="2"/>
  <c r="C242" i="2"/>
  <c r="C208" i="2"/>
  <c r="C232" i="2"/>
  <c r="C234" i="2"/>
  <c r="C243" i="2"/>
  <c r="AB6" i="5"/>
  <c r="AB14" i="5" s="1"/>
  <c r="AA14" i="5"/>
  <c r="Y14" i="5"/>
  <c r="Z4" i="5"/>
  <c r="Z14" i="5" s="1"/>
  <c r="X14" i="5"/>
  <c r="W14" i="5"/>
  <c r="C192" i="2"/>
  <c r="C195" i="2"/>
  <c r="C193" i="2"/>
  <c r="V6" i="5"/>
  <c r="V4" i="5"/>
  <c r="U14" i="5"/>
  <c r="C202" i="2"/>
  <c r="C200" i="2"/>
  <c r="C199" i="2"/>
  <c r="D3" i="3"/>
  <c r="D144" i="6"/>
  <c r="C205" i="2"/>
  <c r="D145" i="6"/>
  <c r="T2" i="5"/>
  <c r="T6" i="5"/>
  <c r="T4" i="5"/>
  <c r="T5" i="5"/>
  <c r="T12" i="5"/>
  <c r="AV12" i="5" s="1"/>
  <c r="S14" i="5"/>
  <c r="R5" i="5"/>
  <c r="C209" i="2"/>
  <c r="C213" i="2"/>
  <c r="C206" i="2"/>
  <c r="C204" i="2"/>
  <c r="D146" i="6"/>
  <c r="D147" i="6"/>
  <c r="D148" i="6"/>
  <c r="D149" i="6"/>
  <c r="R2" i="5"/>
  <c r="R6" i="5"/>
  <c r="R8" i="5"/>
  <c r="Q14" i="5"/>
  <c r="C218" i="2"/>
  <c r="C220" i="2"/>
  <c r="C221" i="2"/>
  <c r="D151" i="6"/>
  <c r="D150" i="6"/>
  <c r="D152" i="6"/>
  <c r="D153" i="6"/>
  <c r="O14" i="5"/>
  <c r="P14" i="5"/>
  <c r="N10" i="5"/>
  <c r="N8" i="5"/>
  <c r="AV8" i="5" s="1"/>
  <c r="N5" i="5"/>
  <c r="D156" i="6"/>
  <c r="C226" i="2"/>
  <c r="C227" i="2"/>
  <c r="D158" i="6"/>
  <c r="D157" i="6"/>
  <c r="D159" i="6"/>
  <c r="C228" i="2"/>
  <c r="C229" i="2"/>
  <c r="C230" i="2"/>
  <c r="G14" i="5"/>
  <c r="I14" i="5"/>
  <c r="M14" i="5"/>
  <c r="K14" i="5"/>
  <c r="L10" i="5"/>
  <c r="AV10" i="5" s="1"/>
  <c r="L2" i="5"/>
  <c r="C237" i="2"/>
  <c r="C236" i="2"/>
  <c r="C235" i="2"/>
  <c r="J2" i="5"/>
  <c r="J6" i="5"/>
  <c r="AV6" i="5" s="1"/>
  <c r="J4" i="5"/>
  <c r="AV4" i="5" s="1"/>
  <c r="J5" i="5"/>
  <c r="AV5" i="5" s="1"/>
  <c r="H3" i="5"/>
  <c r="AV3" i="5" s="1"/>
  <c r="H2" i="5"/>
  <c r="L14" i="5" l="1"/>
  <c r="V14" i="5"/>
  <c r="T14" i="5"/>
  <c r="R14" i="5"/>
  <c r="H14" i="5"/>
  <c r="N14" i="5"/>
  <c r="J14" i="5"/>
</calcChain>
</file>

<file path=xl/sharedStrings.xml><?xml version="1.0" encoding="utf-8"?>
<sst xmlns="http://schemas.openxmlformats.org/spreadsheetml/2006/main" count="2093" uniqueCount="419">
  <si>
    <t>YTD results</t>
  </si>
  <si>
    <t>estimated revenue to go</t>
  </si>
  <si>
    <t>61k Laurel, 36k Metropolitan</t>
  </si>
  <si>
    <t>estimated costs related to metropolitan to go</t>
  </si>
  <si>
    <t>Beata plus January invoices</t>
  </si>
  <si>
    <t>estimated costt related to laurel to go</t>
  </si>
  <si>
    <t>Rental app development, fixing bugs and endancements not sppecified</t>
  </si>
  <si>
    <t>estimated costs not related to projects - eg Abri azure</t>
  </si>
  <si>
    <t>return rent and car - personal expenses</t>
  </si>
  <si>
    <t>Nature</t>
  </si>
  <si>
    <t>(All)</t>
  </si>
  <si>
    <t>Sum of Amount</t>
  </si>
  <si>
    <t>Column Labels</t>
  </si>
  <si>
    <t>Row Labels</t>
  </si>
  <si>
    <t>Jan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</si>
  <si>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</si>
  <si>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</si>
  <si>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</si>
  <si>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</si>
  <si>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</si>
  <si>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</si>
  <si>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</si>
  <si>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</si>
  <si>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</si>
  <si>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Abri costs</t>
  </si>
  <si>
    <t>Automotive</t>
  </si>
  <si>
    <t>Bills and utilities</t>
  </si>
  <si>
    <t>Carmen costs</t>
  </si>
  <si>
    <t>Entertainment</t>
  </si>
  <si>
    <t>Fees</t>
  </si>
  <si>
    <t>Food &amp; Drink</t>
  </si>
  <si>
    <t>Infrastructure</t>
  </si>
  <si>
    <t>Jan costs</t>
  </si>
  <si>
    <t>Laurel app</t>
  </si>
  <si>
    <t>Niki costs</t>
  </si>
  <si>
    <t>Professional services</t>
  </si>
  <si>
    <t xml:space="preserve">Rental </t>
  </si>
  <si>
    <t>Set data and analytics</t>
  </si>
  <si>
    <t>Sports club</t>
  </si>
  <si>
    <t>Stone-Goff Prototype App</t>
  </si>
  <si>
    <t>Travel</t>
  </si>
  <si>
    <t>Web developer</t>
  </si>
  <si>
    <t>Metropolitan</t>
  </si>
  <si>
    <t>Information Technology Costs</t>
  </si>
  <si>
    <t>Petrana costs</t>
  </si>
  <si>
    <t>Marianna costs</t>
  </si>
  <si>
    <t>Transaction Date</t>
  </si>
  <si>
    <t>Amount</t>
  </si>
  <si>
    <t>Description</t>
  </si>
  <si>
    <t>Project</t>
  </si>
  <si>
    <t>Sheet</t>
  </si>
  <si>
    <t>Cost</t>
  </si>
  <si>
    <t>Dec 24 Niki</t>
  </si>
  <si>
    <t>Freelance charge</t>
  </si>
  <si>
    <t>ATT*BILL PAYMENT</t>
  </si>
  <si>
    <t>Mike CC</t>
  </si>
  <si>
    <t>TESLA SUPERCHARGER US</t>
  </si>
  <si>
    <t>GOOGLE *FIBER GMTWRS</t>
  </si>
  <si>
    <t>Swan invoice</t>
  </si>
  <si>
    <t>AP invoices</t>
  </si>
  <si>
    <t>VERCEL INC.</t>
  </si>
  <si>
    <t>Dec 24 Abri</t>
  </si>
  <si>
    <t>Dec 24 Jan</t>
  </si>
  <si>
    <t>GITHUB, INC.</t>
  </si>
  <si>
    <t>Online Payment 22689660106 To Auto Loan</t>
  </si>
  <si>
    <t>Bank statement</t>
  </si>
  <si>
    <t>GOV*NC DMV </t>
  </si>
  <si>
    <t>Vendor invoice Carmen Dec 24</t>
  </si>
  <si>
    <t>Vendor invoice Petrana Dec 24</t>
  </si>
  <si>
    <t>MICROSOFT#G073073616</t>
  </si>
  <si>
    <t>Marianna Dec 24</t>
  </si>
  <si>
    <t>SPI*DUKE-ENERGY</t>
  </si>
  <si>
    <t>MICROSOFT#G072330700</t>
  </si>
  <si>
    <t>YSI*Highland North Hills</t>
  </si>
  <si>
    <t>SERVICE CHARGES FOR THE MONTH OF Dec</t>
  </si>
  <si>
    <t>GOOGLE *FIBER GCKCCX</t>
  </si>
  <si>
    <t>Revenue</t>
  </si>
  <si>
    <t>Invoice to Laurel</t>
  </si>
  <si>
    <t>AR tab</t>
  </si>
  <si>
    <t>RUTH'S CHRIS STEAK HOUSE</t>
  </si>
  <si>
    <t>ONLINE INTERNATIONAL WIRE TRANSFER A/C: JPMORGAN CHASE BANK NA - LONDON LONDON UNITED KINGDOM E14 5JP GB BEN:/LT483250004599838436 NIKOLETA NOTOVA REF: NIKI PAYMENT CONSULTANCY EXPENSES TRN: 3089514347ES 12/12</t>
  </si>
  <si>
    <t>Online Payment 22689660106 To Auto Loan 1105 12/12</t>
  </si>
  <si>
    <t>RH RALEIGH RESTAURANT</t>
  </si>
  <si>
    <t>Microsoft-G069561849 </t>
  </si>
  <si>
    <t>GOOGLE *YouTube TV</t>
  </si>
  <si>
    <t>ONLINE INTERNATIONAL WIRE TRANSFER A/C: BANCO BILBAO VIZCAYA ARGENTARIA SA BILBAO 48005 SPAIN ES REF: CARMEN INVOICE NOVEMBER 2024 CONSULTANCY EXPENSES TRN: 3010984341ES 12/06</t>
  </si>
  <si>
    <t>ONLINE INTERNATIONAL WIRE TRANSFER A/C: JPMORGAN CHASE BANK NA - LONDON LONDON UNITED KINGDOM E14 5JP GB BEN:/LT323250049512365310 JAN DZUBAK REF: JAN INVOICE NOV 24 CONSULTANCY EXPENSES TRN: 3160514341ES 12/06</t>
  </si>
  <si>
    <t>Online ACH Payment 11154174100 To Abri (_###########3209)</t>
  </si>
  <si>
    <t>Microsoft-G068568619</t>
  </si>
  <si>
    <t>ONLINE INTERNATIONAL WIRE TRANSFER A/C: JPMORGAN CHASE BANK NA - LONDON LONDON UNITED KINGDOM E14 5JP GB BEN:/LT863250065995442612 PETRANA GEORGIEVA PETROVA REF: PEPI - PROJECT PLANNING CONSULTANCYEXPENSES TRN: 3298474339ES 12/04</t>
  </si>
  <si>
    <t>ESET WWW.ESET.COM</t>
  </si>
  <si>
    <t>Marianna CC</t>
  </si>
  <si>
    <t>bank fee</t>
  </si>
  <si>
    <t>ANTHROPIC: CLAUDE TEAM</t>
  </si>
  <si>
    <r>
      <t xml:space="preserve">Initial Deposit: </t>
    </r>
    <r>
      <rPr>
        <sz val="11"/>
        <color theme="1"/>
        <rFont val="Times New Roman"/>
        <family val="1"/>
      </rPr>
      <t>25% ($11,830) . Invoice 128</t>
    </r>
  </si>
  <si>
    <t>RH RALEIGH RESTAURAN</t>
  </si>
  <si>
    <t>Online ACH Payment 11152149613 To Abri (_###########3209)</t>
  </si>
  <si>
    <t>ONLINE DOMESTIC WIRE TRANSFER VIA: BANK OF AMERICA, N.A./0959 A/C: 021200339 BELLEVILLE NJ 07109 US BEN: SWAN SOFTWEB SOLUTIONS LLC NEW YORK NY 10013 US SSN: 00447209 TRN: 3362194323ES 11/18</t>
  </si>
  <si>
    <t>GOOGLE *FIBER QJ83xx</t>
  </si>
  <si>
    <t>CARY SPORTS &amp; SOCIAL</t>
  </si>
  <si>
    <t>UBER *TRIP</t>
  </si>
  <si>
    <t>ONLINE INTERNATIONAL WIRE TRANSFER A/C: JPMORGAN CHASE BANK NA - LONDON LONDON UNITED KINGDOM E14 5JP GB BEN:/LT483250004599838436 NIKOLETA NOTOVA REF: NIKI PAYMENT CONSULTANCY EXPENSES TRN: 3249284320ES 11/15</t>
  </si>
  <si>
    <t>Online Payment 22345194269 To Auto Loan 1105 11/12</t>
  </si>
  <si>
    <t>Microsoft-G065500019</t>
  </si>
  <si>
    <t>ONLINE INTERNATIONAL WIRE TRANSFER A/C: BANCO BILBAO VIZCAYA ARGENTARIA SA BILBAO 48005 SPAIN ES REF: OCTOBER 2024 CARMEN/MARKMAN GROUPCONSULTANCY EXPENSES TRN: 3237584310ES 11/05</t>
  </si>
  <si>
    <t>Microsoft-G064160948</t>
  </si>
  <si>
    <t>ONLINE INTERNATIONAL WIRE TRANSFER A/C: JPMORGAN CHASE BANK NA - LONDON LONDON UNITED KINGDOM E14 5JP GB BEN:/LT323250049512365310 JAN DZUBAK REF: SEP/OCT JAN WORK - MARKMAN GROUP CONSULTANCY EXPENSES TRN: 3554124309ES 11/04</t>
  </si>
  <si>
    <t>Reimbursement personal expenses</t>
  </si>
  <si>
    <t>reimbursement personal expenses</t>
  </si>
  <si>
    <t>MONGODBCLOUD MARKMA...</t>
  </si>
  <si>
    <t xml:space="preserve">SERVICE CHARGES FOR THE MONTH OF OCTOBER </t>
  </si>
  <si>
    <t>Laurel dedsign and prototype</t>
  </si>
  <si>
    <t>VILLAGE TAVERN #7</t>
  </si>
  <si>
    <t>CAPITAL GRILLE 0138061</t>
  </si>
  <si>
    <t>TST* STIR - RALEIGH</t>
  </si>
  <si>
    <t>GOOGLE *FIBER MDWw9K</t>
  </si>
  <si>
    <t>TST*CAPE FEAR SEAFOOD CO</t>
  </si>
  <si>
    <t>BAR TACO NORTH HILLS</t>
  </si>
  <si>
    <t>WESTIN GEORGETOWN DC</t>
  </si>
  <si>
    <t>CLYDES OF GEORGETOWN</t>
  </si>
  <si>
    <t>MICROSOFT#G061737873</t>
  </si>
  <si>
    <t>Online Payment 22028985048 To Auto Loan 1105 10/11</t>
  </si>
  <si>
    <t>ONLINE INTERNATIONAL WIRE TRANSFER A/C: BANCO BILBAO VIZCAYA ARGENTARIA SA BILBAO 48005 SPAIN ES REF: ADVISORY MARKMAN GROUP CONSULTANCY EXPENSES TRN: 3106764285ES 10/11</t>
  </si>
  <si>
    <t>Online ACH Payment 11147406682 To Abri (_###########3209)</t>
  </si>
  <si>
    <t>ONLINE INTERNATIONAL WIRE TRANSFER A/C: JPMORGAN CHASE BANK NA - LONDON LONDON UNITED KINGDOM E14 5JP GB BEN:/LT483250004599838436 NIKOLETA NOTOVA REF: NIKI PAYMENT CONSULTANCY EXPENSES TRN: 3078784282ES 10/08</t>
  </si>
  <si>
    <t>Microsoft#G061294333</t>
  </si>
  <si>
    <t>YARD HOUSE ZK 0108341</t>
  </si>
  <si>
    <t>TST* LEO'S ITALIAN SOCIAL</t>
  </si>
  <si>
    <t>Coquette</t>
  </si>
  <si>
    <t>UPWORK * -739116523</t>
  </si>
  <si>
    <t>Upwork sheet</t>
  </si>
  <si>
    <t>CHUY'S 048</t>
  </si>
  <si>
    <t>FIREBIRDS RALEIGH</t>
  </si>
  <si>
    <t>ATT</t>
  </si>
  <si>
    <t>Yard Hourse</t>
  </si>
  <si>
    <t>Uber</t>
  </si>
  <si>
    <t>Bar Taco North Hills</t>
  </si>
  <si>
    <t>Firebirds Raleigh</t>
  </si>
  <si>
    <t>GOOGLE *FIBER 3HwVXK</t>
  </si>
  <si>
    <t>ONLINE INTERNATIONAL WIRE TRANSFER A/C: JPMORGAN CHASE BANK NA - LONDON LONDON UNITED KINGDOM E14 5JP GB BEN:/LT483250004599838436 NIKOLETA NOTOVA REF: NIKI PAYMENT CONSULTANCY EXPENSES TRN: 3198184261ES 09/17</t>
  </si>
  <si>
    <t>Online ACH Payment 11145094278 To Abri (_###########3209)</t>
  </si>
  <si>
    <t>UPWORK * -734719032</t>
  </si>
  <si>
    <t>Spectrum</t>
  </si>
  <si>
    <t>Online Payment 21701604429 To Auto Loan 1105 09/12</t>
  </si>
  <si>
    <t>Microsoft Store</t>
  </si>
  <si>
    <t>Restoration HW</t>
  </si>
  <si>
    <t>Restoration Hardware</t>
  </si>
  <si>
    <t>UPWORK * -732556095</t>
  </si>
  <si>
    <t>MICROSOFT#G058819470</t>
  </si>
  <si>
    <t>COSTCO WHSE #0645</t>
  </si>
  <si>
    <t>SHARKYS PLACE</t>
  </si>
  <si>
    <t>MICROSOFT#G057606275</t>
  </si>
  <si>
    <t>STATE FARM INSURANCE</t>
  </si>
  <si>
    <t>UPWORK * -730383940</t>
  </si>
  <si>
    <t>MONGODBCLOUD MARKMA</t>
  </si>
  <si>
    <t>UPWORK * -728218961</t>
  </si>
  <si>
    <t>UPWORK -726095572</t>
  </si>
  <si>
    <t>Anthoropic</t>
  </si>
  <si>
    <t>Open AI</t>
  </si>
  <si>
    <t>Online Payment 21196617695 To Auto Loan 1105 07/12</t>
  </si>
  <si>
    <t>UPWORK -723997794</t>
  </si>
  <si>
    <t>MICROSOFT#G055733373</t>
  </si>
  <si>
    <t>MICROSOFT#G055406030</t>
  </si>
  <si>
    <t>OpenAI</t>
  </si>
  <si>
    <t>UPWORK * -721861190</t>
  </si>
  <si>
    <t>MICROSOFT#G055201041</t>
  </si>
  <si>
    <t>Fee</t>
  </si>
  <si>
    <t>UPWORK -719691199</t>
  </si>
  <si>
    <t>Fiverr</t>
  </si>
  <si>
    <t>Professional Services</t>
  </si>
  <si>
    <t>UBR* PENDING.UBER.COM</t>
  </si>
  <si>
    <t>TRavel</t>
  </si>
  <si>
    <t>UPWORK * -717565474</t>
  </si>
  <si>
    <t>UPWORK -715403869</t>
  </si>
  <si>
    <t>J ALEXANDER'S #35</t>
  </si>
  <si>
    <t>Microsoft G052960106</t>
  </si>
  <si>
    <t>UPWORK -713216127</t>
  </si>
  <si>
    <t>MICROSOFT#G051104974</t>
  </si>
  <si>
    <t>UPWORK -711321714</t>
  </si>
  <si>
    <t>Initial invoice to Laurel AG</t>
  </si>
  <si>
    <t>UPWORK -708653439</t>
  </si>
  <si>
    <t>Online Payment 21196623932 To ALA 1105 06/24</t>
  </si>
  <si>
    <t>J ALEXANDERS RESTAURAN</t>
  </si>
  <si>
    <t>UPWORK -706210983</t>
  </si>
  <si>
    <t>UPWORK -706357601</t>
  </si>
  <si>
    <t>Upwork -704059819REF</t>
  </si>
  <si>
    <t>MICROSOFT#G049899436</t>
  </si>
  <si>
    <t>Invoice 118 to Laurel</t>
  </si>
  <si>
    <t>DNH*GODADDY.COM</t>
  </si>
  <si>
    <t>Microsoft G048941137</t>
  </si>
  <si>
    <t>Upwork charge  -701727682REF</t>
  </si>
  <si>
    <t>Upwork charge -701727682REF</t>
  </si>
  <si>
    <t>Upwork charge UPWORK * -702051195 -701727682REF</t>
  </si>
  <si>
    <t>UPWORK  -699487270</t>
  </si>
  <si>
    <t>Upwork charge</t>
  </si>
  <si>
    <t>paid by CC 8008</t>
  </si>
  <si>
    <t>MICROSOFT#G046923705</t>
  </si>
  <si>
    <t>Invoice to Laurel AG</t>
  </si>
  <si>
    <t>TOP GOLF DURHAM 76-2</t>
  </si>
  <si>
    <t>Fees &amp; Adjustments</t>
  </si>
  <si>
    <t>Note</t>
  </si>
  <si>
    <t>Balance sheet</t>
  </si>
  <si>
    <t>Deposit</t>
  </si>
  <si>
    <t>Deposit transferred by Mike</t>
  </si>
  <si>
    <t>Credit card payment</t>
  </si>
  <si>
    <t>ORIG CO NAME:CHASE CREDIT CRD ORIG ID:4760039224 DESC DATE:240619 CO ENTRY DESCR:AUTOPAYBUSSEC:PPD TRACE#:021000020912669 EED:240620 IND ID: IND NAME:MARKMAN MICHAEL K TRN: 1720912669TC</t>
  </si>
  <si>
    <t>Partner distribution</t>
  </si>
  <si>
    <t>Online Transfer to CHK ...4776 transaction#: 21196606182 06/24</t>
  </si>
  <si>
    <t>Payment to Chase card ending in 8008 07/02</t>
  </si>
  <si>
    <t>Laurel payment</t>
  </si>
  <si>
    <t>ORIG CO NAME:LAUREL MANAGEMEN ORIG ID:6750070647 DESC DATE: CO ENTRY DESCR:INITIAL DESEC:CCD TRACE#:122016061274136 EED:240705 IND ID: IND NAME:MARKMAN GROUP LLC 0101 TRN: 1871274136TC</t>
  </si>
  <si>
    <t>ORIG CO NAME:CHASE CREDIT CRD CO ENTRY DESCR:AUTOPAYBUS SEC:PPD ORIG ID:4760039224</t>
  </si>
  <si>
    <t>Partner contribution</t>
  </si>
  <si>
    <t>SERVICE CHARGES FOR THE MONTH OF JULY</t>
  </si>
  <si>
    <t>ORIG CO NAME:CHASE CREDIT CRD ORIG ID:4760039224 DESC DATE:240819 CO ENTRY DESCR:AUTOPAYBUSSEC:PPD TRACE#:021000023114688 EED:240820 IND ID: IND NAME:MARKMAN MICHAEL K TRN: 2333114688TC</t>
  </si>
  <si>
    <t>ORIG CO NAME:LAUREL MANAGEMEN ORIG ID:6750070647 DESC DATE: CO ENTRY DESCR:INITIAL DESEC:CCD TRACE#:122016063812283 EED:240827 IND ID: IND NAME:MARKMAN GROUP LLC 0116 TRN: 2403812283TC</t>
  </si>
  <si>
    <t>ORIG CO NAME:LAUREL MANAGEMEN ORIG ID:6750070647 DESC DATE: CO ENTRY DESCR:DESIGN ANDSEC:CCD TRACE#:122016069884805 EED:240903 IND ID: IND NAME:MARKMAN GROUP LLC 0118 TRN: 2479884805TC</t>
  </si>
  <si>
    <t>Vendor invoice- Abri Aug 2024</t>
  </si>
  <si>
    <t>Vendor invoice - Niki Aug 2024</t>
  </si>
  <si>
    <t>ORIG CO NAME:CHASE CREDIT CRD ORIG ID:4760039224 DESC DATE:240919 CO ENTRY DESCR:AUTOPAYBUSSEC:PPD TRACE#:021000024136095 EED:240920 IND ID: IND NAME:MARKMAN MICHAEL K TRN: 2644136095TC</t>
  </si>
  <si>
    <t>Vendor invoice- Abri Sep 2024</t>
  </si>
  <si>
    <t>Vendor invoice - Niki Sep 2024</t>
  </si>
  <si>
    <t>Payment to Chase card ending in 8008 10/09</t>
  </si>
  <si>
    <t>Vendor invoice - Carmen Sep2024</t>
  </si>
  <si>
    <t>ORIG CO NAME:CHASE CREDIT CRD ORIG ID:4760039224 DESC DATE:241018 CO ENTRY DESCR:AUTOPAYBUSSEC:PPD TRACE#:021000026814256 EED:241021 IND ID: IND NAME:MARKMAN MICHAEL K TRN: 2956814256T</t>
  </si>
  <si>
    <t>SERVICE CHARGES FOR THE MONTH OF OCTOBER</t>
  </si>
  <si>
    <t xml:space="preserve">PL reverse </t>
  </si>
  <si>
    <t>Online Transfer from CHK ...4776 transaction#: 22607541468</t>
  </si>
  <si>
    <t>Vendor invoice Jan Oct 24</t>
  </si>
  <si>
    <t>Vendor invoice Carmen Oct 24</t>
  </si>
  <si>
    <t>Vendor invoice Niki Oct 24</t>
  </si>
  <si>
    <t>Vendor invoice Abri Oct 24</t>
  </si>
  <si>
    <t>AP invoice Swan Softweb</t>
  </si>
  <si>
    <t>RIG CO NAME:CHASE CREDIT CRD ORIG ID:4760039224 DESC DATE:241119 CO ENTRY DESCR:AUTOPAYBUSSEC:PPD TRACE#:021000028098516 EED:241120 IND ID: IND NAME:MARKMAN MICHAEL K TRN: 3258098516TC</t>
  </si>
  <si>
    <t>SERVICE CHARGES FOR THE MONTH OF NOVEMBER</t>
  </si>
  <si>
    <t>Vendor invoice Petrana Nov 24</t>
  </si>
  <si>
    <t>Vendor invoice Carmen Nov 24</t>
  </si>
  <si>
    <t>Vendor invoice Jan Nov 24</t>
  </si>
  <si>
    <t>Vendor invoice Abri Nov 24</t>
  </si>
  <si>
    <t>Vendor invoice Niki Nov 24</t>
  </si>
  <si>
    <t>Automotive personal</t>
  </si>
  <si>
    <t>ORIG CO NAME:CHASE CREDIT CRD ORIG ID:4760039224 DESC DATE:241219 CO ENTRY DESCR:AUTOPAYBUSSEC:PPD TRACE#:021000020407890 EED:241220 IND ID: IND NAME:MARKMAN MICHAEL K TRN: 3550407890TC</t>
  </si>
  <si>
    <t>Metropolitan payment</t>
  </si>
  <si>
    <t>ORIG CO NAME:METROPOLITAN EQ ORIG ID:4814965905 DESC DATE:250107 CO ENTRY DESCR:ACH SEC:CCD TRACE#:122238204083747 EED:250107 IND ID: IND NAME:MARKMAN GROUP LLC INVOICE 0128 1001653110 TRN: 0074083747TC</t>
  </si>
  <si>
    <t>Vendor invoice Carmen - Dec 24</t>
  </si>
  <si>
    <t>ONLINE INTERNATIONAL WIRE TRANSFER A/C: BANCO BILBAO VIZCAYA ARGENTARIA SA BILBAO 48005 SPAIN ES REF: CONSULTANCY EXPENSES/BNF/CARMEN DEC24 TRN: 3190805009ES 01/09</t>
  </si>
  <si>
    <t>Vendor invoice Petrana - Dec 2£</t>
  </si>
  <si>
    <t>ONLINE INTERNATIONAL WIRE TRANSFER A/C: JPMORGAN CHASE BANK NA - LONDON LONDON UNITED KINGDOM E14 5JP GB BEN:/LT863250065995442612 PETRANA GEORGIEVA PETROVA REF: CONSULTANCY EXPENSES/BNF/PETRANA DECEMBER 2024 TRN: 3187365009ES 01/09</t>
  </si>
  <si>
    <t>Online Payment 23021743553 To Auto Loan 1105 01/10</t>
  </si>
  <si>
    <t>RIG CO NAME:LAUREL MANAGEMEN ORIG ID:6750070647 DESC DATE: CO ENTRY DESCR:DESIGN ANDSEC:CCD TRACE#:122016060187186 EED:250110 IND ID: IND NAME:MARKMAN GROUP LLC 0126 TRN: 0100187186TC</t>
  </si>
  <si>
    <t>Vendor invoice Abri - Dec 24</t>
  </si>
  <si>
    <t>Online ACH Payment 11158336458 To Abri (_###########3209)</t>
  </si>
  <si>
    <t>Vendor invoice Jan - Dec 24</t>
  </si>
  <si>
    <t>ONLINE INTERNATIONAL WIRE TRANSFER A/C: JPMORGAN CHASE BANK NA - LONDON LONDON UNITED KINGDOM E14 5JP GB BEN:/LT323250049512365310 JAN DZUBAK REF: CONSULTANCY EXPENSES/BNF/JAN PAYMENT DEC 24 TRN: 3280655013ES 01/13</t>
  </si>
  <si>
    <t>ONLINE DOMESTIC WIRE TRANSFER VIA: BANK OF AMERICA, N.A./0959 A/C: 021200339 BELLEVILLE NJ 07109 US BEN: SWAN SOFTWEB SOLUTIONS LLC NEW YORK NY 10013 US REF:/BNF/SWAN SOFTWEB SSN: 00473849 TRN: 3313575015ES 01/15</t>
  </si>
  <si>
    <t>ORIG CO NAME:CHASE CREDIT CRD ORIG ID:4760039224 DESC DATE:250119 CO ENTRY DESCR:AUTOPAYBUSSEC:PPD TRACE#:021000021631434 EED:250121 IND ID: IND NAME:MARKMAN MICHAEL K TRN: 0211631434TC</t>
  </si>
  <si>
    <t>Vendor invoice Niki - Dec 2024</t>
  </si>
  <si>
    <t>ONLINE INTERNATIONAL WIRE TRANSFER A/C: JPMORGAN CHASE BANK NA - LONDON LONDON UNITED KINGDOM E14 5JP GB BEN:/LT483250004599838436 NIKOLETA NOTOVA REF: NIKI PAYMENT CONSULTANCY EXPENSES/BNF/NIKI DEC 24 TRN: 3523095023ES 01/23</t>
  </si>
  <si>
    <t>Posted date</t>
  </si>
  <si>
    <t>Vendor</t>
  </si>
  <si>
    <t>Client</t>
  </si>
  <si>
    <t>Rental</t>
  </si>
  <si>
    <t>UPWORK * -702051195</t>
  </si>
  <si>
    <t>Upwork -701727682REF</t>
  </si>
  <si>
    <t>05/31/2024</t>
  </si>
  <si>
    <t>05/28/2024</t>
  </si>
  <si>
    <t>05/16/2024</t>
  </si>
  <si>
    <t>UPWORK * -697390799</t>
  </si>
  <si>
    <t>Upwork -697314202REF</t>
  </si>
  <si>
    <t>TST* VIVO RISTORANTE</t>
  </si>
  <si>
    <t>Client Dinner - Fusion Telecommunications Proposal conversation</t>
  </si>
  <si>
    <t>05/17/2024</t>
  </si>
  <si>
    <t>Monthly Internet for Office</t>
  </si>
  <si>
    <t>05/15/2024</t>
  </si>
  <si>
    <t>10084 CAVA CAMERON VIL</t>
  </si>
  <si>
    <t>05/13/2024</t>
  </si>
  <si>
    <t>UPWORK  -695108566</t>
  </si>
  <si>
    <t>UBER   TRIP</t>
  </si>
  <si>
    <t>TST* MIDWOOD SMOKE HOUSE</t>
  </si>
  <si>
    <t>B Live - Lunch Meeting - Jasmine Rieder</t>
  </si>
  <si>
    <t>TOBACCO ROAD HARLEY DA</t>
  </si>
  <si>
    <t>Company Vehicle Maintenance</t>
  </si>
  <si>
    <t>Microsoft Azure Monthly Cost</t>
  </si>
  <si>
    <t>SQUARESPACE 127382799</t>
  </si>
  <si>
    <t>TST* TAZZA KITCHEN - CAME</t>
  </si>
  <si>
    <t>ComoPromo Lunch Meeting - Carrie Tisman</t>
  </si>
  <si>
    <t>Doctor Marc - Marc Rabuse - Drinks Meeting</t>
  </si>
  <si>
    <t>ANNUAL MEMBERSHIP FEE</t>
  </si>
  <si>
    <t>Chase Visa Credit Card Fees (should make this money back with rebates) - so need to figure out how to apply "points" to buy stuff in the future</t>
  </si>
  <si>
    <t>Proposal app</t>
  </si>
  <si>
    <t>Date issued</t>
  </si>
  <si>
    <t>To company</t>
  </si>
  <si>
    <t>Due date</t>
  </si>
  <si>
    <t>Matched with bank statement</t>
  </si>
  <si>
    <t>Laurel AG</t>
  </si>
  <si>
    <t>Invoice to Laurel, 20 % prepayment, invoice 101</t>
  </si>
  <si>
    <t>Sent by mail from Marianna to Kevin on issue date</t>
  </si>
  <si>
    <t>July 5th, 2024</t>
  </si>
  <si>
    <t>Design and prototype invoice 118</t>
  </si>
  <si>
    <t>Sep 3, 2024</t>
  </si>
  <si>
    <t>Post development 129</t>
  </si>
  <si>
    <t>Feb 24, 2025</t>
  </si>
  <si>
    <t>Final payment after project end, invoice 131</t>
  </si>
  <si>
    <t>sent by Niki to Todd</t>
  </si>
  <si>
    <t>Rental app</t>
  </si>
  <si>
    <t>Invoice to Laurel, 20 % prepayment invoice 116</t>
  </si>
  <si>
    <t>Sent by mail from Marianna to Kevin on issue date, reminder on Aug 6</t>
  </si>
  <si>
    <t>Aug 27, 2024</t>
  </si>
  <si>
    <t>Design and prototype, Invoice 126</t>
  </si>
  <si>
    <t>Send by mail to Kevin on issue date</t>
  </si>
  <si>
    <t>Jan 10, 25</t>
  </si>
  <si>
    <t>Post development</t>
  </si>
  <si>
    <t>Final payment after project end</t>
  </si>
  <si>
    <t xml:space="preserve">21/11/2024	</t>
  </si>
  <si>
    <t>sent by Marianna to Stephen</t>
  </si>
  <si>
    <t>Jan 7th,2025</t>
  </si>
  <si>
    <t>Final Payment: 75% ($35,490)upon project completion, successful deployment, and delivery of all specified deliverables as per this SOW., Invoice 130</t>
  </si>
  <si>
    <t>sent by Carmen to Stephen invoice 130</t>
  </si>
  <si>
    <t>Costs</t>
  </si>
  <si>
    <t>Hourly fee</t>
  </si>
  <si>
    <t>Role</t>
  </si>
  <si>
    <t>Notes</t>
  </si>
  <si>
    <t>Next Milestone</t>
  </si>
  <si>
    <t>May 6th hours</t>
  </si>
  <si>
    <t>May 6th charge</t>
  </si>
  <si>
    <t>May 13th hours</t>
  </si>
  <si>
    <t>May 13th charge</t>
  </si>
  <si>
    <t>May 20th hours</t>
  </si>
  <si>
    <t>May 20th charge</t>
  </si>
  <si>
    <t>May 27th hours</t>
  </si>
  <si>
    <t>May 27th charge</t>
  </si>
  <si>
    <t>June 3 hours</t>
  </si>
  <si>
    <t>June 3 charge</t>
  </si>
  <si>
    <t>June 10 hours</t>
  </si>
  <si>
    <t>June 10 charge</t>
  </si>
  <si>
    <t>June 17 hours</t>
  </si>
  <si>
    <t>June 17 charge</t>
  </si>
  <si>
    <t>June 24 hours</t>
  </si>
  <si>
    <t>June 24 charge</t>
  </si>
  <si>
    <t>July 1 hours</t>
  </si>
  <si>
    <t>July 1 charge</t>
  </si>
  <si>
    <t>July 8 hours</t>
  </si>
  <si>
    <t>July 8 charge</t>
  </si>
  <si>
    <t>July 15 hours</t>
  </si>
  <si>
    <t>July 15 charge</t>
  </si>
  <si>
    <t>July 22 hours</t>
  </si>
  <si>
    <t>July 22 charge</t>
  </si>
  <si>
    <t>July 29 hours</t>
  </si>
  <si>
    <t>July 29 charge</t>
  </si>
  <si>
    <t>Aug 5 hours</t>
  </si>
  <si>
    <t>Aug 5 charge</t>
  </si>
  <si>
    <t>Aug 12 hours</t>
  </si>
  <si>
    <t>Aug 12 charge</t>
  </si>
  <si>
    <t>Aug 19 hours</t>
  </si>
  <si>
    <t>Aug 19 charge</t>
  </si>
  <si>
    <t>Aug 26 Hours</t>
  </si>
  <si>
    <t>Aug 26 charge</t>
  </si>
  <si>
    <t>TOTAL</t>
  </si>
  <si>
    <t>Abishek Kumar</t>
  </si>
  <si>
    <t>Azure specialist</t>
  </si>
  <si>
    <t>Maulek Patel - Chetan and Dharmesh</t>
  </si>
  <si>
    <t>Full-Stack Developer</t>
  </si>
  <si>
    <t>DHRUVIL HIRPARA</t>
  </si>
  <si>
    <t>5 hour Prototype Agreement</t>
  </si>
  <si>
    <t>JAY PATEL</t>
  </si>
  <si>
    <t>CHRIS ERVIS RAMOS</t>
  </si>
  <si>
    <t>Muhammad Mahad Naeem</t>
  </si>
  <si>
    <t>Profiling App Prototype</t>
  </si>
  <si>
    <t>Julianna Melnyk / Albert Burgyla</t>
  </si>
  <si>
    <t>Sports Club Prototype</t>
  </si>
  <si>
    <t>UI/UX Designer</t>
  </si>
  <si>
    <t>Project deliverables:
- Tuesday 21 we will send you the Mood Board to gather your feedback regarding look and feel direction
- Thursday 23 I will send you the link on Figma with the UI concept
-  Thursday 23 10am EST we will have a call regarding deliverables and possible cooperation.</t>
  </si>
  <si>
    <t>Paras Sarna</t>
  </si>
  <si>
    <t>Mobile App Developer</t>
  </si>
  <si>
    <t>Submitted FIGMA and APK of initial screen development - MM to review</t>
  </si>
  <si>
    <t>Muhammad Q.</t>
  </si>
  <si>
    <t>Davon Howell</t>
  </si>
  <si>
    <t>GOT KICKED OFF UPWORK - NO WORK OR PAYMENT MADE</t>
  </si>
  <si>
    <t>Bahubhai Vaghasiya</t>
  </si>
  <si>
    <t>Total costs</t>
  </si>
  <si>
    <t>Hourly charge</t>
  </si>
  <si>
    <t>Niki</t>
  </si>
  <si>
    <t>Abri</t>
  </si>
  <si>
    <t>Carmen</t>
  </si>
  <si>
    <t>Petrana</t>
  </si>
  <si>
    <t xml:space="preserve">Beata </t>
  </si>
  <si>
    <t>Ladislav</t>
  </si>
  <si>
    <t>Ivana</t>
  </si>
  <si>
    <t xml:space="preserve">Jan </t>
  </si>
  <si>
    <t>Month</t>
  </si>
  <si>
    <t>Prior Kick-off</t>
  </si>
  <si>
    <t>November</t>
  </si>
  <si>
    <t>December</t>
  </si>
  <si>
    <t xml:space="preserve">January </t>
  </si>
  <si>
    <t xml:space="preserve">Week </t>
  </si>
  <si>
    <t>Sept,Oct,Nov</t>
  </si>
  <si>
    <t>18-24</t>
  </si>
  <si>
    <t>25-01</t>
  </si>
  <si>
    <t>2-8</t>
  </si>
  <si>
    <t>9-15</t>
  </si>
  <si>
    <t>16-22</t>
  </si>
  <si>
    <t>23 - 29</t>
  </si>
  <si>
    <t>30 - 5</t>
  </si>
  <si>
    <t>06 - 10</t>
  </si>
  <si>
    <t>Initial Forecast</t>
  </si>
  <si>
    <t>Updated Forecast</t>
  </si>
  <si>
    <t>Forecast</t>
  </si>
  <si>
    <t>Resource</t>
  </si>
  <si>
    <t>Beata</t>
  </si>
  <si>
    <t>Costs Laurel up till today charged Maulik</t>
  </si>
  <si>
    <t>Additional changes proposal app changes</t>
  </si>
  <si>
    <t>Testing changes for proposal app esti</t>
  </si>
  <si>
    <t>Estimate for rental app from Maulik</t>
  </si>
  <si>
    <t>Further adjustments not identified yet rental app</t>
  </si>
  <si>
    <t xml:space="preserve">Abri costs </t>
  </si>
  <si>
    <t>Abri costs 65 hours</t>
  </si>
  <si>
    <t xml:space="preserve">Niki costs </t>
  </si>
  <si>
    <t>Niki costs 80percent</t>
  </si>
  <si>
    <t>Niki and Abri costs to go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</si>
</sst>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_);_(* \(#,##0\);_(* &quot;-&quot;??_);_(@_)"/>
    <numFmt numFmtId="165" formatCode="[$-409]d\-mmm\-yyyy;@"/>
    <numFmt numFmtId="166" formatCode="_-* #,##0_-;\-* #,##0_-;_-* &quot;-&quot;??_-;_-@_-"/>
  </numFmts>
  <fonts count="2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414042"/>
      <name val="Helvetica Neue"/>
      <family val="2"/>
    </font>
    <font>
      <sz val="14"/>
      <color rgb="FF414042"/>
      <name val="Helvetica Neue"/>
      <family val="2"/>
    </font>
    <font>
      <sz val="12"/>
      <color theme="0"/>
      <name val="Aptos Narrow"/>
      <family val="2"/>
      <scheme val="minor"/>
    </font>
    <font>
      <sz val="10"/>
      <color theme="0"/>
      <name val="Helvetica Neue"/>
      <family val="2"/>
    </font>
    <font>
      <sz val="14"/>
      <color theme="1"/>
      <name val="Helvetica Neue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0"/>
      <name val="Helvetica Neue"/>
      <family val="2"/>
    </font>
    <font>
      <sz val="14"/>
      <color rgb="FF000000"/>
      <name val="Helvetica Neue"/>
      <family val="2"/>
    </font>
    <font>
      <b/>
      <sz val="12"/>
      <color rgb="FFFF0000"/>
      <name val="Aptos Narrow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03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15" fontId="0" fillId="0" borderId="0" xfId="0" applyNumberFormat="1" applyAlignment="1">
      <alignment vertical="top" wrapText="1"/>
    </xf>
    <xf numFmtId="0" fontId="0" fillId="0" borderId="6" xfId="0" applyBorder="1"/>
    <xf numFmtId="14" fontId="2" fillId="0" borderId="6" xfId="0" applyNumberFormat="1" applyFont="1" applyBorder="1" applyAlignment="1">
      <alignment horizontal="right"/>
    </xf>
    <xf numFmtId="0" fontId="2" fillId="0" borderId="6" xfId="0" applyFont="1" applyBorder="1"/>
    <xf numFmtId="0" fontId="1" fillId="2" borderId="5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6" borderId="0" xfId="0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8" xfId="0" applyFill="1" applyBorder="1" applyAlignment="1">
      <alignment vertical="top" wrapText="1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8" borderId="3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8" borderId="8" xfId="0" applyFill="1" applyBorder="1" applyAlignment="1">
      <alignment vertical="top" wrapText="1"/>
    </xf>
    <xf numFmtId="0" fontId="1" fillId="0" borderId="0" xfId="0" applyFont="1" applyAlignment="1">
      <alignment wrapText="1"/>
    </xf>
    <xf numFmtId="0" fontId="3" fillId="0" borderId="0" xfId="0" applyFont="1"/>
    <xf numFmtId="0" fontId="2" fillId="9" borderId="0" xfId="0" applyFont="1" applyFill="1"/>
    <xf numFmtId="0" fontId="7" fillId="0" borderId="0" xfId="0" applyFont="1"/>
    <xf numFmtId="0" fontId="5" fillId="0" borderId="0" xfId="0" applyFont="1" applyAlignment="1">
      <alignment vertical="top" wrapText="1"/>
    </xf>
    <xf numFmtId="0" fontId="0" fillId="0" borderId="0" xfId="0" pivotButton="1"/>
    <xf numFmtId="0" fontId="0" fillId="10" borderId="7" xfId="0" applyFill="1" applyBorder="1" applyAlignment="1">
      <alignment vertical="top" wrapText="1"/>
    </xf>
    <xf numFmtId="0" fontId="0" fillId="10" borderId="8" xfId="0" applyFill="1" applyBorder="1" applyAlignment="1">
      <alignment vertical="top" wrapText="1"/>
    </xf>
    <xf numFmtId="0" fontId="5" fillId="0" borderId="0" xfId="0" applyFont="1"/>
    <xf numFmtId="164" fontId="0" fillId="0" borderId="6" xfId="0" applyNumberFormat="1" applyBorder="1"/>
    <xf numFmtId="0" fontId="0" fillId="11" borderId="2" xfId="0" applyFill="1" applyBorder="1" applyAlignment="1">
      <alignment vertical="top" wrapText="1"/>
    </xf>
    <xf numFmtId="0" fontId="0" fillId="11" borderId="8" xfId="0" applyFill="1" applyBorder="1" applyAlignment="1">
      <alignment vertical="top" wrapText="1"/>
    </xf>
    <xf numFmtId="0" fontId="0" fillId="11" borderId="7" xfId="0" applyFill="1" applyBorder="1" applyAlignment="1">
      <alignment vertical="top" wrapText="1"/>
    </xf>
    <xf numFmtId="0" fontId="0" fillId="11" borderId="5" xfId="0" applyFill="1" applyBorder="1" applyAlignment="1">
      <alignment vertical="top" wrapText="1"/>
    </xf>
    <xf numFmtId="0" fontId="0" fillId="12" borderId="7" xfId="0" applyFill="1" applyBorder="1" applyAlignment="1">
      <alignment vertical="top" wrapText="1"/>
    </xf>
    <xf numFmtId="0" fontId="0" fillId="12" borderId="8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0" fillId="12" borderId="0" xfId="0" applyFill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2" borderId="4" xfId="0" applyFill="1" applyBorder="1" applyAlignment="1">
      <alignment vertical="top" wrapText="1"/>
    </xf>
    <xf numFmtId="0" fontId="0" fillId="13" borderId="6" xfId="0" applyFill="1" applyBorder="1" applyAlignment="1">
      <alignment vertical="top" wrapText="1"/>
    </xf>
    <xf numFmtId="0" fontId="8" fillId="0" borderId="0" xfId="0" applyFont="1"/>
    <xf numFmtId="0" fontId="0" fillId="9" borderId="0" xfId="0" applyFill="1"/>
    <xf numFmtId="14" fontId="10" fillId="15" borderId="6" xfId="0" applyNumberFormat="1" applyFont="1" applyFill="1" applyBorder="1" applyAlignment="1">
      <alignment horizontal="right"/>
    </xf>
    <xf numFmtId="0" fontId="9" fillId="15" borderId="6" xfId="0" applyFont="1" applyFill="1" applyBorder="1"/>
    <xf numFmtId="0" fontId="10" fillId="15" borderId="6" xfId="0" applyFont="1" applyFill="1" applyBorder="1"/>
    <xf numFmtId="0" fontId="0" fillId="16" borderId="0" xfId="0" applyFill="1" applyAlignment="1">
      <alignment vertical="top" wrapText="1"/>
    </xf>
    <xf numFmtId="0" fontId="0" fillId="13" borderId="9" xfId="0" applyFill="1" applyBorder="1" applyAlignment="1">
      <alignment vertical="top" wrapText="1"/>
    </xf>
    <xf numFmtId="0" fontId="0" fillId="14" borderId="12" xfId="0" applyFill="1" applyBorder="1" applyAlignment="1">
      <alignment vertical="top" wrapText="1"/>
    </xf>
    <xf numFmtId="0" fontId="0" fillId="14" borderId="13" xfId="0" applyFill="1" applyBorder="1" applyAlignment="1">
      <alignment vertical="top" wrapText="1"/>
    </xf>
    <xf numFmtId="0" fontId="0" fillId="17" borderId="1" xfId="0" applyFill="1" applyBorder="1" applyAlignment="1">
      <alignment vertical="top" wrapText="1"/>
    </xf>
    <xf numFmtId="0" fontId="0" fillId="17" borderId="2" xfId="0" applyFill="1" applyBorder="1" applyAlignment="1">
      <alignment vertical="top" wrapText="1"/>
    </xf>
    <xf numFmtId="0" fontId="0" fillId="16" borderId="3" xfId="0" applyFill="1" applyBorder="1" applyAlignment="1">
      <alignment vertical="top" wrapText="1"/>
    </xf>
    <xf numFmtId="0" fontId="0" fillId="16" borderId="4" xfId="0" applyFill="1" applyBorder="1" applyAlignment="1">
      <alignment vertical="top" wrapText="1"/>
    </xf>
    <xf numFmtId="0" fontId="0" fillId="18" borderId="0" xfId="0" applyFill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0" fillId="18" borderId="4" xfId="0" applyFill="1" applyBorder="1" applyAlignment="1">
      <alignment vertical="top" wrapText="1"/>
    </xf>
    <xf numFmtId="0" fontId="0" fillId="18" borderId="5" xfId="0" applyFill="1" applyBorder="1" applyAlignment="1">
      <alignment vertical="top" wrapText="1"/>
    </xf>
    <xf numFmtId="0" fontId="1" fillId="0" borderId="4" xfId="0" applyFont="1" applyBorder="1"/>
    <xf numFmtId="0" fontId="7" fillId="0" borderId="6" xfId="0" applyFont="1" applyBorder="1"/>
    <xf numFmtId="0" fontId="8" fillId="0" borderId="6" xfId="0" applyFont="1" applyBorder="1"/>
    <xf numFmtId="0" fontId="11" fillId="0" borderId="0" xfId="0" applyFont="1"/>
    <xf numFmtId="0" fontId="3" fillId="18" borderId="0" xfId="0" applyFont="1" applyFill="1" applyAlignment="1">
      <alignment vertical="top" wrapText="1"/>
    </xf>
    <xf numFmtId="14" fontId="4" fillId="0" borderId="0" xfId="0" applyNumberFormat="1" applyFont="1"/>
    <xf numFmtId="164" fontId="4" fillId="0" borderId="0" xfId="0" applyNumberFormat="1" applyFont="1"/>
    <xf numFmtId="0" fontId="4" fillId="0" borderId="0" xfId="0" applyFont="1"/>
    <xf numFmtId="0" fontId="0" fillId="2" borderId="0" xfId="0" applyFill="1" applyAlignment="1">
      <alignment vertical="top" wrapText="1"/>
    </xf>
    <xf numFmtId="165" fontId="2" fillId="0" borderId="0" xfId="0" applyNumberFormat="1" applyFont="1" applyAlignment="1">
      <alignment horizontal="right"/>
    </xf>
    <xf numFmtId="0" fontId="1" fillId="0" borderId="0" xfId="0" applyFont="1"/>
    <xf numFmtId="165" fontId="2" fillId="0" borderId="6" xfId="0" applyNumberFormat="1" applyFont="1" applyBorder="1" applyAlignment="1">
      <alignment horizontal="right"/>
    </xf>
    <xf numFmtId="0" fontId="0" fillId="11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17" fontId="0" fillId="4" borderId="0" xfId="0" applyNumberFormat="1" applyFill="1" applyAlignment="1">
      <alignment vertical="top" wrapText="1"/>
    </xf>
    <xf numFmtId="17" fontId="0" fillId="13" borderId="0" xfId="0" applyNumberFormat="1" applyFill="1" applyAlignment="1">
      <alignment vertical="top" wrapText="1"/>
    </xf>
    <xf numFmtId="0" fontId="0" fillId="6" borderId="0" xfId="0" applyFill="1"/>
    <xf numFmtId="17" fontId="0" fillId="6" borderId="0" xfId="0" applyNumberFormat="1" applyFill="1"/>
    <xf numFmtId="43" fontId="0" fillId="0" borderId="0" xfId="0" applyNumberFormat="1"/>
    <xf numFmtId="43" fontId="0" fillId="0" borderId="0" xfId="0" applyNumberFormat="1" applyAlignment="1">
      <alignment horizontal="left"/>
    </xf>
    <xf numFmtId="164" fontId="4" fillId="0" borderId="6" xfId="0" applyNumberFormat="1" applyFont="1" applyBorder="1"/>
    <xf numFmtId="0" fontId="13" fillId="0" borderId="6" xfId="0" applyFont="1" applyBorder="1"/>
    <xf numFmtId="14" fontId="0" fillId="0" borderId="6" xfId="0" applyNumberFormat="1" applyBorder="1"/>
    <xf numFmtId="0" fontId="15" fillId="0" borderId="0" xfId="0" applyFont="1"/>
    <xf numFmtId="0" fontId="16" fillId="19" borderId="18" xfId="0" applyFont="1" applyFill="1" applyBorder="1" applyAlignment="1">
      <alignment horizontal="center" vertical="center"/>
    </xf>
    <xf numFmtId="0" fontId="0" fillId="21" borderId="0" xfId="0" applyFill="1" applyAlignment="1">
      <alignment horizontal="center"/>
    </xf>
    <xf numFmtId="0" fontId="0" fillId="23" borderId="21" xfId="0" applyFill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18" xfId="0" applyBorder="1"/>
    <xf numFmtId="0" fontId="17" fillId="0" borderId="0" xfId="0" applyFont="1" applyAlignment="1">
      <alignment horizontal="center" vertical="center"/>
    </xf>
    <xf numFmtId="0" fontId="0" fillId="24" borderId="25" xfId="0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7" fillId="0" borderId="0" xfId="0" applyFont="1" applyAlignment="1">
      <alignment horizontal="center"/>
    </xf>
    <xf numFmtId="0" fontId="0" fillId="24" borderId="25" xfId="0" applyFill="1" applyBorder="1" applyAlignment="1">
      <alignment horizontal="center"/>
    </xf>
    <xf numFmtId="0" fontId="17" fillId="0" borderId="26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18" fillId="0" borderId="23" xfId="0" applyFont="1" applyBorder="1" applyAlignment="1">
      <alignment horizontal="center" vertical="center"/>
    </xf>
    <xf numFmtId="0" fontId="17" fillId="22" borderId="18" xfId="0" applyFont="1" applyFill="1" applyBorder="1" applyAlignment="1">
      <alignment horizontal="center"/>
    </xf>
    <xf numFmtId="0" fontId="15" fillId="21" borderId="0" xfId="0" applyFont="1" applyFill="1"/>
    <xf numFmtId="0" fontId="0" fillId="25" borderId="0" xfId="0" applyFill="1"/>
    <xf numFmtId="0" fontId="17" fillId="25" borderId="0" xfId="0" applyFont="1" applyFill="1" applyAlignment="1">
      <alignment horizontal="center" vertical="center"/>
    </xf>
    <xf numFmtId="0" fontId="17" fillId="25" borderId="0" xfId="0" applyFont="1" applyFill="1" applyAlignment="1">
      <alignment horizontal="center"/>
    </xf>
    <xf numFmtId="0" fontId="15" fillId="12" borderId="0" xfId="0" applyFont="1" applyFill="1"/>
    <xf numFmtId="0" fontId="0" fillId="23" borderId="0" xfId="0" applyFill="1"/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center"/>
    </xf>
    <xf numFmtId="9" fontId="0" fillId="0" borderId="0" xfId="2" applyFont="1"/>
    <xf numFmtId="166" fontId="3" fillId="0" borderId="0" xfId="1" applyNumberFormat="1" applyFont="1"/>
    <xf numFmtId="166" fontId="3" fillId="0" borderId="0" xfId="0" applyNumberFormat="1" applyFont="1"/>
    <xf numFmtId="0" fontId="0" fillId="26" borderId="0" xfId="0" applyFill="1"/>
    <xf numFmtId="0" fontId="2" fillId="26" borderId="0" xfId="0" applyFont="1" applyFill="1"/>
    <xf numFmtId="166" fontId="0" fillId="0" borderId="0" xfId="1" applyNumberFormat="1" applyFont="1"/>
    <xf numFmtId="165" fontId="19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wrapText="1"/>
    </xf>
    <xf numFmtId="0" fontId="4" fillId="9" borderId="0" xfId="0" applyFont="1" applyFill="1"/>
    <xf numFmtId="0" fontId="20" fillId="0" borderId="0" xfId="0" applyFont="1"/>
    <xf numFmtId="0" fontId="0" fillId="0" borderId="0" xfId="0" applyAlignment="1">
      <alignment horizontal="left"/>
    </xf>
    <xf numFmtId="166" fontId="0" fillId="6" borderId="0" xfId="1" applyNumberFormat="1" applyFont="1" applyFill="1"/>
    <xf numFmtId="0" fontId="0" fillId="6" borderId="0" xfId="0" applyFill="1" applyAlignment="1">
      <alignment horizontal="left"/>
    </xf>
    <xf numFmtId="43" fontId="0" fillId="6" borderId="0" xfId="0" applyNumberFormat="1" applyFill="1"/>
    <xf numFmtId="15" fontId="5" fillId="0" borderId="0" xfId="0" applyNumberFormat="1" applyFont="1"/>
    <xf numFmtId="14" fontId="5" fillId="0" borderId="0" xfId="0" applyNumberFormat="1" applyFont="1"/>
    <xf numFmtId="164" fontId="5" fillId="0" borderId="0" xfId="0" applyNumberFormat="1" applyFont="1"/>
    <xf numFmtId="0" fontId="0" fillId="2" borderId="0" xfId="0" applyFill="1"/>
    <xf numFmtId="166" fontId="0" fillId="2" borderId="0" xfId="1" applyNumberFormat="1" applyFont="1" applyFill="1"/>
    <xf numFmtId="164" fontId="21" fillId="27" borderId="0" xfId="0" applyNumberFormat="1" applyFont="1" applyFill="1"/>
    <xf numFmtId="14" fontId="4" fillId="0" borderId="0" xfId="0" applyNumberFormat="1" applyFont="1" applyAlignment="1">
      <alignment horizontal="right"/>
    </xf>
    <xf numFmtId="43" fontId="1" fillId="0" borderId="27" xfId="0" applyNumberFormat="1" applyFont="1" applyBorder="1"/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5" xfId="0" applyFont="1" applyFill="1" applyBorder="1" applyAlignment="1">
      <alignment vertical="top" wrapText="1"/>
    </xf>
    <xf numFmtId="0" fontId="1" fillId="6" borderId="3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 wrapText="1"/>
    </xf>
    <xf numFmtId="0" fontId="1" fillId="7" borderId="3" xfId="0" applyFont="1" applyFill="1" applyBorder="1" applyAlignment="1">
      <alignment vertical="top" wrapText="1"/>
    </xf>
    <xf numFmtId="0" fontId="1" fillId="7" borderId="7" xfId="0" applyFont="1" applyFill="1" applyBorder="1" applyAlignment="1">
      <alignment vertical="top" wrapText="1"/>
    </xf>
    <xf numFmtId="0" fontId="1" fillId="8" borderId="7" xfId="0" applyFont="1" applyFill="1" applyBorder="1" applyAlignment="1">
      <alignment vertical="top" wrapText="1"/>
    </xf>
    <xf numFmtId="0" fontId="1" fillId="10" borderId="7" xfId="0" applyFont="1" applyFill="1" applyBorder="1" applyAlignment="1">
      <alignment vertical="top" wrapText="1"/>
    </xf>
    <xf numFmtId="0" fontId="1" fillId="11" borderId="7" xfId="0" applyFont="1" applyFill="1" applyBorder="1" applyAlignment="1">
      <alignment vertical="top" wrapText="1"/>
    </xf>
    <xf numFmtId="0" fontId="1" fillId="11" borderId="5" xfId="0" applyFont="1" applyFill="1" applyBorder="1" applyAlignment="1">
      <alignment vertical="top" wrapText="1"/>
    </xf>
    <xf numFmtId="0" fontId="1" fillId="12" borderId="7" xfId="0" applyFont="1" applyFill="1" applyBorder="1" applyAlignment="1">
      <alignment vertical="top" wrapText="1"/>
    </xf>
    <xf numFmtId="0" fontId="1" fillId="12" borderId="4" xfId="0" applyFont="1" applyFill="1" applyBorder="1" applyAlignment="1">
      <alignment vertical="top" wrapText="1"/>
    </xf>
    <xf numFmtId="0" fontId="1" fillId="13" borderId="6" xfId="0" applyFont="1" applyFill="1" applyBorder="1" applyAlignment="1">
      <alignment vertical="top" wrapText="1"/>
    </xf>
    <xf numFmtId="0" fontId="1" fillId="13" borderId="9" xfId="0" applyFont="1" applyFill="1" applyBorder="1" applyAlignment="1">
      <alignment vertical="top" wrapText="1"/>
    </xf>
    <xf numFmtId="0" fontId="1" fillId="14" borderId="10" xfId="0" applyFont="1" applyFill="1" applyBorder="1" applyAlignment="1">
      <alignment vertical="top" wrapText="1"/>
    </xf>
    <xf numFmtId="0" fontId="1" fillId="14" borderId="11" xfId="0" applyFont="1" applyFill="1" applyBorder="1" applyAlignment="1">
      <alignment vertical="top" wrapText="1"/>
    </xf>
    <xf numFmtId="0" fontId="1" fillId="16" borderId="0" xfId="0" applyFont="1" applyFill="1" applyAlignment="1">
      <alignment vertical="top" wrapText="1"/>
    </xf>
    <xf numFmtId="0" fontId="1" fillId="17" borderId="16" xfId="0" applyFont="1" applyFill="1" applyBorder="1" applyAlignment="1">
      <alignment vertical="top" wrapText="1"/>
    </xf>
    <xf numFmtId="0" fontId="1" fillId="17" borderId="17" xfId="0" applyFont="1" applyFill="1" applyBorder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18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17" fontId="1" fillId="11" borderId="0" xfId="0" applyNumberFormat="1" applyFont="1" applyFill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7" borderId="8" xfId="0" applyFont="1" applyFill="1" applyBorder="1" applyAlignment="1">
      <alignment vertical="top" wrapText="1"/>
    </xf>
    <xf numFmtId="0" fontId="1" fillId="14" borderId="14" xfId="0" applyFont="1" applyFill="1" applyBorder="1" applyAlignment="1">
      <alignment vertical="top" wrapText="1"/>
    </xf>
    <xf numFmtId="0" fontId="1" fillId="14" borderId="15" xfId="0" applyFont="1" applyFill="1" applyBorder="1" applyAlignment="1">
      <alignment vertical="top" wrapText="1"/>
    </xf>
    <xf numFmtId="0" fontId="1" fillId="17" borderId="3" xfId="0" applyFont="1" applyFill="1" applyBorder="1" applyAlignment="1">
      <alignment vertical="top" wrapText="1"/>
    </xf>
    <xf numFmtId="0" fontId="1" fillId="17" borderId="5" xfId="0" applyFont="1" applyFill="1" applyBorder="1" applyAlignment="1">
      <alignment vertical="top" wrapText="1"/>
    </xf>
    <xf numFmtId="9" fontId="1" fillId="0" borderId="0" xfId="2" applyFont="1"/>
    <xf numFmtId="0" fontId="16" fillId="20" borderId="19" xfId="0" applyFont="1" applyFill="1" applyBorder="1" applyAlignment="1">
      <alignment horizontal="center" vertical="center"/>
    </xf>
    <xf numFmtId="0" fontId="16" fillId="20" borderId="18" xfId="0" applyFont="1" applyFill="1" applyBorder="1" applyAlignment="1">
      <alignment horizontal="center" vertical="center"/>
    </xf>
    <xf numFmtId="0" fontId="16" fillId="20" borderId="6" xfId="0" applyFont="1" applyFill="1" applyBorder="1" applyAlignment="1">
      <alignment horizontal="center" vertical="center"/>
    </xf>
    <xf numFmtId="0" fontId="0" fillId="21" borderId="20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0" fillId="21" borderId="0" xfId="0" applyFill="1" applyAlignment="1">
      <alignment horizontal="center"/>
    </xf>
    <xf numFmtId="0" fontId="0" fillId="21" borderId="21" xfId="0" applyFill="1" applyBorder="1" applyAlignment="1">
      <alignment horizontal="center"/>
    </xf>
    <xf numFmtId="49" fontId="0" fillId="21" borderId="22" xfId="0" applyNumberFormat="1" applyFill="1" applyBorder="1" applyAlignment="1">
      <alignment horizontal="center"/>
    </xf>
    <xf numFmtId="49" fontId="0" fillId="21" borderId="21" xfId="0" applyNumberFormat="1" applyFill="1" applyBorder="1" applyAlignment="1">
      <alignment horizontal="center"/>
    </xf>
    <xf numFmtId="0" fontId="15" fillId="22" borderId="6" xfId="0" applyFont="1" applyFill="1" applyBorder="1" applyAlignment="1">
      <alignment horizontal="center" vertical="center" wrapText="1"/>
    </xf>
    <xf numFmtId="0" fontId="15" fillId="22" borderId="24" xfId="0" applyFont="1" applyFill="1" applyBorder="1" applyAlignment="1">
      <alignment horizontal="center" vertical="center" wrapText="1"/>
    </xf>
    <xf numFmtId="49" fontId="16" fillId="20" borderId="6" xfId="0" applyNumberFormat="1" applyFont="1" applyFill="1" applyBorder="1" applyAlignment="1">
      <alignment horizontal="center" vertical="center" wrapText="1"/>
    </xf>
    <xf numFmtId="49" fontId="16" fillId="20" borderId="24" xfId="0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 cent" xfId="2" builtinId="5"/>
  </cellStyles>
  <dxfs count="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9</xdr:col>
      <xdr:colOff>381000</xdr:colOff>
      <xdr:row>30</xdr:row>
      <xdr:rowOff>66833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91B17C-4D56-C9F3-2C6C-5491DA100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7772400" cy="61628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647700</xdr:colOff>
      <xdr:row>17</xdr:row>
      <xdr:rowOff>165100</xdr:rowOff>
    </xdr:from>
    <xdr:to>
      <xdr:col>27</xdr:col>
      <xdr:colOff>508000</xdr:colOff>
      <xdr:row>41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A33F02-5AA0-736E-660E-B923219CB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2200" y="3657600"/>
          <a:ext cx="6464300" cy="48006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nna Sadlonova" refreshedDate="45684.646506249999" createdVersion="8" refreshedVersion="8" minRefreshableVersion="3" recordCount="251" xr:uid="{69F93633-154D-B043-92B3-4D178A60E314}">
  <cacheSource type="worksheet">
    <worksheetSource ref="A1:F252" sheet="P&amp;L"/>
  </cacheSource>
  <cacheFields count="8">
    <cacheField name="Transaction Date" numFmtId="165">
      <sharedItems containsSemiMixedTypes="0" containsNonDate="0" containsDate="1" containsString="0" minDate="2024-05-01T00:00:00" maxDate="2025-01-24T00:00:00" count="135">
        <d v="2025-01-23T00:00:00"/>
        <d v="2025-01-22T00:00:00"/>
        <d v="2025-01-21T00:00:00"/>
        <d v="2025-01-18T00:00:00"/>
        <d v="2025-01-17T00:00:00"/>
        <d v="2025-01-15T00:00:00"/>
        <d v="2025-01-14T00:00:00"/>
        <d v="2025-01-13T00:00:00"/>
        <d v="2025-01-11T00:00:00"/>
        <d v="2025-01-10T00:00:00"/>
        <d v="2025-01-09T00:00:00"/>
        <d v="2025-01-08T00:00:00"/>
        <d v="2025-01-07T00:00:00"/>
        <d v="2025-01-06T00:00:00"/>
        <d v="2025-01-05T00:00:00"/>
        <d v="2025-01-03T00:00:00"/>
        <d v="2025-01-02T00:00:00"/>
        <d v="2025-01-01T00:00:00"/>
        <d v="2024-12-23T00:00:00"/>
        <d v="2024-12-17T00:00:00"/>
        <d v="2024-12-16T00:00:00"/>
        <d v="2024-12-15T00:00:00"/>
        <d v="2024-12-13T00:00:00"/>
        <d v="2024-12-12T00:00:00"/>
        <d v="2024-12-11T00:00:00"/>
        <d v="2024-12-09T00:00:00"/>
        <d v="2024-12-08T00:00:00"/>
        <d v="2024-12-06T00:00:00"/>
        <d v="2024-12-05T00:00:00"/>
        <d v="2024-12-04T00:00:00"/>
        <d v="2024-12-03T00:00:00"/>
        <d v="2024-12-02T00:00:00"/>
        <d v="2024-11-29T00:00:00"/>
        <d v="2024-11-25T00:00:00"/>
        <d v="2024-11-21T00:00:00"/>
        <d v="2024-11-19T00:00:00"/>
        <d v="2024-11-18T00:00:00"/>
        <d v="2024-11-17T00:00:00"/>
        <d v="2024-11-15T00:00:00"/>
        <d v="2024-11-13T00:00:00"/>
        <d v="2024-11-12T00:00:00"/>
        <d v="2024-11-09T00:00:00"/>
        <d v="2024-11-08T00:00:00"/>
        <d v="2024-11-05T00:00:00"/>
        <d v="2024-11-04T00:00:00"/>
        <d v="2024-11-03T00:00:00"/>
        <d v="2024-11-02T00:00:00"/>
        <d v="2024-11-01T00:00:00"/>
        <d v="2024-10-28T00:00:00"/>
        <d v="2024-10-25T00:00:00"/>
        <d v="2024-10-22T00:00:00"/>
        <d v="2024-10-18T00:00:00"/>
        <d v="2024-10-17T00:00:00"/>
        <d v="2024-10-16T00:00:00"/>
        <d v="2024-10-15T00:00:00"/>
        <d v="2024-10-14T00:00:00"/>
        <d v="2024-10-13T00:00:00"/>
        <d v="2024-10-11T00:00:00"/>
        <d v="2024-10-10T00:00:00"/>
        <d v="2024-10-09T00:00:00"/>
        <d v="2024-10-08T00:00:00"/>
        <d v="2024-10-07T00:00:00"/>
        <d v="2024-10-05T00:00:00"/>
        <d v="2024-10-03T00:00:00"/>
        <d v="2024-10-02T00:00:00"/>
        <d v="2024-09-30T00:00:00"/>
        <d v="2024-09-28T00:00:00"/>
        <d v="2024-09-27T00:00:00"/>
        <d v="2024-09-26T00:00:00"/>
        <d v="2024-09-24T00:00:00"/>
        <d v="2024-09-23T00:00:00"/>
        <d v="2024-09-22T00:00:00"/>
        <d v="2024-09-21T00:00:00"/>
        <d v="2024-09-19T00:00:00"/>
        <d v="2024-09-18T00:00:00"/>
        <d v="2024-09-17T00:00:00"/>
        <d v="2024-09-16T00:00:00"/>
        <d v="2024-09-13T00:00:00"/>
        <d v="2024-09-12T00:00:00"/>
        <d v="2024-09-11T00:00:00"/>
        <d v="2024-09-10T00:00:00"/>
        <d v="2024-09-09T00:00:00"/>
        <d v="2024-09-08T00:00:00"/>
        <d v="2024-09-06T00:00:00"/>
        <d v="2024-09-05T00:00:00"/>
        <d v="2024-09-04T00:00:00"/>
        <d v="2024-09-02T00:00:00"/>
        <d v="2024-08-26T00:00:00"/>
        <d v="2024-08-19T00:00:00"/>
        <d v="2024-08-16T00:00:00"/>
        <d v="2024-08-15T00:00:00"/>
        <d v="2024-08-13T00:00:00"/>
        <d v="2024-08-12T00:00:00"/>
        <d v="2024-08-09T00:00:00"/>
        <d v="2024-08-07T00:00:00"/>
        <d v="2024-08-06T00:00:00"/>
        <d v="2024-08-05T00:00:00"/>
        <d v="2024-08-01T00:00:00"/>
        <d v="2024-07-29T00:00:00"/>
        <d v="2024-07-25T00:00:00"/>
        <d v="2024-07-23T00:00:00"/>
        <d v="2024-07-22T00:00:00"/>
        <d v="2024-07-19T00:00:00"/>
        <d v="2024-07-15T00:00:00"/>
        <d v="2024-07-14T00:00:00"/>
        <d v="2024-07-12T00:00:00"/>
        <d v="2024-07-11T00:00:00"/>
        <d v="2024-07-10T00:00:00"/>
        <d v="2024-07-09T00:00:00"/>
        <d v="2024-07-08T00:00:00"/>
        <d v="2024-07-05T00:00:00"/>
        <d v="2024-07-03T00:00:00"/>
        <d v="2024-07-01T00:00:00"/>
        <d v="2024-06-24T00:00:00"/>
        <d v="2024-06-19T00:00:00"/>
        <d v="2024-06-17T00:00:00"/>
        <d v="2024-06-13T00:00:00"/>
        <d v="2024-06-10T00:00:00"/>
        <d v="2024-06-09T00:00:00"/>
        <d v="2024-06-08T00:00:00"/>
        <d v="2024-06-05T00:00:00"/>
        <d v="2024-06-03T00:00:00"/>
        <d v="2024-05-30T00:00:00"/>
        <d v="2024-05-29T00:00:00"/>
        <d v="2024-05-27T00:00:00"/>
        <d v="2024-05-20T00:00:00"/>
        <d v="2024-05-17T00:00:00"/>
        <d v="2024-05-16T00:00:00"/>
        <d v="2024-05-15T00:00:00"/>
        <d v="2024-05-13T00:00:00"/>
        <d v="2024-05-09T00:00:00"/>
        <d v="2024-05-08T00:00:00"/>
        <d v="2024-05-07T00:00:00"/>
        <d v="2024-05-06T00:00:00"/>
        <d v="2024-05-01T00:00:00"/>
      </sharedItems>
      <fieldGroup par="7"/>
    </cacheField>
    <cacheField name="Nature" numFmtId="0">
      <sharedItems containsBlank="1" count="4">
        <s v="Cost"/>
        <s v="Revenue"/>
        <s v="Revenue "/>
        <m u="1"/>
      </sharedItems>
    </cacheField>
    <cacheField name="Amount" numFmtId="164">
      <sharedItems containsSemiMixedTypes="0" containsString="0" containsNumber="1" minValue="-15600" maxValue="22500" count="196">
        <n v="-3280"/>
        <n v="-70.27"/>
        <n v="-27.57"/>
        <n v="-5.87"/>
        <n v="-11.38"/>
        <n v="-18.53"/>
        <n v="-70"/>
        <n v="-6600"/>
        <n v="-20"/>
        <n v="-27.33"/>
        <n v="-1296"/>
        <n v="-1672"/>
        <n v="-24"/>
        <n v="-31.02"/>
        <n v="-1252.1400000000001"/>
        <n v="-1003.45"/>
        <n v="-1081"/>
        <n v="-2260"/>
        <n v="-31.03"/>
        <n v="-27.6"/>
        <n v="-581.64"/>
        <n v="-20.45"/>
        <n v="-19.690000000000001"/>
        <n v="-3000"/>
        <n v="-9.27"/>
        <n v="-471.13"/>
        <n v="-29.06"/>
        <n v="-236"/>
        <n v="-8738.99"/>
        <n v="-97.5"/>
        <n v="-36.96"/>
        <n v="22500"/>
        <n v="-62.8"/>
        <n v="-1560"/>
        <n v="-88.61"/>
        <n v="-628.77"/>
        <n v="-112.35"/>
        <n v="-49.14"/>
        <n v="-1621.5"/>
        <n v="-594"/>
        <n v="-2160"/>
        <n v="-42.72"/>
        <n v="-640"/>
        <n v="-8732.0499999999993"/>
        <n v="-309.69"/>
        <n v="-1500"/>
        <n v="11830"/>
        <n v="-81.2"/>
        <n v="-2556"/>
        <n v="-15600"/>
        <n v="-203.75"/>
        <n v="-28.98"/>
        <n v="-20.99"/>
        <n v="-1960"/>
        <n v="-1252.1199999999999"/>
        <n v="-416.43"/>
        <n v="-1175"/>
        <n v="-226.77"/>
        <n v="-1430"/>
        <n v="7324.6"/>
        <n v="-80.28"/>
        <n v="-37.86"/>
        <n v="13000"/>
        <n v="-38.369999999999997"/>
        <n v="-200.2"/>
        <n v="-19.07"/>
        <n v="-22.32"/>
        <n v="-493.77"/>
        <n v="-17.25"/>
        <n v="-196.98"/>
        <n v="-29.9"/>
        <n v="-372.49"/>
        <n v="-814.51"/>
        <n v="-312.62"/>
        <n v="-0.4"/>
        <n v="-15.83"/>
        <n v="-1728"/>
        <n v="-1980"/>
        <n v="-8702.33"/>
        <n v="-212.4"/>
        <n v="-3.2"/>
        <n v="-90.78"/>
        <n v="-58.39"/>
        <n v="-45.16"/>
        <n v="-24.32"/>
        <n v="-115.89"/>
        <n v="-134.01"/>
        <n v="-25.57"/>
        <n v="-156.80000000000001"/>
        <n v="-103.51"/>
        <n v="-18.91"/>
        <n v="-43.8"/>
        <n v="-108.77"/>
        <n v="-29.84"/>
        <n v="-89.02"/>
        <n v="-37.369999999999997"/>
        <n v="-18.79"/>
        <n v="-36.31"/>
        <n v="-41.48"/>
        <n v="-22.35"/>
        <n v="-3780"/>
        <n v="-1872"/>
        <n v="-196"/>
        <n v="-8"/>
        <n v="-60.78"/>
        <n v="-18.07"/>
        <n v="-106.18"/>
        <n v="-1913.34"/>
        <n v="-25.6"/>
        <n v="-200"/>
        <n v="-95.99"/>
        <n v="-960.4"/>
        <n v="-32.76"/>
        <n v="-105.57"/>
        <n v="-41.59"/>
        <n v="-42.56"/>
        <n v="-1308.43"/>
        <n v="-6025.55"/>
        <n v="-13.66"/>
        <n v="-200.81"/>
        <n v="-78"/>
        <n v="-945"/>
        <n v="-558.6"/>
        <n v="-83.94"/>
        <n v="-480.2"/>
        <n v="-79.150000000000006"/>
        <n v="-176.4"/>
        <n v="-24.99"/>
        <n v="-5.25"/>
        <n v="-59.98"/>
        <n v="-58.28"/>
        <n v="-100"/>
        <n v="-5"/>
        <n v="-10"/>
        <n v="-156.75"/>
        <n v="-95"/>
        <n v="-24.1"/>
        <n v="-11.98"/>
        <n v="-91.88"/>
        <n v="-131.25"/>
        <n v="-717"/>
        <n v="-401.8"/>
        <n v="-1071"/>
        <n v="-60.16"/>
        <n v="-72.62"/>
        <n v="-216.28"/>
        <n v="-14.95"/>
        <n v="-1764"/>
        <n v="-840"/>
        <n v="-367.5"/>
        <n v="-140.02000000000001"/>
        <n v="-71.099999999999994"/>
        <n v="-413"/>
        <n v="-882"/>
        <n v="-826"/>
        <n v="-535.5"/>
        <n v="-700"/>
        <n v="-1470"/>
        <n v="-164.5"/>
        <n v="-1180.95"/>
        <n v="-227.5"/>
        <n v="-123.92"/>
        <n v="-9.99"/>
        <n v="-84"/>
        <n v="-385"/>
        <n v="-262.5"/>
        <n v="-105"/>
        <n v="-357"/>
        <n v="-131.94999999999999"/>
        <n v="15000"/>
        <n v="-167.92"/>
        <n v="-125.87"/>
        <n v="-278.25"/>
        <n v="-298.25"/>
        <n v="-11.17"/>
        <n v="-335.4"/>
        <n v="-210"/>
        <n v="-420"/>
        <n v="-460.6"/>
        <n v="-264.60000000000002"/>
        <n v="-344.45"/>
        <n v="-162.44999999999999"/>
        <n v="-354.95"/>
        <n v="-192.25"/>
        <n v="-214.33"/>
        <n v="-31.28"/>
        <n v="-328.35"/>
        <n v="-319.95"/>
        <n v="-17.78"/>
        <n v="-8.5299999999999994"/>
        <n v="-47.25"/>
        <n v="-1063.9000000000001"/>
        <n v="-12"/>
        <n v="-80.59"/>
        <n v="-43.45"/>
        <n v="-195"/>
      </sharedItems>
    </cacheField>
    <cacheField name="Description" numFmtId="0">
      <sharedItems/>
    </cacheField>
    <cacheField name="Project" numFmtId="0">
      <sharedItems count="26">
        <s v="Niki costs"/>
        <s v="Information Technology Costs"/>
        <s v="Automotive"/>
        <s v="Laurel app"/>
        <s v="Professional services"/>
        <s v="Abri costs"/>
        <s v="Jan costs"/>
        <s v="Carmen costs"/>
        <s v="Petrana costs"/>
        <s v="Marianna costs"/>
        <s v="Bills and utilities"/>
        <s v="Rental "/>
        <s v="Fees"/>
        <s v="Food &amp; Drink"/>
        <s v="Metropolitan"/>
        <s v="Travel"/>
        <s v="Entertainment"/>
        <s v="Infrastructure"/>
        <s v="Web developer"/>
        <s v="Stone-Goff Prototype App"/>
        <s v="Set data and analytics"/>
        <s v="Sports club"/>
        <s v="Rental" u="1"/>
        <s v="Laurel" u="1"/>
        <s v="Office" u="1"/>
        <s v="Merchandise " u="1"/>
      </sharedItems>
    </cacheField>
    <cacheField name="Sheet" numFmtId="0">
      <sharedItems containsBlank="1"/>
    </cacheField>
    <cacheField name="Days (Transaction Date)" numFmtId="0" databaseField="0">
      <fieldGroup base="0">
        <rangePr groupBy="days" startDate="2024-05-01T00:00:00" endDate="2025-01-24T00:00:00"/>
        <groupItems count="368">
          <s v="&lt;01/05/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/01/2025"/>
        </groupItems>
      </fieldGroup>
    </cacheField>
    <cacheField name="Months (Transaction Date)" numFmtId="0" databaseField="0">
      <fieldGroup base="0">
        <rangePr groupBy="months" startDate="2024-05-01T00:00:00" endDate="2025-01-24T00:00:00"/>
        <groupItems count="14">
          <s v="&lt;01/0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0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">
  <r>
    <x v="0"/>
    <x v="0"/>
    <x v="0"/>
    <s v="Dec 24 Niki"/>
    <x v="0"/>
    <m/>
  </r>
  <r>
    <x v="0"/>
    <x v="0"/>
    <x v="1"/>
    <s v="ATT*BILL PAYMENT"/>
    <x v="1"/>
    <m/>
  </r>
  <r>
    <x v="1"/>
    <x v="0"/>
    <x v="2"/>
    <s v="TESLA SUPERCHARGER US"/>
    <x v="2"/>
    <m/>
  </r>
  <r>
    <x v="2"/>
    <x v="0"/>
    <x v="3"/>
    <s v="TESLA SUPERCHARGER US"/>
    <x v="2"/>
    <m/>
  </r>
  <r>
    <x v="2"/>
    <x v="0"/>
    <x v="4"/>
    <s v="TESLA SUPERCHARGER US"/>
    <x v="2"/>
    <m/>
  </r>
  <r>
    <x v="3"/>
    <x v="0"/>
    <x v="5"/>
    <s v="TESLA SUPERCHARGER US"/>
    <x v="2"/>
    <m/>
  </r>
  <r>
    <x v="4"/>
    <x v="0"/>
    <x v="6"/>
    <s v="GOOGLE *FIBER GMTWRS"/>
    <x v="1"/>
    <m/>
  </r>
  <r>
    <x v="5"/>
    <x v="0"/>
    <x v="7"/>
    <s v="Swan invoice"/>
    <x v="3"/>
    <m/>
  </r>
  <r>
    <x v="5"/>
    <x v="0"/>
    <x v="8"/>
    <s v="VERCEL INC."/>
    <x v="4"/>
    <m/>
  </r>
  <r>
    <x v="6"/>
    <x v="0"/>
    <x v="9"/>
    <s v="TESLA SUPERCHARGER US"/>
    <x v="2"/>
    <m/>
  </r>
  <r>
    <x v="7"/>
    <x v="0"/>
    <x v="10"/>
    <s v="Dec 24 Abri"/>
    <x v="5"/>
    <m/>
  </r>
  <r>
    <x v="7"/>
    <x v="0"/>
    <x v="11"/>
    <s v="Dec 24 Jan"/>
    <x v="6"/>
    <m/>
  </r>
  <r>
    <x v="7"/>
    <x v="0"/>
    <x v="12"/>
    <s v="GITHUB, INC."/>
    <x v="1"/>
    <m/>
  </r>
  <r>
    <x v="8"/>
    <x v="0"/>
    <x v="13"/>
    <s v="TESLA SUPERCHARGER US"/>
    <x v="2"/>
    <m/>
  </r>
  <r>
    <x v="9"/>
    <x v="0"/>
    <x v="14"/>
    <s v="Online Payment 22689660106 To Auto Loan"/>
    <x v="2"/>
    <m/>
  </r>
  <r>
    <x v="9"/>
    <x v="0"/>
    <x v="15"/>
    <s v="GOV*NC DMV "/>
    <x v="2"/>
    <m/>
  </r>
  <r>
    <x v="10"/>
    <x v="0"/>
    <x v="16"/>
    <s v="Vendor invoice Carmen Dec 24"/>
    <x v="7"/>
    <m/>
  </r>
  <r>
    <x v="10"/>
    <x v="0"/>
    <x v="17"/>
    <s v="Vendor invoice Petrana Dec 24"/>
    <x v="8"/>
    <m/>
  </r>
  <r>
    <x v="10"/>
    <x v="0"/>
    <x v="18"/>
    <s v="TESLA SUPERCHARGER US"/>
    <x v="2"/>
    <m/>
  </r>
  <r>
    <x v="10"/>
    <x v="0"/>
    <x v="19"/>
    <s v="TESLA SUPERCHARGER US"/>
    <x v="2"/>
    <m/>
  </r>
  <r>
    <x v="11"/>
    <x v="0"/>
    <x v="20"/>
    <s v="MICROSOFT#G073073616"/>
    <x v="2"/>
    <m/>
  </r>
  <r>
    <x v="11"/>
    <x v="0"/>
    <x v="21"/>
    <s v="TESLA SUPERCHARGER US"/>
    <x v="2"/>
    <m/>
  </r>
  <r>
    <x v="11"/>
    <x v="0"/>
    <x v="22"/>
    <s v="TESLA SUPERCHARGER US"/>
    <x v="2"/>
    <m/>
  </r>
  <r>
    <x v="12"/>
    <x v="0"/>
    <x v="23"/>
    <s v="Marianna Dec 24"/>
    <x v="9"/>
    <m/>
  </r>
  <r>
    <x v="12"/>
    <x v="0"/>
    <x v="24"/>
    <s v="TESLA SUPERCHARGER US"/>
    <x v="2"/>
    <m/>
  </r>
  <r>
    <x v="12"/>
    <x v="0"/>
    <x v="25"/>
    <s v="SPI*DUKE-ENERGY"/>
    <x v="10"/>
    <m/>
  </r>
  <r>
    <x v="13"/>
    <x v="0"/>
    <x v="26"/>
    <s v="TESLA SUPERCHARGER US"/>
    <x v="2"/>
    <m/>
  </r>
  <r>
    <x v="14"/>
    <x v="0"/>
    <x v="27"/>
    <s v="MICROSOFT#G072330700"/>
    <x v="1"/>
    <m/>
  </r>
  <r>
    <x v="15"/>
    <x v="0"/>
    <x v="28"/>
    <s v="YSI*Highland North Hills"/>
    <x v="11"/>
    <m/>
  </r>
  <r>
    <x v="16"/>
    <x v="0"/>
    <x v="29"/>
    <s v="SERVICE CHARGES FOR THE MONTH OF Dec"/>
    <x v="12"/>
    <m/>
  </r>
  <r>
    <x v="17"/>
    <x v="0"/>
    <x v="30"/>
    <s v="TESLA SUPERCHARGER US"/>
    <x v="2"/>
    <m/>
  </r>
  <r>
    <x v="18"/>
    <x v="0"/>
    <x v="1"/>
    <s v="ATT*BILL PAYMENT"/>
    <x v="1"/>
    <s v="Mike CC"/>
  </r>
  <r>
    <x v="19"/>
    <x v="0"/>
    <x v="6"/>
    <s v="GOOGLE *FIBER GCKCCX"/>
    <x v="1"/>
    <s v="Mike CC"/>
  </r>
  <r>
    <x v="20"/>
    <x v="1"/>
    <x v="31"/>
    <s v="Invoice to Laurel"/>
    <x v="3"/>
    <s v="AR tab"/>
  </r>
  <r>
    <x v="21"/>
    <x v="0"/>
    <x v="32"/>
    <s v="RUTH'S CHRIS STEAK HOUSE"/>
    <x v="13"/>
    <s v="Mike CC"/>
  </r>
  <r>
    <x v="22"/>
    <x v="0"/>
    <x v="12"/>
    <s v="GITHUB, INC."/>
    <x v="1"/>
    <s v="Mike CC"/>
  </r>
  <r>
    <x v="23"/>
    <x v="0"/>
    <x v="33"/>
    <s v="ONLINE INTERNATIONAL WIRE TRANSFER A/C: JPMORGAN CHASE BANK NA - LONDON LONDON UNITED KINGDOM E14 5JP GB BEN:/LT483250004599838436 NIKOLETA NOTOVA REF: NIKI PAYMENT CONSULTANCY EXPENSES TRN: 3089514347ES 12/12"/>
    <x v="0"/>
    <s v="Bank statement"/>
  </r>
  <r>
    <x v="23"/>
    <x v="0"/>
    <x v="14"/>
    <s v="Online Payment 22689660106 To Auto Loan 1105 12/12"/>
    <x v="2"/>
    <s v="Bank statement"/>
  </r>
  <r>
    <x v="24"/>
    <x v="0"/>
    <x v="34"/>
    <s v="RH RALEIGH RESTAURANT"/>
    <x v="13"/>
    <s v="Mike CC"/>
  </r>
  <r>
    <x v="25"/>
    <x v="0"/>
    <x v="35"/>
    <s v="Microsoft-G069561849 "/>
    <x v="1"/>
    <s v="Mike CC"/>
  </r>
  <r>
    <x v="26"/>
    <x v="0"/>
    <x v="36"/>
    <s v="GOOGLE *YouTube TV"/>
    <x v="1"/>
    <s v="Mike CC"/>
  </r>
  <r>
    <x v="27"/>
    <x v="0"/>
    <x v="37"/>
    <s v="RH RALEIGH RESTAURANT"/>
    <x v="13"/>
    <s v="Mike CC"/>
  </r>
  <r>
    <x v="27"/>
    <x v="0"/>
    <x v="38"/>
    <s v="ONLINE INTERNATIONAL WIRE TRANSFER A/C: BANCO BILBAO VIZCAYA ARGENTARIA SA BILBAO 48005 SPAIN ES REF: CARMEN INVOICE NOVEMBER 2024 CONSULTANCY EXPENSES TRN: 3010984341ES 12/06"/>
    <x v="7"/>
    <s v="Freelance charge"/>
  </r>
  <r>
    <x v="27"/>
    <x v="0"/>
    <x v="39"/>
    <s v="ONLINE INTERNATIONAL WIRE TRANSFER A/C: JPMORGAN CHASE BANK NA - LONDON LONDON UNITED KINGDOM E14 5JP GB BEN:/LT323250049512365310 JAN DZUBAK REF: JAN INVOICE NOV 24 CONSULTANCY EXPENSES TRN: 3160514341ES 12/06"/>
    <x v="6"/>
    <s v="Freelance charge"/>
  </r>
  <r>
    <x v="27"/>
    <x v="0"/>
    <x v="40"/>
    <s v="Online ACH Payment 11154174100 To Abri (_###########3209)"/>
    <x v="5"/>
    <s v="Freelance charge"/>
  </r>
  <r>
    <x v="28"/>
    <x v="0"/>
    <x v="41"/>
    <s v="RH RALEIGH RESTAURANT"/>
    <x v="13"/>
    <s v="Mike CC"/>
  </r>
  <r>
    <x v="28"/>
    <x v="0"/>
    <x v="27"/>
    <s v="Microsoft-G068568619"/>
    <x v="1"/>
    <s v="Mike CC"/>
  </r>
  <r>
    <x v="29"/>
    <x v="0"/>
    <x v="42"/>
    <s v="ONLINE INTERNATIONAL WIRE TRANSFER A/C: JPMORGAN CHASE BANK NA - LONDON LONDON UNITED KINGDOM E14 5JP GB BEN:/LT863250065995442612 PETRANA GEORGIEVA PETROVA REF: PEPI - PROJECT PLANNING CONSULTANCYEXPENSES TRN: 3298474339ES 12/04"/>
    <x v="8"/>
    <s v="Freelance charge"/>
  </r>
  <r>
    <x v="30"/>
    <x v="0"/>
    <x v="43"/>
    <s v="YSI*Highland North Hills"/>
    <x v="11"/>
    <s v="Mike CC"/>
  </r>
  <r>
    <x v="30"/>
    <x v="0"/>
    <x v="44"/>
    <s v="ESET WWW.ESET.COM"/>
    <x v="1"/>
    <s v="Marianna CC"/>
  </r>
  <r>
    <x v="31"/>
    <x v="0"/>
    <x v="29"/>
    <s v="bank fee"/>
    <x v="12"/>
    <s v="Bank statement"/>
  </r>
  <r>
    <x v="32"/>
    <x v="0"/>
    <x v="45"/>
    <s v="ANTHROPIC: CLAUDE TEAM"/>
    <x v="1"/>
    <s v="Mike CC"/>
  </r>
  <r>
    <x v="33"/>
    <x v="0"/>
    <x v="1"/>
    <s v="ATT*BILL PAYMENT"/>
    <x v="1"/>
    <s v="Mike CC"/>
  </r>
  <r>
    <x v="34"/>
    <x v="1"/>
    <x v="46"/>
    <s v="Initial Deposit: 25% ($11,830) . Invoice 128"/>
    <x v="14"/>
    <s v="AR tab"/>
  </r>
  <r>
    <x v="35"/>
    <x v="0"/>
    <x v="47"/>
    <s v="RH RALEIGH RESTAURAN"/>
    <x v="13"/>
    <s v="Mike CC"/>
  </r>
  <r>
    <x v="36"/>
    <x v="0"/>
    <x v="48"/>
    <s v="Online ACH Payment 11152149613 To Abri (_###########3209)"/>
    <x v="5"/>
    <s v="AP invoices"/>
  </r>
  <r>
    <x v="36"/>
    <x v="0"/>
    <x v="49"/>
    <s v="ONLINE DOMESTIC WIRE TRANSFER VIA: BANK OF AMERICA, N.A./0959 A/C: 021200339 BELLEVILLE NJ 07109 US BEN: SWAN SOFTWEB SOLUTIONS LLC NEW YORK NY 10013 US SSN: 00447209 TRN: 3362194323ES 11/18"/>
    <x v="3"/>
    <s v="AP invoices"/>
  </r>
  <r>
    <x v="37"/>
    <x v="0"/>
    <x v="6"/>
    <s v="GOOGLE *FIBER QJ83xx"/>
    <x v="1"/>
    <s v="Mike CC"/>
  </r>
  <r>
    <x v="37"/>
    <x v="0"/>
    <x v="50"/>
    <s v="CARY SPORTS &amp; SOCIAL"/>
    <x v="13"/>
    <s v="Mike CC"/>
  </r>
  <r>
    <x v="37"/>
    <x v="0"/>
    <x v="51"/>
    <s v="UBER *TRIP"/>
    <x v="15"/>
    <s v="Mike CC"/>
  </r>
  <r>
    <x v="37"/>
    <x v="0"/>
    <x v="52"/>
    <s v="UBER *TRIP"/>
    <x v="15"/>
    <s v="Mike CC"/>
  </r>
  <r>
    <x v="38"/>
    <x v="0"/>
    <x v="53"/>
    <s v="ONLINE INTERNATIONAL WIRE TRANSFER A/C: JPMORGAN CHASE BANK NA - LONDON LONDON UNITED KINGDOM E14 5JP GB BEN:/LT483250004599838436 NIKOLETA NOTOVA REF: NIKI PAYMENT CONSULTANCY EXPENSES TRN: 3249284320ES 11/15"/>
    <x v="0"/>
    <s v="Freelance charge"/>
  </r>
  <r>
    <x v="39"/>
    <x v="0"/>
    <x v="12"/>
    <s v="GITHUB, INC."/>
    <x v="1"/>
    <s v="Mike CC"/>
  </r>
  <r>
    <x v="40"/>
    <x v="0"/>
    <x v="54"/>
    <s v="Online Payment 22345194269 To Auto Loan 1105 11/12"/>
    <x v="2"/>
    <s v="Bank statement"/>
  </r>
  <r>
    <x v="41"/>
    <x v="0"/>
    <x v="55"/>
    <s v="Microsoft-G065500019"/>
    <x v="1"/>
    <s v="Mike CC"/>
  </r>
  <r>
    <x v="42"/>
    <x v="0"/>
    <x v="36"/>
    <s v="GOOGLE *YouTube TV"/>
    <x v="1"/>
    <s v="Mike CC"/>
  </r>
  <r>
    <x v="43"/>
    <x v="0"/>
    <x v="56"/>
    <s v="ONLINE INTERNATIONAL WIRE TRANSFER A/C: BANCO BILBAO VIZCAYA ARGENTARIA SA BILBAO 48005 SPAIN ES REF: OCTOBER 2024 CARMEN/MARKMAN GROUPCONSULTANCY EXPENSES TRN: 3237584310ES 11/05"/>
    <x v="7"/>
    <s v="Freelance charge"/>
  </r>
  <r>
    <x v="43"/>
    <x v="0"/>
    <x v="57"/>
    <s v="Microsoft-G064160948"/>
    <x v="1"/>
    <s v="Mike CC"/>
  </r>
  <r>
    <x v="44"/>
    <x v="0"/>
    <x v="58"/>
    <s v="ONLINE INTERNATIONAL WIRE TRANSFER A/C: JPMORGAN CHASE BANK NA - LONDON LONDON UNITED KINGDOM E14 5JP GB BEN:/LT323250049512365310 JAN DZUBAK REF: SEP/OCT JAN WORK - MARKMAN GROUP CONSULTANCY EXPENSES TRN: 3554124309ES 11/04"/>
    <x v="6"/>
    <s v="Freelance charge"/>
  </r>
  <r>
    <x v="44"/>
    <x v="2"/>
    <x v="59"/>
    <s v="Reimbursement personal expenses"/>
    <x v="2"/>
    <s v="reimbursement personal expenses"/>
  </r>
  <r>
    <x v="45"/>
    <x v="0"/>
    <x v="60"/>
    <s v="YSI*Highland North Hills"/>
    <x v="11"/>
    <s v="Mike CC"/>
  </r>
  <r>
    <x v="46"/>
    <x v="0"/>
    <x v="61"/>
    <s v="MONGODBCLOUD MARKMA..."/>
    <x v="4"/>
    <s v="Mike CC"/>
  </r>
  <r>
    <x v="47"/>
    <x v="0"/>
    <x v="29"/>
    <s v="SERVICE CHARGES FOR THE MONTH OF OCTOBER "/>
    <x v="12"/>
    <s v="Bank statement"/>
  </r>
  <r>
    <x v="48"/>
    <x v="1"/>
    <x v="62"/>
    <s v="Laurel dedsign and prototype"/>
    <x v="3"/>
    <s v="AR tab"/>
  </r>
  <r>
    <x v="49"/>
    <x v="0"/>
    <x v="1"/>
    <s v="ATT*BILL PAYMENT"/>
    <x v="1"/>
    <s v="Mike CC"/>
  </r>
  <r>
    <x v="50"/>
    <x v="0"/>
    <x v="63"/>
    <s v="VILLAGE TAVERN #7"/>
    <x v="13"/>
    <s v="Mike CC"/>
  </r>
  <r>
    <x v="51"/>
    <x v="0"/>
    <x v="64"/>
    <s v="CAPITAL GRILLE 0138061"/>
    <x v="13"/>
    <s v="Mike CC"/>
  </r>
  <r>
    <x v="51"/>
    <x v="0"/>
    <x v="65"/>
    <s v="TST* STIR - RALEIGH"/>
    <x v="13"/>
    <s v="Mike CC"/>
  </r>
  <r>
    <x v="52"/>
    <x v="0"/>
    <x v="6"/>
    <s v="GOOGLE *FIBER MDWw9K"/>
    <x v="1"/>
    <s v="Mike CC"/>
  </r>
  <r>
    <x v="53"/>
    <x v="0"/>
    <x v="66"/>
    <s v="TST*CAPE FEAR SEAFOOD CO"/>
    <x v="13"/>
    <s v="Mike CC"/>
  </r>
  <r>
    <x v="54"/>
    <x v="0"/>
    <x v="65"/>
    <s v="BAR TACO NORTH HILLS"/>
    <x v="13"/>
    <s v="Mike CC"/>
  </r>
  <r>
    <x v="55"/>
    <x v="0"/>
    <x v="67"/>
    <s v="WESTIN GEORGETOWN DC"/>
    <x v="15"/>
    <s v="Mike CC"/>
  </r>
  <r>
    <x v="55"/>
    <x v="0"/>
    <x v="68"/>
    <s v="UBER *TRIP"/>
    <x v="15"/>
    <s v="Mike CC"/>
  </r>
  <r>
    <x v="56"/>
    <x v="0"/>
    <x v="69"/>
    <s v="CLYDES OF GEORGETOWN"/>
    <x v="13"/>
    <s v="Mike CC"/>
  </r>
  <r>
    <x v="56"/>
    <x v="0"/>
    <x v="12"/>
    <s v="GITHUB, INC."/>
    <x v="1"/>
    <s v="Mike CC"/>
  </r>
  <r>
    <x v="57"/>
    <x v="0"/>
    <x v="65"/>
    <s v="BAR TACO NORTH HILLS"/>
    <x v="13"/>
    <s v="Mike CC"/>
  </r>
  <r>
    <x v="57"/>
    <x v="0"/>
    <x v="70"/>
    <s v="CAPITAL GRILLE 0138061"/>
    <x v="13"/>
    <s v="Mike CC"/>
  </r>
  <r>
    <x v="57"/>
    <x v="0"/>
    <x v="71"/>
    <s v="MICROSOFT#G061737873"/>
    <x v="1"/>
    <s v="Mike CC"/>
  </r>
  <r>
    <x v="57"/>
    <x v="0"/>
    <x v="14"/>
    <s v="Online Payment 22028985048 To Auto Loan 1105 10/11"/>
    <x v="2"/>
    <s v="Bank statement"/>
  </r>
  <r>
    <x v="57"/>
    <x v="0"/>
    <x v="72"/>
    <s v="ONLINE INTERNATIONAL WIRE TRANSFER A/C: BANCO BILBAO VIZCAYA ARGENTARIA SA BILBAO 48005 SPAIN ES REF: ADVISORY MARKMAN GROUP CONSULTANCY EXPENSES TRN: 3106764285ES 10/11"/>
    <x v="7"/>
    <s v="Freelance charge"/>
  </r>
  <r>
    <x v="58"/>
    <x v="0"/>
    <x v="73"/>
    <s v="TST* STIR - RALEIGH"/>
    <x v="13"/>
    <s v="Mike CC"/>
  </r>
  <r>
    <x v="58"/>
    <x v="0"/>
    <x v="74"/>
    <s v="GITHUB, INC."/>
    <x v="1"/>
    <s v="Mike CC"/>
  </r>
  <r>
    <x v="59"/>
    <x v="0"/>
    <x v="65"/>
    <s v="BAR TACO NORTH HILLS"/>
    <x v="13"/>
    <s v="Mike CC"/>
  </r>
  <r>
    <x v="59"/>
    <x v="0"/>
    <x v="36"/>
    <s v="GOOGLE *YouTube TV"/>
    <x v="16"/>
    <s v="Mike CC"/>
  </r>
  <r>
    <x v="60"/>
    <x v="0"/>
    <x v="75"/>
    <s v="BAR TACO NORTH HILLS"/>
    <x v="13"/>
    <s v="Mike CC"/>
  </r>
  <r>
    <x v="60"/>
    <x v="0"/>
    <x v="76"/>
    <s v="Online ACH Payment 11147406682 To Abri (_###########3209)"/>
    <x v="5"/>
    <s v="Freelance charge"/>
  </r>
  <r>
    <x v="60"/>
    <x v="0"/>
    <x v="77"/>
    <s v="ONLINE INTERNATIONAL WIRE TRANSFER A/C: JPMORGAN CHASE BANK NA - LONDON LONDON UNITED KINGDOM E14 5JP GB BEN:/LT483250004599838436 NIKOLETA NOTOVA REF: NIKI PAYMENT CONSULTANCY EXPENSES TRN: 3078784282ES 10/08"/>
    <x v="0"/>
    <s v="Freelance charge"/>
  </r>
  <r>
    <x v="61"/>
    <x v="0"/>
    <x v="78"/>
    <s v="YSI*Highland North Hills"/>
    <x v="11"/>
    <s v="Mike CC"/>
  </r>
  <r>
    <x v="62"/>
    <x v="0"/>
    <x v="79"/>
    <s v="Microsoft#G061294333"/>
    <x v="1"/>
    <s v="Mike CC"/>
  </r>
  <r>
    <x v="62"/>
    <x v="0"/>
    <x v="80"/>
    <s v="GITHUB, INC."/>
    <x v="1"/>
    <s v="Mike CC"/>
  </r>
  <r>
    <x v="63"/>
    <x v="0"/>
    <x v="81"/>
    <s v="CAPITAL GRILLE 0138061"/>
    <x v="13"/>
    <s v="Mike CC"/>
  </r>
  <r>
    <x v="63"/>
    <x v="0"/>
    <x v="82"/>
    <s v="YARD HOUSE ZK 0108341"/>
    <x v="13"/>
    <s v="Mike CC"/>
  </r>
  <r>
    <x v="63"/>
    <x v="0"/>
    <x v="83"/>
    <s v="TST* STIR - RALEIGH"/>
    <x v="13"/>
    <s v="Mike CC"/>
  </r>
  <r>
    <x v="64"/>
    <x v="0"/>
    <x v="84"/>
    <s v="BAR TACO NORTH HILLS"/>
    <x v="13"/>
    <s v="Mike CC"/>
  </r>
  <r>
    <x v="64"/>
    <x v="0"/>
    <x v="85"/>
    <s v="MONGODBCLOUD MARKMA..."/>
    <x v="4"/>
    <s v="Mike CC"/>
  </r>
  <r>
    <x v="64"/>
    <x v="0"/>
    <x v="86"/>
    <s v="TST* LEO'S ITALIAN SOCIAL"/>
    <x v="13"/>
    <s v="Mike CC"/>
  </r>
  <r>
    <x v="65"/>
    <x v="0"/>
    <x v="87"/>
    <s v="Coquette"/>
    <x v="13"/>
    <s v="Mike CC"/>
  </r>
  <r>
    <x v="65"/>
    <x v="0"/>
    <x v="88"/>
    <s v="UPWORK * -739116523"/>
    <x v="17"/>
    <s v="Upwork sheet"/>
  </r>
  <r>
    <x v="66"/>
    <x v="0"/>
    <x v="89"/>
    <s v="CHUY'S 048"/>
    <x v="13"/>
    <s v="Mike CC"/>
  </r>
  <r>
    <x v="67"/>
    <x v="0"/>
    <x v="90"/>
    <s v="BAR TACO NORTH HILLS"/>
    <x v="13"/>
    <s v="Mike CC"/>
  </r>
  <r>
    <x v="68"/>
    <x v="0"/>
    <x v="91"/>
    <s v="FIREBIRDS RALEIGH"/>
    <x v="13"/>
    <s v="Mike CC"/>
  </r>
  <r>
    <x v="68"/>
    <x v="0"/>
    <x v="92"/>
    <s v="CAPITAL GRILLE 0138061"/>
    <x v="13"/>
    <s v="Mike CC"/>
  </r>
  <r>
    <x v="69"/>
    <x v="0"/>
    <x v="93"/>
    <s v="BAR TACO NORTH HILLS"/>
    <x v="13"/>
    <s v="Mike CC"/>
  </r>
  <r>
    <x v="70"/>
    <x v="0"/>
    <x v="94"/>
    <s v="ATT"/>
    <x v="1"/>
    <s v="Mike CC"/>
  </r>
  <r>
    <x v="71"/>
    <x v="0"/>
    <x v="95"/>
    <s v="Yard Hourse"/>
    <x v="13"/>
    <s v="Mike CC"/>
  </r>
  <r>
    <x v="72"/>
    <x v="0"/>
    <x v="96"/>
    <s v="Uber"/>
    <x v="15"/>
    <s v="Mike CC"/>
  </r>
  <r>
    <x v="72"/>
    <x v="0"/>
    <x v="97"/>
    <s v="CAPITAL GRILLE 0138061"/>
    <x v="13"/>
    <s v="Mike CC"/>
  </r>
  <r>
    <x v="73"/>
    <x v="0"/>
    <x v="93"/>
    <s v="Bar Taco North Hills"/>
    <x v="13"/>
    <s v="Mike CC"/>
  </r>
  <r>
    <x v="74"/>
    <x v="0"/>
    <x v="93"/>
    <s v="Bar Taco North Hills"/>
    <x v="13"/>
    <s v="Mike CC"/>
  </r>
  <r>
    <x v="74"/>
    <x v="0"/>
    <x v="98"/>
    <s v="RUTH'S CHRIS STEAK HOUSE"/>
    <x v="13"/>
    <s v="Mike CC"/>
  </r>
  <r>
    <x v="75"/>
    <x v="0"/>
    <x v="99"/>
    <s v="Firebirds Raleigh"/>
    <x v="13"/>
    <s v="Mike CC"/>
  </r>
  <r>
    <x v="75"/>
    <x v="0"/>
    <x v="6"/>
    <s v="GOOGLE *FIBER 3HwVXK"/>
    <x v="1"/>
    <s v="Mike CC"/>
  </r>
  <r>
    <x v="75"/>
    <x v="0"/>
    <x v="100"/>
    <s v="ONLINE INTERNATIONAL WIRE TRANSFER A/C: JPMORGAN CHASE BANK NA - LONDON LONDON UNITED KINGDOM E14 5JP GB BEN:/LT483250004599838436 NIKOLETA NOTOVA REF: NIKI PAYMENT CONSULTANCY EXPENSES TRN: 3198184261ES 09/17"/>
    <x v="0"/>
    <s v="Freelance charge"/>
  </r>
  <r>
    <x v="76"/>
    <x v="0"/>
    <x v="101"/>
    <s v="Online ACH Payment 11145094278 To Abri (_###########3209)"/>
    <x v="5"/>
    <s v="Freelance charge"/>
  </r>
  <r>
    <x v="76"/>
    <x v="0"/>
    <x v="102"/>
    <s v="UPWORK * -734719032"/>
    <x v="17"/>
    <s v="Upwork sheet"/>
  </r>
  <r>
    <x v="77"/>
    <x v="0"/>
    <x v="103"/>
    <s v="GITHUB, INC."/>
    <x v="1"/>
    <s v="Mike CC"/>
  </r>
  <r>
    <x v="77"/>
    <x v="0"/>
    <x v="104"/>
    <s v="Spectrum"/>
    <x v="1"/>
    <s v="Mike CC"/>
  </r>
  <r>
    <x v="78"/>
    <x v="0"/>
    <x v="14"/>
    <s v="Online Payment 21701604429 To Auto Loan 1105 09/12"/>
    <x v="2"/>
    <s v="Bank statement"/>
  </r>
  <r>
    <x v="79"/>
    <x v="0"/>
    <x v="105"/>
    <s v="Bar Taco North Hills"/>
    <x v="13"/>
    <s v="Mike CC"/>
  </r>
  <r>
    <x v="79"/>
    <x v="0"/>
    <x v="106"/>
    <s v="Microsoft Store"/>
    <x v="1"/>
    <s v="Mike CC"/>
  </r>
  <r>
    <x v="79"/>
    <x v="0"/>
    <x v="107"/>
    <s v="Restoration HW"/>
    <x v="1"/>
    <s v="Mike CC"/>
  </r>
  <r>
    <x v="79"/>
    <x v="0"/>
    <x v="108"/>
    <s v="Firebirds Raleigh"/>
    <x v="13"/>
    <s v="Mike CC"/>
  </r>
  <r>
    <x v="80"/>
    <x v="0"/>
    <x v="109"/>
    <s v="Restoration Hardware"/>
    <x v="1"/>
    <s v="Mike CC"/>
  </r>
  <r>
    <x v="80"/>
    <x v="0"/>
    <x v="110"/>
    <s v="TST* LEO'S ITALIAN SOCIAL"/>
    <x v="13"/>
    <s v="Mike CC"/>
  </r>
  <r>
    <x v="81"/>
    <x v="0"/>
    <x v="111"/>
    <s v="UPWORK * -732556095"/>
    <x v="17"/>
    <s v="Upwork sheet"/>
  </r>
  <r>
    <x v="82"/>
    <x v="0"/>
    <x v="112"/>
    <s v="BAR TACO NORTH HILLS"/>
    <x v="13"/>
    <s v="Mike CC"/>
  </r>
  <r>
    <x v="81"/>
    <x v="0"/>
    <x v="113"/>
    <s v="MICROSOFT#G058819470"/>
    <x v="1"/>
    <s v="Mike CC"/>
  </r>
  <r>
    <x v="82"/>
    <x v="0"/>
    <x v="36"/>
    <s v="GOOGLE *YouTube TV"/>
    <x v="1"/>
    <s v="Mike CC"/>
  </r>
  <r>
    <x v="82"/>
    <x v="0"/>
    <x v="114"/>
    <s v="FIREBIRDS RALEIGH"/>
    <x v="13"/>
    <s v="Mike CC"/>
  </r>
  <r>
    <x v="83"/>
    <x v="0"/>
    <x v="115"/>
    <s v="RUTH'S CHRIS STEAK HOUSE"/>
    <x v="13"/>
    <s v="Mike CC"/>
  </r>
  <r>
    <x v="83"/>
    <x v="0"/>
    <x v="116"/>
    <s v="COSTCO WHSE #0645"/>
    <x v="1"/>
    <s v="Mike CC"/>
  </r>
  <r>
    <x v="83"/>
    <x v="0"/>
    <x v="117"/>
    <s v="YSI*Highland North Hills"/>
    <x v="11"/>
    <s v="Mike CC"/>
  </r>
  <r>
    <x v="84"/>
    <x v="0"/>
    <x v="118"/>
    <s v="SHARKYS PLACE"/>
    <x v="13"/>
    <s v="Mike CC"/>
  </r>
  <r>
    <x v="84"/>
    <x v="0"/>
    <x v="119"/>
    <s v="MICROSOFT#G057606275"/>
    <x v="1"/>
    <s v="Mike CC"/>
  </r>
  <r>
    <x v="85"/>
    <x v="0"/>
    <x v="120"/>
    <s v="STATE FARM INSURANCE"/>
    <x v="1"/>
    <s v="Mike CC"/>
  </r>
  <r>
    <x v="86"/>
    <x v="0"/>
    <x v="121"/>
    <s v="UPWORK * -730383940"/>
    <x v="3"/>
    <s v="Upwork sheet"/>
  </r>
  <r>
    <x v="86"/>
    <x v="0"/>
    <x v="122"/>
    <s v="UPWORK * -730383940"/>
    <x v="17"/>
    <s v="Upwork sheet"/>
  </r>
  <r>
    <x v="86"/>
    <x v="0"/>
    <x v="123"/>
    <s v="MONGODBCLOUD MARKMA"/>
    <x v="1"/>
    <s v="Mike CC"/>
  </r>
  <r>
    <x v="87"/>
    <x v="0"/>
    <x v="124"/>
    <s v="UPWORK * -728218961"/>
    <x v="17"/>
    <s v="Upwork sheet"/>
  </r>
  <r>
    <x v="87"/>
    <x v="0"/>
    <x v="121"/>
    <s v="UPWORK * -728218961"/>
    <x v="3"/>
    <s v="Upwork sheet"/>
  </r>
  <r>
    <x v="88"/>
    <x v="0"/>
    <x v="125"/>
    <s v="Spectrum"/>
    <x v="1"/>
    <s v="Mike CC"/>
  </r>
  <r>
    <x v="88"/>
    <x v="0"/>
    <x v="126"/>
    <s v="UPWORK -726095572"/>
    <x v="17"/>
    <s v="Upwork sheet"/>
  </r>
  <r>
    <x v="88"/>
    <x v="0"/>
    <x v="121"/>
    <s v="UPWORK -726095572"/>
    <x v="3"/>
    <s v="Upwork sheet"/>
  </r>
  <r>
    <x v="89"/>
    <x v="0"/>
    <x v="127"/>
    <s v="Anthoropic"/>
    <x v="1"/>
    <s v="Mike CC"/>
  </r>
  <r>
    <x v="90"/>
    <x v="0"/>
    <x v="128"/>
    <s v="Open AI"/>
    <x v="1"/>
    <s v="Mike CC"/>
  </r>
  <r>
    <x v="91"/>
    <x v="0"/>
    <x v="129"/>
    <s v="Spectrum"/>
    <x v="1"/>
    <s v="Mike CC"/>
  </r>
  <r>
    <x v="92"/>
    <x v="0"/>
    <x v="14"/>
    <s v="Online Payment 21196617695 To Auto Loan 1105 07/12"/>
    <x v="2"/>
    <s v="Bank statement"/>
  </r>
  <r>
    <x v="92"/>
    <x v="0"/>
    <x v="121"/>
    <s v="UPWORK -723997794"/>
    <x v="3"/>
    <s v="Mike CC"/>
  </r>
  <r>
    <x v="93"/>
    <x v="0"/>
    <x v="130"/>
    <s v="MICROSOFT#G055733373"/>
    <x v="1"/>
    <s v="Mike CC"/>
  </r>
  <r>
    <x v="94"/>
    <x v="0"/>
    <x v="131"/>
    <s v="MICROSOFT#G055406030"/>
    <x v="1"/>
    <s v="Mike CC"/>
  </r>
  <r>
    <x v="95"/>
    <x v="0"/>
    <x v="132"/>
    <s v="OpenAI"/>
    <x v="1"/>
    <s v="Mike CC"/>
  </r>
  <r>
    <x v="95"/>
    <x v="0"/>
    <x v="133"/>
    <s v="OpenAI"/>
    <x v="1"/>
    <s v="Mike CC"/>
  </r>
  <r>
    <x v="96"/>
    <x v="0"/>
    <x v="121"/>
    <s v="UPWORK * -721861190"/>
    <x v="3"/>
    <s v="Mike CC"/>
  </r>
  <r>
    <x v="96"/>
    <x v="0"/>
    <x v="134"/>
    <s v="MICROSOFT#G055201041"/>
    <x v="1"/>
    <s v="Mike CC"/>
  </r>
  <r>
    <x v="97"/>
    <x v="0"/>
    <x v="135"/>
    <s v="Fee"/>
    <x v="12"/>
    <s v="Bank statement"/>
  </r>
  <r>
    <x v="98"/>
    <x v="0"/>
    <x v="121"/>
    <s v="UPWORK -719691199"/>
    <x v="3"/>
    <s v="Upwork sheet"/>
  </r>
  <r>
    <x v="99"/>
    <x v="0"/>
    <x v="136"/>
    <s v="Fiverr"/>
    <x v="4"/>
    <s v="Mike CC"/>
  </r>
  <r>
    <x v="100"/>
    <x v="0"/>
    <x v="132"/>
    <s v="UBER *TRIP"/>
    <x v="15"/>
    <s v="Mike CC"/>
  </r>
  <r>
    <x v="100"/>
    <x v="0"/>
    <x v="137"/>
    <s v="UBR* PENDING.UBER.COM"/>
    <x v="15"/>
    <s v="Mike CC"/>
  </r>
  <r>
    <x v="101"/>
    <x v="0"/>
    <x v="121"/>
    <s v="UPWORK * -717565474"/>
    <x v="3"/>
    <s v="Upwork sheet"/>
  </r>
  <r>
    <x v="101"/>
    <x v="0"/>
    <x v="138"/>
    <s v="UPWORK * -717565474"/>
    <x v="18"/>
    <s v="Upwork sheet"/>
  </r>
  <r>
    <x v="102"/>
    <x v="0"/>
    <x v="125"/>
    <s v="Spectrum"/>
    <x v="1"/>
    <s v="Mike CC"/>
  </r>
  <r>
    <x v="103"/>
    <x v="0"/>
    <x v="139"/>
    <s v="UPWORK -715403869"/>
    <x v="18"/>
    <s v="Upwork sheet"/>
  </r>
  <r>
    <x v="103"/>
    <x v="0"/>
    <x v="140"/>
    <s v="UPWORK -715403869"/>
    <x v="19"/>
    <s v="Upwork sheet"/>
  </r>
  <r>
    <x v="103"/>
    <x v="0"/>
    <x v="141"/>
    <s v="UPWORK -715403869"/>
    <x v="17"/>
    <s v="Upwork sheet"/>
  </r>
  <r>
    <x v="103"/>
    <x v="0"/>
    <x v="142"/>
    <s v="UPWORK -715403869"/>
    <x v="3"/>
    <s v="Upwork sheet"/>
  </r>
  <r>
    <x v="104"/>
    <x v="0"/>
    <x v="143"/>
    <s v="Spectrum"/>
    <x v="1"/>
    <s v="Mike CC"/>
  </r>
  <r>
    <x v="105"/>
    <x v="0"/>
    <x v="14"/>
    <s v="Online Payment 21196617695 To Auto Loan 1105 07/12"/>
    <x v="2"/>
    <s v="Bank statement"/>
  </r>
  <r>
    <x v="106"/>
    <x v="0"/>
    <x v="144"/>
    <s v="J ALEXANDER'S #35"/>
    <x v="13"/>
    <s v="Mike CC"/>
  </r>
  <r>
    <x v="107"/>
    <x v="0"/>
    <x v="145"/>
    <s v="Fiverr"/>
    <x v="4"/>
    <s v="Marianna CC"/>
  </r>
  <r>
    <x v="108"/>
    <x v="0"/>
    <x v="146"/>
    <s v="Microsoft G052960106"/>
    <x v="1"/>
    <s v="Mike CC"/>
  </r>
  <r>
    <x v="109"/>
    <x v="0"/>
    <x v="147"/>
    <s v="UPWORK -713216127"/>
    <x v="17"/>
    <s v="Upwork sheet"/>
  </r>
  <r>
    <x v="109"/>
    <x v="0"/>
    <x v="121"/>
    <s v="UPWORK -713216127"/>
    <x v="3"/>
    <s v="Upwork sheet"/>
  </r>
  <r>
    <x v="109"/>
    <x v="0"/>
    <x v="148"/>
    <s v="UPWORK -713216127"/>
    <x v="19"/>
    <s v="Upwork sheet"/>
  </r>
  <r>
    <x v="109"/>
    <x v="0"/>
    <x v="149"/>
    <s v="UPWORK -713216127"/>
    <x v="18"/>
    <s v="Upwork sheet"/>
  </r>
  <r>
    <x v="110"/>
    <x v="0"/>
    <x v="150"/>
    <s v="MICROSOFT#G051104974"/>
    <x v="1"/>
    <s v="Mike CC"/>
  </r>
  <r>
    <x v="111"/>
    <x v="0"/>
    <x v="151"/>
    <s v="Fiverr"/>
    <x v="4"/>
    <s v="Mike CC"/>
  </r>
  <r>
    <x v="111"/>
    <x v="0"/>
    <x v="152"/>
    <s v="Fiverr"/>
    <x v="4"/>
    <s v="Mike CC"/>
  </r>
  <r>
    <x v="111"/>
    <x v="0"/>
    <x v="147"/>
    <s v="UPWORK -711321714"/>
    <x v="17"/>
    <s v="Upwork sheet"/>
  </r>
  <r>
    <x v="111"/>
    <x v="0"/>
    <x v="153"/>
    <s v="UPWORK -711321714"/>
    <x v="3"/>
    <s v="Upwork sheet"/>
  </r>
  <r>
    <x v="111"/>
    <x v="0"/>
    <x v="154"/>
    <s v="UPWORK -711321714"/>
    <x v="19"/>
    <s v="Upwork sheet"/>
  </r>
  <r>
    <x v="111"/>
    <x v="0"/>
    <x v="155"/>
    <s v="UPWORK -711321714"/>
    <x v="20"/>
    <s v="Upwork sheet"/>
  </r>
  <r>
    <x v="111"/>
    <x v="0"/>
    <x v="156"/>
    <s v="UPWORK -711321714"/>
    <x v="18"/>
    <s v="Upwork sheet"/>
  </r>
  <r>
    <x v="111"/>
    <x v="0"/>
    <x v="157"/>
    <s v="UPWORK -711321714"/>
    <x v="21"/>
    <s v="Upwork sheet"/>
  </r>
  <r>
    <x v="112"/>
    <x v="1"/>
    <x v="62"/>
    <s v="Initial invoice to Laurel AG"/>
    <x v="3"/>
    <s v="AR tab"/>
  </r>
  <r>
    <x v="113"/>
    <x v="0"/>
    <x v="147"/>
    <s v="UPWORK -708653439"/>
    <x v="17"/>
    <s v="Upwork sheet"/>
  </r>
  <r>
    <x v="113"/>
    <x v="0"/>
    <x v="153"/>
    <s v="UPWORK -708653439"/>
    <x v="3"/>
    <s v="Upwork sheet"/>
  </r>
  <r>
    <x v="113"/>
    <x v="0"/>
    <x v="158"/>
    <s v="UPWORK -708653439"/>
    <x v="19"/>
    <s v="Upwork sheet"/>
  </r>
  <r>
    <x v="113"/>
    <x v="0"/>
    <x v="159"/>
    <s v="UPWORK -708653439"/>
    <x v="20"/>
    <s v="Upwork sheet"/>
  </r>
  <r>
    <x v="113"/>
    <x v="0"/>
    <x v="160"/>
    <s v="UPWORK -708653439"/>
    <x v="18"/>
    <s v="Upwork sheet"/>
  </r>
  <r>
    <x v="113"/>
    <x v="0"/>
    <x v="149"/>
    <s v="UPWORK -708653439"/>
    <x v="21"/>
    <s v="Upwork sheet"/>
  </r>
  <r>
    <x v="113"/>
    <x v="0"/>
    <x v="14"/>
    <s v="Online Payment 21196623932 To ALA 1105 06/24"/>
    <x v="2"/>
    <s v="Bank statement"/>
  </r>
  <r>
    <x v="114"/>
    <x v="0"/>
    <x v="125"/>
    <s v="Spectrum"/>
    <x v="1"/>
    <s v="Mike CC"/>
  </r>
  <r>
    <x v="114"/>
    <x v="0"/>
    <x v="161"/>
    <s v="J ALEXANDERS RESTAURAN"/>
    <x v="13"/>
    <s v="Mike CC"/>
  </r>
  <r>
    <x v="115"/>
    <x v="0"/>
    <x v="162"/>
    <s v="UPWORK -706210983"/>
    <x v="20"/>
    <s v="Upwork sheet"/>
  </r>
  <r>
    <x v="115"/>
    <x v="0"/>
    <x v="147"/>
    <s v="UPWORK -706357601"/>
    <x v="17"/>
    <s v="Upwork sheet"/>
  </r>
  <r>
    <x v="115"/>
    <x v="0"/>
    <x v="121"/>
    <s v="UPWORK -706357601"/>
    <x v="3"/>
    <s v="Upwork sheet"/>
  </r>
  <r>
    <x v="115"/>
    <x v="0"/>
    <x v="163"/>
    <s v="UPWORK -706357601"/>
    <x v="19"/>
    <s v="Upwork sheet"/>
  </r>
  <r>
    <x v="115"/>
    <x v="0"/>
    <x v="121"/>
    <s v="UPWORK -706357601"/>
    <x v="20"/>
    <s v="Upwork sheet"/>
  </r>
  <r>
    <x v="115"/>
    <x v="0"/>
    <x v="164"/>
    <s v="UPWORK -706357601"/>
    <x v="18"/>
    <s v="Upwork sheet"/>
  </r>
  <r>
    <x v="115"/>
    <x v="0"/>
    <x v="149"/>
    <s v="UPWORK -706357601"/>
    <x v="21"/>
    <s v="Upwork sheet"/>
  </r>
  <r>
    <x v="116"/>
    <x v="0"/>
    <x v="129"/>
    <s v="Spectrum"/>
    <x v="1"/>
    <s v="Mike CC"/>
  </r>
  <r>
    <x v="117"/>
    <x v="0"/>
    <x v="165"/>
    <s v="Upwork -704059819REF"/>
    <x v="18"/>
    <s v="Upwork sheet"/>
  </r>
  <r>
    <x v="117"/>
    <x v="0"/>
    <x v="121"/>
    <s v="Upwork -704059819REF"/>
    <x v="3"/>
    <s v="Upwork sheet"/>
  </r>
  <r>
    <x v="117"/>
    <x v="0"/>
    <x v="166"/>
    <s v="Upwork -704059819REF"/>
    <x v="19"/>
    <s v="Upwork sheet"/>
  </r>
  <r>
    <x v="117"/>
    <x v="0"/>
    <x v="167"/>
    <s v="Upwork -704059819REF"/>
    <x v="20"/>
    <s v="Upwork sheet"/>
  </r>
  <r>
    <x v="118"/>
    <x v="0"/>
    <x v="168"/>
    <s v="MICROSOFT#G049899436"/>
    <x v="1"/>
    <s v="Mike CC"/>
  </r>
  <r>
    <x v="119"/>
    <x v="1"/>
    <x v="169"/>
    <s v="Invoice 118 to Laurel"/>
    <x v="3"/>
    <s v="AR tab"/>
  </r>
  <r>
    <x v="120"/>
    <x v="0"/>
    <x v="144"/>
    <s v="J ALEXANDER'S #35"/>
    <x v="13"/>
    <s v="Mike CC"/>
  </r>
  <r>
    <x v="120"/>
    <x v="0"/>
    <x v="170"/>
    <s v="DNH*GODADDY.COM"/>
    <x v="1"/>
    <s v="Mike CC"/>
  </r>
  <r>
    <x v="120"/>
    <x v="0"/>
    <x v="171"/>
    <s v="Microsoft G048941137"/>
    <x v="1"/>
    <s v="Mike CC"/>
  </r>
  <r>
    <x v="121"/>
    <x v="0"/>
    <x v="121"/>
    <s v="Upwork charge  -701727682REF"/>
    <x v="3"/>
    <s v="Upwork sheet"/>
  </r>
  <r>
    <x v="121"/>
    <x v="0"/>
    <x v="172"/>
    <s v="Upwork charge -701727682REF"/>
    <x v="20"/>
    <s v="Upwork sheet"/>
  </r>
  <r>
    <x v="121"/>
    <x v="0"/>
    <x v="173"/>
    <s v="Upwork charge UPWORK * -702051195 -701727682REF"/>
    <x v="21"/>
    <s v="Upwork sheet"/>
  </r>
  <r>
    <x v="122"/>
    <x v="0"/>
    <x v="174"/>
    <s v="DNH*GODADDY.COM"/>
    <x v="1"/>
    <s v="Mike CC"/>
  </r>
  <r>
    <x v="123"/>
    <x v="0"/>
    <x v="174"/>
    <s v="DNH*GODADDY.COM"/>
    <x v="1"/>
    <s v="Mike CC"/>
  </r>
  <r>
    <x v="124"/>
    <x v="0"/>
    <x v="175"/>
    <s v="UPWORK  -699487270"/>
    <x v="21"/>
    <s v="Upwork sheet"/>
  </r>
  <r>
    <x v="124"/>
    <x v="0"/>
    <x v="176"/>
    <s v="UPWORK  -699487270"/>
    <x v="18"/>
    <s v="Upwork sheet"/>
  </r>
  <r>
    <x v="124"/>
    <x v="0"/>
    <x v="177"/>
    <s v="UPWORK  -699487270"/>
    <x v="19"/>
    <s v="Upwork sheet"/>
  </r>
  <r>
    <x v="124"/>
    <x v="0"/>
    <x v="178"/>
    <s v="UPWORK  -699487270"/>
    <x v="17"/>
    <s v="Upwork sheet"/>
  </r>
  <r>
    <x v="124"/>
    <x v="0"/>
    <x v="121"/>
    <s v="UPWORK  -699487270"/>
    <x v="3"/>
    <s v="Upwork sheet"/>
  </r>
  <r>
    <x v="125"/>
    <x v="0"/>
    <x v="179"/>
    <s v="Upwork charge"/>
    <x v="17"/>
    <s v="Upwork sheet"/>
  </r>
  <r>
    <x v="125"/>
    <x v="0"/>
    <x v="121"/>
    <s v="Upwork charge"/>
    <x v="3"/>
    <s v="Upwork sheet"/>
  </r>
  <r>
    <x v="125"/>
    <x v="0"/>
    <x v="180"/>
    <s v="Upwork charge"/>
    <x v="19"/>
    <s v="Upwork sheet"/>
  </r>
  <r>
    <x v="125"/>
    <x v="0"/>
    <x v="181"/>
    <s v="Upwork charge"/>
    <x v="20"/>
    <s v="Upwork sheet"/>
  </r>
  <r>
    <x v="125"/>
    <x v="0"/>
    <x v="182"/>
    <s v="Upwork charge"/>
    <x v="18"/>
    <s v="Upwork sheet"/>
  </r>
  <r>
    <x v="126"/>
    <x v="0"/>
    <x v="183"/>
    <s v="Spectrum"/>
    <x v="1"/>
    <s v="Mike CC"/>
  </r>
  <r>
    <x v="127"/>
    <x v="0"/>
    <x v="184"/>
    <s v="Food &amp; Drink"/>
    <x v="13"/>
    <s v="paid by CC 8008"/>
  </r>
  <r>
    <x v="128"/>
    <x v="0"/>
    <x v="185"/>
    <s v="Food &amp; Drink"/>
    <x v="13"/>
    <s v="paid by CC 8008"/>
  </r>
  <r>
    <x v="128"/>
    <x v="0"/>
    <x v="129"/>
    <s v="Spectrum"/>
    <x v="1"/>
    <s v="Mike CC"/>
  </r>
  <r>
    <x v="129"/>
    <x v="0"/>
    <x v="186"/>
    <s v="Upwork charge"/>
    <x v="17"/>
    <s v="Upwork sheet"/>
  </r>
  <r>
    <x v="129"/>
    <x v="0"/>
    <x v="187"/>
    <s v="Upwork charge"/>
    <x v="3"/>
    <s v="Upwork sheet"/>
  </r>
  <r>
    <x v="130"/>
    <x v="0"/>
    <x v="188"/>
    <s v="Travel"/>
    <x v="15"/>
    <s v="paid by CC 8008"/>
  </r>
  <r>
    <x v="130"/>
    <x v="0"/>
    <x v="189"/>
    <s v="MICROSOFT#G046923705"/>
    <x v="1"/>
    <s v="Mike CC"/>
  </r>
  <r>
    <x v="131"/>
    <x v="0"/>
    <x v="190"/>
    <s v="Food &amp; Drink"/>
    <x v="13"/>
    <s v="paid by CC 8008"/>
  </r>
  <r>
    <x v="131"/>
    <x v="0"/>
    <x v="191"/>
    <s v="Automotive"/>
    <x v="2"/>
    <s v="paid by CC 8008"/>
  </r>
  <r>
    <x v="132"/>
    <x v="0"/>
    <x v="192"/>
    <s v="Professional Services"/>
    <x v="4"/>
    <s v="paid by CC 8008"/>
  </r>
  <r>
    <x v="133"/>
    <x v="1"/>
    <x v="169"/>
    <s v="Invoice to Laurel AG"/>
    <x v="3"/>
    <s v="AR tab"/>
  </r>
  <r>
    <x v="133"/>
    <x v="0"/>
    <x v="193"/>
    <s v="Food &amp; Drink"/>
    <x v="13"/>
    <s v="paid by CC 8008"/>
  </r>
  <r>
    <x v="133"/>
    <x v="0"/>
    <x v="194"/>
    <s v="TOP GOLF DURHAM 76-2"/>
    <x v="16"/>
    <s v="paid by CC 8008"/>
  </r>
  <r>
    <x v="134"/>
    <x v="0"/>
    <x v="195"/>
    <s v="Fees &amp; Adjustments"/>
    <x v="12"/>
    <s v="paid by CC 8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3F633-D2D6-3443-A2F6-D49C7E89AA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7" firstHeaderRow="1" firstDataRow="2" firstDataCol="1" rowPageCount="1" colPageCount="1"/>
  <pivotFields count="8">
    <pivotField numFmtId="165" showAll="0">
      <items count="136"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4"/>
        <item x="35"/>
        <item x="25"/>
        <item x="26"/>
        <item x="27"/>
        <item x="28"/>
        <item x="29"/>
        <item x="30"/>
        <item x="31"/>
        <item x="32"/>
        <item x="33"/>
        <item x="18"/>
        <item x="19"/>
        <item x="20"/>
        <item x="21"/>
        <item x="22"/>
        <item x="23"/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Page" showAll="0">
      <items count="5">
        <item x="0"/>
        <item x="1"/>
        <item x="2"/>
        <item m="1" x="3"/>
        <item t="default"/>
      </items>
    </pivotField>
    <pivotField dataField="1" numFmtId="164" showAll="0">
      <items count="197">
        <item x="49"/>
        <item x="28"/>
        <item x="43"/>
        <item x="78"/>
        <item x="7"/>
        <item x="117"/>
        <item x="100"/>
        <item x="0"/>
        <item x="23"/>
        <item x="48"/>
        <item x="17"/>
        <item x="40"/>
        <item x="77"/>
        <item x="53"/>
        <item x="107"/>
        <item x="101"/>
        <item x="147"/>
        <item x="76"/>
        <item x="11"/>
        <item x="38"/>
        <item x="33"/>
        <item x="45"/>
        <item x="157"/>
        <item x="58"/>
        <item x="116"/>
        <item x="10"/>
        <item x="14"/>
        <item x="54"/>
        <item x="159"/>
        <item x="56"/>
        <item x="16"/>
        <item x="142"/>
        <item x="191"/>
        <item x="15"/>
        <item x="111"/>
        <item x="121"/>
        <item x="153"/>
        <item x="148"/>
        <item x="154"/>
        <item x="72"/>
        <item x="140"/>
        <item x="156"/>
        <item x="42"/>
        <item x="35"/>
        <item x="39"/>
        <item x="20"/>
        <item x="122"/>
        <item x="155"/>
        <item x="67"/>
        <item x="124"/>
        <item x="25"/>
        <item x="178"/>
        <item x="177"/>
        <item x="55"/>
        <item x="152"/>
        <item x="141"/>
        <item x="164"/>
        <item x="71"/>
        <item x="149"/>
        <item x="167"/>
        <item x="182"/>
        <item x="180"/>
        <item x="175"/>
        <item x="186"/>
        <item x="187"/>
        <item x="73"/>
        <item x="44"/>
        <item x="173"/>
        <item x="172"/>
        <item x="179"/>
        <item x="165"/>
        <item x="27"/>
        <item x="160"/>
        <item x="57"/>
        <item x="145"/>
        <item x="184"/>
        <item x="79"/>
        <item x="176"/>
        <item x="50"/>
        <item x="119"/>
        <item x="64"/>
        <item x="109"/>
        <item x="69"/>
        <item x="102"/>
        <item x="195"/>
        <item x="183"/>
        <item x="126"/>
        <item x="170"/>
        <item x="158"/>
        <item x="181"/>
        <item x="88"/>
        <item x="134"/>
        <item x="150"/>
        <item x="86"/>
        <item x="168"/>
        <item x="139"/>
        <item x="171"/>
        <item x="161"/>
        <item x="85"/>
        <item x="36"/>
        <item x="92"/>
        <item x="106"/>
        <item x="113"/>
        <item x="166"/>
        <item x="89"/>
        <item x="131"/>
        <item x="29"/>
        <item x="110"/>
        <item x="135"/>
        <item x="138"/>
        <item x="81"/>
        <item x="94"/>
        <item x="34"/>
        <item x="163"/>
        <item x="123"/>
        <item x="47"/>
        <item x="193"/>
        <item x="60"/>
        <item x="125"/>
        <item x="120"/>
        <item x="144"/>
        <item x="151"/>
        <item x="1"/>
        <item x="6"/>
        <item x="32"/>
        <item x="104"/>
        <item x="143"/>
        <item x="129"/>
        <item x="82"/>
        <item x="130"/>
        <item x="37"/>
        <item x="190"/>
        <item x="83"/>
        <item x="91"/>
        <item x="194"/>
        <item x="41"/>
        <item x="115"/>
        <item x="114"/>
        <item x="98"/>
        <item x="63"/>
        <item x="61"/>
        <item x="95"/>
        <item x="30"/>
        <item x="97"/>
        <item x="112"/>
        <item x="185"/>
        <item x="18"/>
        <item x="13"/>
        <item x="70"/>
        <item x="93"/>
        <item x="26"/>
        <item x="51"/>
        <item x="19"/>
        <item x="2"/>
        <item x="9"/>
        <item x="108"/>
        <item x="87"/>
        <item x="127"/>
        <item x="84"/>
        <item x="136"/>
        <item x="12"/>
        <item x="99"/>
        <item x="66"/>
        <item x="52"/>
        <item x="21"/>
        <item x="8"/>
        <item x="22"/>
        <item x="65"/>
        <item x="90"/>
        <item x="96"/>
        <item x="5"/>
        <item x="105"/>
        <item x="188"/>
        <item x="68"/>
        <item x="75"/>
        <item x="146"/>
        <item x="118"/>
        <item x="192"/>
        <item x="137"/>
        <item x="4"/>
        <item x="174"/>
        <item x="133"/>
        <item x="162"/>
        <item x="24"/>
        <item x="189"/>
        <item x="103"/>
        <item x="3"/>
        <item x="128"/>
        <item x="132"/>
        <item x="80"/>
        <item x="74"/>
        <item x="59"/>
        <item x="46"/>
        <item x="62"/>
        <item x="169"/>
        <item x="31"/>
        <item t="default"/>
      </items>
    </pivotField>
    <pivotField showAll="0"/>
    <pivotField axis="axisRow" showAll="0">
      <items count="27">
        <item x="5"/>
        <item x="2"/>
        <item x="10"/>
        <item x="7"/>
        <item x="16"/>
        <item x="12"/>
        <item x="13"/>
        <item x="17"/>
        <item x="6"/>
        <item x="3"/>
        <item m="1" x="25"/>
        <item x="0"/>
        <item m="1" x="24"/>
        <item x="4"/>
        <item x="11"/>
        <item x="20"/>
        <item x="21"/>
        <item x="19"/>
        <item x="15"/>
        <item x="18"/>
        <item x="14"/>
        <item x="1"/>
        <item x="8"/>
        <item m="1" x="22"/>
        <item m="1" x="23"/>
        <item x="9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5"/>
    </i>
    <i t="grand">
      <x/>
    </i>
  </rowItems>
  <colFields count="1">
    <field x="7"/>
  </colFields>
  <colItems count="10">
    <i>
      <x v="1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" hier="-1"/>
  </pageFields>
  <dataFields count="1">
    <dataField name="Sum of Amount" fld="2" baseField="0" baseItem="0" numFmtId="164"/>
  </dataFields>
  <formats count="6">
    <format dxfId="5">
      <pivotArea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4" count="1">
            <x v="1"/>
          </reference>
        </references>
      </pivotArea>
    </format>
    <format dxfId="2">
      <pivotArea dataOnly="0" labelOnly="1" fieldPosition="0">
        <references count="1">
          <reference field="4" count="1">
            <x v="1"/>
          </reference>
        </references>
      </pivotArea>
    </format>
    <format dxfId="1">
      <pivotArea collapsedLevelsAreSubtotals="1" fieldPosition="0">
        <references count="1">
          <reference field="4" count="1">
            <x v="14"/>
          </reference>
        </references>
      </pivotArea>
    </format>
    <format dxfId="0">
      <pivotArea dataOnly="0" labelOnly="1" fieldPosition="0">
        <references count="1">
          <reference field="4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godaddy.com/" TargetMode="External"/><Relationship Id="rId1" Type="http://schemas.openxmlformats.org/officeDocument/2006/relationships/hyperlink" Target="http://godaddy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godaddy.com/" TargetMode="External"/><Relationship Id="rId1" Type="http://schemas.openxmlformats.org/officeDocument/2006/relationships/hyperlink" Target="http://godaddy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E893D-20C7-BC45-989F-466BB3E94D00}">
  <dimension ref="A2:D8"/>
  <sheetViews>
    <sheetView workbookViewId="0">
      <selection activeCell="A32" sqref="A32"/>
    </sheetView>
  </sheetViews>
  <sheetFormatPr baseColWidth="10" defaultColWidth="11" defaultRowHeight="16" x14ac:dyDescent="0.2"/>
  <cols>
    <col min="1" max="1" width="48" bestFit="1" customWidth="1"/>
  </cols>
  <sheetData>
    <row r="2" spans="1:4" x14ac:dyDescent="0.2">
      <c r="A2" t="s">
        <v>0</v>
      </c>
      <c r="B2" s="135">
        <v>-62215</v>
      </c>
    </row>
    <row r="3" spans="1:4" x14ac:dyDescent="0.2">
      <c r="A3" t="s">
        <v>1</v>
      </c>
      <c r="B3" s="135">
        <v>97000</v>
      </c>
      <c r="D3" t="s">
        <v>2</v>
      </c>
    </row>
    <row r="4" spans="1:4" x14ac:dyDescent="0.2">
      <c r="A4" t="s">
        <v>3</v>
      </c>
      <c r="B4" s="135">
        <f>-18000</f>
        <v>-18000</v>
      </c>
      <c r="D4" t="s">
        <v>4</v>
      </c>
    </row>
    <row r="5" spans="1:4" x14ac:dyDescent="0.2">
      <c r="A5" t="s">
        <v>5</v>
      </c>
      <c r="B5" s="135">
        <v>-40000</v>
      </c>
      <c r="D5" t="s">
        <v>6</v>
      </c>
    </row>
    <row r="6" spans="1:4" x14ac:dyDescent="0.2">
      <c r="A6" t="s">
        <v>7</v>
      </c>
      <c r="B6" s="135">
        <f>-10000</f>
        <v>-10000</v>
      </c>
    </row>
    <row r="7" spans="1:4" x14ac:dyDescent="0.2">
      <c r="A7" t="s">
        <v>8</v>
      </c>
      <c r="B7" s="135">
        <v>38000</v>
      </c>
    </row>
    <row r="8" spans="1:4" x14ac:dyDescent="0.2">
      <c r="B8" s="142">
        <f>SUM(B2:B7)</f>
        <v>4785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4D1E-9F3A-D546-B26D-3BF8DD89E821}">
  <dimension ref="A1:K30"/>
  <sheetViews>
    <sheetView zoomScale="130" zoomScaleNormal="130" workbookViewId="0">
      <selection activeCell="B1" sqref="B1"/>
    </sheetView>
  </sheetViews>
  <sheetFormatPr baseColWidth="10" defaultColWidth="11" defaultRowHeight="16" x14ac:dyDescent="0.2"/>
  <cols>
    <col min="1" max="1" width="25.6640625" bestFit="1" customWidth="1"/>
    <col min="2" max="2" width="16" bestFit="1" customWidth="1"/>
    <col min="3" max="4" width="10.33203125" bestFit="1" customWidth="1"/>
    <col min="5" max="6" width="9.33203125" bestFit="1" customWidth="1"/>
    <col min="7" max="10" width="10.33203125" bestFit="1" customWidth="1"/>
    <col min="11" max="11" width="10.5" bestFit="1" customWidth="1"/>
    <col min="12" max="12" width="9.33203125" bestFit="1" customWidth="1"/>
    <col min="13" max="13" width="19.33203125" bestFit="1" customWidth="1"/>
    <col min="14" max="14" width="14.5" bestFit="1" customWidth="1"/>
    <col min="15" max="15" width="8" bestFit="1" customWidth="1"/>
    <col min="16" max="17" width="9.33203125" bestFit="1" customWidth="1"/>
    <col min="18" max="18" width="17.33203125" bestFit="1" customWidth="1"/>
    <col min="19" max="19" width="14.83203125" bestFit="1" customWidth="1"/>
    <col min="20" max="20" width="8" bestFit="1" customWidth="1"/>
    <col min="21" max="21" width="17.5" bestFit="1" customWidth="1"/>
    <col min="22" max="22" width="7" bestFit="1" customWidth="1"/>
    <col min="23" max="23" width="8" bestFit="1" customWidth="1"/>
    <col min="24" max="26" width="7" bestFit="1" customWidth="1"/>
    <col min="27" max="27" width="9.5" bestFit="1" customWidth="1"/>
    <col min="28" max="28" width="13.5" bestFit="1" customWidth="1"/>
    <col min="29" max="29" width="8" bestFit="1" customWidth="1"/>
    <col min="30" max="30" width="7" bestFit="1" customWidth="1"/>
    <col min="31" max="31" width="8" bestFit="1" customWidth="1"/>
    <col min="32" max="32" width="9.33203125" bestFit="1" customWidth="1"/>
    <col min="33" max="34" width="8" bestFit="1" customWidth="1"/>
    <col min="35" max="35" width="16" bestFit="1" customWidth="1"/>
    <col min="36" max="36" width="14.33203125" bestFit="1" customWidth="1"/>
    <col min="37" max="38" width="9.33203125" bestFit="1" customWidth="1"/>
    <col min="39" max="39" width="8" bestFit="1" customWidth="1"/>
    <col min="40" max="40" width="9.33203125" bestFit="1" customWidth="1"/>
    <col min="41" max="41" width="17.1640625" bestFit="1" customWidth="1"/>
    <col min="42" max="42" width="10.5" bestFit="1" customWidth="1"/>
    <col min="43" max="43" width="9.33203125" bestFit="1" customWidth="1"/>
    <col min="44" max="44" width="8" bestFit="1" customWidth="1"/>
    <col min="45" max="45" width="13.1640625" bestFit="1" customWidth="1"/>
    <col min="46" max="46" width="11.5" bestFit="1" customWidth="1"/>
    <col min="47" max="49" width="10.33203125" bestFit="1" customWidth="1"/>
    <col min="50" max="50" width="9.33203125" bestFit="1" customWidth="1"/>
    <col min="51" max="51" width="8" bestFit="1" customWidth="1"/>
    <col min="52" max="54" width="10.33203125" bestFit="1" customWidth="1"/>
    <col min="55" max="55" width="14" bestFit="1" customWidth="1"/>
    <col min="56" max="56" width="11.1640625" bestFit="1" customWidth="1"/>
    <col min="57" max="60" width="9.33203125" bestFit="1" customWidth="1"/>
    <col min="61" max="61" width="13.83203125" bestFit="1" customWidth="1"/>
    <col min="62" max="62" width="20.83203125" bestFit="1" customWidth="1"/>
    <col min="63" max="63" width="7" bestFit="1" customWidth="1"/>
    <col min="64" max="65" width="8" bestFit="1" customWidth="1"/>
    <col min="66" max="66" width="7" bestFit="1" customWidth="1"/>
    <col min="67" max="67" width="23.6640625" bestFit="1" customWidth="1"/>
    <col min="68" max="70" width="9.33203125" bestFit="1" customWidth="1"/>
    <col min="71" max="71" width="7" bestFit="1" customWidth="1"/>
    <col min="72" max="72" width="9.33203125" bestFit="1" customWidth="1"/>
    <col min="73" max="73" width="11.1640625" bestFit="1" customWidth="1"/>
    <col min="74" max="74" width="21.33203125" bestFit="1" customWidth="1"/>
    <col min="75" max="75" width="9.33203125" bestFit="1" customWidth="1"/>
    <col min="76" max="76" width="8" bestFit="1" customWidth="1"/>
    <col min="77" max="77" width="24" bestFit="1" customWidth="1"/>
    <col min="78" max="78" width="12.33203125" bestFit="1" customWidth="1"/>
    <col min="79" max="80" width="9.33203125" bestFit="1" customWidth="1"/>
    <col min="81" max="81" width="14.83203125" bestFit="1" customWidth="1"/>
    <col min="82" max="82" width="24.33203125" bestFit="1" customWidth="1"/>
    <col min="83" max="83" width="8" bestFit="1" customWidth="1"/>
    <col min="84" max="84" width="9.33203125" bestFit="1" customWidth="1"/>
    <col min="85" max="85" width="27" bestFit="1" customWidth="1"/>
    <col min="86" max="86" width="8" bestFit="1" customWidth="1"/>
    <col min="87" max="88" width="7" bestFit="1" customWidth="1"/>
    <col min="89" max="89" width="8" bestFit="1" customWidth="1"/>
    <col min="90" max="90" width="7" bestFit="1" customWidth="1"/>
    <col min="91" max="91" width="10.5" bestFit="1" customWidth="1"/>
    <col min="92" max="92" width="15.1640625" bestFit="1" customWidth="1"/>
    <col min="93" max="93" width="8" bestFit="1" customWidth="1"/>
    <col min="94" max="94" width="9.33203125" bestFit="1" customWidth="1"/>
    <col min="95" max="95" width="17.83203125" bestFit="1" customWidth="1"/>
    <col min="96" max="96" width="13.5" bestFit="1" customWidth="1"/>
    <col min="97" max="97" width="16" bestFit="1" customWidth="1"/>
    <col min="98" max="98" width="27.83203125" bestFit="1" customWidth="1"/>
    <col min="99" max="102" width="8" bestFit="1" customWidth="1"/>
    <col min="103" max="103" width="9.33203125" bestFit="1" customWidth="1"/>
    <col min="104" max="104" width="8" bestFit="1" customWidth="1"/>
    <col min="105" max="106" width="9.33203125" bestFit="1" customWidth="1"/>
    <col min="107" max="107" width="30.5" bestFit="1" customWidth="1"/>
    <col min="108" max="108" width="14.33203125" bestFit="1" customWidth="1"/>
    <col min="109" max="109" width="8" bestFit="1" customWidth="1"/>
    <col min="110" max="110" width="17.1640625" bestFit="1" customWidth="1"/>
    <col min="111" max="111" width="15.6640625" bestFit="1" customWidth="1"/>
    <col min="112" max="112" width="18.33203125" bestFit="1" customWidth="1"/>
    <col min="113" max="113" width="10.5" bestFit="1" customWidth="1"/>
    <col min="114" max="114" width="13.1640625" bestFit="1" customWidth="1"/>
    <col min="115" max="115" width="11.5" bestFit="1" customWidth="1"/>
    <col min="116" max="116" width="19.33203125" bestFit="1" customWidth="1"/>
    <col min="117" max="117" width="11.5" bestFit="1" customWidth="1"/>
    <col min="118" max="118" width="13.1640625" bestFit="1" customWidth="1"/>
    <col min="119" max="119" width="11.5" bestFit="1" customWidth="1"/>
    <col min="120" max="120" width="22.33203125" bestFit="1" customWidth="1"/>
    <col min="121" max="121" width="11.5" bestFit="1" customWidth="1"/>
    <col min="122" max="122" width="10.33203125" bestFit="1" customWidth="1"/>
    <col min="123" max="123" width="11.5" bestFit="1" customWidth="1"/>
    <col min="124" max="124" width="12.6640625" bestFit="1" customWidth="1"/>
    <col min="125" max="125" width="11.5" bestFit="1" customWidth="1"/>
    <col min="126" max="126" width="9.6640625" bestFit="1" customWidth="1"/>
    <col min="127" max="129" width="11.5" bestFit="1" customWidth="1"/>
    <col min="130" max="130" width="26" bestFit="1" customWidth="1"/>
    <col min="131" max="131" width="11.5" bestFit="1" customWidth="1"/>
    <col min="132" max="132" width="10.33203125" bestFit="1" customWidth="1"/>
    <col min="133" max="133" width="11.5" bestFit="1" customWidth="1"/>
    <col min="134" max="134" width="19.33203125" bestFit="1" customWidth="1"/>
    <col min="135" max="135" width="11.5" bestFit="1" customWidth="1"/>
    <col min="136" max="136" width="12.6640625" bestFit="1" customWidth="1"/>
    <col min="137" max="137" width="11.5" bestFit="1" customWidth="1"/>
    <col min="138" max="138" width="13.1640625" bestFit="1" customWidth="1"/>
    <col min="139" max="139" width="11.5" bestFit="1" customWidth="1"/>
    <col min="140" max="140" width="26" bestFit="1" customWidth="1"/>
    <col min="141" max="141" width="11.5" bestFit="1" customWidth="1"/>
    <col min="142" max="142" width="13.1640625" bestFit="1" customWidth="1"/>
    <col min="143" max="143" width="11.5" bestFit="1" customWidth="1"/>
    <col min="144" max="144" width="26" bestFit="1" customWidth="1"/>
    <col min="145" max="145" width="11.5" bestFit="1" customWidth="1"/>
    <col min="146" max="146" width="19.1640625" bestFit="1" customWidth="1"/>
    <col min="147" max="149" width="11.5" bestFit="1" customWidth="1"/>
    <col min="150" max="150" width="26" bestFit="1" customWidth="1"/>
    <col min="151" max="151" width="11.5" bestFit="1" customWidth="1"/>
    <col min="152" max="152" width="13.1640625" bestFit="1" customWidth="1"/>
    <col min="153" max="155" width="11.5" bestFit="1" customWidth="1"/>
    <col min="156" max="156" width="26" bestFit="1" customWidth="1"/>
    <col min="157" max="159" width="11.5" bestFit="1" customWidth="1"/>
    <col min="160" max="160" width="26" bestFit="1" customWidth="1"/>
    <col min="161" max="163" width="11.5" bestFit="1" customWidth="1"/>
    <col min="164" max="164" width="12.6640625" bestFit="1" customWidth="1"/>
    <col min="165" max="165" width="11.5" bestFit="1" customWidth="1"/>
    <col min="166" max="166" width="6.1640625" bestFit="1" customWidth="1"/>
    <col min="167" max="167" width="11.5" bestFit="1" customWidth="1"/>
    <col min="168" max="168" width="26" bestFit="1" customWidth="1"/>
    <col min="169" max="169" width="11.5" bestFit="1" customWidth="1"/>
    <col min="170" max="170" width="12.6640625" bestFit="1" customWidth="1"/>
    <col min="171" max="171" width="11.5" bestFit="1" customWidth="1"/>
    <col min="172" max="172" width="26" bestFit="1" customWidth="1"/>
    <col min="173" max="173" width="11.5" bestFit="1" customWidth="1"/>
    <col min="174" max="174" width="22.33203125" bestFit="1" customWidth="1"/>
    <col min="175" max="175" width="11.5" bestFit="1" customWidth="1"/>
    <col min="176" max="176" width="19.33203125" bestFit="1" customWidth="1"/>
    <col min="177" max="177" width="11.5" bestFit="1" customWidth="1"/>
    <col min="178" max="178" width="12.6640625" bestFit="1" customWidth="1"/>
    <col min="179" max="179" width="11.5" bestFit="1" customWidth="1"/>
    <col min="180" max="180" width="26" bestFit="1" customWidth="1"/>
    <col min="181" max="181" width="11.5" bestFit="1" customWidth="1"/>
    <col min="182" max="182" width="26" bestFit="1" customWidth="1"/>
    <col min="183" max="185" width="11.5" bestFit="1" customWidth="1"/>
    <col min="186" max="186" width="26" bestFit="1" customWidth="1"/>
    <col min="187" max="187" width="11.5" bestFit="1" customWidth="1"/>
    <col min="188" max="188" width="13.1640625" bestFit="1" customWidth="1"/>
    <col min="189" max="189" width="11.5" bestFit="1" customWidth="1"/>
    <col min="190" max="190" width="26" bestFit="1" customWidth="1"/>
    <col min="191" max="193" width="11.5" bestFit="1" customWidth="1"/>
    <col min="194" max="194" width="19.1640625" bestFit="1" customWidth="1"/>
    <col min="195" max="195" width="11.5" bestFit="1" customWidth="1"/>
    <col min="196" max="196" width="13" bestFit="1" customWidth="1"/>
    <col min="197" max="197" width="26" bestFit="1" customWidth="1"/>
    <col min="198" max="200" width="11.5" bestFit="1" customWidth="1"/>
    <col min="201" max="201" width="26" bestFit="1" customWidth="1"/>
    <col min="202" max="202" width="11.5" bestFit="1" customWidth="1"/>
    <col min="203" max="203" width="26" bestFit="1" customWidth="1"/>
    <col min="204" max="204" width="11.5" bestFit="1" customWidth="1"/>
    <col min="205" max="205" width="22.33203125" bestFit="1" customWidth="1"/>
    <col min="206" max="208" width="11.5" bestFit="1" customWidth="1"/>
    <col min="209" max="209" width="26" bestFit="1" customWidth="1"/>
    <col min="210" max="210" width="11.5" bestFit="1" customWidth="1"/>
    <col min="211" max="211" width="5.1640625" bestFit="1" customWidth="1"/>
    <col min="212" max="212" width="10.5" bestFit="1" customWidth="1"/>
    <col min="213" max="213" width="11.5" bestFit="1" customWidth="1"/>
    <col min="214" max="214" width="10.5" bestFit="1" customWidth="1"/>
    <col min="215" max="215" width="5.1640625" bestFit="1" customWidth="1"/>
    <col min="216" max="216" width="10.5" bestFit="1" customWidth="1"/>
    <col min="217" max="217" width="13.1640625" bestFit="1" customWidth="1"/>
    <col min="218" max="218" width="10.5" bestFit="1" customWidth="1"/>
    <col min="219" max="219" width="11.5" bestFit="1" customWidth="1"/>
    <col min="220" max="220" width="10.5" bestFit="1" customWidth="1"/>
    <col min="221" max="221" width="26" bestFit="1" customWidth="1"/>
    <col min="222" max="222" width="10.5" bestFit="1" customWidth="1"/>
    <col min="223" max="223" width="11.5" bestFit="1" customWidth="1"/>
    <col min="224" max="224" width="10.5" bestFit="1" customWidth="1"/>
    <col min="225" max="225" width="22.33203125" bestFit="1" customWidth="1"/>
    <col min="226" max="226" width="10.5" bestFit="1" customWidth="1"/>
    <col min="227" max="227" width="26" bestFit="1" customWidth="1"/>
    <col min="228" max="228" width="10.5" bestFit="1" customWidth="1"/>
    <col min="229" max="229" width="11.5" bestFit="1" customWidth="1"/>
    <col min="230" max="230" width="10.5" bestFit="1" customWidth="1"/>
    <col min="231" max="231" width="11.5" bestFit="1" customWidth="1"/>
    <col min="232" max="232" width="10.5" bestFit="1" customWidth="1"/>
    <col min="233" max="233" width="6.83203125" bestFit="1" customWidth="1"/>
    <col min="234" max="234" width="10.5" bestFit="1" customWidth="1"/>
    <col min="235" max="235" width="26" bestFit="1" customWidth="1"/>
    <col min="236" max="236" width="10.5" bestFit="1" customWidth="1"/>
    <col min="237" max="237" width="26" bestFit="1" customWidth="1"/>
    <col min="238" max="238" width="10.5" bestFit="1" customWidth="1"/>
    <col min="239" max="239" width="11.5" bestFit="1" customWidth="1"/>
    <col min="240" max="240" width="10.5" bestFit="1" customWidth="1"/>
    <col min="241" max="241" width="19.1640625" bestFit="1" customWidth="1"/>
    <col min="242" max="242" width="10.5" bestFit="1" customWidth="1"/>
    <col min="243" max="243" width="26" bestFit="1" customWidth="1"/>
    <col min="244" max="244" width="10.5" bestFit="1" customWidth="1"/>
    <col min="245" max="245" width="26" bestFit="1" customWidth="1"/>
    <col min="246" max="246" width="10.5" bestFit="1" customWidth="1"/>
    <col min="247" max="247" width="11.5" bestFit="1" customWidth="1"/>
    <col min="248" max="248" width="10.5" bestFit="1" customWidth="1"/>
    <col min="249" max="249" width="26" bestFit="1" customWidth="1"/>
    <col min="250" max="250" width="10.5" bestFit="1" customWidth="1"/>
    <col min="251" max="251" width="26" bestFit="1" customWidth="1"/>
    <col min="252" max="252" width="10.5" bestFit="1" customWidth="1"/>
    <col min="253" max="253" width="26" bestFit="1" customWidth="1"/>
    <col min="254" max="254" width="10.5" bestFit="1" customWidth="1"/>
    <col min="255" max="255" width="11.5" bestFit="1" customWidth="1"/>
    <col min="256" max="256" width="10.5" bestFit="1" customWidth="1"/>
    <col min="257" max="257" width="26" bestFit="1" customWidth="1"/>
    <col min="258" max="258" width="10.5" bestFit="1" customWidth="1"/>
    <col min="259" max="259" width="11.5" bestFit="1" customWidth="1"/>
    <col min="260" max="260" width="10.5" bestFit="1" customWidth="1"/>
    <col min="261" max="261" width="11.5" bestFit="1" customWidth="1"/>
    <col min="262" max="262" width="10.5" bestFit="1" customWidth="1"/>
    <col min="263" max="263" width="11.5" bestFit="1" customWidth="1"/>
    <col min="264" max="264" width="10.5" bestFit="1" customWidth="1"/>
    <col min="265" max="265" width="11.5" bestFit="1" customWidth="1"/>
    <col min="266" max="266" width="10.5" bestFit="1" customWidth="1"/>
    <col min="267" max="267" width="13" bestFit="1" customWidth="1"/>
    <col min="268" max="268" width="10.5" bestFit="1" customWidth="1"/>
    <col min="269" max="269" width="11.5" bestFit="1" customWidth="1"/>
    <col min="270" max="270" width="10.5" bestFit="1" customWidth="1"/>
    <col min="271" max="271" width="11.5" bestFit="1" customWidth="1"/>
    <col min="272" max="272" width="10.5" bestFit="1" customWidth="1"/>
    <col min="273" max="273" width="11.5" bestFit="1" customWidth="1"/>
    <col min="274" max="274" width="10.5" bestFit="1" customWidth="1"/>
    <col min="275" max="275" width="11.5" bestFit="1" customWidth="1"/>
    <col min="276" max="276" width="10.5" bestFit="1" customWidth="1"/>
    <col min="277" max="277" width="11.5" bestFit="1" customWidth="1"/>
    <col min="278" max="278" width="10.5" bestFit="1" customWidth="1"/>
    <col min="279" max="279" width="19.1640625" bestFit="1" customWidth="1"/>
    <col min="280" max="280" width="10.5" bestFit="1" customWidth="1"/>
    <col min="281" max="281" width="11.5" bestFit="1" customWidth="1"/>
    <col min="282" max="282" width="10.5" bestFit="1" customWidth="1"/>
    <col min="283" max="283" width="10.6640625" bestFit="1" customWidth="1"/>
    <col min="284" max="284" width="10.5" bestFit="1" customWidth="1"/>
    <col min="285" max="285" width="11.5" bestFit="1" customWidth="1"/>
    <col min="286" max="286" width="10.5" bestFit="1" customWidth="1"/>
    <col min="287" max="287" width="11.5" bestFit="1" customWidth="1"/>
    <col min="288" max="288" width="10.5" bestFit="1" customWidth="1"/>
    <col min="289" max="289" width="11.5" bestFit="1" customWidth="1"/>
    <col min="290" max="290" width="10.5" bestFit="1" customWidth="1"/>
    <col min="291" max="291" width="10.6640625" bestFit="1" customWidth="1"/>
    <col min="292" max="292" width="10.5" bestFit="1" customWidth="1"/>
    <col min="293" max="293" width="10.6640625" bestFit="1" customWidth="1"/>
    <col min="294" max="294" width="10.5" bestFit="1" customWidth="1"/>
    <col min="295" max="295" width="11.5" bestFit="1" customWidth="1"/>
    <col min="296" max="296" width="10.5" bestFit="1" customWidth="1"/>
    <col min="297" max="297" width="11.5" bestFit="1" customWidth="1"/>
    <col min="298" max="298" width="10.5" bestFit="1" customWidth="1"/>
    <col min="299" max="299" width="10.6640625" bestFit="1" customWidth="1"/>
    <col min="300" max="300" width="10.5" bestFit="1" customWidth="1"/>
    <col min="301" max="301" width="6" bestFit="1" customWidth="1"/>
    <col min="302" max="302" width="10.5" bestFit="1" customWidth="1"/>
    <col min="303" max="303" width="10.6640625" bestFit="1" customWidth="1"/>
    <col min="304" max="304" width="10.5" bestFit="1" customWidth="1"/>
    <col min="305" max="305" width="10.6640625" bestFit="1" customWidth="1"/>
    <col min="306" max="306" width="10.5" bestFit="1" customWidth="1"/>
    <col min="307" max="307" width="10.6640625" bestFit="1" customWidth="1"/>
    <col min="308" max="308" width="10.5" bestFit="1" customWidth="1"/>
    <col min="309" max="309" width="11.5" bestFit="1" customWidth="1"/>
    <col min="310" max="310" width="10.5" bestFit="1" customWidth="1"/>
    <col min="311" max="311" width="11.5" bestFit="1" customWidth="1"/>
    <col min="312" max="312" width="10.5" bestFit="1" customWidth="1"/>
    <col min="313" max="313" width="26" bestFit="1" customWidth="1"/>
    <col min="314" max="314" width="10.5" bestFit="1" customWidth="1"/>
    <col min="315" max="315" width="11.5" bestFit="1" customWidth="1"/>
    <col min="316" max="316" width="10.5" bestFit="1" customWidth="1"/>
    <col min="317" max="317" width="19.1640625" bestFit="1" customWidth="1"/>
    <col min="318" max="318" width="10.5" bestFit="1" customWidth="1"/>
    <col min="319" max="319" width="26" bestFit="1" customWidth="1"/>
    <col min="320" max="320" width="10.5" bestFit="1" customWidth="1"/>
    <col min="321" max="321" width="11.5" bestFit="1" customWidth="1"/>
    <col min="322" max="322" width="10.5" bestFit="1" customWidth="1"/>
    <col min="323" max="323" width="11.5" bestFit="1" customWidth="1"/>
    <col min="324" max="324" width="10.5" bestFit="1" customWidth="1"/>
    <col min="325" max="325" width="6" bestFit="1" customWidth="1"/>
    <col min="326" max="326" width="10.5" bestFit="1" customWidth="1"/>
    <col min="327" max="327" width="10.6640625" bestFit="1" customWidth="1"/>
    <col min="328" max="328" width="10.5" bestFit="1" customWidth="1"/>
    <col min="329" max="329" width="19.1640625" bestFit="1" customWidth="1"/>
    <col min="330" max="330" width="10.5" bestFit="1" customWidth="1"/>
    <col min="331" max="331" width="10.6640625" bestFit="1" customWidth="1"/>
    <col min="332" max="332" width="10.5" bestFit="1" customWidth="1"/>
    <col min="333" max="333" width="11.5" bestFit="1" customWidth="1"/>
    <col min="334" max="334" width="10.5" bestFit="1" customWidth="1"/>
    <col min="335" max="335" width="11.5" bestFit="1" customWidth="1"/>
    <col min="336" max="336" width="10.5" bestFit="1" customWidth="1"/>
    <col min="337" max="337" width="6" bestFit="1" customWidth="1"/>
    <col min="338" max="338" width="10.5" bestFit="1" customWidth="1"/>
    <col min="339" max="339" width="10.6640625" bestFit="1" customWidth="1"/>
    <col min="340" max="340" width="10.5" bestFit="1" customWidth="1"/>
    <col min="341" max="341" width="11.5" bestFit="1" customWidth="1"/>
    <col min="342" max="342" width="10.5" bestFit="1" customWidth="1"/>
    <col min="343" max="343" width="6" bestFit="1" customWidth="1"/>
    <col min="344" max="344" width="10.5" bestFit="1" customWidth="1"/>
    <col min="345" max="345" width="6" bestFit="1" customWidth="1"/>
    <col min="346" max="346" width="10.5" bestFit="1" customWidth="1"/>
    <col min="347" max="347" width="11.5" bestFit="1" customWidth="1"/>
    <col min="348" max="348" width="10.5" bestFit="1" customWidth="1"/>
    <col min="349" max="349" width="26" bestFit="1" customWidth="1"/>
    <col min="350" max="350" width="10.5" bestFit="1" customWidth="1"/>
    <col min="351" max="351" width="11.5" bestFit="1" customWidth="1"/>
    <col min="352" max="352" width="10.5" bestFit="1" customWidth="1"/>
    <col min="353" max="353" width="19.1640625" bestFit="1" customWidth="1"/>
    <col min="354" max="354" width="10.5" bestFit="1" customWidth="1"/>
    <col min="355" max="355" width="6" bestFit="1" customWidth="1"/>
    <col min="356" max="356" width="10.5" bestFit="1" customWidth="1"/>
    <col min="357" max="357" width="10.6640625" bestFit="1" customWidth="1"/>
    <col min="358" max="358" width="10.5" bestFit="1" customWidth="1"/>
    <col min="359" max="359" width="26" bestFit="1" customWidth="1"/>
    <col min="360" max="360" width="10.5" bestFit="1" customWidth="1"/>
    <col min="361" max="361" width="26" bestFit="1" customWidth="1"/>
    <col min="362" max="362" width="10.5" bestFit="1" customWidth="1"/>
    <col min="363" max="363" width="19.33203125" bestFit="1" customWidth="1"/>
    <col min="364" max="364" width="10.5" bestFit="1" customWidth="1"/>
    <col min="365" max="365" width="10.6640625" bestFit="1" customWidth="1"/>
    <col min="366" max="366" width="9.5" bestFit="1" customWidth="1"/>
    <col min="367" max="367" width="26" bestFit="1" customWidth="1"/>
    <col min="368" max="368" width="9.5" bestFit="1" customWidth="1"/>
    <col min="369" max="369" width="26" bestFit="1" customWidth="1"/>
    <col min="370" max="370" width="9.5" bestFit="1" customWidth="1"/>
    <col min="371" max="371" width="10.6640625" bestFit="1" customWidth="1"/>
    <col min="372" max="372" width="9.5" bestFit="1" customWidth="1"/>
    <col min="373" max="373" width="26" bestFit="1" customWidth="1"/>
    <col min="374" max="374" width="9.5" bestFit="1" customWidth="1"/>
    <col min="375" max="375" width="6" bestFit="1" customWidth="1"/>
    <col min="376" max="376" width="26" bestFit="1" customWidth="1"/>
    <col min="377" max="377" width="9.5" bestFit="1" customWidth="1"/>
    <col min="378" max="378" width="26" bestFit="1" customWidth="1"/>
    <col min="379" max="379" width="9.5" bestFit="1" customWidth="1"/>
    <col min="380" max="380" width="26" bestFit="1" customWidth="1"/>
    <col min="381" max="381" width="9.5" bestFit="1" customWidth="1"/>
    <col min="382" max="382" width="10.6640625" bestFit="1" customWidth="1"/>
    <col min="383" max="383" width="12" bestFit="1" customWidth="1"/>
    <col min="384" max="384" width="11.6640625" bestFit="1" customWidth="1"/>
    <col min="385" max="385" width="13" bestFit="1" customWidth="1"/>
    <col min="386" max="386" width="9.6640625" bestFit="1" customWidth="1"/>
    <col min="387" max="387" width="13" bestFit="1" customWidth="1"/>
    <col min="388" max="388" width="9.6640625" bestFit="1" customWidth="1"/>
    <col min="389" max="389" width="13" bestFit="1" customWidth="1"/>
    <col min="390" max="390" width="9.6640625" bestFit="1" customWidth="1"/>
    <col min="391" max="391" width="13" bestFit="1" customWidth="1"/>
    <col min="392" max="392" width="11.83203125" bestFit="1" customWidth="1"/>
    <col min="393" max="393" width="12.5" bestFit="1" customWidth="1"/>
    <col min="394" max="394" width="15" bestFit="1" customWidth="1"/>
    <col min="395" max="395" width="12.5" bestFit="1" customWidth="1"/>
    <col min="396" max="396" width="15" bestFit="1" customWidth="1"/>
    <col min="397" max="397" width="12.5" bestFit="1" customWidth="1"/>
    <col min="398" max="398" width="15" bestFit="1" customWidth="1"/>
    <col min="399" max="399" width="12.5" bestFit="1" customWidth="1"/>
    <col min="400" max="400" width="4.1640625" bestFit="1" customWidth="1"/>
    <col min="401" max="401" width="15" bestFit="1" customWidth="1"/>
    <col min="402" max="402" width="12.5" bestFit="1" customWidth="1"/>
    <col min="403" max="403" width="15" bestFit="1" customWidth="1"/>
    <col min="404" max="404" width="12.5" bestFit="1" customWidth="1"/>
    <col min="405" max="405" width="15" bestFit="1" customWidth="1"/>
    <col min="406" max="406" width="13.5" bestFit="1" customWidth="1"/>
    <col min="407" max="407" width="16" bestFit="1" customWidth="1"/>
    <col min="408" max="408" width="13.5" bestFit="1" customWidth="1"/>
    <col min="409" max="409" width="16" bestFit="1" customWidth="1"/>
    <col min="410" max="410" width="13.5" bestFit="1" customWidth="1"/>
    <col min="411" max="411" width="16" bestFit="1" customWidth="1"/>
    <col min="412" max="412" width="13.5" bestFit="1" customWidth="1"/>
    <col min="413" max="413" width="16" bestFit="1" customWidth="1"/>
    <col min="414" max="414" width="12.5" bestFit="1" customWidth="1"/>
    <col min="415" max="415" width="15" bestFit="1" customWidth="1"/>
    <col min="416" max="416" width="12.5" bestFit="1" customWidth="1"/>
    <col min="417" max="417" width="15" bestFit="1" customWidth="1"/>
    <col min="418" max="418" width="12.5" bestFit="1" customWidth="1"/>
    <col min="419" max="419" width="15" bestFit="1" customWidth="1"/>
    <col min="420" max="420" width="12.5" bestFit="1" customWidth="1"/>
    <col min="421" max="421" width="15" bestFit="1" customWidth="1"/>
    <col min="422" max="422" width="12.5" bestFit="1" customWidth="1"/>
    <col min="423" max="423" width="15" bestFit="1" customWidth="1"/>
    <col min="424" max="424" width="12.5" bestFit="1" customWidth="1"/>
    <col min="425" max="425" width="15" bestFit="1" customWidth="1"/>
    <col min="426" max="426" width="13.5" bestFit="1" customWidth="1"/>
    <col min="427" max="427" width="16" bestFit="1" customWidth="1"/>
    <col min="428" max="428" width="13.5" bestFit="1" customWidth="1"/>
    <col min="429" max="429" width="6.1640625" bestFit="1" customWidth="1"/>
    <col min="430" max="430" width="16" bestFit="1" customWidth="1"/>
    <col min="431" max="431" width="13.5" bestFit="1" customWidth="1"/>
    <col min="432" max="432" width="4.1640625" bestFit="1" customWidth="1"/>
    <col min="433" max="433" width="16" bestFit="1" customWidth="1"/>
    <col min="434" max="434" width="13.5" bestFit="1" customWidth="1"/>
    <col min="435" max="435" width="16" bestFit="1" customWidth="1"/>
    <col min="436" max="436" width="13.5" bestFit="1" customWidth="1"/>
    <col min="437" max="437" width="16" bestFit="1" customWidth="1"/>
    <col min="438" max="438" width="12.5" bestFit="1" customWidth="1"/>
    <col min="439" max="439" width="4.1640625" bestFit="1" customWidth="1"/>
    <col min="440" max="440" width="14.83203125" bestFit="1" customWidth="1"/>
    <col min="441" max="441" width="13.5" bestFit="1" customWidth="1"/>
    <col min="442" max="442" width="16" bestFit="1" customWidth="1"/>
    <col min="443" max="443" width="13.5" bestFit="1" customWidth="1"/>
    <col min="444" max="444" width="16" bestFit="1" customWidth="1"/>
    <col min="445" max="445" width="13.5" bestFit="1" customWidth="1"/>
    <col min="446" max="446" width="16" bestFit="1" customWidth="1"/>
    <col min="447" max="447" width="13.5" bestFit="1" customWidth="1"/>
    <col min="448" max="448" width="16" bestFit="1" customWidth="1"/>
    <col min="449" max="449" width="13.5" bestFit="1" customWidth="1"/>
    <col min="450" max="450" width="16" bestFit="1" customWidth="1"/>
    <col min="451" max="451" width="12.5" bestFit="1" customWidth="1"/>
    <col min="452" max="452" width="15" bestFit="1" customWidth="1"/>
    <col min="453" max="453" width="12.5" bestFit="1" customWidth="1"/>
    <col min="454" max="454" width="15" bestFit="1" customWidth="1"/>
    <col min="455" max="455" width="12.5" bestFit="1" customWidth="1"/>
    <col min="456" max="456" width="15" bestFit="1" customWidth="1"/>
    <col min="457" max="457" width="13.5" bestFit="1" customWidth="1"/>
    <col min="458" max="458" width="16" bestFit="1" customWidth="1"/>
    <col min="459" max="459" width="13.5" bestFit="1" customWidth="1"/>
    <col min="460" max="460" width="16" bestFit="1" customWidth="1"/>
    <col min="461" max="461" width="12.6640625" bestFit="1" customWidth="1"/>
    <col min="462" max="462" width="15.1640625" bestFit="1" customWidth="1"/>
    <col min="463" max="463" width="12.6640625" bestFit="1" customWidth="1"/>
    <col min="464" max="464" width="15.1640625" bestFit="1" customWidth="1"/>
    <col min="465" max="465" width="12.6640625" bestFit="1" customWidth="1"/>
    <col min="466" max="466" width="15.1640625" bestFit="1" customWidth="1"/>
    <col min="467" max="467" width="12.6640625" bestFit="1" customWidth="1"/>
    <col min="468" max="468" width="15.1640625" bestFit="1" customWidth="1"/>
    <col min="469" max="469" width="13.5" bestFit="1" customWidth="1"/>
    <col min="470" max="470" width="16" bestFit="1" customWidth="1"/>
    <col min="471" max="471" width="13.5" bestFit="1" customWidth="1"/>
    <col min="472" max="472" width="16" bestFit="1" customWidth="1"/>
    <col min="473" max="473" width="13.6640625" bestFit="1" customWidth="1"/>
    <col min="474" max="474" width="16.33203125" bestFit="1" customWidth="1"/>
    <col min="475" max="475" width="13.6640625" bestFit="1" customWidth="1"/>
    <col min="476" max="476" width="16.33203125" bestFit="1" customWidth="1"/>
    <col min="477" max="477" width="13.6640625" bestFit="1" customWidth="1"/>
    <col min="478" max="478" width="16.33203125" bestFit="1" customWidth="1"/>
    <col min="479" max="479" width="13" bestFit="1" customWidth="1"/>
    <col min="480" max="480" width="15.5" bestFit="1" customWidth="1"/>
    <col min="481" max="481" width="13" bestFit="1" customWidth="1"/>
    <col min="482" max="482" width="15.5" bestFit="1" customWidth="1"/>
    <col min="483" max="483" width="13" bestFit="1" customWidth="1"/>
    <col min="484" max="484" width="15.5" bestFit="1" customWidth="1"/>
    <col min="485" max="485" width="12" bestFit="1" customWidth="1"/>
    <col min="486" max="486" width="14.5" bestFit="1" customWidth="1"/>
    <col min="487" max="487" width="30.5" bestFit="1" customWidth="1"/>
    <col min="488" max="488" width="14.33203125" bestFit="1" customWidth="1"/>
    <col min="489" max="489" width="15.1640625" bestFit="1" customWidth="1"/>
    <col min="490" max="490" width="12" bestFit="1" customWidth="1"/>
    <col min="491" max="491" width="14.5" bestFit="1" customWidth="1"/>
    <col min="492" max="492" width="17.1640625" bestFit="1" customWidth="1"/>
    <col min="493" max="493" width="15.6640625" bestFit="1" customWidth="1"/>
    <col min="494" max="494" width="14.5" bestFit="1" customWidth="1"/>
    <col min="495" max="495" width="18.33203125" bestFit="1" customWidth="1"/>
    <col min="496" max="496" width="10.5" bestFit="1" customWidth="1"/>
  </cols>
  <sheetData>
    <row r="1" spans="1:11" x14ac:dyDescent="0.2">
      <c r="A1" s="42" t="s">
        <v>9</v>
      </c>
      <c r="B1" t="s">
        <v>10</v>
      </c>
    </row>
    <row r="3" spans="1:11" x14ac:dyDescent="0.2">
      <c r="A3" s="42" t="s">
        <v>11</v>
      </c>
      <c r="B3" s="42" t="s">
        <v>12</v>
      </c>
    </row>
    <row r="4" spans="1:11" x14ac:dyDescent="0.2">
      <c r="A4" s="42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</row>
    <row r="5" spans="1:11" x14ac:dyDescent="0.2">
      <c r="A5" s="141" t="s">
        <v>24</v>
      </c>
      <c r="B5" s="97">
        <v>-1296</v>
      </c>
      <c r="C5" s="97"/>
      <c r="D5" s="97"/>
      <c r="E5" s="97"/>
      <c r="F5" s="97"/>
      <c r="G5" s="97">
        <v>-1872</v>
      </c>
      <c r="H5" s="97">
        <v>-1728</v>
      </c>
      <c r="I5" s="97">
        <v>-2556</v>
      </c>
      <c r="J5" s="97">
        <v>-2160</v>
      </c>
      <c r="K5" s="97">
        <v>-9612</v>
      </c>
    </row>
    <row r="6" spans="1:11" x14ac:dyDescent="0.2">
      <c r="A6" s="143" t="s">
        <v>25</v>
      </c>
      <c r="B6" s="144">
        <v>-3132.99</v>
      </c>
      <c r="C6" s="144">
        <v>-1063.9000000000001</v>
      </c>
      <c r="D6" s="144">
        <v>-1252.1400000000001</v>
      </c>
      <c r="E6" s="144">
        <v>-1252.1400000000001</v>
      </c>
      <c r="F6" s="144">
        <v>-1252.1400000000001</v>
      </c>
      <c r="G6" s="144">
        <v>-1252.1400000000001</v>
      </c>
      <c r="H6" s="144">
        <v>-1252.1400000000001</v>
      </c>
      <c r="I6" s="144">
        <v>6072.4800000000005</v>
      </c>
      <c r="J6" s="144">
        <v>-1252.1400000000001</v>
      </c>
      <c r="K6" s="144">
        <v>-5637.25</v>
      </c>
    </row>
    <row r="7" spans="1:11" x14ac:dyDescent="0.2">
      <c r="A7" s="141" t="s">
        <v>26</v>
      </c>
      <c r="B7" s="97">
        <v>-471.13</v>
      </c>
      <c r="C7" s="97"/>
      <c r="D7" s="97"/>
      <c r="E7" s="97"/>
      <c r="F7" s="97"/>
      <c r="G7" s="97"/>
      <c r="H7" s="97"/>
      <c r="I7" s="97"/>
      <c r="J7" s="97"/>
      <c r="K7" s="97">
        <v>-471.13</v>
      </c>
    </row>
    <row r="8" spans="1:11" x14ac:dyDescent="0.2">
      <c r="A8" s="141" t="s">
        <v>27</v>
      </c>
      <c r="B8" s="97">
        <v>-1081</v>
      </c>
      <c r="C8" s="97"/>
      <c r="D8" s="97"/>
      <c r="E8" s="97"/>
      <c r="F8" s="97"/>
      <c r="G8" s="97"/>
      <c r="H8" s="97">
        <v>-814.51</v>
      </c>
      <c r="I8" s="97">
        <v>-1175</v>
      </c>
      <c r="J8" s="97">
        <v>-1621.5</v>
      </c>
      <c r="K8" s="97">
        <v>-4692.01</v>
      </c>
    </row>
    <row r="9" spans="1:11" x14ac:dyDescent="0.2">
      <c r="A9" s="141" t="s">
        <v>28</v>
      </c>
      <c r="B9" s="97"/>
      <c r="C9" s="97">
        <v>-43.45</v>
      </c>
      <c r="D9" s="97"/>
      <c r="E9" s="97"/>
      <c r="F9" s="97"/>
      <c r="G9" s="97"/>
      <c r="H9" s="97">
        <v>-112.35</v>
      </c>
      <c r="I9" s="97"/>
      <c r="J9" s="97"/>
      <c r="K9" s="97">
        <v>-155.80000000000001</v>
      </c>
    </row>
    <row r="10" spans="1:11" x14ac:dyDescent="0.2">
      <c r="A10" s="141" t="s">
        <v>29</v>
      </c>
      <c r="B10" s="97">
        <v>-97.5</v>
      </c>
      <c r="C10" s="97">
        <v>-195</v>
      </c>
      <c r="D10" s="97"/>
      <c r="E10" s="97"/>
      <c r="F10" s="97">
        <v>-95</v>
      </c>
      <c r="G10" s="97"/>
      <c r="H10" s="97"/>
      <c r="I10" s="97">
        <v>-97.5</v>
      </c>
      <c r="J10" s="97">
        <v>-97.5</v>
      </c>
      <c r="K10" s="97">
        <v>-582.5</v>
      </c>
    </row>
    <row r="11" spans="1:11" x14ac:dyDescent="0.2">
      <c r="A11" s="141" t="s">
        <v>30</v>
      </c>
      <c r="B11" s="97"/>
      <c r="C11" s="97">
        <v>-373.45000000000005</v>
      </c>
      <c r="D11" s="97">
        <v>-196.54000000000002</v>
      </c>
      <c r="E11" s="97">
        <v>-72.62</v>
      </c>
      <c r="F11" s="97"/>
      <c r="G11" s="97">
        <v>-797.82</v>
      </c>
      <c r="H11" s="97">
        <v>-1245.1600000000001</v>
      </c>
      <c r="I11" s="97">
        <v>-284.95</v>
      </c>
      <c r="J11" s="97">
        <v>-243.27</v>
      </c>
      <c r="K11" s="97">
        <v>-3213.81</v>
      </c>
    </row>
    <row r="12" spans="1:11" x14ac:dyDescent="0.2">
      <c r="A12" s="141" t="s">
        <v>31</v>
      </c>
      <c r="B12" s="97"/>
      <c r="C12" s="97">
        <v>-1053.5500000000002</v>
      </c>
      <c r="D12" s="97">
        <v>-3528</v>
      </c>
      <c r="E12" s="97">
        <v>-3929.8</v>
      </c>
      <c r="F12" s="97">
        <v>-656.6</v>
      </c>
      <c r="G12" s="97">
        <v>-1871.8000000000002</v>
      </c>
      <c r="H12" s="97"/>
      <c r="I12" s="97"/>
      <c r="J12" s="97"/>
      <c r="K12" s="97">
        <v>-11039.75</v>
      </c>
    </row>
    <row r="13" spans="1:11" x14ac:dyDescent="0.2">
      <c r="A13" s="141" t="s">
        <v>32</v>
      </c>
      <c r="B13" s="97">
        <v>-1672</v>
      </c>
      <c r="C13" s="97"/>
      <c r="D13" s="97"/>
      <c r="E13" s="97"/>
      <c r="F13" s="97"/>
      <c r="G13" s="97"/>
      <c r="H13" s="97"/>
      <c r="I13" s="97">
        <v>-1430</v>
      </c>
      <c r="J13" s="97">
        <v>-594</v>
      </c>
      <c r="K13" s="97">
        <v>-3696</v>
      </c>
    </row>
    <row r="14" spans="1:11" x14ac:dyDescent="0.2">
      <c r="A14" s="141" t="s">
        <v>33</v>
      </c>
      <c r="B14" s="97">
        <v>-6600</v>
      </c>
      <c r="C14" s="97">
        <v>12790.05</v>
      </c>
      <c r="D14" s="97">
        <v>11283</v>
      </c>
      <c r="E14" s="97">
        <v>8212</v>
      </c>
      <c r="F14" s="97">
        <v>-3780</v>
      </c>
      <c r="G14" s="97">
        <v>-945</v>
      </c>
      <c r="H14" s="97">
        <v>13000</v>
      </c>
      <c r="I14" s="97">
        <v>-15600</v>
      </c>
      <c r="J14" s="97">
        <v>22500</v>
      </c>
      <c r="K14" s="97">
        <v>40860.050000000003</v>
      </c>
    </row>
    <row r="15" spans="1:11" x14ac:dyDescent="0.2">
      <c r="A15" s="141" t="s">
        <v>34</v>
      </c>
      <c r="B15" s="97">
        <v>-3280</v>
      </c>
      <c r="C15" s="97"/>
      <c r="D15" s="97"/>
      <c r="E15" s="97"/>
      <c r="F15" s="97"/>
      <c r="G15" s="97">
        <v>-3780</v>
      </c>
      <c r="H15" s="97">
        <v>-1980</v>
      </c>
      <c r="I15" s="97">
        <v>-1960</v>
      </c>
      <c r="J15" s="97">
        <v>-1560</v>
      </c>
      <c r="K15" s="97">
        <v>-12560</v>
      </c>
    </row>
    <row r="16" spans="1:11" x14ac:dyDescent="0.2">
      <c r="A16" s="141" t="s">
        <v>35</v>
      </c>
      <c r="B16" s="97">
        <v>-20</v>
      </c>
      <c r="C16" s="97">
        <v>-12</v>
      </c>
      <c r="D16" s="97"/>
      <c r="E16" s="97">
        <v>-724.48</v>
      </c>
      <c r="F16" s="97"/>
      <c r="G16" s="97"/>
      <c r="H16" s="97">
        <v>-115.89</v>
      </c>
      <c r="I16" s="97">
        <v>-37.86</v>
      </c>
      <c r="J16" s="97"/>
      <c r="K16" s="97">
        <v>-910.23</v>
      </c>
    </row>
    <row r="17" spans="1:11" x14ac:dyDescent="0.2">
      <c r="A17" s="143" t="s">
        <v>36</v>
      </c>
      <c r="B17" s="144">
        <v>-8738.99</v>
      </c>
      <c r="C17" s="144"/>
      <c r="D17" s="144"/>
      <c r="E17" s="144"/>
      <c r="F17" s="144"/>
      <c r="G17" s="144">
        <v>-6025.55</v>
      </c>
      <c r="H17" s="144">
        <v>-8702.33</v>
      </c>
      <c r="I17" s="144">
        <v>-80.28</v>
      </c>
      <c r="J17" s="144">
        <v>-8732.0499999999993</v>
      </c>
      <c r="K17" s="144">
        <v>-32279.200000000001</v>
      </c>
    </row>
    <row r="18" spans="1:11" x14ac:dyDescent="0.2">
      <c r="A18" s="141" t="s">
        <v>37</v>
      </c>
      <c r="B18" s="97"/>
      <c r="C18" s="97">
        <v>-162.44999999999999</v>
      </c>
      <c r="D18" s="97">
        <v>-2771.19</v>
      </c>
      <c r="E18" s="97">
        <v>-535.5</v>
      </c>
      <c r="F18" s="97"/>
      <c r="G18" s="97"/>
      <c r="H18" s="97"/>
      <c r="I18" s="97"/>
      <c r="J18" s="97"/>
      <c r="K18" s="97">
        <v>-3469.14</v>
      </c>
    </row>
    <row r="19" spans="1:11" x14ac:dyDescent="0.2">
      <c r="A19" s="141" t="s">
        <v>38</v>
      </c>
      <c r="B19" s="97"/>
      <c r="C19" s="97">
        <v>-335.4</v>
      </c>
      <c r="D19" s="97">
        <v>-1033.25</v>
      </c>
      <c r="E19" s="97">
        <v>-1470</v>
      </c>
      <c r="F19" s="97"/>
      <c r="G19" s="97"/>
      <c r="H19" s="97"/>
      <c r="I19" s="97"/>
      <c r="J19" s="97"/>
      <c r="K19" s="97">
        <v>-2838.65</v>
      </c>
    </row>
    <row r="20" spans="1:11" x14ac:dyDescent="0.2">
      <c r="A20" s="141" t="s">
        <v>39</v>
      </c>
      <c r="B20" s="97"/>
      <c r="C20" s="97">
        <v>-764.45</v>
      </c>
      <c r="D20" s="97">
        <v>-353.5</v>
      </c>
      <c r="E20" s="97">
        <v>-2383</v>
      </c>
      <c r="F20" s="97"/>
      <c r="G20" s="97"/>
      <c r="H20" s="97"/>
      <c r="I20" s="97"/>
      <c r="J20" s="97"/>
      <c r="K20" s="97">
        <v>-3500.95</v>
      </c>
    </row>
    <row r="21" spans="1:11" x14ac:dyDescent="0.2">
      <c r="A21" s="141" t="s">
        <v>40</v>
      </c>
      <c r="B21" s="97"/>
      <c r="C21" s="97">
        <v>-17.78</v>
      </c>
      <c r="D21" s="97"/>
      <c r="E21" s="97">
        <v>-16.98</v>
      </c>
      <c r="F21" s="97"/>
      <c r="G21" s="97">
        <v>-18.79</v>
      </c>
      <c r="H21" s="97">
        <v>-511.02</v>
      </c>
      <c r="I21" s="97">
        <v>-49.97</v>
      </c>
      <c r="J21" s="97"/>
      <c r="K21" s="97">
        <v>-614.54</v>
      </c>
    </row>
    <row r="22" spans="1:11" x14ac:dyDescent="0.2">
      <c r="A22" s="141" t="s">
        <v>41</v>
      </c>
      <c r="B22" s="97"/>
      <c r="C22" s="97">
        <v>-564.95000000000005</v>
      </c>
      <c r="D22" s="97">
        <v>-875</v>
      </c>
      <c r="E22" s="97">
        <v>-1290.6300000000001</v>
      </c>
      <c r="F22" s="97"/>
      <c r="G22" s="97"/>
      <c r="H22" s="97"/>
      <c r="I22" s="97"/>
      <c r="J22" s="97"/>
      <c r="K22" s="97">
        <v>-2730.58</v>
      </c>
    </row>
    <row r="23" spans="1:11" x14ac:dyDescent="0.2">
      <c r="A23" s="141" t="s">
        <v>42</v>
      </c>
      <c r="B23" s="97"/>
      <c r="C23" s="97"/>
      <c r="D23" s="97"/>
      <c r="E23" s="97"/>
      <c r="F23" s="97"/>
      <c r="G23" s="97"/>
      <c r="H23" s="97"/>
      <c r="I23" s="97">
        <v>11830</v>
      </c>
      <c r="J23" s="97"/>
      <c r="K23" s="97">
        <v>11830</v>
      </c>
    </row>
    <row r="24" spans="1:11" x14ac:dyDescent="0.2">
      <c r="A24" s="141" t="s">
        <v>43</v>
      </c>
      <c r="B24" s="97">
        <v>-400.27</v>
      </c>
      <c r="C24" s="97">
        <v>-283.09999999999997</v>
      </c>
      <c r="D24" s="97">
        <v>-564.87</v>
      </c>
      <c r="E24" s="97">
        <v>-294.27999999999997</v>
      </c>
      <c r="F24" s="97">
        <v>-499.4</v>
      </c>
      <c r="G24" s="97">
        <v>-4336.42</v>
      </c>
      <c r="H24" s="97">
        <v>-752.76</v>
      </c>
      <c r="I24" s="97">
        <v>-2419.8199999999997</v>
      </c>
      <c r="J24" s="97">
        <v>-1451.08</v>
      </c>
      <c r="K24" s="97">
        <v>-11002</v>
      </c>
    </row>
    <row r="25" spans="1:11" x14ac:dyDescent="0.2">
      <c r="A25" s="141" t="s">
        <v>44</v>
      </c>
      <c r="B25" s="97">
        <v>-2260</v>
      </c>
      <c r="C25" s="97"/>
      <c r="D25" s="97"/>
      <c r="E25" s="97"/>
      <c r="F25" s="97"/>
      <c r="G25" s="97"/>
      <c r="H25" s="97"/>
      <c r="I25" s="97"/>
      <c r="J25" s="97">
        <v>-640</v>
      </c>
      <c r="K25" s="97">
        <v>-2900</v>
      </c>
    </row>
    <row r="26" spans="1:11" x14ac:dyDescent="0.2">
      <c r="A26" s="141" t="s">
        <v>45</v>
      </c>
      <c r="B26" s="97">
        <v>-3000</v>
      </c>
      <c r="C26" s="97"/>
      <c r="D26" s="97"/>
      <c r="E26" s="97"/>
      <c r="F26" s="97"/>
      <c r="G26" s="97"/>
      <c r="H26" s="97"/>
      <c r="I26" s="97"/>
      <c r="J26" s="97"/>
      <c r="K26" s="97">
        <v>-3000</v>
      </c>
    </row>
    <row r="27" spans="1:11" x14ac:dyDescent="0.2">
      <c r="A27" s="98" t="s">
        <v>23</v>
      </c>
      <c r="B27" s="97">
        <v>-32049.88</v>
      </c>
      <c r="C27" s="97">
        <v>7920.5699999999961</v>
      </c>
      <c r="D27" s="97">
        <v>708.50999999999965</v>
      </c>
      <c r="E27" s="97">
        <v>-3757.4300000000003</v>
      </c>
      <c r="F27" s="97">
        <v>-6283.1399999999994</v>
      </c>
      <c r="G27" s="97">
        <v>-20899.520000000004</v>
      </c>
      <c r="H27" s="97">
        <v>-4214.1600000000008</v>
      </c>
      <c r="I27" s="97">
        <v>-7788.9000000000015</v>
      </c>
      <c r="J27" s="97">
        <v>4148.4600000000009</v>
      </c>
      <c r="K27" s="97">
        <v>-62215.49</v>
      </c>
    </row>
    <row r="30" spans="1:11" x14ac:dyDescent="0.2">
      <c r="B30" s="152"/>
      <c r="C30" s="152"/>
      <c r="D30" s="152"/>
      <c r="E30" s="152"/>
      <c r="F30" s="152"/>
      <c r="G30" s="152"/>
      <c r="H30" s="152"/>
      <c r="I30" s="152"/>
      <c r="J30" s="15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880FC-6919-1740-A6F5-CAE1992219B5}">
  <sheetPr filterMode="1"/>
  <dimension ref="A1:M253"/>
  <sheetViews>
    <sheetView workbookViewId="0">
      <selection activeCell="A58" sqref="A58"/>
    </sheetView>
  </sheetViews>
  <sheetFormatPr baseColWidth="10" defaultColWidth="11" defaultRowHeight="16" x14ac:dyDescent="0.2"/>
  <cols>
    <col min="1" max="1" width="18.1640625" style="22" customWidth="1"/>
    <col min="2" max="2" width="11" style="21"/>
    <col min="3" max="3" width="11" style="46"/>
    <col min="4" max="4" width="67.1640625" style="23" customWidth="1"/>
    <col min="5" max="5" width="24.6640625" style="21" customWidth="1"/>
    <col min="6" max="6" width="30.1640625" style="21" bestFit="1" customWidth="1"/>
    <col min="7" max="7" width="45.5" bestFit="1" customWidth="1"/>
    <col min="9" max="9" width="13" customWidth="1"/>
  </cols>
  <sheetData>
    <row r="1" spans="1:9" ht="17" thickBot="1" x14ac:dyDescent="0.25">
      <c r="A1" s="63" t="s">
        <v>46</v>
      </c>
      <c r="B1" s="64" t="s">
        <v>9</v>
      </c>
      <c r="C1" s="64" t="s">
        <v>47</v>
      </c>
      <c r="D1" s="65" t="s">
        <v>48</v>
      </c>
      <c r="E1" s="64" t="s">
        <v>49</v>
      </c>
      <c r="F1" s="64" t="s">
        <v>50</v>
      </c>
      <c r="I1" s="78"/>
    </row>
    <row r="2" spans="1:9" hidden="1" x14ac:dyDescent="0.2">
      <c r="A2" s="89">
        <v>45680</v>
      </c>
      <c r="B2" s="21" t="s">
        <v>51</v>
      </c>
      <c r="C2" s="46">
        <v>-3280</v>
      </c>
      <c r="D2" s="21" t="s">
        <v>52</v>
      </c>
      <c r="E2" s="21" t="s">
        <v>34</v>
      </c>
      <c r="F2" s="21" t="s">
        <v>53</v>
      </c>
      <c r="G2" s="25"/>
    </row>
    <row r="3" spans="1:9" hidden="1" x14ac:dyDescent="0.2">
      <c r="A3" s="89">
        <v>45680</v>
      </c>
      <c r="B3" s="21" t="s">
        <v>51</v>
      </c>
      <c r="C3" s="46">
        <v>-70.27</v>
      </c>
      <c r="D3" s="21" t="s">
        <v>54</v>
      </c>
      <c r="E3" s="21" t="s">
        <v>43</v>
      </c>
      <c r="F3" s="21" t="s">
        <v>55</v>
      </c>
      <c r="G3" s="25"/>
    </row>
    <row r="4" spans="1:9" hidden="1" x14ac:dyDescent="0.2">
      <c r="A4" s="89">
        <v>45679</v>
      </c>
      <c r="B4" s="21" t="s">
        <v>51</v>
      </c>
      <c r="C4" s="46">
        <v>-27.57</v>
      </c>
      <c r="D4" s="21" t="s">
        <v>56</v>
      </c>
      <c r="E4" s="21" t="s">
        <v>25</v>
      </c>
      <c r="F4" s="21" t="s">
        <v>55</v>
      </c>
      <c r="G4" s="25"/>
    </row>
    <row r="5" spans="1:9" hidden="1" x14ac:dyDescent="0.2">
      <c r="A5" s="89">
        <v>45678</v>
      </c>
      <c r="B5" s="21" t="s">
        <v>51</v>
      </c>
      <c r="C5" s="46">
        <v>-5.87</v>
      </c>
      <c r="D5" s="21" t="s">
        <v>56</v>
      </c>
      <c r="E5" s="21" t="s">
        <v>25</v>
      </c>
      <c r="F5" s="21" t="s">
        <v>55</v>
      </c>
      <c r="G5" s="25"/>
    </row>
    <row r="6" spans="1:9" hidden="1" x14ac:dyDescent="0.2">
      <c r="A6" s="89">
        <v>45678</v>
      </c>
      <c r="B6" s="21" t="s">
        <v>51</v>
      </c>
      <c r="C6" s="46">
        <v>-11.38</v>
      </c>
      <c r="D6" s="21" t="s">
        <v>56</v>
      </c>
      <c r="E6" s="21" t="s">
        <v>25</v>
      </c>
      <c r="F6" s="21" t="s">
        <v>55</v>
      </c>
      <c r="G6" s="25"/>
    </row>
    <row r="7" spans="1:9" hidden="1" x14ac:dyDescent="0.2">
      <c r="A7" s="89">
        <v>45675</v>
      </c>
      <c r="B7" s="21" t="s">
        <v>51</v>
      </c>
      <c r="C7" s="46">
        <v>-18.53</v>
      </c>
      <c r="D7" s="21" t="s">
        <v>56</v>
      </c>
      <c r="E7" s="21" t="s">
        <v>25</v>
      </c>
      <c r="F7" s="21" t="s">
        <v>55</v>
      </c>
      <c r="G7" s="25"/>
    </row>
    <row r="8" spans="1:9" hidden="1" x14ac:dyDescent="0.2">
      <c r="A8" s="89">
        <v>45674</v>
      </c>
      <c r="B8" s="21" t="s">
        <v>51</v>
      </c>
      <c r="C8" s="46">
        <v>-70</v>
      </c>
      <c r="D8" s="21" t="s">
        <v>57</v>
      </c>
      <c r="E8" s="21" t="s">
        <v>43</v>
      </c>
      <c r="F8" s="21" t="s">
        <v>55</v>
      </c>
      <c r="G8" s="25"/>
    </row>
    <row r="9" spans="1:9" x14ac:dyDescent="0.2">
      <c r="A9" s="89">
        <v>45672</v>
      </c>
      <c r="B9" s="21" t="s">
        <v>51</v>
      </c>
      <c r="C9" s="46">
        <v>-6600</v>
      </c>
      <c r="D9" s="21" t="s">
        <v>58</v>
      </c>
      <c r="E9" s="21" t="s">
        <v>33</v>
      </c>
      <c r="F9" s="21" t="s">
        <v>59</v>
      </c>
      <c r="G9" s="25"/>
    </row>
    <row r="10" spans="1:9" hidden="1" x14ac:dyDescent="0.2">
      <c r="A10" s="89">
        <v>45672</v>
      </c>
      <c r="B10" s="21" t="s">
        <v>51</v>
      </c>
      <c r="C10" s="46">
        <v>-20</v>
      </c>
      <c r="D10" s="21" t="s">
        <v>60</v>
      </c>
      <c r="E10" s="21" t="s">
        <v>35</v>
      </c>
      <c r="F10" s="21" t="s">
        <v>55</v>
      </c>
      <c r="G10" s="25"/>
    </row>
    <row r="11" spans="1:9" hidden="1" x14ac:dyDescent="0.2">
      <c r="A11" s="89">
        <v>45671</v>
      </c>
      <c r="B11" s="21" t="s">
        <v>51</v>
      </c>
      <c r="C11" s="46">
        <v>-27.33</v>
      </c>
      <c r="D11" s="21" t="s">
        <v>56</v>
      </c>
      <c r="E11" s="21" t="s">
        <v>25</v>
      </c>
      <c r="F11" s="21" t="s">
        <v>55</v>
      </c>
      <c r="G11" s="25"/>
    </row>
    <row r="12" spans="1:9" hidden="1" x14ac:dyDescent="0.2">
      <c r="A12" s="89">
        <v>45670</v>
      </c>
      <c r="B12" s="21" t="s">
        <v>51</v>
      </c>
      <c r="C12" s="46">
        <v>-1296</v>
      </c>
      <c r="D12" s="21" t="s">
        <v>61</v>
      </c>
      <c r="E12" s="21" t="s">
        <v>24</v>
      </c>
      <c r="F12" s="21" t="s">
        <v>53</v>
      </c>
      <c r="G12" s="25"/>
    </row>
    <row r="13" spans="1:9" hidden="1" x14ac:dyDescent="0.2">
      <c r="A13" s="89">
        <v>45670</v>
      </c>
      <c r="B13" s="21" t="s">
        <v>51</v>
      </c>
      <c r="C13" s="46">
        <v>-1672</v>
      </c>
      <c r="D13" s="21" t="s">
        <v>62</v>
      </c>
      <c r="E13" s="21" t="s">
        <v>32</v>
      </c>
      <c r="F13" s="21" t="s">
        <v>53</v>
      </c>
      <c r="G13" s="25"/>
    </row>
    <row r="14" spans="1:9" hidden="1" x14ac:dyDescent="0.2">
      <c r="A14" s="89">
        <v>45670</v>
      </c>
      <c r="B14" s="21" t="s">
        <v>51</v>
      </c>
      <c r="C14" s="46">
        <v>-24</v>
      </c>
      <c r="D14" s="21" t="s">
        <v>63</v>
      </c>
      <c r="E14" s="21" t="s">
        <v>43</v>
      </c>
      <c r="F14" s="21" t="s">
        <v>55</v>
      </c>
      <c r="G14" s="25"/>
    </row>
    <row r="15" spans="1:9" hidden="1" x14ac:dyDescent="0.2">
      <c r="A15" s="89">
        <v>45668</v>
      </c>
      <c r="B15" s="21" t="s">
        <v>51</v>
      </c>
      <c r="C15" s="46">
        <v>-31.02</v>
      </c>
      <c r="D15" s="21" t="s">
        <v>56</v>
      </c>
      <c r="E15" s="21" t="s">
        <v>25</v>
      </c>
      <c r="F15" s="21" t="s">
        <v>55</v>
      </c>
      <c r="G15" s="25"/>
    </row>
    <row r="16" spans="1:9" hidden="1" x14ac:dyDescent="0.2">
      <c r="A16" s="89">
        <v>45667</v>
      </c>
      <c r="B16" s="21" t="s">
        <v>51</v>
      </c>
      <c r="C16" s="46">
        <v>-1252.1400000000001</v>
      </c>
      <c r="D16" s="21" t="s">
        <v>64</v>
      </c>
      <c r="E16" s="21" t="s">
        <v>25</v>
      </c>
      <c r="F16" s="21" t="s">
        <v>65</v>
      </c>
      <c r="G16" s="25"/>
    </row>
    <row r="17" spans="1:7" hidden="1" x14ac:dyDescent="0.2">
      <c r="A17" s="89">
        <v>45667</v>
      </c>
      <c r="B17" s="21" t="s">
        <v>51</v>
      </c>
      <c r="C17" s="46">
        <v>-1003.45</v>
      </c>
      <c r="D17" s="21" t="s">
        <v>66</v>
      </c>
      <c r="E17" s="21" t="s">
        <v>25</v>
      </c>
      <c r="F17" s="21" t="s">
        <v>55</v>
      </c>
      <c r="G17" s="25"/>
    </row>
    <row r="18" spans="1:7" hidden="1" x14ac:dyDescent="0.2">
      <c r="A18" s="89">
        <v>45666</v>
      </c>
      <c r="B18" s="21" t="s">
        <v>51</v>
      </c>
      <c r="C18" s="46">
        <v>-1081</v>
      </c>
      <c r="D18" s="21" t="s">
        <v>67</v>
      </c>
      <c r="E18" s="21" t="s">
        <v>27</v>
      </c>
      <c r="F18" s="21" t="s">
        <v>53</v>
      </c>
      <c r="G18" s="25"/>
    </row>
    <row r="19" spans="1:7" hidden="1" x14ac:dyDescent="0.2">
      <c r="A19" s="89">
        <v>45666</v>
      </c>
      <c r="B19" s="21" t="s">
        <v>51</v>
      </c>
      <c r="C19" s="46">
        <v>-2260</v>
      </c>
      <c r="D19" s="21" t="s">
        <v>68</v>
      </c>
      <c r="E19" s="21" t="s">
        <v>44</v>
      </c>
      <c r="F19" s="21" t="s">
        <v>53</v>
      </c>
      <c r="G19" s="25"/>
    </row>
    <row r="20" spans="1:7" hidden="1" x14ac:dyDescent="0.2">
      <c r="A20" s="89">
        <v>45666</v>
      </c>
      <c r="B20" s="21" t="s">
        <v>51</v>
      </c>
      <c r="C20" s="46">
        <v>-31.03</v>
      </c>
      <c r="D20" s="21" t="s">
        <v>56</v>
      </c>
      <c r="E20" s="21" t="s">
        <v>25</v>
      </c>
      <c r="F20" s="21" t="s">
        <v>55</v>
      </c>
      <c r="G20" s="25"/>
    </row>
    <row r="21" spans="1:7" hidden="1" x14ac:dyDescent="0.2">
      <c r="A21" s="89">
        <v>45666</v>
      </c>
      <c r="B21" s="21" t="s">
        <v>51</v>
      </c>
      <c r="C21" s="46">
        <v>-27.6</v>
      </c>
      <c r="D21" s="21" t="s">
        <v>56</v>
      </c>
      <c r="E21" s="21" t="s">
        <v>25</v>
      </c>
      <c r="F21" s="21" t="s">
        <v>55</v>
      </c>
      <c r="G21" s="25"/>
    </row>
    <row r="22" spans="1:7" hidden="1" x14ac:dyDescent="0.2">
      <c r="A22" s="89">
        <v>45665</v>
      </c>
      <c r="B22" s="21" t="s">
        <v>51</v>
      </c>
      <c r="C22" s="46">
        <v>-581.64</v>
      </c>
      <c r="D22" s="21" t="s">
        <v>69</v>
      </c>
      <c r="E22" s="21" t="s">
        <v>25</v>
      </c>
      <c r="F22" s="21" t="s">
        <v>55</v>
      </c>
      <c r="G22" s="25"/>
    </row>
    <row r="23" spans="1:7" hidden="1" x14ac:dyDescent="0.2">
      <c r="A23" s="89">
        <v>45665</v>
      </c>
      <c r="B23" s="21" t="s">
        <v>51</v>
      </c>
      <c r="C23" s="46">
        <v>-20.45</v>
      </c>
      <c r="D23" s="21" t="s">
        <v>56</v>
      </c>
      <c r="E23" s="21" t="s">
        <v>25</v>
      </c>
      <c r="F23" s="21" t="s">
        <v>55</v>
      </c>
      <c r="G23" s="25"/>
    </row>
    <row r="24" spans="1:7" hidden="1" x14ac:dyDescent="0.2">
      <c r="A24" s="89">
        <v>45665</v>
      </c>
      <c r="B24" s="21" t="s">
        <v>51</v>
      </c>
      <c r="C24" s="46">
        <v>-19.690000000000001</v>
      </c>
      <c r="D24" s="21" t="s">
        <v>56</v>
      </c>
      <c r="E24" s="21" t="s">
        <v>25</v>
      </c>
      <c r="F24" s="21" t="s">
        <v>55</v>
      </c>
      <c r="G24" s="25"/>
    </row>
    <row r="25" spans="1:7" hidden="1" x14ac:dyDescent="0.2">
      <c r="A25" s="89">
        <v>45664</v>
      </c>
      <c r="B25" s="21" t="s">
        <v>51</v>
      </c>
      <c r="C25" s="46">
        <v>-3000</v>
      </c>
      <c r="D25" s="21" t="s">
        <v>70</v>
      </c>
      <c r="E25" s="21" t="s">
        <v>45</v>
      </c>
      <c r="F25" s="21" t="s">
        <v>53</v>
      </c>
      <c r="G25" s="25"/>
    </row>
    <row r="26" spans="1:7" hidden="1" x14ac:dyDescent="0.2">
      <c r="A26" s="89">
        <v>45664</v>
      </c>
      <c r="B26" s="21" t="s">
        <v>51</v>
      </c>
      <c r="C26" s="46">
        <v>-9.27</v>
      </c>
      <c r="D26" s="21" t="s">
        <v>56</v>
      </c>
      <c r="E26" s="21" t="s">
        <v>25</v>
      </c>
      <c r="F26" s="21" t="s">
        <v>55</v>
      </c>
      <c r="G26" s="25"/>
    </row>
    <row r="27" spans="1:7" hidden="1" x14ac:dyDescent="0.2">
      <c r="A27" s="89">
        <v>45664</v>
      </c>
      <c r="B27" s="21" t="s">
        <v>51</v>
      </c>
      <c r="C27" s="46">
        <v>-471.13</v>
      </c>
      <c r="D27" s="21" t="s">
        <v>71</v>
      </c>
      <c r="E27" s="21" t="s">
        <v>26</v>
      </c>
      <c r="F27" s="21" t="s">
        <v>55</v>
      </c>
      <c r="G27" s="25"/>
    </row>
    <row r="28" spans="1:7" hidden="1" x14ac:dyDescent="0.2">
      <c r="A28" s="89">
        <v>45663</v>
      </c>
      <c r="B28" s="21" t="s">
        <v>51</v>
      </c>
      <c r="C28" s="46">
        <v>-29.06</v>
      </c>
      <c r="D28" s="21" t="s">
        <v>56</v>
      </c>
      <c r="E28" s="21" t="s">
        <v>25</v>
      </c>
      <c r="F28" s="21" t="s">
        <v>55</v>
      </c>
      <c r="G28" s="25"/>
    </row>
    <row r="29" spans="1:7" hidden="1" x14ac:dyDescent="0.2">
      <c r="A29" s="89">
        <v>45662</v>
      </c>
      <c r="B29" s="21" t="s">
        <v>51</v>
      </c>
      <c r="C29" s="46">
        <v>-236</v>
      </c>
      <c r="D29" s="21" t="s">
        <v>72</v>
      </c>
      <c r="E29" s="21" t="s">
        <v>43</v>
      </c>
      <c r="F29" s="21" t="s">
        <v>55</v>
      </c>
      <c r="G29" s="25"/>
    </row>
    <row r="30" spans="1:7" hidden="1" x14ac:dyDescent="0.2">
      <c r="A30" s="89">
        <v>45660</v>
      </c>
      <c r="B30" s="21" t="s">
        <v>51</v>
      </c>
      <c r="C30" s="46">
        <v>-8738.99</v>
      </c>
      <c r="D30" s="21" t="s">
        <v>73</v>
      </c>
      <c r="E30" s="79" t="s">
        <v>36</v>
      </c>
      <c r="F30" s="21" t="s">
        <v>65</v>
      </c>
      <c r="G30" s="25"/>
    </row>
    <row r="31" spans="1:7" hidden="1" x14ac:dyDescent="0.2">
      <c r="A31" s="89">
        <v>45659</v>
      </c>
      <c r="B31" s="21" t="s">
        <v>51</v>
      </c>
      <c r="C31" s="46">
        <v>-97.5</v>
      </c>
      <c r="D31" s="21" t="s">
        <v>74</v>
      </c>
      <c r="E31" s="21" t="s">
        <v>29</v>
      </c>
      <c r="F31" s="21" t="s">
        <v>65</v>
      </c>
      <c r="G31" s="25"/>
    </row>
    <row r="32" spans="1:7" hidden="1" x14ac:dyDescent="0.2">
      <c r="A32" s="89">
        <v>45658</v>
      </c>
      <c r="B32" s="21" t="s">
        <v>51</v>
      </c>
      <c r="C32" s="46">
        <v>-36.96</v>
      </c>
      <c r="D32" s="21" t="s">
        <v>56</v>
      </c>
      <c r="E32" s="21" t="s">
        <v>25</v>
      </c>
      <c r="F32" s="21" t="s">
        <v>55</v>
      </c>
      <c r="G32" s="25"/>
    </row>
    <row r="33" spans="1:13" hidden="1" x14ac:dyDescent="0.2">
      <c r="A33" s="89">
        <v>45649</v>
      </c>
      <c r="B33" s="21" t="s">
        <v>51</v>
      </c>
      <c r="C33" s="46">
        <v>-70.27</v>
      </c>
      <c r="D33" s="21" t="s">
        <v>54</v>
      </c>
      <c r="E33" s="21" t="s">
        <v>43</v>
      </c>
      <c r="F33" s="21" t="s">
        <v>55</v>
      </c>
      <c r="G33" s="25"/>
    </row>
    <row r="34" spans="1:13" hidden="1" x14ac:dyDescent="0.2">
      <c r="A34" s="89">
        <v>45643</v>
      </c>
      <c r="B34" s="21" t="s">
        <v>51</v>
      </c>
      <c r="C34" s="46">
        <v>-70</v>
      </c>
      <c r="D34" s="21" t="s">
        <v>75</v>
      </c>
      <c r="E34" s="21" t="s">
        <v>43</v>
      </c>
      <c r="F34" s="21" t="s">
        <v>55</v>
      </c>
      <c r="G34" s="25"/>
    </row>
    <row r="35" spans="1:13" hidden="1" x14ac:dyDescent="0.2">
      <c r="A35" s="89">
        <v>45642</v>
      </c>
      <c r="B35" s="21" t="s">
        <v>76</v>
      </c>
      <c r="C35" s="46">
        <v>22500</v>
      </c>
      <c r="D35" s="21" t="s">
        <v>77</v>
      </c>
      <c r="E35" s="21" t="s">
        <v>33</v>
      </c>
      <c r="F35" s="21" t="s">
        <v>78</v>
      </c>
      <c r="G35" s="25"/>
    </row>
    <row r="36" spans="1:13" hidden="1" x14ac:dyDescent="0.2">
      <c r="A36" s="89">
        <v>45641</v>
      </c>
      <c r="B36" s="21" t="s">
        <v>51</v>
      </c>
      <c r="C36" s="46">
        <v>-62.8</v>
      </c>
      <c r="D36" s="21" t="s">
        <v>79</v>
      </c>
      <c r="E36" s="21" t="s">
        <v>30</v>
      </c>
      <c r="F36" s="21" t="s">
        <v>55</v>
      </c>
      <c r="G36" s="25"/>
    </row>
    <row r="37" spans="1:13" hidden="1" x14ac:dyDescent="0.2">
      <c r="A37" s="89">
        <v>45639</v>
      </c>
      <c r="B37" s="21" t="s">
        <v>51</v>
      </c>
      <c r="C37" s="46">
        <v>-24</v>
      </c>
      <c r="D37" s="21" t="s">
        <v>63</v>
      </c>
      <c r="E37" s="21" t="s">
        <v>43</v>
      </c>
      <c r="F37" s="21" t="s">
        <v>55</v>
      </c>
      <c r="G37" s="25"/>
    </row>
    <row r="38" spans="1:13" hidden="1" x14ac:dyDescent="0.2">
      <c r="A38" s="89">
        <v>45638</v>
      </c>
      <c r="B38" s="21" t="s">
        <v>51</v>
      </c>
      <c r="C38" s="46">
        <v>-1560</v>
      </c>
      <c r="D38" s="21" t="s">
        <v>80</v>
      </c>
      <c r="E38" s="21" t="s">
        <v>34</v>
      </c>
      <c r="F38" s="21" t="s">
        <v>65</v>
      </c>
      <c r="G38" s="25"/>
    </row>
    <row r="39" spans="1:13" hidden="1" x14ac:dyDescent="0.2">
      <c r="A39" s="89">
        <v>45638</v>
      </c>
      <c r="B39" s="21" t="s">
        <v>51</v>
      </c>
      <c r="C39" s="46">
        <v>-1252.1400000000001</v>
      </c>
      <c r="D39" s="21" t="s">
        <v>81</v>
      </c>
      <c r="E39" s="21" t="s">
        <v>25</v>
      </c>
      <c r="F39" s="21" t="s">
        <v>65</v>
      </c>
      <c r="G39" s="25"/>
    </row>
    <row r="40" spans="1:13" hidden="1" x14ac:dyDescent="0.2">
      <c r="A40" s="89">
        <v>45637</v>
      </c>
      <c r="B40" s="21" t="s">
        <v>51</v>
      </c>
      <c r="C40" s="46">
        <v>-88.61</v>
      </c>
      <c r="D40" s="21" t="s">
        <v>82</v>
      </c>
      <c r="E40" s="21" t="s">
        <v>30</v>
      </c>
      <c r="F40" s="21" t="s">
        <v>55</v>
      </c>
      <c r="G40" s="25"/>
    </row>
    <row r="41" spans="1:13" hidden="1" x14ac:dyDescent="0.2">
      <c r="A41" s="89">
        <v>45635</v>
      </c>
      <c r="B41" s="21" t="s">
        <v>51</v>
      </c>
      <c r="C41" s="46">
        <v>-628.77</v>
      </c>
      <c r="D41" s="21" t="s">
        <v>83</v>
      </c>
      <c r="E41" s="21" t="s">
        <v>43</v>
      </c>
      <c r="F41" s="21" t="s">
        <v>55</v>
      </c>
      <c r="G41" s="25"/>
    </row>
    <row r="42" spans="1:13" hidden="1" x14ac:dyDescent="0.2">
      <c r="A42" s="89">
        <v>45634</v>
      </c>
      <c r="B42" s="21" t="s">
        <v>51</v>
      </c>
      <c r="C42" s="46">
        <v>-112.35</v>
      </c>
      <c r="D42" s="21" t="s">
        <v>84</v>
      </c>
      <c r="E42" s="21" t="s">
        <v>43</v>
      </c>
      <c r="F42" s="21" t="s">
        <v>55</v>
      </c>
      <c r="G42" s="25"/>
    </row>
    <row r="43" spans="1:13" hidden="1" x14ac:dyDescent="0.2">
      <c r="A43" s="89">
        <v>45632</v>
      </c>
      <c r="B43" s="21" t="s">
        <v>51</v>
      </c>
      <c r="C43" s="46">
        <v>-49.14</v>
      </c>
      <c r="D43" s="21" t="s">
        <v>82</v>
      </c>
      <c r="E43" s="21" t="s">
        <v>30</v>
      </c>
      <c r="F43" s="21" t="s">
        <v>55</v>
      </c>
      <c r="G43" s="25"/>
    </row>
    <row r="44" spans="1:13" hidden="1" x14ac:dyDescent="0.2">
      <c r="A44" s="89">
        <v>45632</v>
      </c>
      <c r="B44" s="21" t="s">
        <v>51</v>
      </c>
      <c r="C44" s="46">
        <v>-1621.5</v>
      </c>
      <c r="D44" s="21" t="s">
        <v>85</v>
      </c>
      <c r="E44" s="21" t="s">
        <v>27</v>
      </c>
      <c r="F44" s="21" t="s">
        <v>53</v>
      </c>
      <c r="G44" s="25"/>
    </row>
    <row r="45" spans="1:13" hidden="1" x14ac:dyDescent="0.2">
      <c r="A45" s="89">
        <v>45632</v>
      </c>
      <c r="B45" s="21" t="s">
        <v>51</v>
      </c>
      <c r="C45" s="46">
        <v>-594</v>
      </c>
      <c r="D45" s="21" t="s">
        <v>86</v>
      </c>
      <c r="E45" s="21" t="s">
        <v>32</v>
      </c>
      <c r="F45" s="21" t="s">
        <v>53</v>
      </c>
      <c r="G45" s="25"/>
    </row>
    <row r="46" spans="1:13" hidden="1" x14ac:dyDescent="0.2">
      <c r="A46" s="89">
        <v>45632</v>
      </c>
      <c r="B46" s="21" t="s">
        <v>51</v>
      </c>
      <c r="C46" s="46">
        <v>-2160</v>
      </c>
      <c r="D46" s="21" t="s">
        <v>87</v>
      </c>
      <c r="E46" s="21" t="s">
        <v>24</v>
      </c>
      <c r="F46" s="21" t="s">
        <v>53</v>
      </c>
      <c r="G46" s="25"/>
    </row>
    <row r="47" spans="1:13" hidden="1" x14ac:dyDescent="0.2">
      <c r="A47" s="89">
        <v>45631</v>
      </c>
      <c r="B47" s="21" t="s">
        <v>51</v>
      </c>
      <c r="C47" s="46">
        <v>-42.72</v>
      </c>
      <c r="D47" s="21" t="s">
        <v>82</v>
      </c>
      <c r="E47" s="21" t="s">
        <v>30</v>
      </c>
      <c r="F47" s="21" t="s">
        <v>55</v>
      </c>
      <c r="G47" s="25"/>
    </row>
    <row r="48" spans="1:13" hidden="1" x14ac:dyDescent="0.2">
      <c r="A48" s="89">
        <v>45631</v>
      </c>
      <c r="B48" s="21" t="s">
        <v>51</v>
      </c>
      <c r="C48" s="46">
        <v>-236</v>
      </c>
      <c r="D48" s="21" t="s">
        <v>88</v>
      </c>
      <c r="E48" s="21" t="s">
        <v>43</v>
      </c>
      <c r="F48" s="21" t="s">
        <v>55</v>
      </c>
      <c r="G48" s="25"/>
      <c r="M48">
        <v>2</v>
      </c>
    </row>
    <row r="49" spans="1:7" hidden="1" x14ac:dyDescent="0.2">
      <c r="A49" s="89">
        <v>45630</v>
      </c>
      <c r="B49" s="21" t="s">
        <v>51</v>
      </c>
      <c r="C49" s="46">
        <v>-640</v>
      </c>
      <c r="D49" s="21" t="s">
        <v>89</v>
      </c>
      <c r="E49" s="21" t="s">
        <v>44</v>
      </c>
      <c r="F49" s="21" t="s">
        <v>53</v>
      </c>
      <c r="G49" s="25"/>
    </row>
    <row r="50" spans="1:7" hidden="1" x14ac:dyDescent="0.2">
      <c r="A50" s="89">
        <v>45629</v>
      </c>
      <c r="B50" s="21" t="s">
        <v>51</v>
      </c>
      <c r="C50" s="46">
        <v>-8732.0499999999993</v>
      </c>
      <c r="D50" s="21" t="s">
        <v>73</v>
      </c>
      <c r="E50" s="79" t="s">
        <v>36</v>
      </c>
      <c r="F50" s="21" t="s">
        <v>55</v>
      </c>
      <c r="G50" s="25"/>
    </row>
    <row r="51" spans="1:7" hidden="1" x14ac:dyDescent="0.2">
      <c r="A51" s="89">
        <v>45629</v>
      </c>
      <c r="B51" s="21" t="s">
        <v>51</v>
      </c>
      <c r="C51" s="46">
        <v>-309.69</v>
      </c>
      <c r="D51" s="21" t="s">
        <v>90</v>
      </c>
      <c r="E51" s="21" t="s">
        <v>43</v>
      </c>
      <c r="F51" s="21" t="s">
        <v>91</v>
      </c>
      <c r="G51" s="25"/>
    </row>
    <row r="52" spans="1:7" hidden="1" x14ac:dyDescent="0.2">
      <c r="A52" s="89">
        <v>45628</v>
      </c>
      <c r="B52" s="21" t="s">
        <v>51</v>
      </c>
      <c r="C52" s="46">
        <v>-97.5</v>
      </c>
      <c r="D52" s="21" t="s">
        <v>92</v>
      </c>
      <c r="E52" s="21" t="s">
        <v>29</v>
      </c>
      <c r="F52" s="21" t="s">
        <v>65</v>
      </c>
      <c r="G52" s="25"/>
    </row>
    <row r="53" spans="1:7" hidden="1" x14ac:dyDescent="0.2">
      <c r="A53" s="89">
        <v>45625</v>
      </c>
      <c r="B53" s="21" t="s">
        <v>51</v>
      </c>
      <c r="C53" s="46">
        <v>-1500</v>
      </c>
      <c r="D53" s="21" t="s">
        <v>93</v>
      </c>
      <c r="E53" s="21" t="s">
        <v>43</v>
      </c>
      <c r="F53" s="21" t="s">
        <v>55</v>
      </c>
      <c r="G53" s="25"/>
    </row>
    <row r="54" spans="1:7" hidden="1" x14ac:dyDescent="0.2">
      <c r="A54" s="89">
        <v>45621</v>
      </c>
      <c r="B54" s="21" t="s">
        <v>51</v>
      </c>
      <c r="C54" s="46">
        <v>-70.27</v>
      </c>
      <c r="D54" s="21" t="s">
        <v>54</v>
      </c>
      <c r="E54" s="21" t="s">
        <v>43</v>
      </c>
      <c r="F54" s="21" t="s">
        <v>55</v>
      </c>
      <c r="G54" s="25"/>
    </row>
    <row r="55" spans="1:7" hidden="1" x14ac:dyDescent="0.2">
      <c r="A55" s="89">
        <v>45617</v>
      </c>
      <c r="B55" s="21" t="s">
        <v>76</v>
      </c>
      <c r="C55" s="99">
        <v>11830</v>
      </c>
      <c r="D55" s="100" t="s">
        <v>94</v>
      </c>
      <c r="E55" s="101" t="s">
        <v>42</v>
      </c>
      <c r="F55" s="21" t="s">
        <v>78</v>
      </c>
    </row>
    <row r="56" spans="1:7" hidden="1" x14ac:dyDescent="0.2">
      <c r="A56" s="89">
        <v>45615</v>
      </c>
      <c r="B56" s="21" t="s">
        <v>51</v>
      </c>
      <c r="C56" s="46">
        <v>-81.2</v>
      </c>
      <c r="D56" s="21" t="s">
        <v>95</v>
      </c>
      <c r="E56" s="21" t="s">
        <v>30</v>
      </c>
      <c r="F56" s="21" t="s">
        <v>55</v>
      </c>
      <c r="G56" s="25"/>
    </row>
    <row r="57" spans="1:7" ht="15" customHeight="1" x14ac:dyDescent="0.2">
      <c r="A57" s="89">
        <v>45614</v>
      </c>
      <c r="B57" s="21" t="s">
        <v>51</v>
      </c>
      <c r="C57" s="46">
        <v>-2556</v>
      </c>
      <c r="D57" s="23" t="s">
        <v>96</v>
      </c>
      <c r="E57" s="79" t="s">
        <v>24</v>
      </c>
      <c r="F57" s="21" t="s">
        <v>53</v>
      </c>
      <c r="G57" s="25"/>
    </row>
    <row r="58" spans="1:7" x14ac:dyDescent="0.2">
      <c r="A58" s="89">
        <v>45614</v>
      </c>
      <c r="B58" s="21" t="s">
        <v>51</v>
      </c>
      <c r="C58" s="46">
        <v>-15600</v>
      </c>
      <c r="D58" s="23" t="s">
        <v>97</v>
      </c>
      <c r="E58" s="79" t="s">
        <v>33</v>
      </c>
      <c r="F58" s="21" t="s">
        <v>59</v>
      </c>
      <c r="G58" s="25"/>
    </row>
    <row r="59" spans="1:7" hidden="1" x14ac:dyDescent="0.2">
      <c r="A59" s="89">
        <v>45613</v>
      </c>
      <c r="B59" s="21" t="s">
        <v>51</v>
      </c>
      <c r="C59" s="46">
        <v>-70</v>
      </c>
      <c r="D59" s="23" t="s">
        <v>98</v>
      </c>
      <c r="E59" t="s">
        <v>43</v>
      </c>
      <c r="F59" s="21" t="s">
        <v>55</v>
      </c>
      <c r="G59" s="25"/>
    </row>
    <row r="60" spans="1:7" hidden="1" x14ac:dyDescent="0.2">
      <c r="A60" s="89">
        <v>45613</v>
      </c>
      <c r="B60" s="21" t="s">
        <v>51</v>
      </c>
      <c r="C60" s="46">
        <v>-203.75</v>
      </c>
      <c r="D60" s="23" t="s">
        <v>99</v>
      </c>
      <c r="E60" s="79" t="s">
        <v>30</v>
      </c>
      <c r="F60" s="21" t="s">
        <v>55</v>
      </c>
      <c r="G60" s="25"/>
    </row>
    <row r="61" spans="1:7" hidden="1" x14ac:dyDescent="0.2">
      <c r="A61" s="89">
        <v>45613</v>
      </c>
      <c r="B61" s="21" t="s">
        <v>51</v>
      </c>
      <c r="C61" s="46">
        <v>-28.98</v>
      </c>
      <c r="D61" s="23" t="s">
        <v>100</v>
      </c>
      <c r="E61" s="79" t="s">
        <v>40</v>
      </c>
      <c r="F61" s="21" t="s">
        <v>55</v>
      </c>
      <c r="G61" s="25"/>
    </row>
    <row r="62" spans="1:7" hidden="1" x14ac:dyDescent="0.2">
      <c r="A62" s="89">
        <v>45613</v>
      </c>
      <c r="B62" s="21" t="s">
        <v>51</v>
      </c>
      <c r="C62" s="46">
        <v>-20.99</v>
      </c>
      <c r="D62" s="23" t="s">
        <v>100</v>
      </c>
      <c r="E62" s="79" t="s">
        <v>40</v>
      </c>
      <c r="F62" s="21" t="s">
        <v>55</v>
      </c>
      <c r="G62" s="25"/>
    </row>
    <row r="63" spans="1:7" hidden="1" x14ac:dyDescent="0.2">
      <c r="A63" s="89">
        <v>45611</v>
      </c>
      <c r="B63" s="21" t="s">
        <v>51</v>
      </c>
      <c r="C63" s="46">
        <v>-1960</v>
      </c>
      <c r="D63" s="23" t="s">
        <v>101</v>
      </c>
      <c r="E63" s="79" t="s">
        <v>34</v>
      </c>
      <c r="F63" s="21" t="s">
        <v>53</v>
      </c>
      <c r="G63" s="25"/>
    </row>
    <row r="64" spans="1:7" hidden="1" x14ac:dyDescent="0.2">
      <c r="A64" s="89">
        <v>45609</v>
      </c>
      <c r="B64" s="21" t="s">
        <v>51</v>
      </c>
      <c r="C64" s="46">
        <v>-24</v>
      </c>
      <c r="D64" s="23" t="s">
        <v>63</v>
      </c>
      <c r="E64" s="79" t="s">
        <v>43</v>
      </c>
      <c r="F64" s="21" t="s">
        <v>55</v>
      </c>
      <c r="G64" s="25"/>
    </row>
    <row r="65" spans="1:7" hidden="1" x14ac:dyDescent="0.2">
      <c r="A65" s="89">
        <v>45608</v>
      </c>
      <c r="B65" s="21" t="s">
        <v>51</v>
      </c>
      <c r="C65" s="46">
        <v>-1252.1199999999999</v>
      </c>
      <c r="D65" s="23" t="s">
        <v>102</v>
      </c>
      <c r="E65" s="79" t="s">
        <v>25</v>
      </c>
      <c r="F65" s="21" t="s">
        <v>65</v>
      </c>
      <c r="G65" s="25"/>
    </row>
    <row r="66" spans="1:7" hidden="1" x14ac:dyDescent="0.2">
      <c r="A66" s="89">
        <v>45605</v>
      </c>
      <c r="B66" s="21" t="s">
        <v>51</v>
      </c>
      <c r="C66" s="46">
        <v>-416.43</v>
      </c>
      <c r="D66" s="23" t="s">
        <v>103</v>
      </c>
      <c r="E66" s="21" t="s">
        <v>43</v>
      </c>
      <c r="F66" s="21" t="s">
        <v>55</v>
      </c>
      <c r="G66" s="25"/>
    </row>
    <row r="67" spans="1:7" hidden="1" x14ac:dyDescent="0.2">
      <c r="A67" s="89">
        <v>45604</v>
      </c>
      <c r="B67" s="21" t="s">
        <v>51</v>
      </c>
      <c r="C67" s="46">
        <v>-112.35</v>
      </c>
      <c r="D67" s="23" t="s">
        <v>84</v>
      </c>
      <c r="E67" t="s">
        <v>43</v>
      </c>
      <c r="F67" s="21" t="s">
        <v>55</v>
      </c>
      <c r="G67" s="25"/>
    </row>
    <row r="68" spans="1:7" hidden="1" x14ac:dyDescent="0.2">
      <c r="A68" s="89">
        <v>45601</v>
      </c>
      <c r="B68" s="21" t="s">
        <v>51</v>
      </c>
      <c r="C68" s="46">
        <v>-1175</v>
      </c>
      <c r="D68" s="23" t="s">
        <v>104</v>
      </c>
      <c r="E68" s="79" t="s">
        <v>27</v>
      </c>
      <c r="F68" s="21" t="s">
        <v>53</v>
      </c>
      <c r="G68" s="25"/>
    </row>
    <row r="69" spans="1:7" hidden="1" x14ac:dyDescent="0.2">
      <c r="A69" s="89">
        <v>45601</v>
      </c>
      <c r="B69" s="21" t="s">
        <v>51</v>
      </c>
      <c r="C69" s="46">
        <v>-226.77</v>
      </c>
      <c r="D69" s="23" t="s">
        <v>105</v>
      </c>
      <c r="E69" s="21" t="s">
        <v>43</v>
      </c>
      <c r="F69" s="21" t="s">
        <v>55</v>
      </c>
      <c r="G69" s="25"/>
    </row>
    <row r="70" spans="1:7" hidden="1" x14ac:dyDescent="0.2">
      <c r="A70" s="89">
        <v>45600</v>
      </c>
      <c r="B70" s="21" t="s">
        <v>51</v>
      </c>
      <c r="C70" s="46">
        <v>-1430</v>
      </c>
      <c r="D70" s="23" t="s">
        <v>106</v>
      </c>
      <c r="E70" s="79" t="s">
        <v>32</v>
      </c>
      <c r="F70" s="21" t="s">
        <v>53</v>
      </c>
      <c r="G70" s="25"/>
    </row>
    <row r="71" spans="1:7" hidden="1" x14ac:dyDescent="0.2">
      <c r="A71" s="89">
        <v>45600</v>
      </c>
      <c r="B71" s="21" t="s">
        <v>76</v>
      </c>
      <c r="C71" s="46">
        <v>7324.6</v>
      </c>
      <c r="D71" s="23" t="s">
        <v>107</v>
      </c>
      <c r="E71" s="79" t="s">
        <v>25</v>
      </c>
      <c r="F71" s="21" t="s">
        <v>108</v>
      </c>
      <c r="G71" s="25"/>
    </row>
    <row r="72" spans="1:7" hidden="1" x14ac:dyDescent="0.2">
      <c r="A72" s="89">
        <v>45599</v>
      </c>
      <c r="B72" s="21" t="s">
        <v>51</v>
      </c>
      <c r="C72" s="46">
        <v>-80.28</v>
      </c>
      <c r="D72" s="23" t="s">
        <v>73</v>
      </c>
      <c r="E72" s="79" t="s">
        <v>36</v>
      </c>
      <c r="F72" s="21" t="s">
        <v>55</v>
      </c>
      <c r="G72" s="25"/>
    </row>
    <row r="73" spans="1:7" hidden="1" x14ac:dyDescent="0.2">
      <c r="A73" s="89">
        <v>45598</v>
      </c>
      <c r="B73" s="21" t="s">
        <v>51</v>
      </c>
      <c r="C73" s="46">
        <v>-37.86</v>
      </c>
      <c r="D73" s="23" t="s">
        <v>109</v>
      </c>
      <c r="E73" s="79" t="s">
        <v>35</v>
      </c>
      <c r="F73" s="21" t="s">
        <v>55</v>
      </c>
      <c r="G73" s="25"/>
    </row>
    <row r="74" spans="1:7" hidden="1" x14ac:dyDescent="0.2">
      <c r="A74" s="89">
        <v>45597</v>
      </c>
      <c r="B74" s="21" t="s">
        <v>51</v>
      </c>
      <c r="C74" s="46">
        <v>-97.5</v>
      </c>
      <c r="D74" s="23" t="s">
        <v>110</v>
      </c>
      <c r="E74" s="79" t="s">
        <v>29</v>
      </c>
      <c r="F74" s="21" t="s">
        <v>65</v>
      </c>
      <c r="G74" s="25"/>
    </row>
    <row r="75" spans="1:7" hidden="1" x14ac:dyDescent="0.2">
      <c r="A75" s="89">
        <v>45593</v>
      </c>
      <c r="B75" s="21" t="s">
        <v>76</v>
      </c>
      <c r="C75" s="46">
        <v>13000</v>
      </c>
      <c r="D75" s="23" t="s">
        <v>111</v>
      </c>
      <c r="E75" s="79" t="s">
        <v>33</v>
      </c>
      <c r="F75" s="21" t="s">
        <v>78</v>
      </c>
      <c r="G75" s="25"/>
    </row>
    <row r="76" spans="1:7" hidden="1" x14ac:dyDescent="0.2">
      <c r="A76" s="89">
        <v>45590</v>
      </c>
      <c r="B76" s="21" t="s">
        <v>51</v>
      </c>
      <c r="C76" s="46">
        <v>-70.27</v>
      </c>
      <c r="D76" s="23" t="s">
        <v>54</v>
      </c>
      <c r="E76" t="s">
        <v>43</v>
      </c>
      <c r="F76" s="21" t="s">
        <v>55</v>
      </c>
      <c r="G76" s="25"/>
    </row>
    <row r="77" spans="1:7" hidden="1" x14ac:dyDescent="0.2">
      <c r="A77" s="89">
        <v>45587</v>
      </c>
      <c r="B77" s="21" t="s">
        <v>51</v>
      </c>
      <c r="C77" s="46">
        <v>-38.369999999999997</v>
      </c>
      <c r="D77" s="23" t="s">
        <v>112</v>
      </c>
      <c r="E77" s="79" t="s">
        <v>30</v>
      </c>
      <c r="F77" s="21" t="s">
        <v>55</v>
      </c>
      <c r="G77" s="25"/>
    </row>
    <row r="78" spans="1:7" hidden="1" x14ac:dyDescent="0.2">
      <c r="A78" s="89">
        <v>45583</v>
      </c>
      <c r="B78" s="21" t="s">
        <v>51</v>
      </c>
      <c r="C78" s="46">
        <v>-200.2</v>
      </c>
      <c r="D78" s="23" t="s">
        <v>113</v>
      </c>
      <c r="E78" s="79" t="s">
        <v>30</v>
      </c>
      <c r="F78" s="21" t="s">
        <v>55</v>
      </c>
      <c r="G78" s="25"/>
    </row>
    <row r="79" spans="1:7" hidden="1" x14ac:dyDescent="0.2">
      <c r="A79" s="89">
        <v>45583</v>
      </c>
      <c r="B79" s="21" t="s">
        <v>51</v>
      </c>
      <c r="C79" s="46">
        <v>-19.07</v>
      </c>
      <c r="D79" s="23" t="s">
        <v>114</v>
      </c>
      <c r="E79" s="79" t="s">
        <v>30</v>
      </c>
      <c r="F79" s="21" t="s">
        <v>55</v>
      </c>
      <c r="G79" s="25"/>
    </row>
    <row r="80" spans="1:7" hidden="1" x14ac:dyDescent="0.2">
      <c r="A80" s="89">
        <v>45582</v>
      </c>
      <c r="B80" s="21" t="s">
        <v>51</v>
      </c>
      <c r="C80" s="46">
        <v>-70</v>
      </c>
      <c r="D80" s="23" t="s">
        <v>115</v>
      </c>
      <c r="E80" t="s">
        <v>43</v>
      </c>
      <c r="F80" s="21" t="s">
        <v>55</v>
      </c>
      <c r="G80" s="25"/>
    </row>
    <row r="81" spans="1:7" hidden="1" x14ac:dyDescent="0.2">
      <c r="A81" s="89">
        <v>45581</v>
      </c>
      <c r="B81" s="21" t="s">
        <v>51</v>
      </c>
      <c r="C81" s="46">
        <v>-22.32</v>
      </c>
      <c r="D81" s="23" t="s">
        <v>116</v>
      </c>
      <c r="E81" s="79" t="s">
        <v>30</v>
      </c>
      <c r="F81" s="21" t="s">
        <v>55</v>
      </c>
      <c r="G81" s="25"/>
    </row>
    <row r="82" spans="1:7" hidden="1" x14ac:dyDescent="0.2">
      <c r="A82" s="89">
        <v>45580</v>
      </c>
      <c r="B82" s="21" t="s">
        <v>51</v>
      </c>
      <c r="C82" s="46">
        <v>-19.07</v>
      </c>
      <c r="D82" s="23" t="s">
        <v>117</v>
      </c>
      <c r="E82" s="79" t="s">
        <v>30</v>
      </c>
      <c r="F82" s="21" t="s">
        <v>55</v>
      </c>
      <c r="G82" s="25"/>
    </row>
    <row r="83" spans="1:7" hidden="1" x14ac:dyDescent="0.2">
      <c r="A83" s="89">
        <v>45579</v>
      </c>
      <c r="B83" s="21" t="s">
        <v>51</v>
      </c>
      <c r="C83" s="46">
        <v>-493.77</v>
      </c>
      <c r="D83" s="23" t="s">
        <v>118</v>
      </c>
      <c r="E83" s="79" t="s">
        <v>40</v>
      </c>
      <c r="F83" s="21" t="s">
        <v>55</v>
      </c>
      <c r="G83" s="25"/>
    </row>
    <row r="84" spans="1:7" hidden="1" x14ac:dyDescent="0.2">
      <c r="A84" s="89">
        <v>45579</v>
      </c>
      <c r="B84" s="21" t="s">
        <v>51</v>
      </c>
      <c r="C84" s="46">
        <v>-17.25</v>
      </c>
      <c r="D84" s="23" t="s">
        <v>100</v>
      </c>
      <c r="E84" s="79" t="s">
        <v>40</v>
      </c>
      <c r="F84" s="21" t="s">
        <v>55</v>
      </c>
      <c r="G84" s="25"/>
    </row>
    <row r="85" spans="1:7" hidden="1" x14ac:dyDescent="0.2">
      <c r="A85" s="89">
        <v>45578</v>
      </c>
      <c r="B85" s="21" t="s">
        <v>51</v>
      </c>
      <c r="C85" s="46">
        <v>-196.98</v>
      </c>
      <c r="D85" s="23" t="s">
        <v>119</v>
      </c>
      <c r="E85" s="79" t="s">
        <v>30</v>
      </c>
      <c r="F85" s="21" t="s">
        <v>55</v>
      </c>
      <c r="G85" s="25"/>
    </row>
    <row r="86" spans="1:7" hidden="1" x14ac:dyDescent="0.2">
      <c r="A86" s="89">
        <v>45578</v>
      </c>
      <c r="B86" s="21" t="s">
        <v>51</v>
      </c>
      <c r="C86" s="46">
        <v>-24</v>
      </c>
      <c r="D86" s="23" t="s">
        <v>63</v>
      </c>
      <c r="E86" s="79" t="s">
        <v>43</v>
      </c>
      <c r="F86" s="21" t="s">
        <v>55</v>
      </c>
      <c r="G86" s="25"/>
    </row>
    <row r="87" spans="1:7" hidden="1" x14ac:dyDescent="0.2">
      <c r="A87" s="89">
        <v>45576</v>
      </c>
      <c r="B87" s="21" t="s">
        <v>51</v>
      </c>
      <c r="C87" s="46">
        <v>-19.07</v>
      </c>
      <c r="D87" s="23" t="s">
        <v>117</v>
      </c>
      <c r="E87" s="79" t="s">
        <v>30</v>
      </c>
      <c r="F87" s="21" t="s">
        <v>55</v>
      </c>
      <c r="G87" s="25"/>
    </row>
    <row r="88" spans="1:7" hidden="1" x14ac:dyDescent="0.2">
      <c r="A88" s="89">
        <v>45576</v>
      </c>
      <c r="B88" s="21" t="s">
        <v>51</v>
      </c>
      <c r="C88" s="46">
        <v>-29.9</v>
      </c>
      <c r="D88" s="23" t="s">
        <v>113</v>
      </c>
      <c r="E88" s="79" t="s">
        <v>30</v>
      </c>
      <c r="F88" s="21" t="s">
        <v>55</v>
      </c>
      <c r="G88" s="25"/>
    </row>
    <row r="89" spans="1:7" hidden="1" x14ac:dyDescent="0.2">
      <c r="A89" s="89">
        <v>45576</v>
      </c>
      <c r="B89" s="21" t="s">
        <v>51</v>
      </c>
      <c r="C89" s="46">
        <v>-372.49</v>
      </c>
      <c r="D89" s="23" t="s">
        <v>120</v>
      </c>
      <c r="E89" s="21" t="s">
        <v>43</v>
      </c>
      <c r="F89" s="21" t="s">
        <v>55</v>
      </c>
      <c r="G89" s="25"/>
    </row>
    <row r="90" spans="1:7" hidden="1" x14ac:dyDescent="0.2">
      <c r="A90" s="89">
        <v>45576</v>
      </c>
      <c r="B90" s="21" t="s">
        <v>51</v>
      </c>
      <c r="C90" s="46">
        <v>-1252.1400000000001</v>
      </c>
      <c r="D90" s="23" t="s">
        <v>121</v>
      </c>
      <c r="E90" s="79" t="s">
        <v>25</v>
      </c>
      <c r="F90" s="21" t="s">
        <v>65</v>
      </c>
      <c r="G90" s="25"/>
    </row>
    <row r="91" spans="1:7" hidden="1" x14ac:dyDescent="0.2">
      <c r="A91" s="89">
        <v>45576</v>
      </c>
      <c r="B91" s="21" t="s">
        <v>51</v>
      </c>
      <c r="C91" s="46">
        <v>-814.51</v>
      </c>
      <c r="D91" s="23" t="s">
        <v>122</v>
      </c>
      <c r="E91" s="79" t="s">
        <v>27</v>
      </c>
      <c r="F91" s="21" t="s">
        <v>53</v>
      </c>
      <c r="G91" s="25"/>
    </row>
    <row r="92" spans="1:7" hidden="1" x14ac:dyDescent="0.2">
      <c r="A92" s="89">
        <v>45575</v>
      </c>
      <c r="B92" s="21" t="s">
        <v>51</v>
      </c>
      <c r="C92" s="46">
        <v>-312.62</v>
      </c>
      <c r="D92" s="23" t="s">
        <v>114</v>
      </c>
      <c r="E92" s="79" t="s">
        <v>30</v>
      </c>
      <c r="F92" s="21" t="s">
        <v>55</v>
      </c>
      <c r="G92" s="25"/>
    </row>
    <row r="93" spans="1:7" hidden="1" x14ac:dyDescent="0.2">
      <c r="A93" s="89">
        <v>45575</v>
      </c>
      <c r="B93" s="21" t="s">
        <v>51</v>
      </c>
      <c r="C93" s="46">
        <v>-0.4</v>
      </c>
      <c r="D93" s="23" t="s">
        <v>63</v>
      </c>
      <c r="E93" s="79" t="s">
        <v>43</v>
      </c>
      <c r="F93" s="21" t="s">
        <v>55</v>
      </c>
      <c r="G93" s="25"/>
    </row>
    <row r="94" spans="1:7" hidden="1" x14ac:dyDescent="0.2">
      <c r="A94" s="89">
        <v>45574</v>
      </c>
      <c r="B94" s="21" t="s">
        <v>51</v>
      </c>
      <c r="C94" s="46">
        <v>-19.07</v>
      </c>
      <c r="D94" s="23" t="s">
        <v>117</v>
      </c>
      <c r="E94" s="79" t="s">
        <v>30</v>
      </c>
      <c r="F94" s="21" t="s">
        <v>55</v>
      </c>
      <c r="G94" s="25"/>
    </row>
    <row r="95" spans="1:7" hidden="1" x14ac:dyDescent="0.2">
      <c r="A95" s="89">
        <v>45574</v>
      </c>
      <c r="B95" s="21" t="s">
        <v>51</v>
      </c>
      <c r="C95" s="46">
        <v>-112.35</v>
      </c>
      <c r="D95" s="23" t="s">
        <v>84</v>
      </c>
      <c r="E95" s="79" t="s">
        <v>28</v>
      </c>
      <c r="F95" s="21" t="s">
        <v>55</v>
      </c>
      <c r="G95" s="25"/>
    </row>
    <row r="96" spans="1:7" hidden="1" x14ac:dyDescent="0.2">
      <c r="A96" s="89">
        <v>45573</v>
      </c>
      <c r="B96" s="21" t="s">
        <v>51</v>
      </c>
      <c r="C96" s="46">
        <v>-15.83</v>
      </c>
      <c r="D96" s="23" t="s">
        <v>117</v>
      </c>
      <c r="E96" s="79" t="s">
        <v>30</v>
      </c>
      <c r="F96" s="21" t="s">
        <v>55</v>
      </c>
      <c r="G96" s="25"/>
    </row>
    <row r="97" spans="1:7" hidden="1" x14ac:dyDescent="0.2">
      <c r="A97" s="89">
        <v>45573</v>
      </c>
      <c r="B97" s="21" t="s">
        <v>51</v>
      </c>
      <c r="C97" s="46">
        <v>-1728</v>
      </c>
      <c r="D97" s="23" t="s">
        <v>123</v>
      </c>
      <c r="E97" s="79" t="s">
        <v>24</v>
      </c>
      <c r="F97" s="21" t="s">
        <v>53</v>
      </c>
      <c r="G97" s="25"/>
    </row>
    <row r="98" spans="1:7" hidden="1" x14ac:dyDescent="0.2">
      <c r="A98" s="89">
        <v>45573</v>
      </c>
      <c r="B98" s="21" t="s">
        <v>51</v>
      </c>
      <c r="C98" s="46">
        <v>-1980</v>
      </c>
      <c r="D98" s="23" t="s">
        <v>124</v>
      </c>
      <c r="E98" s="79" t="s">
        <v>34</v>
      </c>
      <c r="F98" s="21" t="s">
        <v>53</v>
      </c>
      <c r="G98" s="25"/>
    </row>
    <row r="99" spans="1:7" hidden="1" x14ac:dyDescent="0.2">
      <c r="A99" s="89">
        <v>45572</v>
      </c>
      <c r="B99" s="21" t="s">
        <v>51</v>
      </c>
      <c r="C99" s="46">
        <v>-8702.33</v>
      </c>
      <c r="D99" s="23" t="s">
        <v>73</v>
      </c>
      <c r="E99" s="79" t="s">
        <v>36</v>
      </c>
      <c r="F99" s="21" t="s">
        <v>55</v>
      </c>
      <c r="G99" s="25"/>
    </row>
    <row r="100" spans="1:7" hidden="1" x14ac:dyDescent="0.2">
      <c r="A100" s="89">
        <v>45570</v>
      </c>
      <c r="B100" s="21" t="s">
        <v>51</v>
      </c>
      <c r="C100" s="46">
        <v>-212.4</v>
      </c>
      <c r="D100" s="23" t="s">
        <v>125</v>
      </c>
      <c r="E100" s="21" t="s">
        <v>43</v>
      </c>
      <c r="F100" s="21" t="s">
        <v>55</v>
      </c>
      <c r="G100" s="25"/>
    </row>
    <row r="101" spans="1:7" hidden="1" x14ac:dyDescent="0.2">
      <c r="A101" s="89">
        <v>45570</v>
      </c>
      <c r="B101" s="21" t="s">
        <v>51</v>
      </c>
      <c r="C101" s="46">
        <v>-3.2</v>
      </c>
      <c r="D101" s="23" t="s">
        <v>63</v>
      </c>
      <c r="E101" s="79" t="s">
        <v>43</v>
      </c>
      <c r="F101" s="21" t="s">
        <v>55</v>
      </c>
      <c r="G101" s="25"/>
    </row>
    <row r="102" spans="1:7" hidden="1" x14ac:dyDescent="0.2">
      <c r="A102" s="89">
        <v>45568</v>
      </c>
      <c r="B102" s="21" t="s">
        <v>51</v>
      </c>
      <c r="C102" s="46">
        <v>-90.78</v>
      </c>
      <c r="D102" s="23" t="s">
        <v>113</v>
      </c>
      <c r="E102" s="79" t="s">
        <v>30</v>
      </c>
      <c r="F102" s="21" t="s">
        <v>55</v>
      </c>
      <c r="G102" s="25"/>
    </row>
    <row r="103" spans="1:7" hidden="1" x14ac:dyDescent="0.2">
      <c r="A103" s="89">
        <v>45568</v>
      </c>
      <c r="B103" s="21" t="s">
        <v>51</v>
      </c>
      <c r="C103" s="46">
        <v>-58.39</v>
      </c>
      <c r="D103" s="23" t="s">
        <v>126</v>
      </c>
      <c r="E103" s="79" t="s">
        <v>30</v>
      </c>
      <c r="F103" s="21" t="s">
        <v>55</v>
      </c>
      <c r="G103" s="25"/>
    </row>
    <row r="104" spans="1:7" hidden="1" x14ac:dyDescent="0.2">
      <c r="A104" s="89">
        <v>45568</v>
      </c>
      <c r="B104" s="21" t="s">
        <v>51</v>
      </c>
      <c r="C104" s="46">
        <v>-45.16</v>
      </c>
      <c r="D104" s="23" t="s">
        <v>114</v>
      </c>
      <c r="E104" s="79" t="s">
        <v>30</v>
      </c>
      <c r="F104" s="21" t="s">
        <v>55</v>
      </c>
      <c r="G104" s="25"/>
    </row>
    <row r="105" spans="1:7" hidden="1" x14ac:dyDescent="0.2">
      <c r="A105" s="89">
        <v>45567</v>
      </c>
      <c r="B105" s="21" t="s">
        <v>51</v>
      </c>
      <c r="C105" s="46">
        <v>-24.32</v>
      </c>
      <c r="D105" s="23" t="s">
        <v>117</v>
      </c>
      <c r="E105" s="79" t="s">
        <v>30</v>
      </c>
      <c r="F105" s="21" t="s">
        <v>55</v>
      </c>
      <c r="G105" s="25"/>
    </row>
    <row r="106" spans="1:7" hidden="1" x14ac:dyDescent="0.2">
      <c r="A106" s="89">
        <v>45567</v>
      </c>
      <c r="B106" s="21" t="s">
        <v>51</v>
      </c>
      <c r="C106" s="46">
        <v>-115.89</v>
      </c>
      <c r="D106" s="23" t="s">
        <v>109</v>
      </c>
      <c r="E106" s="79" t="s">
        <v>35</v>
      </c>
      <c r="F106" s="21" t="s">
        <v>55</v>
      </c>
      <c r="G106" s="25"/>
    </row>
    <row r="107" spans="1:7" hidden="1" x14ac:dyDescent="0.2">
      <c r="A107" s="89">
        <v>45567</v>
      </c>
      <c r="B107" s="21" t="s">
        <v>51</v>
      </c>
      <c r="C107" s="46">
        <v>-134.01</v>
      </c>
      <c r="D107" s="23" t="s">
        <v>127</v>
      </c>
      <c r="E107" s="79" t="s">
        <v>30</v>
      </c>
      <c r="F107" s="21" t="s">
        <v>55</v>
      </c>
      <c r="G107" s="25"/>
    </row>
    <row r="108" spans="1:7" hidden="1" x14ac:dyDescent="0.2">
      <c r="A108" s="89">
        <v>45565</v>
      </c>
      <c r="B108" s="21" t="s">
        <v>51</v>
      </c>
      <c r="C108" s="46">
        <v>-25.57</v>
      </c>
      <c r="D108" s="23" t="s">
        <v>128</v>
      </c>
      <c r="E108" s="79" t="s">
        <v>30</v>
      </c>
      <c r="F108" s="21" t="s">
        <v>55</v>
      </c>
      <c r="G108" s="25"/>
    </row>
    <row r="109" spans="1:7" hidden="1" x14ac:dyDescent="0.2">
      <c r="A109" s="89">
        <v>45565</v>
      </c>
      <c r="B109" s="21" t="s">
        <v>51</v>
      </c>
      <c r="C109" s="46">
        <v>-156.80000000000001</v>
      </c>
      <c r="D109" s="23" t="s">
        <v>129</v>
      </c>
      <c r="E109" s="79" t="s">
        <v>31</v>
      </c>
      <c r="F109" s="21" t="s">
        <v>130</v>
      </c>
      <c r="G109" s="25"/>
    </row>
    <row r="110" spans="1:7" hidden="1" x14ac:dyDescent="0.2">
      <c r="A110" s="89">
        <v>45563</v>
      </c>
      <c r="B110" s="21" t="s">
        <v>51</v>
      </c>
      <c r="C110" s="46">
        <v>-103.51</v>
      </c>
      <c r="D110" s="23" t="s">
        <v>131</v>
      </c>
      <c r="E110" s="79" t="s">
        <v>30</v>
      </c>
      <c r="F110" s="21" t="s">
        <v>55</v>
      </c>
      <c r="G110" s="25"/>
    </row>
    <row r="111" spans="1:7" hidden="1" x14ac:dyDescent="0.2">
      <c r="A111" s="89">
        <v>45562</v>
      </c>
      <c r="B111" s="21" t="s">
        <v>51</v>
      </c>
      <c r="C111" s="46">
        <v>-18.91</v>
      </c>
      <c r="D111" s="23" t="s">
        <v>117</v>
      </c>
      <c r="E111" s="79" t="s">
        <v>30</v>
      </c>
      <c r="F111" s="21" t="s">
        <v>55</v>
      </c>
      <c r="G111" s="25"/>
    </row>
    <row r="112" spans="1:7" hidden="1" x14ac:dyDescent="0.2">
      <c r="A112" s="89">
        <v>45561</v>
      </c>
      <c r="B112" s="21" t="s">
        <v>51</v>
      </c>
      <c r="C112" s="46">
        <v>-43.8</v>
      </c>
      <c r="D112" s="23" t="s">
        <v>132</v>
      </c>
      <c r="E112" s="79" t="s">
        <v>30</v>
      </c>
      <c r="F112" s="21" t="s">
        <v>55</v>
      </c>
      <c r="G112" s="25"/>
    </row>
    <row r="113" spans="1:7" hidden="1" x14ac:dyDescent="0.2">
      <c r="A113" s="89">
        <v>45561</v>
      </c>
      <c r="B113" s="21" t="s">
        <v>51</v>
      </c>
      <c r="C113" s="46">
        <v>-108.77</v>
      </c>
      <c r="D113" s="23" t="s">
        <v>113</v>
      </c>
      <c r="E113" s="79" t="s">
        <v>30</v>
      </c>
      <c r="F113" s="21" t="s">
        <v>55</v>
      </c>
      <c r="G113" s="25"/>
    </row>
    <row r="114" spans="1:7" hidden="1" x14ac:dyDescent="0.2">
      <c r="A114" s="89">
        <v>45559</v>
      </c>
      <c r="B114" s="21" t="s">
        <v>51</v>
      </c>
      <c r="C114" s="46">
        <v>-29.84</v>
      </c>
      <c r="D114" s="23" t="s">
        <v>117</v>
      </c>
      <c r="E114" s="79" t="s">
        <v>30</v>
      </c>
      <c r="F114" s="21" t="s">
        <v>55</v>
      </c>
      <c r="G114" s="25"/>
    </row>
    <row r="115" spans="1:7" hidden="1" x14ac:dyDescent="0.2">
      <c r="A115" s="89">
        <v>45558</v>
      </c>
      <c r="B115" s="21" t="s">
        <v>51</v>
      </c>
      <c r="C115" s="46">
        <v>-89.02</v>
      </c>
      <c r="D115" s="23" t="s">
        <v>133</v>
      </c>
      <c r="E115" t="s">
        <v>43</v>
      </c>
      <c r="F115" s="21" t="s">
        <v>55</v>
      </c>
      <c r="G115" s="25"/>
    </row>
    <row r="116" spans="1:7" hidden="1" x14ac:dyDescent="0.2">
      <c r="A116" s="89">
        <v>45557</v>
      </c>
      <c r="B116" s="21" t="s">
        <v>51</v>
      </c>
      <c r="C116" s="46">
        <v>-37.369999999999997</v>
      </c>
      <c r="D116" s="23" t="s">
        <v>134</v>
      </c>
      <c r="E116" s="79" t="s">
        <v>30</v>
      </c>
      <c r="F116" s="21" t="s">
        <v>55</v>
      </c>
      <c r="G116" s="25"/>
    </row>
    <row r="117" spans="1:7" hidden="1" x14ac:dyDescent="0.2">
      <c r="A117" s="89">
        <v>45556</v>
      </c>
      <c r="B117" s="21" t="s">
        <v>51</v>
      </c>
      <c r="C117" s="46">
        <v>-18.79</v>
      </c>
      <c r="D117" s="23" t="s">
        <v>135</v>
      </c>
      <c r="E117" s="79" t="s">
        <v>40</v>
      </c>
      <c r="F117" s="21" t="s">
        <v>55</v>
      </c>
      <c r="G117" s="25"/>
    </row>
    <row r="118" spans="1:7" hidden="1" x14ac:dyDescent="0.2">
      <c r="A118" s="89">
        <v>45556</v>
      </c>
      <c r="B118" s="21" t="s">
        <v>51</v>
      </c>
      <c r="C118" s="46">
        <v>-36.31</v>
      </c>
      <c r="D118" s="23" t="s">
        <v>113</v>
      </c>
      <c r="E118" s="79" t="s">
        <v>30</v>
      </c>
      <c r="F118" s="21" t="s">
        <v>55</v>
      </c>
      <c r="G118" s="25"/>
    </row>
    <row r="119" spans="1:7" hidden="1" x14ac:dyDescent="0.2">
      <c r="A119" s="89">
        <v>45554</v>
      </c>
      <c r="B119" s="21" t="s">
        <v>51</v>
      </c>
      <c r="C119" s="46">
        <v>-29.84</v>
      </c>
      <c r="D119" s="23" t="s">
        <v>136</v>
      </c>
      <c r="E119" s="79" t="s">
        <v>30</v>
      </c>
      <c r="F119" s="21" t="s">
        <v>55</v>
      </c>
      <c r="G119" s="25"/>
    </row>
    <row r="120" spans="1:7" hidden="1" x14ac:dyDescent="0.2">
      <c r="A120" s="89">
        <v>45553</v>
      </c>
      <c r="B120" s="21" t="s">
        <v>51</v>
      </c>
      <c r="C120" s="46">
        <v>-29.84</v>
      </c>
      <c r="D120" s="23" t="s">
        <v>136</v>
      </c>
      <c r="E120" s="79" t="s">
        <v>30</v>
      </c>
      <c r="F120" s="21" t="s">
        <v>55</v>
      </c>
      <c r="G120" s="25"/>
    </row>
    <row r="121" spans="1:7" hidden="1" x14ac:dyDescent="0.2">
      <c r="A121" s="89">
        <v>45553</v>
      </c>
      <c r="B121" s="21" t="s">
        <v>51</v>
      </c>
      <c r="C121" s="46">
        <v>-41.48</v>
      </c>
      <c r="D121" s="23" t="s">
        <v>79</v>
      </c>
      <c r="E121" s="79" t="s">
        <v>30</v>
      </c>
      <c r="F121" s="21" t="s">
        <v>55</v>
      </c>
      <c r="G121" s="25"/>
    </row>
    <row r="122" spans="1:7" hidden="1" x14ac:dyDescent="0.2">
      <c r="A122" s="89">
        <v>45552</v>
      </c>
      <c r="B122" s="21" t="s">
        <v>51</v>
      </c>
      <c r="C122" s="46">
        <v>-22.35</v>
      </c>
      <c r="D122" s="23" t="s">
        <v>137</v>
      </c>
      <c r="E122" s="79" t="s">
        <v>30</v>
      </c>
      <c r="F122" s="21" t="s">
        <v>55</v>
      </c>
      <c r="G122" s="25"/>
    </row>
    <row r="123" spans="1:7" hidden="1" x14ac:dyDescent="0.2">
      <c r="A123" s="89">
        <v>45552</v>
      </c>
      <c r="B123" s="21" t="s">
        <v>51</v>
      </c>
      <c r="C123" s="46">
        <v>-70</v>
      </c>
      <c r="D123" s="23" t="s">
        <v>138</v>
      </c>
      <c r="E123" t="s">
        <v>43</v>
      </c>
      <c r="F123" s="21" t="s">
        <v>55</v>
      </c>
      <c r="G123" s="25"/>
    </row>
    <row r="124" spans="1:7" hidden="1" x14ac:dyDescent="0.2">
      <c r="A124" s="89">
        <v>45552</v>
      </c>
      <c r="B124" s="21" t="s">
        <v>51</v>
      </c>
      <c r="C124" s="46">
        <v>-3780</v>
      </c>
      <c r="D124" s="23" t="s">
        <v>139</v>
      </c>
      <c r="E124" s="79" t="s">
        <v>34</v>
      </c>
      <c r="F124" s="21" t="s">
        <v>53</v>
      </c>
    </row>
    <row r="125" spans="1:7" hidden="1" x14ac:dyDescent="0.2">
      <c r="A125" s="89">
        <v>45551</v>
      </c>
      <c r="B125" s="21" t="s">
        <v>51</v>
      </c>
      <c r="C125" s="46">
        <v>-1872</v>
      </c>
      <c r="D125" s="23" t="s">
        <v>140</v>
      </c>
      <c r="E125" s="79" t="s">
        <v>24</v>
      </c>
      <c r="F125" s="21" t="s">
        <v>53</v>
      </c>
    </row>
    <row r="126" spans="1:7" hidden="1" x14ac:dyDescent="0.2">
      <c r="A126" s="89">
        <v>45551</v>
      </c>
      <c r="B126" s="21" t="s">
        <v>51</v>
      </c>
      <c r="C126" s="46">
        <v>-196</v>
      </c>
      <c r="D126" s="23" t="s">
        <v>141</v>
      </c>
      <c r="E126" s="79" t="s">
        <v>31</v>
      </c>
      <c r="F126" s="21" t="s">
        <v>130</v>
      </c>
      <c r="G126" s="25"/>
    </row>
    <row r="127" spans="1:7" hidden="1" x14ac:dyDescent="0.2">
      <c r="A127" s="89">
        <v>45548</v>
      </c>
      <c r="B127" s="21" t="s">
        <v>51</v>
      </c>
      <c r="C127" s="46">
        <v>-8</v>
      </c>
      <c r="D127" s="23" t="s">
        <v>63</v>
      </c>
      <c r="E127" s="79" t="s">
        <v>43</v>
      </c>
      <c r="F127" s="21" t="s">
        <v>55</v>
      </c>
      <c r="G127" s="25"/>
    </row>
    <row r="128" spans="1:7" hidden="1" x14ac:dyDescent="0.2">
      <c r="A128" s="89">
        <v>45548</v>
      </c>
      <c r="B128" s="21" t="s">
        <v>51</v>
      </c>
      <c r="C128" s="46">
        <v>-60.78</v>
      </c>
      <c r="D128" s="23" t="s">
        <v>142</v>
      </c>
      <c r="E128" t="s">
        <v>43</v>
      </c>
      <c r="F128" s="21" t="s">
        <v>55</v>
      </c>
      <c r="G128" s="25"/>
    </row>
    <row r="129" spans="1:8" hidden="1" x14ac:dyDescent="0.2">
      <c r="A129" s="89">
        <v>45547</v>
      </c>
      <c r="B129" s="21" t="s">
        <v>51</v>
      </c>
      <c r="C129" s="46">
        <v>-1252.1400000000001</v>
      </c>
      <c r="D129" s="23" t="s">
        <v>143</v>
      </c>
      <c r="E129" s="79" t="s">
        <v>25</v>
      </c>
      <c r="F129" s="21" t="s">
        <v>65</v>
      </c>
    </row>
    <row r="130" spans="1:8" hidden="1" x14ac:dyDescent="0.2">
      <c r="A130" s="89">
        <v>45546</v>
      </c>
      <c r="B130" s="21" t="s">
        <v>51</v>
      </c>
      <c r="C130" s="46">
        <v>-18.07</v>
      </c>
      <c r="D130" s="23" t="s">
        <v>136</v>
      </c>
      <c r="E130" s="79" t="s">
        <v>30</v>
      </c>
      <c r="F130" s="21" t="s">
        <v>55</v>
      </c>
      <c r="G130" s="25"/>
    </row>
    <row r="131" spans="1:8" hidden="1" x14ac:dyDescent="0.2">
      <c r="A131" s="89">
        <v>45546</v>
      </c>
      <c r="B131" s="21" t="s">
        <v>51</v>
      </c>
      <c r="C131" s="46">
        <v>-106.18</v>
      </c>
      <c r="D131" s="23" t="s">
        <v>144</v>
      </c>
      <c r="E131" s="21" t="s">
        <v>43</v>
      </c>
      <c r="F131" s="21" t="s">
        <v>55</v>
      </c>
      <c r="G131" s="25"/>
    </row>
    <row r="132" spans="1:8" hidden="1" x14ac:dyDescent="0.2">
      <c r="A132" s="89">
        <v>45546</v>
      </c>
      <c r="B132" s="21" t="s">
        <v>51</v>
      </c>
      <c r="C132" s="46">
        <v>-1913.34</v>
      </c>
      <c r="D132" s="23" t="s">
        <v>145</v>
      </c>
      <c r="E132" s="21" t="s">
        <v>43</v>
      </c>
      <c r="F132" s="21" t="s">
        <v>55</v>
      </c>
      <c r="G132" s="25"/>
    </row>
    <row r="133" spans="1:8" hidden="1" x14ac:dyDescent="0.2">
      <c r="A133" s="89">
        <v>45546</v>
      </c>
      <c r="B133" s="21" t="s">
        <v>51</v>
      </c>
      <c r="C133" s="46">
        <v>-25.6</v>
      </c>
      <c r="D133" s="23" t="s">
        <v>137</v>
      </c>
      <c r="E133" s="79" t="s">
        <v>30</v>
      </c>
      <c r="F133" s="21" t="s">
        <v>55</v>
      </c>
      <c r="G133" s="25"/>
    </row>
    <row r="134" spans="1:8" hidden="1" x14ac:dyDescent="0.2">
      <c r="A134" s="89">
        <v>45545</v>
      </c>
      <c r="B134" s="21" t="s">
        <v>51</v>
      </c>
      <c r="C134" s="46">
        <v>-200</v>
      </c>
      <c r="D134" s="23" t="s">
        <v>146</v>
      </c>
      <c r="E134" s="21" t="s">
        <v>43</v>
      </c>
      <c r="F134" s="21" t="s">
        <v>55</v>
      </c>
      <c r="G134" s="25"/>
    </row>
    <row r="135" spans="1:8" hidden="1" x14ac:dyDescent="0.2">
      <c r="A135" s="89">
        <v>45545</v>
      </c>
      <c r="B135" s="21" t="s">
        <v>51</v>
      </c>
      <c r="C135" s="46">
        <v>-95.99</v>
      </c>
      <c r="D135" s="23" t="s">
        <v>127</v>
      </c>
      <c r="E135" s="79" t="s">
        <v>30</v>
      </c>
      <c r="F135" s="21" t="s">
        <v>55</v>
      </c>
    </row>
    <row r="136" spans="1:8" hidden="1" x14ac:dyDescent="0.2">
      <c r="A136" s="89">
        <v>45544</v>
      </c>
      <c r="B136" s="21" t="s">
        <v>51</v>
      </c>
      <c r="C136" s="46">
        <v>-960.4</v>
      </c>
      <c r="D136" s="23" t="s">
        <v>147</v>
      </c>
      <c r="E136" s="79" t="s">
        <v>31</v>
      </c>
      <c r="F136" s="21" t="s">
        <v>130</v>
      </c>
    </row>
    <row r="137" spans="1:8" hidden="1" x14ac:dyDescent="0.2">
      <c r="A137" s="89">
        <v>45543</v>
      </c>
      <c r="B137" s="21" t="s">
        <v>51</v>
      </c>
      <c r="C137" s="46">
        <v>-32.76</v>
      </c>
      <c r="D137" s="23" t="s">
        <v>117</v>
      </c>
      <c r="E137" s="79" t="s">
        <v>30</v>
      </c>
      <c r="F137" s="21" t="s">
        <v>55</v>
      </c>
    </row>
    <row r="138" spans="1:8" hidden="1" x14ac:dyDescent="0.2">
      <c r="A138" s="89">
        <v>45544</v>
      </c>
      <c r="B138" s="21" t="s">
        <v>51</v>
      </c>
      <c r="C138" s="46">
        <v>-105.57</v>
      </c>
      <c r="D138" s="23" t="s">
        <v>148</v>
      </c>
      <c r="E138" s="21" t="s">
        <v>43</v>
      </c>
      <c r="F138" s="21" t="s">
        <v>55</v>
      </c>
    </row>
    <row r="139" spans="1:8" hidden="1" x14ac:dyDescent="0.2">
      <c r="A139" s="89">
        <v>45543</v>
      </c>
      <c r="B139" s="21" t="s">
        <v>51</v>
      </c>
      <c r="C139" s="46">
        <v>-112.35</v>
      </c>
      <c r="D139" s="23" t="s">
        <v>84</v>
      </c>
      <c r="E139" s="79" t="s">
        <v>43</v>
      </c>
      <c r="F139" s="21" t="s">
        <v>55</v>
      </c>
    </row>
    <row r="140" spans="1:8" hidden="1" x14ac:dyDescent="0.2">
      <c r="A140" s="89">
        <v>45543</v>
      </c>
      <c r="B140" s="21" t="s">
        <v>51</v>
      </c>
      <c r="C140" s="46">
        <v>-41.59</v>
      </c>
      <c r="D140" s="23" t="s">
        <v>132</v>
      </c>
      <c r="E140" s="79" t="s">
        <v>30</v>
      </c>
      <c r="F140" s="21" t="s">
        <v>55</v>
      </c>
      <c r="H140" s="88"/>
    </row>
    <row r="141" spans="1:8" hidden="1" x14ac:dyDescent="0.2">
      <c r="A141" s="89">
        <v>45541</v>
      </c>
      <c r="B141" s="21" t="s">
        <v>51</v>
      </c>
      <c r="C141" s="46">
        <v>-42.56</v>
      </c>
      <c r="D141" s="23" t="s">
        <v>79</v>
      </c>
      <c r="E141" s="79" t="s">
        <v>30</v>
      </c>
      <c r="F141" s="21" t="s">
        <v>55</v>
      </c>
      <c r="H141" s="88"/>
    </row>
    <row r="142" spans="1:8" hidden="1" x14ac:dyDescent="0.2">
      <c r="A142" s="89">
        <v>45541</v>
      </c>
      <c r="B142" s="21" t="s">
        <v>51</v>
      </c>
      <c r="C142" s="46">
        <v>-1308.43</v>
      </c>
      <c r="D142" s="23" t="s">
        <v>149</v>
      </c>
      <c r="E142" s="21" t="s">
        <v>43</v>
      </c>
      <c r="F142" s="21" t="s">
        <v>55</v>
      </c>
      <c r="H142" s="88"/>
    </row>
    <row r="143" spans="1:8" hidden="1" x14ac:dyDescent="0.2">
      <c r="A143" s="89">
        <v>45541</v>
      </c>
      <c r="B143" s="21" t="s">
        <v>51</v>
      </c>
      <c r="C143" s="46">
        <v>-6025.55</v>
      </c>
      <c r="D143" s="23" t="s">
        <v>73</v>
      </c>
      <c r="E143" s="79" t="s">
        <v>36</v>
      </c>
      <c r="F143" s="21" t="s">
        <v>55</v>
      </c>
      <c r="H143" s="88"/>
    </row>
    <row r="144" spans="1:8" hidden="1" x14ac:dyDescent="0.2">
      <c r="A144" s="89">
        <v>45540</v>
      </c>
      <c r="B144" s="21" t="s">
        <v>51</v>
      </c>
      <c r="C144" s="46">
        <v>-13.66</v>
      </c>
      <c r="D144" s="23" t="s">
        <v>150</v>
      </c>
      <c r="E144" s="79" t="s">
        <v>30</v>
      </c>
      <c r="F144" s="21" t="s">
        <v>55</v>
      </c>
      <c r="H144" s="88"/>
    </row>
    <row r="145" spans="1:9" hidden="1" x14ac:dyDescent="0.2">
      <c r="A145" s="89">
        <v>45540</v>
      </c>
      <c r="B145" s="21" t="s">
        <v>51</v>
      </c>
      <c r="C145" s="46">
        <v>-200.81</v>
      </c>
      <c r="D145" s="23" t="s">
        <v>151</v>
      </c>
      <c r="E145" s="21" t="s">
        <v>43</v>
      </c>
      <c r="F145" s="21" t="s">
        <v>55</v>
      </c>
      <c r="H145" s="88"/>
    </row>
    <row r="146" spans="1:9" hidden="1" x14ac:dyDescent="0.2">
      <c r="A146" s="89">
        <v>45539</v>
      </c>
      <c r="B146" s="21" t="s">
        <v>51</v>
      </c>
      <c r="C146" s="46">
        <v>-78</v>
      </c>
      <c r="D146" s="23" t="s">
        <v>152</v>
      </c>
      <c r="E146" t="s">
        <v>43</v>
      </c>
      <c r="F146" s="21" t="s">
        <v>55</v>
      </c>
      <c r="H146" s="88"/>
    </row>
    <row r="147" spans="1:9" hidden="1" x14ac:dyDescent="0.2">
      <c r="A147" s="89">
        <v>45537</v>
      </c>
      <c r="B147" s="21" t="s">
        <v>51</v>
      </c>
      <c r="C147" s="46">
        <v>-945</v>
      </c>
      <c r="D147" s="23" t="s">
        <v>153</v>
      </c>
      <c r="E147" s="79" t="s">
        <v>33</v>
      </c>
      <c r="F147" s="21" t="s">
        <v>130</v>
      </c>
    </row>
    <row r="148" spans="1:9" hidden="1" x14ac:dyDescent="0.2">
      <c r="A148" s="89">
        <v>45537</v>
      </c>
      <c r="B148" s="21" t="s">
        <v>51</v>
      </c>
      <c r="C148" s="46">
        <v>-558.6</v>
      </c>
      <c r="D148" s="23" t="s">
        <v>153</v>
      </c>
      <c r="E148" s="79" t="s">
        <v>31</v>
      </c>
      <c r="F148" s="21" t="s">
        <v>130</v>
      </c>
    </row>
    <row r="149" spans="1:9" hidden="1" x14ac:dyDescent="0.2">
      <c r="A149" s="89">
        <v>45537</v>
      </c>
      <c r="B149" s="21" t="s">
        <v>51</v>
      </c>
      <c r="C149" s="46">
        <v>-83.94</v>
      </c>
      <c r="D149" s="23" t="s">
        <v>154</v>
      </c>
      <c r="E149" s="21" t="s">
        <v>43</v>
      </c>
      <c r="F149" s="21" t="s">
        <v>55</v>
      </c>
    </row>
    <row r="150" spans="1:9" hidden="1" x14ac:dyDescent="0.2">
      <c r="A150" s="89">
        <v>45530</v>
      </c>
      <c r="B150" s="21" t="s">
        <v>51</v>
      </c>
      <c r="C150" s="46">
        <v>-480.2</v>
      </c>
      <c r="D150" s="23" t="s">
        <v>155</v>
      </c>
      <c r="E150" s="79" t="s">
        <v>31</v>
      </c>
      <c r="F150" s="21" t="s">
        <v>130</v>
      </c>
    </row>
    <row r="151" spans="1:9" hidden="1" x14ac:dyDescent="0.2">
      <c r="A151" s="89">
        <v>45530</v>
      </c>
      <c r="B151" s="21" t="s">
        <v>51</v>
      </c>
      <c r="C151" s="46">
        <v>-945</v>
      </c>
      <c r="D151" s="23" t="s">
        <v>155</v>
      </c>
      <c r="E151" s="79" t="s">
        <v>33</v>
      </c>
      <c r="F151" s="21" t="s">
        <v>130</v>
      </c>
    </row>
    <row r="152" spans="1:9" hidden="1" x14ac:dyDescent="0.2">
      <c r="A152" s="89">
        <v>45523</v>
      </c>
      <c r="B152" s="21" t="s">
        <v>51</v>
      </c>
      <c r="C152" s="46">
        <v>-79.150000000000006</v>
      </c>
      <c r="D152" s="23" t="s">
        <v>142</v>
      </c>
      <c r="E152" t="s">
        <v>43</v>
      </c>
      <c r="F152" s="21" t="s">
        <v>55</v>
      </c>
    </row>
    <row r="153" spans="1:9" hidden="1" x14ac:dyDescent="0.2">
      <c r="A153" s="89">
        <v>45523</v>
      </c>
      <c r="B153" s="21" t="s">
        <v>51</v>
      </c>
      <c r="C153" s="46">
        <v>-176.4</v>
      </c>
      <c r="D153" s="23" t="s">
        <v>156</v>
      </c>
      <c r="E153" s="79" t="s">
        <v>31</v>
      </c>
      <c r="F153" s="21" t="s">
        <v>130</v>
      </c>
      <c r="I153" s="5"/>
    </row>
    <row r="154" spans="1:9" hidden="1" x14ac:dyDescent="0.2">
      <c r="A154" s="89">
        <v>45523</v>
      </c>
      <c r="B154" s="21" t="s">
        <v>51</v>
      </c>
      <c r="C154" s="46">
        <v>-945</v>
      </c>
      <c r="D154" s="23" t="s">
        <v>156</v>
      </c>
      <c r="E154" s="79" t="s">
        <v>33</v>
      </c>
      <c r="F154" s="21" t="s">
        <v>130</v>
      </c>
      <c r="I154" s="5"/>
    </row>
    <row r="155" spans="1:9" hidden="1" x14ac:dyDescent="0.2">
      <c r="A155" s="89">
        <v>45520</v>
      </c>
      <c r="B155" s="21" t="s">
        <v>51</v>
      </c>
      <c r="C155" s="46">
        <v>-24.99</v>
      </c>
      <c r="D155" s="23" t="s">
        <v>157</v>
      </c>
      <c r="E155" s="21" t="s">
        <v>43</v>
      </c>
      <c r="F155" s="21" t="s">
        <v>55</v>
      </c>
    </row>
    <row r="156" spans="1:9" hidden="1" x14ac:dyDescent="0.2">
      <c r="A156" s="89">
        <v>45519</v>
      </c>
      <c r="B156" s="21" t="s">
        <v>51</v>
      </c>
      <c r="C156" s="46">
        <v>-5.25</v>
      </c>
      <c r="D156" s="23" t="s">
        <v>158</v>
      </c>
      <c r="E156" s="21" t="s">
        <v>43</v>
      </c>
      <c r="F156" s="21" t="s">
        <v>55</v>
      </c>
    </row>
    <row r="157" spans="1:9" hidden="1" x14ac:dyDescent="0.2">
      <c r="A157" s="89">
        <v>45517</v>
      </c>
      <c r="B157" s="21" t="s">
        <v>51</v>
      </c>
      <c r="C157" s="46">
        <v>-59.98</v>
      </c>
      <c r="D157" s="23" t="s">
        <v>142</v>
      </c>
      <c r="E157" t="s">
        <v>43</v>
      </c>
      <c r="F157" s="21" t="s">
        <v>55</v>
      </c>
    </row>
    <row r="158" spans="1:9" hidden="1" x14ac:dyDescent="0.2">
      <c r="A158" s="89">
        <v>45516</v>
      </c>
      <c r="B158" s="21" t="s">
        <v>51</v>
      </c>
      <c r="C158" s="46">
        <v>-1252.1400000000001</v>
      </c>
      <c r="D158" s="23" t="s">
        <v>159</v>
      </c>
      <c r="E158" s="21" t="s">
        <v>25</v>
      </c>
      <c r="F158" s="21" t="s">
        <v>65</v>
      </c>
      <c r="I158" s="5"/>
    </row>
    <row r="159" spans="1:9" hidden="1" x14ac:dyDescent="0.2">
      <c r="A159" s="89">
        <v>45516</v>
      </c>
      <c r="B159" s="21" t="s">
        <v>51</v>
      </c>
      <c r="C159" s="46">
        <f>-945</f>
        <v>-945</v>
      </c>
      <c r="D159" s="23" t="s">
        <v>160</v>
      </c>
      <c r="E159" s="79" t="s">
        <v>33</v>
      </c>
      <c r="F159" s="21" t="s">
        <v>130</v>
      </c>
      <c r="I159" s="5"/>
    </row>
    <row r="160" spans="1:9" ht="18" hidden="1" x14ac:dyDescent="0.2">
      <c r="A160" s="89">
        <v>45513</v>
      </c>
      <c r="B160" s="21" t="s">
        <v>51</v>
      </c>
      <c r="C160" s="46">
        <v>-58.28</v>
      </c>
      <c r="D160" s="80" t="s">
        <v>161</v>
      </c>
      <c r="E160" s="21" t="s">
        <v>43</v>
      </c>
      <c r="F160" s="21" t="s">
        <v>55</v>
      </c>
      <c r="I160" s="5"/>
    </row>
    <row r="161" spans="1:9" ht="18" hidden="1" x14ac:dyDescent="0.2">
      <c r="A161" s="89">
        <v>45511</v>
      </c>
      <c r="B161" s="21" t="s">
        <v>51</v>
      </c>
      <c r="C161" s="46">
        <v>-100</v>
      </c>
      <c r="D161" s="80" t="s">
        <v>162</v>
      </c>
      <c r="E161" s="21" t="s">
        <v>43</v>
      </c>
      <c r="F161" s="21" t="s">
        <v>55</v>
      </c>
      <c r="I161" s="5"/>
    </row>
    <row r="162" spans="1:9" hidden="1" x14ac:dyDescent="0.2">
      <c r="A162" s="89">
        <v>45510</v>
      </c>
      <c r="B162" s="21" t="s">
        <v>51</v>
      </c>
      <c r="C162" s="46">
        <v>-5</v>
      </c>
      <c r="D162" s="23" t="s">
        <v>163</v>
      </c>
      <c r="E162" s="21" t="s">
        <v>43</v>
      </c>
      <c r="F162" s="21" t="s">
        <v>55</v>
      </c>
    </row>
    <row r="163" spans="1:9" hidden="1" x14ac:dyDescent="0.2">
      <c r="A163" s="89">
        <v>45510</v>
      </c>
      <c r="B163" s="21" t="s">
        <v>51</v>
      </c>
      <c r="C163" s="46">
        <v>-10</v>
      </c>
      <c r="D163" s="23" t="s">
        <v>163</v>
      </c>
      <c r="E163" s="21" t="s">
        <v>43</v>
      </c>
      <c r="F163" s="21" t="s">
        <v>55</v>
      </c>
      <c r="I163" s="5"/>
    </row>
    <row r="164" spans="1:9" hidden="1" x14ac:dyDescent="0.2">
      <c r="A164" s="89">
        <v>45509</v>
      </c>
      <c r="B164" s="21" t="s">
        <v>51</v>
      </c>
      <c r="C164" s="46">
        <f>-945</f>
        <v>-945</v>
      </c>
      <c r="D164" s="23" t="s">
        <v>164</v>
      </c>
      <c r="E164" s="21" t="s">
        <v>33</v>
      </c>
      <c r="F164" s="21" t="s">
        <v>130</v>
      </c>
    </row>
    <row r="165" spans="1:9" hidden="1" x14ac:dyDescent="0.2">
      <c r="A165" s="89">
        <v>45509</v>
      </c>
      <c r="B165" s="21" t="s">
        <v>51</v>
      </c>
      <c r="C165" s="46">
        <v>-156.75</v>
      </c>
      <c r="D165" s="23" t="s">
        <v>165</v>
      </c>
      <c r="E165" s="21" t="s">
        <v>43</v>
      </c>
      <c r="F165" s="21" t="s">
        <v>55</v>
      </c>
    </row>
    <row r="166" spans="1:9" hidden="1" x14ac:dyDescent="0.2">
      <c r="A166" s="89">
        <v>45505</v>
      </c>
      <c r="B166" s="21" t="s">
        <v>51</v>
      </c>
      <c r="C166" s="46">
        <v>-95</v>
      </c>
      <c r="D166" s="23" t="s">
        <v>166</v>
      </c>
      <c r="E166" s="21" t="s">
        <v>29</v>
      </c>
      <c r="F166" s="21" t="s">
        <v>65</v>
      </c>
    </row>
    <row r="167" spans="1:9" hidden="1" x14ac:dyDescent="0.2">
      <c r="A167" s="89">
        <v>45502</v>
      </c>
      <c r="B167" s="21" t="s">
        <v>51</v>
      </c>
      <c r="C167" s="46">
        <f>-945</f>
        <v>-945</v>
      </c>
      <c r="D167" s="23" t="s">
        <v>167</v>
      </c>
      <c r="E167" s="21" t="s">
        <v>33</v>
      </c>
      <c r="F167" s="21" t="s">
        <v>130</v>
      </c>
    </row>
    <row r="168" spans="1:9" hidden="1" x14ac:dyDescent="0.2">
      <c r="A168" s="89">
        <v>45498</v>
      </c>
      <c r="B168" s="21" t="s">
        <v>51</v>
      </c>
      <c r="C168" s="46">
        <f>-24.1</f>
        <v>-24.1</v>
      </c>
      <c r="D168" s="23" t="s">
        <v>168</v>
      </c>
      <c r="E168" s="21" t="s">
        <v>169</v>
      </c>
      <c r="F168" s="21" t="s">
        <v>55</v>
      </c>
    </row>
    <row r="169" spans="1:9" hidden="1" x14ac:dyDescent="0.2">
      <c r="A169" s="89">
        <v>45496</v>
      </c>
      <c r="B169" s="21" t="s">
        <v>51</v>
      </c>
      <c r="C169" s="46">
        <v>-5</v>
      </c>
      <c r="D169" s="23" t="s">
        <v>100</v>
      </c>
      <c r="E169" s="21" t="s">
        <v>40</v>
      </c>
      <c r="F169" s="21" t="s">
        <v>55</v>
      </c>
    </row>
    <row r="170" spans="1:9" hidden="1" x14ac:dyDescent="0.2">
      <c r="A170" s="89">
        <v>45496</v>
      </c>
      <c r="B170" s="21" t="s">
        <v>51</v>
      </c>
      <c r="C170" s="46">
        <v>-11.98</v>
      </c>
      <c r="D170" s="23" t="s">
        <v>170</v>
      </c>
      <c r="E170" s="21" t="s">
        <v>171</v>
      </c>
      <c r="F170" s="21" t="s">
        <v>55</v>
      </c>
    </row>
    <row r="171" spans="1:9" hidden="1" x14ac:dyDescent="0.2">
      <c r="A171" s="89">
        <v>45495</v>
      </c>
      <c r="B171" s="21" t="s">
        <v>51</v>
      </c>
      <c r="C171" s="46">
        <v>-945</v>
      </c>
      <c r="D171" s="23" t="s">
        <v>172</v>
      </c>
      <c r="E171" s="21" t="s">
        <v>33</v>
      </c>
      <c r="F171" s="21" t="s">
        <v>130</v>
      </c>
    </row>
    <row r="172" spans="1:9" hidden="1" x14ac:dyDescent="0.2">
      <c r="A172" s="89">
        <v>45495</v>
      </c>
      <c r="B172" s="21" t="s">
        <v>51</v>
      </c>
      <c r="C172" s="46">
        <v>-91.88</v>
      </c>
      <c r="D172" s="23" t="s">
        <v>172</v>
      </c>
      <c r="E172" s="21" t="s">
        <v>41</v>
      </c>
      <c r="F172" s="21" t="s">
        <v>130</v>
      </c>
    </row>
    <row r="173" spans="1:9" hidden="1" x14ac:dyDescent="0.2">
      <c r="A173" s="89">
        <v>45492</v>
      </c>
      <c r="B173" s="21" t="s">
        <v>51</v>
      </c>
      <c r="C173" s="46">
        <v>-79.150000000000006</v>
      </c>
      <c r="D173" s="23" t="s">
        <v>142</v>
      </c>
      <c r="E173" t="s">
        <v>43</v>
      </c>
      <c r="F173" s="21" t="s">
        <v>55</v>
      </c>
    </row>
    <row r="174" spans="1:9" hidden="1" x14ac:dyDescent="0.2">
      <c r="A174" s="89">
        <v>45488</v>
      </c>
      <c r="B174" s="21" t="s">
        <v>51</v>
      </c>
      <c r="C174" s="46">
        <v>-131.25</v>
      </c>
      <c r="D174" s="23" t="s">
        <v>173</v>
      </c>
      <c r="E174" s="21" t="s">
        <v>41</v>
      </c>
      <c r="F174" s="21" t="s">
        <v>130</v>
      </c>
    </row>
    <row r="175" spans="1:9" hidden="1" x14ac:dyDescent="0.2">
      <c r="A175" s="89">
        <v>45488</v>
      </c>
      <c r="B175" s="21" t="s">
        <v>51</v>
      </c>
      <c r="C175" s="46">
        <v>-717</v>
      </c>
      <c r="D175" s="23" t="s">
        <v>173</v>
      </c>
      <c r="E175" s="21" t="s">
        <v>39</v>
      </c>
      <c r="F175" s="21" t="s">
        <v>130</v>
      </c>
    </row>
    <row r="176" spans="1:9" hidden="1" x14ac:dyDescent="0.2">
      <c r="A176" s="89">
        <v>45488</v>
      </c>
      <c r="B176" s="21" t="s">
        <v>51</v>
      </c>
      <c r="C176" s="46">
        <v>-401.8</v>
      </c>
      <c r="D176" s="23" t="s">
        <v>173</v>
      </c>
      <c r="E176" s="21" t="s">
        <v>31</v>
      </c>
      <c r="F176" s="21" t="s">
        <v>130</v>
      </c>
    </row>
    <row r="177" spans="1:9" hidden="1" x14ac:dyDescent="0.2">
      <c r="A177" s="89">
        <v>45488</v>
      </c>
      <c r="B177" s="21" t="s">
        <v>51</v>
      </c>
      <c r="C177" s="46">
        <v>-1071</v>
      </c>
      <c r="D177" s="23" t="s">
        <v>173</v>
      </c>
      <c r="E177" s="21" t="s">
        <v>33</v>
      </c>
      <c r="F177" s="21" t="s">
        <v>130</v>
      </c>
    </row>
    <row r="178" spans="1:9" hidden="1" x14ac:dyDescent="0.2">
      <c r="A178" s="89">
        <v>45487</v>
      </c>
      <c r="B178" s="21" t="s">
        <v>51</v>
      </c>
      <c r="C178" s="46">
        <v>-60.16</v>
      </c>
      <c r="D178" s="23" t="s">
        <v>142</v>
      </c>
      <c r="E178" t="s">
        <v>43</v>
      </c>
      <c r="F178" s="21" t="s">
        <v>55</v>
      </c>
    </row>
    <row r="179" spans="1:9" hidden="1" x14ac:dyDescent="0.2">
      <c r="A179" s="89">
        <v>45485</v>
      </c>
      <c r="B179" s="21" t="s">
        <v>51</v>
      </c>
      <c r="C179" s="46">
        <v>-1252.1400000000001</v>
      </c>
      <c r="D179" s="23" t="s">
        <v>159</v>
      </c>
      <c r="E179" s="21" t="s">
        <v>25</v>
      </c>
      <c r="F179" s="21" t="s">
        <v>65</v>
      </c>
      <c r="I179" s="5"/>
    </row>
    <row r="180" spans="1:9" hidden="1" x14ac:dyDescent="0.2">
      <c r="A180" s="89">
        <v>45484</v>
      </c>
      <c r="B180" s="21" t="s">
        <v>51</v>
      </c>
      <c r="C180" s="46">
        <v>-72.62</v>
      </c>
      <c r="D180" s="23" t="s">
        <v>174</v>
      </c>
      <c r="E180" s="21" t="s">
        <v>30</v>
      </c>
      <c r="F180" s="21" t="s">
        <v>55</v>
      </c>
      <c r="I180" s="5"/>
    </row>
    <row r="181" spans="1:9" hidden="1" x14ac:dyDescent="0.2">
      <c r="A181" s="89">
        <v>45483</v>
      </c>
      <c r="B181" s="21" t="s">
        <v>51</v>
      </c>
      <c r="C181" s="46">
        <v>-216.28</v>
      </c>
      <c r="D181" s="23" t="s">
        <v>168</v>
      </c>
      <c r="E181" s="21" t="s">
        <v>169</v>
      </c>
      <c r="F181" s="21" t="s">
        <v>91</v>
      </c>
      <c r="I181" s="5"/>
    </row>
    <row r="182" spans="1:9" hidden="1" x14ac:dyDescent="0.2">
      <c r="A182" s="89">
        <v>45482</v>
      </c>
      <c r="B182" s="21" t="s">
        <v>51</v>
      </c>
      <c r="C182" s="46">
        <v>-14.95</v>
      </c>
      <c r="D182" s="23" t="s">
        <v>175</v>
      </c>
      <c r="E182" s="21" t="s">
        <v>43</v>
      </c>
      <c r="F182" s="21" t="s">
        <v>55</v>
      </c>
      <c r="I182" s="5"/>
    </row>
    <row r="183" spans="1:9" hidden="1" x14ac:dyDescent="0.2">
      <c r="A183" s="89">
        <v>45481</v>
      </c>
      <c r="B183" s="21" t="s">
        <v>51</v>
      </c>
      <c r="C183" s="46">
        <f>-1764</f>
        <v>-1764</v>
      </c>
      <c r="D183" s="23" t="s">
        <v>176</v>
      </c>
      <c r="E183" s="21" t="s">
        <v>31</v>
      </c>
      <c r="F183" s="21" t="s">
        <v>130</v>
      </c>
    </row>
    <row r="184" spans="1:9" hidden="1" x14ac:dyDescent="0.2">
      <c r="A184" s="89">
        <v>45481</v>
      </c>
      <c r="B184" s="21" t="s">
        <v>51</v>
      </c>
      <c r="C184" s="46">
        <v>-945</v>
      </c>
      <c r="D184" s="23" t="s">
        <v>176</v>
      </c>
      <c r="E184" s="21" t="s">
        <v>33</v>
      </c>
      <c r="F184" s="21" t="s">
        <v>130</v>
      </c>
    </row>
    <row r="185" spans="1:9" hidden="1" x14ac:dyDescent="0.2">
      <c r="A185" s="89">
        <v>45481</v>
      </c>
      <c r="B185" s="21" t="s">
        <v>51</v>
      </c>
      <c r="C185" s="46">
        <v>-840</v>
      </c>
      <c r="D185" s="23" t="s">
        <v>176</v>
      </c>
      <c r="E185" s="21" t="s">
        <v>39</v>
      </c>
      <c r="F185" s="21" t="s">
        <v>130</v>
      </c>
    </row>
    <row r="186" spans="1:9" hidden="1" x14ac:dyDescent="0.2">
      <c r="A186" s="89">
        <v>45481</v>
      </c>
      <c r="B186" s="21" t="s">
        <v>51</v>
      </c>
      <c r="C186" s="46">
        <v>-367.5</v>
      </c>
      <c r="D186" s="23" t="s">
        <v>176</v>
      </c>
      <c r="E186" s="21" t="s">
        <v>41</v>
      </c>
      <c r="F186" s="21" t="s">
        <v>130</v>
      </c>
    </row>
    <row r="187" spans="1:9" hidden="1" x14ac:dyDescent="0.2">
      <c r="A187" s="89">
        <v>45478</v>
      </c>
      <c r="B187" s="21" t="s">
        <v>51</v>
      </c>
      <c r="C187" s="46">
        <v>-140.02000000000001</v>
      </c>
      <c r="D187" s="23" t="s">
        <v>177</v>
      </c>
      <c r="E187" s="21" t="s">
        <v>43</v>
      </c>
      <c r="F187" s="21" t="s">
        <v>55</v>
      </c>
    </row>
    <row r="188" spans="1:9" hidden="1" x14ac:dyDescent="0.2">
      <c r="A188" s="89">
        <v>45476</v>
      </c>
      <c r="B188" s="21" t="s">
        <v>51</v>
      </c>
      <c r="C188" s="46">
        <v>-71.099999999999994</v>
      </c>
      <c r="D188" s="23" t="s">
        <v>168</v>
      </c>
      <c r="E188" s="21" t="s">
        <v>169</v>
      </c>
      <c r="F188" s="21" t="s">
        <v>55</v>
      </c>
    </row>
    <row r="189" spans="1:9" hidden="1" x14ac:dyDescent="0.2">
      <c r="A189" s="89">
        <v>45476</v>
      </c>
      <c r="B189" s="21" t="s">
        <v>51</v>
      </c>
      <c r="C189" s="46">
        <v>-413</v>
      </c>
      <c r="D189" s="23" t="s">
        <v>168</v>
      </c>
      <c r="E189" s="21" t="s">
        <v>169</v>
      </c>
      <c r="F189" s="21" t="s">
        <v>55</v>
      </c>
    </row>
    <row r="190" spans="1:9" hidden="1" x14ac:dyDescent="0.2">
      <c r="A190" s="89">
        <v>45476</v>
      </c>
      <c r="B190" s="21" t="s">
        <v>51</v>
      </c>
      <c r="C190" s="46">
        <f>-1764</f>
        <v>-1764</v>
      </c>
      <c r="D190" s="23" t="s">
        <v>178</v>
      </c>
      <c r="E190" s="21" t="s">
        <v>31</v>
      </c>
      <c r="F190" s="21" t="s">
        <v>130</v>
      </c>
      <c r="G190" s="25"/>
    </row>
    <row r="191" spans="1:9" hidden="1" x14ac:dyDescent="0.2">
      <c r="A191" s="89">
        <v>45476</v>
      </c>
      <c r="B191" s="21" t="s">
        <v>51</v>
      </c>
      <c r="C191" s="46">
        <v>-882</v>
      </c>
      <c r="D191" s="23" t="s">
        <v>178</v>
      </c>
      <c r="E191" s="21" t="s">
        <v>33</v>
      </c>
      <c r="F191" s="21" t="s">
        <v>130</v>
      </c>
      <c r="G191" s="25"/>
    </row>
    <row r="192" spans="1:9" hidden="1" x14ac:dyDescent="0.2">
      <c r="A192" s="89">
        <v>45476</v>
      </c>
      <c r="B192" s="21" t="s">
        <v>51</v>
      </c>
      <c r="C192" s="46">
        <f>-826</f>
        <v>-826</v>
      </c>
      <c r="D192" s="23" t="s">
        <v>178</v>
      </c>
      <c r="E192" s="21" t="s">
        <v>39</v>
      </c>
      <c r="F192" s="21" t="s">
        <v>130</v>
      </c>
      <c r="G192" s="25"/>
    </row>
    <row r="193" spans="1:9" hidden="1" x14ac:dyDescent="0.2">
      <c r="A193" s="89">
        <v>45476</v>
      </c>
      <c r="B193" s="21" t="s">
        <v>51</v>
      </c>
      <c r="C193" s="46">
        <f>-535.5</f>
        <v>-535.5</v>
      </c>
      <c r="D193" s="23" t="s">
        <v>178</v>
      </c>
      <c r="E193" s="21" t="s">
        <v>37</v>
      </c>
      <c r="F193" s="21" t="s">
        <v>130</v>
      </c>
      <c r="G193" s="25"/>
    </row>
    <row r="194" spans="1:9" hidden="1" x14ac:dyDescent="0.2">
      <c r="A194" s="89">
        <v>45476</v>
      </c>
      <c r="B194" s="21" t="s">
        <v>51</v>
      </c>
      <c r="C194" s="46">
        <v>-700</v>
      </c>
      <c r="D194" s="23" t="s">
        <v>178</v>
      </c>
      <c r="E194" s="21" t="s">
        <v>41</v>
      </c>
      <c r="F194" s="21" t="s">
        <v>130</v>
      </c>
      <c r="G194" s="25"/>
    </row>
    <row r="195" spans="1:9" hidden="1" x14ac:dyDescent="0.2">
      <c r="A195" s="89">
        <v>45476</v>
      </c>
      <c r="B195" s="21" t="s">
        <v>51</v>
      </c>
      <c r="C195" s="46">
        <f>-1470</f>
        <v>-1470</v>
      </c>
      <c r="D195" s="23" t="s">
        <v>178</v>
      </c>
      <c r="E195" s="21" t="s">
        <v>38</v>
      </c>
      <c r="F195" s="21" t="s">
        <v>130</v>
      </c>
      <c r="G195" s="25"/>
    </row>
    <row r="196" spans="1:9" hidden="1" x14ac:dyDescent="0.2">
      <c r="A196" s="89">
        <v>45474</v>
      </c>
      <c r="B196" s="21" t="s">
        <v>76</v>
      </c>
      <c r="C196" s="46">
        <v>13000</v>
      </c>
      <c r="D196" s="23" t="s">
        <v>179</v>
      </c>
      <c r="E196" s="21" t="s">
        <v>33</v>
      </c>
      <c r="F196" s="21" t="s">
        <v>78</v>
      </c>
      <c r="I196" s="5"/>
    </row>
    <row r="197" spans="1:9" hidden="1" x14ac:dyDescent="0.2">
      <c r="A197" s="89">
        <v>45467</v>
      </c>
      <c r="B197" s="21" t="s">
        <v>51</v>
      </c>
      <c r="C197" s="46">
        <f>-1764</f>
        <v>-1764</v>
      </c>
      <c r="D197" s="23" t="s">
        <v>180</v>
      </c>
      <c r="E197" s="21" t="s">
        <v>31</v>
      </c>
      <c r="F197" s="21" t="s">
        <v>130</v>
      </c>
      <c r="I197" s="5"/>
    </row>
    <row r="198" spans="1:9" hidden="1" x14ac:dyDescent="0.2">
      <c r="A198" s="89">
        <v>45467</v>
      </c>
      <c r="B198" s="21" t="s">
        <v>51</v>
      </c>
      <c r="C198" s="46">
        <v>-882</v>
      </c>
      <c r="D198" s="23" t="s">
        <v>180</v>
      </c>
      <c r="E198" s="21" t="s">
        <v>33</v>
      </c>
      <c r="F198" s="21" t="s">
        <v>130</v>
      </c>
      <c r="I198" s="5"/>
    </row>
    <row r="199" spans="1:9" hidden="1" x14ac:dyDescent="0.2">
      <c r="A199" s="89">
        <v>45467</v>
      </c>
      <c r="B199" s="21" t="s">
        <v>51</v>
      </c>
      <c r="C199" s="46">
        <f>-164.5</f>
        <v>-164.5</v>
      </c>
      <c r="D199" s="23" t="s">
        <v>180</v>
      </c>
      <c r="E199" s="21" t="s">
        <v>39</v>
      </c>
      <c r="F199" s="21" t="s">
        <v>130</v>
      </c>
      <c r="I199" s="5"/>
    </row>
    <row r="200" spans="1:9" hidden="1" x14ac:dyDescent="0.2">
      <c r="A200" s="89">
        <v>45467</v>
      </c>
      <c r="B200" s="21" t="s">
        <v>51</v>
      </c>
      <c r="C200" s="46">
        <f>-1180.95</f>
        <v>-1180.95</v>
      </c>
      <c r="D200" s="23" t="s">
        <v>180</v>
      </c>
      <c r="E200" s="21" t="s">
        <v>37</v>
      </c>
      <c r="F200" s="21" t="s">
        <v>130</v>
      </c>
      <c r="I200" s="5"/>
    </row>
    <row r="201" spans="1:9" hidden="1" x14ac:dyDescent="0.2">
      <c r="A201" s="89">
        <v>45467</v>
      </c>
      <c r="B201" s="21" t="s">
        <v>51</v>
      </c>
      <c r="C201" s="46">
        <v>-227.5</v>
      </c>
      <c r="D201" s="23" t="s">
        <v>180</v>
      </c>
      <c r="E201" s="21" t="s">
        <v>41</v>
      </c>
      <c r="F201" s="21" t="s">
        <v>130</v>
      </c>
      <c r="I201" s="5"/>
    </row>
    <row r="202" spans="1:9" hidden="1" x14ac:dyDescent="0.2">
      <c r="A202" s="89">
        <v>45467</v>
      </c>
      <c r="B202" s="21" t="s">
        <v>51</v>
      </c>
      <c r="C202" s="46">
        <f>-367.5</f>
        <v>-367.5</v>
      </c>
      <c r="D202" s="23" t="s">
        <v>180</v>
      </c>
      <c r="E202" s="21" t="s">
        <v>38</v>
      </c>
      <c r="F202" s="21" t="s">
        <v>130</v>
      </c>
      <c r="I202" s="5"/>
    </row>
    <row r="203" spans="1:9" hidden="1" x14ac:dyDescent="0.2">
      <c r="A203" s="89">
        <v>45467</v>
      </c>
      <c r="B203" s="21" t="s">
        <v>51</v>
      </c>
      <c r="C203" s="46">
        <v>-1252.1400000000001</v>
      </c>
      <c r="D203" s="23" t="s">
        <v>181</v>
      </c>
      <c r="E203" s="21" t="s">
        <v>25</v>
      </c>
      <c r="F203" s="21" t="s">
        <v>65</v>
      </c>
      <c r="I203" s="5"/>
    </row>
    <row r="204" spans="1:9" hidden="1" x14ac:dyDescent="0.2">
      <c r="A204" s="89">
        <v>45462</v>
      </c>
      <c r="B204" s="21" t="s">
        <v>51</v>
      </c>
      <c r="C204" s="46">
        <f>-79.15</f>
        <v>-79.150000000000006</v>
      </c>
      <c r="D204" s="23" t="s">
        <v>142</v>
      </c>
      <c r="E204" t="s">
        <v>43</v>
      </c>
      <c r="F204" s="21" t="s">
        <v>55</v>
      </c>
      <c r="G204" s="37"/>
    </row>
    <row r="205" spans="1:9" hidden="1" x14ac:dyDescent="0.2">
      <c r="A205" s="89">
        <v>45462</v>
      </c>
      <c r="B205" s="21" t="s">
        <v>51</v>
      </c>
      <c r="C205" s="46">
        <f>-123.92</f>
        <v>-123.92</v>
      </c>
      <c r="D205" s="23" t="s">
        <v>182</v>
      </c>
      <c r="E205" s="21" t="s">
        <v>30</v>
      </c>
      <c r="F205" s="21" t="s">
        <v>55</v>
      </c>
      <c r="I205" s="5"/>
    </row>
    <row r="206" spans="1:9" hidden="1" x14ac:dyDescent="0.2">
      <c r="A206" s="89">
        <v>45460</v>
      </c>
      <c r="B206" s="21" t="s">
        <v>51</v>
      </c>
      <c r="C206" s="46">
        <f>-9.99</f>
        <v>-9.99</v>
      </c>
      <c r="D206" s="23" t="s">
        <v>183</v>
      </c>
      <c r="E206" s="21" t="s">
        <v>37</v>
      </c>
      <c r="F206" s="21" t="s">
        <v>130</v>
      </c>
      <c r="I206" s="5"/>
    </row>
    <row r="207" spans="1:9" hidden="1" x14ac:dyDescent="0.2">
      <c r="A207" s="89">
        <v>45460</v>
      </c>
      <c r="B207" s="21" t="s">
        <v>51</v>
      </c>
      <c r="C207" s="46">
        <f>-1680-84</f>
        <v>-1764</v>
      </c>
      <c r="D207" s="23" t="s">
        <v>184</v>
      </c>
      <c r="E207" s="21" t="s">
        <v>31</v>
      </c>
      <c r="F207" s="21" t="s">
        <v>130</v>
      </c>
      <c r="I207" s="5"/>
    </row>
    <row r="208" spans="1:9" hidden="1" x14ac:dyDescent="0.2">
      <c r="A208" s="89">
        <v>45460</v>
      </c>
      <c r="B208" s="21" t="s">
        <v>51</v>
      </c>
      <c r="C208" s="46">
        <f>-945</f>
        <v>-945</v>
      </c>
      <c r="D208" s="23" t="s">
        <v>184</v>
      </c>
      <c r="E208" s="21" t="s">
        <v>33</v>
      </c>
      <c r="F208" s="21" t="s">
        <v>130</v>
      </c>
      <c r="I208" s="5"/>
    </row>
    <row r="209" spans="1:9" hidden="1" x14ac:dyDescent="0.2">
      <c r="A209" s="89">
        <v>45460</v>
      </c>
      <c r="B209" s="21" t="s">
        <v>51</v>
      </c>
      <c r="C209" s="46">
        <f>-84</f>
        <v>-84</v>
      </c>
      <c r="D209" s="23" t="s">
        <v>184</v>
      </c>
      <c r="E209" s="21" t="s">
        <v>39</v>
      </c>
      <c r="F209" s="21" t="s">
        <v>130</v>
      </c>
      <c r="I209" s="5"/>
    </row>
    <row r="210" spans="1:9" hidden="1" x14ac:dyDescent="0.2">
      <c r="A210" s="89">
        <v>45460</v>
      </c>
      <c r="B210" s="21" t="s">
        <v>51</v>
      </c>
      <c r="C210" s="46">
        <v>-945</v>
      </c>
      <c r="D210" s="23" t="s">
        <v>184</v>
      </c>
      <c r="E210" s="21" t="s">
        <v>37</v>
      </c>
      <c r="F210" s="21" t="s">
        <v>130</v>
      </c>
      <c r="I210" s="5"/>
    </row>
    <row r="211" spans="1:9" hidden="1" x14ac:dyDescent="0.2">
      <c r="A211" s="89">
        <v>45460</v>
      </c>
      <c r="B211" s="21" t="s">
        <v>51</v>
      </c>
      <c r="C211" s="46">
        <v>-385</v>
      </c>
      <c r="D211" s="23" t="s">
        <v>184</v>
      </c>
      <c r="E211" s="21" t="s">
        <v>41</v>
      </c>
      <c r="F211" s="21" t="s">
        <v>130</v>
      </c>
      <c r="I211" s="5"/>
    </row>
    <row r="212" spans="1:9" hidden="1" x14ac:dyDescent="0.2">
      <c r="A212" s="89">
        <v>45460</v>
      </c>
      <c r="B212" s="21" t="s">
        <v>51</v>
      </c>
      <c r="C212" s="46">
        <v>-367.5</v>
      </c>
      <c r="D212" s="23" t="s">
        <v>184</v>
      </c>
      <c r="E212" s="21" t="s">
        <v>38</v>
      </c>
      <c r="F212" s="21" t="s">
        <v>130</v>
      </c>
      <c r="I212" s="5"/>
    </row>
    <row r="213" spans="1:9" hidden="1" x14ac:dyDescent="0.2">
      <c r="A213" s="89">
        <v>45456</v>
      </c>
      <c r="B213" s="21" t="s">
        <v>51</v>
      </c>
      <c r="C213" s="46">
        <f>-59.98</f>
        <v>-59.98</v>
      </c>
      <c r="D213" s="23" t="s">
        <v>142</v>
      </c>
      <c r="E213" t="s">
        <v>43</v>
      </c>
      <c r="F213" s="21" t="s">
        <v>55</v>
      </c>
      <c r="I213" s="5"/>
    </row>
    <row r="214" spans="1:9" hidden="1" x14ac:dyDescent="0.2">
      <c r="A214" s="89">
        <v>45453</v>
      </c>
      <c r="B214" s="21" t="s">
        <v>51</v>
      </c>
      <c r="C214" s="46">
        <v>-262.5</v>
      </c>
      <c r="D214" s="5" t="s">
        <v>185</v>
      </c>
      <c r="E214" s="21" t="s">
        <v>41</v>
      </c>
      <c r="F214" s="21" t="s">
        <v>130</v>
      </c>
      <c r="I214" s="5"/>
    </row>
    <row r="215" spans="1:9" hidden="1" x14ac:dyDescent="0.2">
      <c r="A215" s="89">
        <v>45453</v>
      </c>
      <c r="B215" s="21" t="s">
        <v>51</v>
      </c>
      <c r="C215" s="46">
        <v>-945</v>
      </c>
      <c r="D215" s="5" t="s">
        <v>185</v>
      </c>
      <c r="E215" s="21" t="s">
        <v>33</v>
      </c>
      <c r="F215" s="21" t="s">
        <v>130</v>
      </c>
      <c r="I215" s="5"/>
    </row>
    <row r="216" spans="1:9" hidden="1" x14ac:dyDescent="0.2">
      <c r="A216" s="89">
        <v>45453</v>
      </c>
      <c r="B216" s="21" t="s">
        <v>51</v>
      </c>
      <c r="C216" s="46">
        <v>-105</v>
      </c>
      <c r="D216" s="5" t="s">
        <v>185</v>
      </c>
      <c r="E216" s="21" t="s">
        <v>39</v>
      </c>
      <c r="F216" s="21" t="s">
        <v>130</v>
      </c>
      <c r="I216" s="5"/>
    </row>
    <row r="217" spans="1:9" hidden="1" x14ac:dyDescent="0.2">
      <c r="A217" s="89">
        <v>45453</v>
      </c>
      <c r="B217" s="21" t="s">
        <v>51</v>
      </c>
      <c r="C217" s="46">
        <v>-357</v>
      </c>
      <c r="D217" s="5" t="s">
        <v>185</v>
      </c>
      <c r="E217" s="21" t="s">
        <v>37</v>
      </c>
      <c r="F217" s="21" t="s">
        <v>130</v>
      </c>
      <c r="I217" s="5"/>
    </row>
    <row r="218" spans="1:9" hidden="1" x14ac:dyDescent="0.2">
      <c r="A218" s="89">
        <v>45452</v>
      </c>
      <c r="B218" s="21" t="s">
        <v>51</v>
      </c>
      <c r="C218" s="46">
        <f>-131.95</f>
        <v>-131.94999999999999</v>
      </c>
      <c r="D218" s="23" t="s">
        <v>186</v>
      </c>
      <c r="E218" s="21" t="s">
        <v>43</v>
      </c>
      <c r="F218" s="21" t="s">
        <v>55</v>
      </c>
      <c r="I218" s="5"/>
    </row>
    <row r="219" spans="1:9" hidden="1" x14ac:dyDescent="0.2">
      <c r="A219" s="89">
        <v>45451</v>
      </c>
      <c r="B219" s="21" t="s">
        <v>76</v>
      </c>
      <c r="C219" s="46">
        <v>15000</v>
      </c>
      <c r="D219" s="23" t="s">
        <v>187</v>
      </c>
      <c r="E219" s="21" t="s">
        <v>33</v>
      </c>
      <c r="F219" s="21" t="s">
        <v>78</v>
      </c>
      <c r="I219" s="5"/>
    </row>
    <row r="220" spans="1:9" hidden="1" x14ac:dyDescent="0.2">
      <c r="A220" s="89">
        <v>45448</v>
      </c>
      <c r="B220" s="21" t="s">
        <v>51</v>
      </c>
      <c r="C220" s="46">
        <f>-72.62</f>
        <v>-72.62</v>
      </c>
      <c r="D220" s="23" t="s">
        <v>174</v>
      </c>
      <c r="E220" s="21" t="s">
        <v>30</v>
      </c>
      <c r="F220" s="21" t="s">
        <v>55</v>
      </c>
    </row>
    <row r="221" spans="1:9" hidden="1" x14ac:dyDescent="0.2">
      <c r="A221" s="89">
        <v>45448</v>
      </c>
      <c r="B221" s="21" t="s">
        <v>51</v>
      </c>
      <c r="C221" s="46">
        <f>-167.92</f>
        <v>-167.92</v>
      </c>
      <c r="D221" s="23" t="s">
        <v>188</v>
      </c>
      <c r="E221" t="s">
        <v>43</v>
      </c>
      <c r="F221" s="21" t="s">
        <v>55</v>
      </c>
    </row>
    <row r="222" spans="1:9" hidden="1" x14ac:dyDescent="0.2">
      <c r="A222" s="89">
        <v>45448</v>
      </c>
      <c r="B222" s="21" t="s">
        <v>51</v>
      </c>
      <c r="C222" s="46">
        <v>-125.87</v>
      </c>
      <c r="D222" s="23" t="s">
        <v>189</v>
      </c>
      <c r="E222" s="21" t="s">
        <v>43</v>
      </c>
      <c r="F222" s="21" t="s">
        <v>55</v>
      </c>
    </row>
    <row r="223" spans="1:9" hidden="1" x14ac:dyDescent="0.2">
      <c r="A223" s="89">
        <v>45446</v>
      </c>
      <c r="B223" s="21" t="s">
        <v>51</v>
      </c>
      <c r="C223" s="46">
        <v>-945</v>
      </c>
      <c r="D223" s="23" t="s">
        <v>190</v>
      </c>
      <c r="E223" s="21" t="s">
        <v>33</v>
      </c>
      <c r="F223" s="21" t="s">
        <v>130</v>
      </c>
    </row>
    <row r="224" spans="1:9" hidden="1" x14ac:dyDescent="0.2">
      <c r="A224" s="89">
        <v>45446</v>
      </c>
      <c r="B224" s="21" t="s">
        <v>51</v>
      </c>
      <c r="C224" s="46">
        <v>-278.25</v>
      </c>
      <c r="D224" s="23" t="s">
        <v>191</v>
      </c>
      <c r="E224" s="21" t="s">
        <v>37</v>
      </c>
      <c r="F224" s="21" t="s">
        <v>130</v>
      </c>
    </row>
    <row r="225" spans="1:9" hidden="1" x14ac:dyDescent="0.2">
      <c r="A225" s="89">
        <v>45446</v>
      </c>
      <c r="B225" s="21" t="s">
        <v>51</v>
      </c>
      <c r="C225" s="46">
        <v>-298.25</v>
      </c>
      <c r="D225" s="23" t="s">
        <v>192</v>
      </c>
      <c r="E225" s="21" t="s">
        <v>38</v>
      </c>
      <c r="F225" s="21" t="s">
        <v>130</v>
      </c>
    </row>
    <row r="226" spans="1:9" hidden="1" x14ac:dyDescent="0.2">
      <c r="A226" s="89">
        <v>45442</v>
      </c>
      <c r="B226" s="21" t="s">
        <v>51</v>
      </c>
      <c r="C226" s="46">
        <f>-11.17</f>
        <v>-11.17</v>
      </c>
      <c r="D226" s="23" t="s">
        <v>188</v>
      </c>
      <c r="E226" t="s">
        <v>43</v>
      </c>
      <c r="F226" s="21" t="s">
        <v>55</v>
      </c>
    </row>
    <row r="227" spans="1:9" hidden="1" x14ac:dyDescent="0.2">
      <c r="A227" s="89">
        <v>45441</v>
      </c>
      <c r="B227" s="21" t="s">
        <v>51</v>
      </c>
      <c r="C227" s="46">
        <f>-11.17</f>
        <v>-11.17</v>
      </c>
      <c r="D227" s="23" t="s">
        <v>188</v>
      </c>
      <c r="E227" t="s">
        <v>43</v>
      </c>
      <c r="F227" s="21" t="s">
        <v>55</v>
      </c>
    </row>
    <row r="228" spans="1:9" hidden="1" x14ac:dyDescent="0.2">
      <c r="A228" s="89">
        <v>45439</v>
      </c>
      <c r="B228" s="21" t="s">
        <v>51</v>
      </c>
      <c r="C228" s="46">
        <f>-335.4</f>
        <v>-335.4</v>
      </c>
      <c r="D228" s="5" t="s">
        <v>193</v>
      </c>
      <c r="E228" s="21" t="s">
        <v>38</v>
      </c>
      <c r="F228" s="21" t="s">
        <v>130</v>
      </c>
    </row>
    <row r="229" spans="1:9" hidden="1" x14ac:dyDescent="0.2">
      <c r="A229" s="89">
        <v>45439</v>
      </c>
      <c r="B229" s="21" t="s">
        <v>51</v>
      </c>
      <c r="C229" s="46">
        <f>-210</f>
        <v>-210</v>
      </c>
      <c r="D229" s="5" t="s">
        <v>193</v>
      </c>
      <c r="E229" s="21" t="s">
        <v>41</v>
      </c>
      <c r="F229" s="21" t="s">
        <v>130</v>
      </c>
    </row>
    <row r="230" spans="1:9" hidden="1" x14ac:dyDescent="0.2">
      <c r="A230" s="89">
        <v>45439</v>
      </c>
      <c r="B230" s="21" t="s">
        <v>51</v>
      </c>
      <c r="C230" s="46">
        <f>-420</f>
        <v>-420</v>
      </c>
      <c r="D230" s="5" t="s">
        <v>193</v>
      </c>
      <c r="E230" s="21" t="s">
        <v>39</v>
      </c>
      <c r="F230" s="21" t="s">
        <v>130</v>
      </c>
    </row>
    <row r="231" spans="1:9" hidden="1" x14ac:dyDescent="0.2">
      <c r="A231" s="89">
        <v>45439</v>
      </c>
      <c r="B231" s="21" t="s">
        <v>51</v>
      </c>
      <c r="C231" s="46">
        <f>-438.67-21.93</f>
        <v>-460.6</v>
      </c>
      <c r="D231" s="5" t="s">
        <v>193</v>
      </c>
      <c r="E231" s="21" t="s">
        <v>31</v>
      </c>
      <c r="F231" s="21" t="s">
        <v>130</v>
      </c>
    </row>
    <row r="232" spans="1:9" hidden="1" x14ac:dyDescent="0.2">
      <c r="A232" s="89">
        <v>45439</v>
      </c>
      <c r="B232" s="21" t="s">
        <v>51</v>
      </c>
      <c r="C232" s="46">
        <f>-945</f>
        <v>-945</v>
      </c>
      <c r="D232" s="5" t="s">
        <v>193</v>
      </c>
      <c r="E232" s="21" t="s">
        <v>33</v>
      </c>
      <c r="F232" s="21" t="s">
        <v>130</v>
      </c>
    </row>
    <row r="233" spans="1:9" hidden="1" x14ac:dyDescent="0.2">
      <c r="A233" s="89">
        <v>45432</v>
      </c>
      <c r="B233" s="21" t="s">
        <v>51</v>
      </c>
      <c r="C233" s="46">
        <f>-264.6</f>
        <v>-264.60000000000002</v>
      </c>
      <c r="D233" s="23" t="s">
        <v>194</v>
      </c>
      <c r="E233" s="21" t="s">
        <v>31</v>
      </c>
      <c r="F233" s="21" t="s">
        <v>130</v>
      </c>
    </row>
    <row r="234" spans="1:9" hidden="1" x14ac:dyDescent="0.2">
      <c r="A234" s="89">
        <v>45432</v>
      </c>
      <c r="B234" s="21" t="s">
        <v>51</v>
      </c>
      <c r="C234" s="46">
        <f>-945</f>
        <v>-945</v>
      </c>
      <c r="D234" s="23" t="s">
        <v>194</v>
      </c>
      <c r="E234" s="21" t="s">
        <v>33</v>
      </c>
      <c r="F234" s="21" t="s">
        <v>130</v>
      </c>
    </row>
    <row r="235" spans="1:9" hidden="1" x14ac:dyDescent="0.2">
      <c r="A235" s="89">
        <v>45432</v>
      </c>
      <c r="B235" s="21" t="s">
        <v>51</v>
      </c>
      <c r="C235" s="46">
        <f>-344.45</f>
        <v>-344.45</v>
      </c>
      <c r="D235" s="23" t="s">
        <v>194</v>
      </c>
      <c r="E235" s="21" t="s">
        <v>39</v>
      </c>
      <c r="F235" s="21" t="s">
        <v>130</v>
      </c>
    </row>
    <row r="236" spans="1:9" hidden="1" x14ac:dyDescent="0.2">
      <c r="A236" s="89">
        <v>45432</v>
      </c>
      <c r="B236" s="21" t="s">
        <v>51</v>
      </c>
      <c r="C236" s="46">
        <f>-162.45</f>
        <v>-162.44999999999999</v>
      </c>
      <c r="D236" s="23" t="s">
        <v>194</v>
      </c>
      <c r="E236" s="21" t="s">
        <v>37</v>
      </c>
      <c r="F236" s="21" t="s">
        <v>130</v>
      </c>
    </row>
    <row r="237" spans="1:9" hidden="1" x14ac:dyDescent="0.2">
      <c r="A237" s="89">
        <v>45432</v>
      </c>
      <c r="B237" s="21" t="s">
        <v>51</v>
      </c>
      <c r="C237" s="46">
        <f>-354.95</f>
        <v>-354.95</v>
      </c>
      <c r="D237" s="23" t="s">
        <v>194</v>
      </c>
      <c r="E237" s="21" t="s">
        <v>41</v>
      </c>
      <c r="F237" s="21" t="s">
        <v>130</v>
      </c>
      <c r="I237" s="5"/>
    </row>
    <row r="238" spans="1:9" hidden="1" x14ac:dyDescent="0.2">
      <c r="A238" s="89">
        <v>45429</v>
      </c>
      <c r="B238" s="21" t="s">
        <v>51</v>
      </c>
      <c r="C238" s="46">
        <v>-192.25</v>
      </c>
      <c r="D238" s="23" t="s">
        <v>142</v>
      </c>
      <c r="E238" t="s">
        <v>43</v>
      </c>
      <c r="F238" s="21" t="s">
        <v>55</v>
      </c>
    </row>
    <row r="239" spans="1:9" hidden="1" x14ac:dyDescent="0.2">
      <c r="A239" s="89">
        <v>45428</v>
      </c>
      <c r="B239" s="21" t="s">
        <v>51</v>
      </c>
      <c r="C239" s="46">
        <v>-214.33</v>
      </c>
      <c r="D239" s="23" t="s">
        <v>30</v>
      </c>
      <c r="E239" s="21" t="s">
        <v>30</v>
      </c>
      <c r="F239" s="21" t="s">
        <v>195</v>
      </c>
    </row>
    <row r="240" spans="1:9" hidden="1" x14ac:dyDescent="0.2">
      <c r="A240" s="89">
        <v>45427</v>
      </c>
      <c r="B240" s="21" t="s">
        <v>51</v>
      </c>
      <c r="C240" s="46">
        <v>-31.28</v>
      </c>
      <c r="D240" s="23" t="s">
        <v>30</v>
      </c>
      <c r="E240" s="21" t="s">
        <v>30</v>
      </c>
      <c r="F240" s="21" t="s">
        <v>195</v>
      </c>
    </row>
    <row r="241" spans="1:9" hidden="1" x14ac:dyDescent="0.2">
      <c r="A241" s="89">
        <v>45427</v>
      </c>
      <c r="B241" s="21" t="s">
        <v>51</v>
      </c>
      <c r="C241" s="46">
        <v>-59.98</v>
      </c>
      <c r="D241" s="5" t="s">
        <v>142</v>
      </c>
      <c r="E241" t="s">
        <v>43</v>
      </c>
      <c r="F241" s="21" t="s">
        <v>55</v>
      </c>
    </row>
    <row r="242" spans="1:9" hidden="1" x14ac:dyDescent="0.2">
      <c r="A242" s="89">
        <v>45425</v>
      </c>
      <c r="B242" s="21" t="s">
        <v>51</v>
      </c>
      <c r="C242" s="46">
        <f>-328.35</f>
        <v>-328.35</v>
      </c>
      <c r="D242" s="23" t="s">
        <v>194</v>
      </c>
      <c r="E242" s="21" t="s">
        <v>31</v>
      </c>
      <c r="F242" s="21" t="s">
        <v>130</v>
      </c>
    </row>
    <row r="243" spans="1:9" hidden="1" x14ac:dyDescent="0.2">
      <c r="A243" s="89">
        <v>45425</v>
      </c>
      <c r="B243" s="21" t="s">
        <v>51</v>
      </c>
      <c r="C243" s="46">
        <f>-319.95</f>
        <v>-319.95</v>
      </c>
      <c r="D243" s="23" t="s">
        <v>194</v>
      </c>
      <c r="E243" s="21" t="s">
        <v>33</v>
      </c>
      <c r="F243" s="21" t="s">
        <v>130</v>
      </c>
    </row>
    <row r="244" spans="1:9" hidden="1" x14ac:dyDescent="0.2">
      <c r="A244" s="89">
        <v>45421</v>
      </c>
      <c r="B244" s="21" t="s">
        <v>51</v>
      </c>
      <c r="C244" s="46">
        <v>-17.78</v>
      </c>
      <c r="D244" s="23" t="s">
        <v>40</v>
      </c>
      <c r="E244" s="21" t="s">
        <v>40</v>
      </c>
      <c r="F244" s="21" t="s">
        <v>195</v>
      </c>
      <c r="I244" s="5"/>
    </row>
    <row r="245" spans="1:9" hidden="1" x14ac:dyDescent="0.2">
      <c r="A245" s="89">
        <v>45421</v>
      </c>
      <c r="B245" s="21" t="s">
        <v>51</v>
      </c>
      <c r="C245" s="46">
        <v>-8.5299999999999994</v>
      </c>
      <c r="D245" s="5" t="s">
        <v>196</v>
      </c>
      <c r="E245" s="21" t="s">
        <v>43</v>
      </c>
      <c r="F245" s="21" t="s">
        <v>55</v>
      </c>
      <c r="I245" s="5"/>
    </row>
    <row r="246" spans="1:9" hidden="1" x14ac:dyDescent="0.2">
      <c r="A246" s="89">
        <v>45420</v>
      </c>
      <c r="B246" s="21" t="s">
        <v>51</v>
      </c>
      <c r="C246" s="46">
        <v>-47.25</v>
      </c>
      <c r="D246" s="23" t="s">
        <v>30</v>
      </c>
      <c r="E246" s="21" t="s">
        <v>30</v>
      </c>
      <c r="F246" s="21" t="s">
        <v>195</v>
      </c>
    </row>
    <row r="247" spans="1:9" hidden="1" x14ac:dyDescent="0.2">
      <c r="A247" s="89">
        <v>45420</v>
      </c>
      <c r="B247" s="21" t="s">
        <v>51</v>
      </c>
      <c r="C247" s="46">
        <v>-1063.9000000000001</v>
      </c>
      <c r="D247" s="23" t="s">
        <v>25</v>
      </c>
      <c r="E247" s="21" t="s">
        <v>25</v>
      </c>
      <c r="F247" s="21" t="s">
        <v>195</v>
      </c>
    </row>
    <row r="248" spans="1:9" hidden="1" x14ac:dyDescent="0.2">
      <c r="A248" s="89">
        <v>45419</v>
      </c>
      <c r="B248" s="21" t="s">
        <v>51</v>
      </c>
      <c r="C248" s="46">
        <v>-12</v>
      </c>
      <c r="D248" s="23" t="s">
        <v>169</v>
      </c>
      <c r="E248" s="21" t="s">
        <v>35</v>
      </c>
      <c r="F248" s="21" t="s">
        <v>195</v>
      </c>
      <c r="I248" s="5"/>
    </row>
    <row r="249" spans="1:9" hidden="1" x14ac:dyDescent="0.2">
      <c r="A249" s="89">
        <v>45418</v>
      </c>
      <c r="B249" s="21" t="s">
        <v>76</v>
      </c>
      <c r="C249" s="46">
        <v>15000</v>
      </c>
      <c r="D249" s="23" t="s">
        <v>197</v>
      </c>
      <c r="E249" s="21" t="s">
        <v>33</v>
      </c>
      <c r="F249" s="21" t="s">
        <v>78</v>
      </c>
    </row>
    <row r="250" spans="1:9" hidden="1" x14ac:dyDescent="0.2">
      <c r="A250" s="89">
        <v>45418</v>
      </c>
      <c r="B250" s="21" t="s">
        <v>51</v>
      </c>
      <c r="C250" s="46">
        <v>-80.59</v>
      </c>
      <c r="D250" s="23" t="s">
        <v>30</v>
      </c>
      <c r="E250" s="21" t="s">
        <v>30</v>
      </c>
      <c r="F250" s="21" t="s">
        <v>195</v>
      </c>
    </row>
    <row r="251" spans="1:9" hidden="1" x14ac:dyDescent="0.2">
      <c r="A251" s="89">
        <v>45418</v>
      </c>
      <c r="B251" s="21" t="s">
        <v>51</v>
      </c>
      <c r="C251" s="46">
        <v>-43.45</v>
      </c>
      <c r="D251" s="5" t="s">
        <v>198</v>
      </c>
      <c r="E251" s="21" t="s">
        <v>28</v>
      </c>
      <c r="F251" s="21" t="s">
        <v>195</v>
      </c>
    </row>
    <row r="252" spans="1:9" hidden="1" x14ac:dyDescent="0.2">
      <c r="A252" s="89">
        <v>45413</v>
      </c>
      <c r="B252" s="21" t="s">
        <v>51</v>
      </c>
      <c r="C252" s="46">
        <v>-195</v>
      </c>
      <c r="D252" s="23" t="s">
        <v>199</v>
      </c>
      <c r="E252" s="21" t="s">
        <v>29</v>
      </c>
      <c r="F252" s="21" t="s">
        <v>195</v>
      </c>
      <c r="G252" s="37"/>
    </row>
    <row r="253" spans="1:9" x14ac:dyDescent="0.2">
      <c r="A253" s="89"/>
    </row>
  </sheetData>
  <autoFilter ref="A1:G252" xr:uid="{FBB880FC-6919-1740-A6F5-CAE1992219B5}">
    <filterColumn colId="5">
      <filters>
        <filter val="AP invoices"/>
      </filters>
    </filterColumn>
  </autoFilter>
  <sortState xmlns:xlrd2="http://schemas.microsoft.com/office/spreadsheetml/2017/richdata2" ref="A1:I255">
    <sortCondition descending="1" ref="A1:A255"/>
  </sortState>
  <phoneticPr fontId="6" type="noConversion"/>
  <hyperlinks>
    <hyperlink ref="D227" r:id="rId1" display="http://godaddy.com/" xr:uid="{16DFD916-5FAA-3D40-BEEC-7FA6F7887A3C}"/>
    <hyperlink ref="D226" r:id="rId2" display="http://godaddy.com/" xr:uid="{87A65C5F-1353-8A46-B13E-DB63F577134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14D3-5294-C144-8C00-36AE7FAF6183}">
  <dimension ref="A1:F54"/>
  <sheetViews>
    <sheetView topLeftCell="A2" zoomScale="90" zoomScaleNormal="90" workbookViewId="0">
      <selection activeCell="E19" sqref="E19"/>
    </sheetView>
  </sheetViews>
  <sheetFormatPr baseColWidth="10" defaultColWidth="11" defaultRowHeight="16" x14ac:dyDescent="0.2"/>
  <cols>
    <col min="2" max="2" width="12.6640625" bestFit="1" customWidth="1"/>
    <col min="3" max="3" width="71.83203125" customWidth="1"/>
    <col min="5" max="5" width="184.5" bestFit="1" customWidth="1"/>
    <col min="6" max="6" width="16.6640625" customWidth="1"/>
  </cols>
  <sheetData>
    <row r="1" spans="1:6" x14ac:dyDescent="0.2">
      <c r="A1" s="3" t="s">
        <v>46</v>
      </c>
      <c r="B1" s="3" t="s">
        <v>9</v>
      </c>
      <c r="C1" s="3" t="s">
        <v>9</v>
      </c>
      <c r="D1" s="3" t="s">
        <v>47</v>
      </c>
      <c r="E1" s="3" t="s">
        <v>48</v>
      </c>
      <c r="F1" s="3" t="s">
        <v>200</v>
      </c>
    </row>
    <row r="2" spans="1:6" x14ac:dyDescent="0.2">
      <c r="A2" s="2">
        <v>45408</v>
      </c>
      <c r="B2" s="2" t="s">
        <v>201</v>
      </c>
      <c r="C2" s="2" t="s">
        <v>202</v>
      </c>
      <c r="D2" s="4">
        <v>105000</v>
      </c>
      <c r="E2" t="s">
        <v>203</v>
      </c>
    </row>
    <row r="3" spans="1:6" x14ac:dyDescent="0.2">
      <c r="A3" s="2">
        <v>45463</v>
      </c>
      <c r="C3" t="s">
        <v>204</v>
      </c>
      <c r="D3">
        <f>-4686.09</f>
        <v>-4686.09</v>
      </c>
      <c r="E3" t="s">
        <v>205</v>
      </c>
    </row>
    <row r="4" spans="1:6" x14ac:dyDescent="0.2">
      <c r="A4" s="2">
        <v>45467</v>
      </c>
      <c r="B4" t="s">
        <v>201</v>
      </c>
      <c r="C4" t="s">
        <v>206</v>
      </c>
      <c r="D4">
        <v>-10000</v>
      </c>
      <c r="E4" t="s">
        <v>207</v>
      </c>
    </row>
    <row r="5" spans="1:6" x14ac:dyDescent="0.2">
      <c r="A5" s="2">
        <v>45467</v>
      </c>
      <c r="C5" t="s">
        <v>25</v>
      </c>
      <c r="D5">
        <v>-1252.1400000000001</v>
      </c>
      <c r="E5" t="s">
        <v>181</v>
      </c>
    </row>
    <row r="6" spans="1:6" x14ac:dyDescent="0.2">
      <c r="A6" s="2">
        <v>45478</v>
      </c>
      <c r="C6" t="s">
        <v>204</v>
      </c>
      <c r="D6">
        <v>-10000</v>
      </c>
      <c r="E6" t="s">
        <v>208</v>
      </c>
    </row>
    <row r="7" spans="1:6" x14ac:dyDescent="0.2">
      <c r="A7" s="2">
        <v>45478</v>
      </c>
      <c r="C7" t="s">
        <v>209</v>
      </c>
      <c r="D7">
        <v>15000</v>
      </c>
      <c r="E7" t="s">
        <v>210</v>
      </c>
    </row>
    <row r="8" spans="1:6" ht="18" x14ac:dyDescent="0.2">
      <c r="A8" s="2">
        <v>45485</v>
      </c>
      <c r="C8" t="s">
        <v>25</v>
      </c>
      <c r="D8">
        <v>-1252.1400000000001</v>
      </c>
      <c r="E8" s="61" t="s">
        <v>159</v>
      </c>
    </row>
    <row r="9" spans="1:6" x14ac:dyDescent="0.2">
      <c r="A9" s="2">
        <v>45495</v>
      </c>
      <c r="C9" t="s">
        <v>204</v>
      </c>
      <c r="D9">
        <v>-5432.69</v>
      </c>
      <c r="E9" t="s">
        <v>211</v>
      </c>
    </row>
    <row r="10" spans="1:6" x14ac:dyDescent="0.2">
      <c r="A10" s="2">
        <v>45498</v>
      </c>
      <c r="B10" t="s">
        <v>201</v>
      </c>
      <c r="C10" t="s">
        <v>212</v>
      </c>
      <c r="D10">
        <v>15000</v>
      </c>
    </row>
    <row r="11" spans="1:6" ht="18" x14ac:dyDescent="0.2">
      <c r="A11" s="2">
        <v>45505</v>
      </c>
      <c r="C11" s="61" t="s">
        <v>213</v>
      </c>
      <c r="D11">
        <v>-95</v>
      </c>
      <c r="E11" t="s">
        <v>166</v>
      </c>
    </row>
    <row r="12" spans="1:6" ht="18" x14ac:dyDescent="0.2">
      <c r="A12" s="2">
        <v>45516</v>
      </c>
      <c r="B12" s="45"/>
      <c r="C12" s="81" t="s">
        <v>25</v>
      </c>
      <c r="D12">
        <v>-1252.1400000000001</v>
      </c>
    </row>
    <row r="13" spans="1:6" ht="18" x14ac:dyDescent="0.2">
      <c r="A13" s="2">
        <v>45524</v>
      </c>
      <c r="C13" t="s">
        <v>204</v>
      </c>
      <c r="D13">
        <v>-14536.69</v>
      </c>
      <c r="E13" s="61" t="s">
        <v>214</v>
      </c>
    </row>
    <row r="14" spans="1:6" x14ac:dyDescent="0.2">
      <c r="A14" s="2">
        <v>45531</v>
      </c>
      <c r="C14" t="s">
        <v>209</v>
      </c>
      <c r="D14">
        <v>13000</v>
      </c>
      <c r="E14" t="s">
        <v>215</v>
      </c>
    </row>
    <row r="15" spans="1:6" x14ac:dyDescent="0.2">
      <c r="A15" s="2">
        <v>45538</v>
      </c>
      <c r="C15" t="s">
        <v>209</v>
      </c>
      <c r="D15" s="4">
        <v>15000</v>
      </c>
      <c r="E15" t="s">
        <v>216</v>
      </c>
    </row>
    <row r="16" spans="1:6" ht="18" x14ac:dyDescent="0.2">
      <c r="A16" s="2">
        <v>45547</v>
      </c>
      <c r="C16" t="s">
        <v>25</v>
      </c>
      <c r="D16">
        <v>-1252.1400000000001</v>
      </c>
      <c r="E16" s="61" t="s">
        <v>143</v>
      </c>
    </row>
    <row r="17" spans="1:5" ht="18" x14ac:dyDescent="0.2">
      <c r="A17" s="2">
        <v>45551</v>
      </c>
      <c r="C17" t="s">
        <v>217</v>
      </c>
      <c r="D17">
        <v>-1872</v>
      </c>
      <c r="E17" s="61" t="s">
        <v>140</v>
      </c>
    </row>
    <row r="18" spans="1:5" ht="18" x14ac:dyDescent="0.2">
      <c r="A18" s="2">
        <v>45552</v>
      </c>
      <c r="C18" t="s">
        <v>218</v>
      </c>
      <c r="D18">
        <v>-3780</v>
      </c>
      <c r="E18" s="61" t="s">
        <v>139</v>
      </c>
    </row>
    <row r="19" spans="1:5" ht="18" x14ac:dyDescent="0.2">
      <c r="A19" s="2">
        <v>45555</v>
      </c>
      <c r="C19" t="s">
        <v>204</v>
      </c>
      <c r="D19">
        <v>-4479.8999999999996</v>
      </c>
      <c r="E19" s="61" t="s">
        <v>219</v>
      </c>
    </row>
    <row r="20" spans="1:5" ht="18" x14ac:dyDescent="0.2">
      <c r="A20" s="2">
        <v>45573</v>
      </c>
      <c r="C20" t="s">
        <v>220</v>
      </c>
      <c r="D20">
        <v>-1728</v>
      </c>
      <c r="E20" s="61" t="s">
        <v>123</v>
      </c>
    </row>
    <row r="21" spans="1:5" x14ac:dyDescent="0.2">
      <c r="A21" s="2">
        <v>45573</v>
      </c>
      <c r="C21" t="s">
        <v>221</v>
      </c>
      <c r="D21">
        <v>-1980</v>
      </c>
      <c r="E21" s="40" t="s">
        <v>124</v>
      </c>
    </row>
    <row r="22" spans="1:5" ht="18" x14ac:dyDescent="0.2">
      <c r="A22" s="2">
        <v>45574</v>
      </c>
      <c r="C22" s="61" t="s">
        <v>222</v>
      </c>
      <c r="D22">
        <v>-4000</v>
      </c>
      <c r="E22" s="61" t="s">
        <v>222</v>
      </c>
    </row>
    <row r="23" spans="1:5" ht="18" x14ac:dyDescent="0.2">
      <c r="A23" s="2">
        <v>45576</v>
      </c>
      <c r="C23" s="61" t="s">
        <v>25</v>
      </c>
      <c r="D23">
        <v>-1252.1400000000001</v>
      </c>
      <c r="E23" s="61" t="s">
        <v>121</v>
      </c>
    </row>
    <row r="24" spans="1:5" ht="18" x14ac:dyDescent="0.2">
      <c r="A24" s="2">
        <v>45576</v>
      </c>
      <c r="C24" t="s">
        <v>223</v>
      </c>
      <c r="D24">
        <v>-814.51</v>
      </c>
      <c r="E24" s="61" t="s">
        <v>122</v>
      </c>
    </row>
    <row r="25" spans="1:5" ht="18" x14ac:dyDescent="0.2">
      <c r="A25" s="2">
        <v>45586</v>
      </c>
      <c r="C25" t="s">
        <v>204</v>
      </c>
      <c r="D25">
        <v>-10933.38</v>
      </c>
      <c r="E25" s="61" t="s">
        <v>224</v>
      </c>
    </row>
    <row r="26" spans="1:5" ht="18" x14ac:dyDescent="0.2">
      <c r="A26" s="2">
        <v>45597</v>
      </c>
      <c r="C26" s="61" t="s">
        <v>225</v>
      </c>
      <c r="D26">
        <v>-97.5</v>
      </c>
    </row>
    <row r="27" spans="1:5" ht="18" x14ac:dyDescent="0.2">
      <c r="A27" s="2">
        <v>45600</v>
      </c>
      <c r="B27" t="s">
        <v>226</v>
      </c>
      <c r="C27" s="61" t="s">
        <v>107</v>
      </c>
      <c r="D27">
        <v>7324.6</v>
      </c>
      <c r="E27" s="61" t="s">
        <v>227</v>
      </c>
    </row>
    <row r="28" spans="1:5" ht="18" x14ac:dyDescent="0.2">
      <c r="A28" s="2">
        <v>45600</v>
      </c>
      <c r="C28" s="61" t="s">
        <v>228</v>
      </c>
      <c r="D28">
        <v>-1430</v>
      </c>
      <c r="E28" s="61" t="s">
        <v>106</v>
      </c>
    </row>
    <row r="29" spans="1:5" ht="18" x14ac:dyDescent="0.2">
      <c r="A29" s="2">
        <v>45601</v>
      </c>
      <c r="C29" s="61" t="s">
        <v>229</v>
      </c>
      <c r="D29">
        <v>-1175</v>
      </c>
      <c r="E29" s="61" t="s">
        <v>104</v>
      </c>
    </row>
    <row r="30" spans="1:5" ht="18" x14ac:dyDescent="0.2">
      <c r="A30" s="2">
        <v>45608</v>
      </c>
      <c r="C30" s="61" t="s">
        <v>25</v>
      </c>
      <c r="D30">
        <v>-1252.1199999999999</v>
      </c>
      <c r="E30" s="61" t="s">
        <v>102</v>
      </c>
    </row>
    <row r="31" spans="1:5" ht="18" x14ac:dyDescent="0.2">
      <c r="A31" s="2">
        <v>45611</v>
      </c>
      <c r="C31" s="61" t="s">
        <v>230</v>
      </c>
      <c r="D31">
        <v>-1960</v>
      </c>
      <c r="E31" s="61" t="s">
        <v>101</v>
      </c>
    </row>
    <row r="32" spans="1:5" ht="18" x14ac:dyDescent="0.2">
      <c r="A32" s="2">
        <v>45614</v>
      </c>
      <c r="C32" s="61" t="s">
        <v>231</v>
      </c>
      <c r="D32">
        <v>-2556</v>
      </c>
      <c r="E32" s="61" t="s">
        <v>96</v>
      </c>
    </row>
    <row r="33" spans="1:5" ht="18" x14ac:dyDescent="0.2">
      <c r="A33" s="2">
        <v>45614</v>
      </c>
      <c r="C33" s="61" t="s">
        <v>232</v>
      </c>
      <c r="D33">
        <v>-15600</v>
      </c>
      <c r="E33" s="61" t="s">
        <v>97</v>
      </c>
    </row>
    <row r="34" spans="1:5" ht="18" x14ac:dyDescent="0.2">
      <c r="A34" s="2">
        <v>45616</v>
      </c>
      <c r="C34" s="61" t="s">
        <v>204</v>
      </c>
      <c r="D34">
        <v>-11856.44</v>
      </c>
      <c r="E34" s="61" t="s">
        <v>233</v>
      </c>
    </row>
    <row r="35" spans="1:5" ht="18" x14ac:dyDescent="0.2">
      <c r="A35" s="2">
        <v>45628</v>
      </c>
      <c r="C35" s="61" t="s">
        <v>234</v>
      </c>
      <c r="D35">
        <v>-97.5</v>
      </c>
      <c r="E35" s="61" t="s">
        <v>92</v>
      </c>
    </row>
    <row r="36" spans="1:5" ht="18" x14ac:dyDescent="0.2">
      <c r="A36" s="2">
        <v>45630</v>
      </c>
      <c r="C36" s="61" t="s">
        <v>235</v>
      </c>
      <c r="D36">
        <v>-640</v>
      </c>
      <c r="E36" s="61" t="s">
        <v>89</v>
      </c>
    </row>
    <row r="37" spans="1:5" ht="18" x14ac:dyDescent="0.2">
      <c r="A37" s="2">
        <v>45632</v>
      </c>
      <c r="C37" s="61" t="s">
        <v>236</v>
      </c>
      <c r="D37">
        <v>-1621.5</v>
      </c>
      <c r="E37" s="61" t="s">
        <v>85</v>
      </c>
    </row>
    <row r="38" spans="1:5" ht="18" x14ac:dyDescent="0.2">
      <c r="A38" s="2">
        <v>45632</v>
      </c>
      <c r="C38" s="61" t="s">
        <v>237</v>
      </c>
      <c r="D38">
        <v>-594</v>
      </c>
      <c r="E38" s="61" t="s">
        <v>86</v>
      </c>
    </row>
    <row r="39" spans="1:5" ht="18" x14ac:dyDescent="0.2">
      <c r="A39" s="2">
        <v>45632</v>
      </c>
      <c r="C39" s="61" t="s">
        <v>238</v>
      </c>
      <c r="D39">
        <v>-2160</v>
      </c>
      <c r="E39" s="61" t="s">
        <v>87</v>
      </c>
    </row>
    <row r="40" spans="1:5" ht="18" x14ac:dyDescent="0.2">
      <c r="A40" s="2">
        <v>45638</v>
      </c>
      <c r="C40" s="61" t="s">
        <v>239</v>
      </c>
      <c r="D40">
        <v>-1560</v>
      </c>
      <c r="E40" s="61" t="s">
        <v>80</v>
      </c>
    </row>
    <row r="41" spans="1:5" ht="18" x14ac:dyDescent="0.2">
      <c r="A41" s="2">
        <v>45638</v>
      </c>
      <c r="C41" s="61" t="s">
        <v>240</v>
      </c>
      <c r="D41">
        <v>-1252.1400000000001</v>
      </c>
      <c r="E41" s="61" t="s">
        <v>81</v>
      </c>
    </row>
    <row r="42" spans="1:5" ht="18" x14ac:dyDescent="0.2">
      <c r="A42" s="2">
        <v>45646</v>
      </c>
      <c r="C42" s="61" t="s">
        <v>204</v>
      </c>
      <c r="D42">
        <v>-1372.88</v>
      </c>
      <c r="E42" s="61" t="s">
        <v>241</v>
      </c>
    </row>
    <row r="43" spans="1:5" ht="18" x14ac:dyDescent="0.2">
      <c r="A43" s="2">
        <v>45659</v>
      </c>
      <c r="C43" s="61" t="s">
        <v>74</v>
      </c>
      <c r="D43">
        <v>-97.5</v>
      </c>
    </row>
    <row r="44" spans="1:5" ht="18" x14ac:dyDescent="0.2">
      <c r="A44" s="2">
        <v>45664</v>
      </c>
      <c r="C44" s="61" t="s">
        <v>70</v>
      </c>
      <c r="D44">
        <v>-3000</v>
      </c>
    </row>
    <row r="45" spans="1:5" ht="18" x14ac:dyDescent="0.2">
      <c r="A45" s="2">
        <v>45664</v>
      </c>
      <c r="C45" s="61" t="s">
        <v>242</v>
      </c>
      <c r="D45">
        <v>11830</v>
      </c>
      <c r="E45" s="61" t="s">
        <v>243</v>
      </c>
    </row>
    <row r="46" spans="1:5" ht="18" x14ac:dyDescent="0.2">
      <c r="A46" s="2">
        <v>45666</v>
      </c>
      <c r="C46" t="s">
        <v>244</v>
      </c>
      <c r="D46">
        <v>-1081</v>
      </c>
      <c r="E46" s="140" t="s">
        <v>245</v>
      </c>
    </row>
    <row r="47" spans="1:5" ht="18" x14ac:dyDescent="0.2">
      <c r="A47" s="2">
        <v>45666</v>
      </c>
      <c r="C47" t="s">
        <v>246</v>
      </c>
      <c r="D47">
        <v>-2260</v>
      </c>
      <c r="E47" s="140" t="s">
        <v>247</v>
      </c>
    </row>
    <row r="48" spans="1:5" ht="18" x14ac:dyDescent="0.2">
      <c r="A48" s="2">
        <v>45667</v>
      </c>
      <c r="C48" s="140" t="s">
        <v>248</v>
      </c>
      <c r="D48">
        <v>-1252.1400000000001</v>
      </c>
    </row>
    <row r="49" spans="1:5" ht="18" x14ac:dyDescent="0.2">
      <c r="A49" s="2">
        <v>45667</v>
      </c>
      <c r="C49" t="s">
        <v>209</v>
      </c>
      <c r="D49">
        <v>13000</v>
      </c>
      <c r="E49" s="140" t="s">
        <v>249</v>
      </c>
    </row>
    <row r="50" spans="1:5" ht="18" x14ac:dyDescent="0.2">
      <c r="A50" s="2">
        <v>45670</v>
      </c>
      <c r="C50" t="s">
        <v>250</v>
      </c>
      <c r="D50">
        <v>-1296</v>
      </c>
      <c r="E50" s="140" t="s">
        <v>251</v>
      </c>
    </row>
    <row r="51" spans="1:5" ht="18" x14ac:dyDescent="0.2">
      <c r="A51" s="2">
        <v>45670</v>
      </c>
      <c r="C51" t="s">
        <v>252</v>
      </c>
      <c r="D51">
        <v>-1672</v>
      </c>
      <c r="E51" s="140" t="s">
        <v>253</v>
      </c>
    </row>
    <row r="52" spans="1:5" x14ac:dyDescent="0.2">
      <c r="A52" s="2">
        <v>45672</v>
      </c>
      <c r="C52" t="s">
        <v>58</v>
      </c>
      <c r="D52">
        <v>-6600</v>
      </c>
      <c r="E52" t="s">
        <v>254</v>
      </c>
    </row>
    <row r="53" spans="1:5" ht="18" x14ac:dyDescent="0.2">
      <c r="A53" s="2">
        <v>45678</v>
      </c>
      <c r="C53" t="s">
        <v>204</v>
      </c>
      <c r="D53">
        <v>-11996.67</v>
      </c>
      <c r="E53" s="140" t="s">
        <v>255</v>
      </c>
    </row>
    <row r="54" spans="1:5" ht="18" x14ac:dyDescent="0.2">
      <c r="A54" s="2">
        <v>45680</v>
      </c>
      <c r="C54" t="s">
        <v>256</v>
      </c>
      <c r="D54">
        <v>-3280</v>
      </c>
      <c r="E54" s="140" t="s">
        <v>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0C04-411F-0347-AF1C-0D27C2A9CF05}">
  <dimension ref="A1:H175"/>
  <sheetViews>
    <sheetView zoomScaleNormal="100" workbookViewId="0">
      <selection activeCell="G13" sqref="G13"/>
    </sheetView>
  </sheetViews>
  <sheetFormatPr baseColWidth="10" defaultColWidth="11" defaultRowHeight="15.75" customHeight="1" x14ac:dyDescent="0.2"/>
  <cols>
    <col min="1" max="1" width="11.6640625" bestFit="1" customWidth="1"/>
    <col min="2" max="2" width="11" style="32"/>
    <col min="4" max="4" width="13" customWidth="1"/>
    <col min="5" max="6" width="35.6640625" bestFit="1" customWidth="1"/>
    <col min="7" max="7" width="14.1640625" bestFit="1" customWidth="1"/>
    <col min="8" max="8" width="138" style="25" customWidth="1"/>
  </cols>
  <sheetData>
    <row r="1" spans="1:8" ht="18" thickBot="1" x14ac:dyDescent="0.25">
      <c r="A1" s="6" t="s">
        <v>46</v>
      </c>
      <c r="B1" s="33" t="s">
        <v>258</v>
      </c>
      <c r="C1" s="7" t="s">
        <v>9</v>
      </c>
      <c r="D1" s="7" t="s">
        <v>47</v>
      </c>
      <c r="E1" s="7" t="s">
        <v>259</v>
      </c>
      <c r="F1" s="7" t="s">
        <v>48</v>
      </c>
      <c r="G1" s="8" t="s">
        <v>200</v>
      </c>
      <c r="H1" s="24" t="s">
        <v>260</v>
      </c>
    </row>
    <row r="2" spans="1:8" ht="16" x14ac:dyDescent="0.2">
      <c r="A2" s="87">
        <v>45680</v>
      </c>
      <c r="C2" t="s">
        <v>51</v>
      </c>
      <c r="D2">
        <v>-70.27</v>
      </c>
      <c r="E2" t="s">
        <v>54</v>
      </c>
      <c r="F2" t="s">
        <v>43</v>
      </c>
      <c r="G2" t="s">
        <v>55</v>
      </c>
    </row>
    <row r="3" spans="1:8" ht="16" x14ac:dyDescent="0.2">
      <c r="A3" s="87">
        <v>45679</v>
      </c>
      <c r="C3" t="s">
        <v>51</v>
      </c>
      <c r="D3">
        <v>-27.57</v>
      </c>
      <c r="E3" t="s">
        <v>56</v>
      </c>
      <c r="F3" t="s">
        <v>25</v>
      </c>
      <c r="G3" t="s">
        <v>55</v>
      </c>
    </row>
    <row r="4" spans="1:8" ht="16" x14ac:dyDescent="0.2">
      <c r="A4" s="87">
        <v>45678</v>
      </c>
      <c r="C4" t="s">
        <v>51</v>
      </c>
      <c r="D4">
        <v>-5.87</v>
      </c>
      <c r="E4" t="s">
        <v>56</v>
      </c>
      <c r="F4" t="s">
        <v>25</v>
      </c>
      <c r="G4" t="s">
        <v>55</v>
      </c>
    </row>
    <row r="5" spans="1:8" ht="16" x14ac:dyDescent="0.2">
      <c r="A5" s="87">
        <v>45678</v>
      </c>
      <c r="C5" t="s">
        <v>51</v>
      </c>
      <c r="D5">
        <v>-11.38</v>
      </c>
      <c r="E5" t="s">
        <v>56</v>
      </c>
      <c r="F5" t="s">
        <v>25</v>
      </c>
      <c r="G5" t="s">
        <v>55</v>
      </c>
    </row>
    <row r="6" spans="1:8" ht="16" x14ac:dyDescent="0.2">
      <c r="A6" s="87">
        <v>45675</v>
      </c>
      <c r="C6" t="s">
        <v>51</v>
      </c>
      <c r="D6">
        <v>-18.53</v>
      </c>
      <c r="E6" t="s">
        <v>56</v>
      </c>
      <c r="F6" t="s">
        <v>25</v>
      </c>
      <c r="G6" t="s">
        <v>55</v>
      </c>
    </row>
    <row r="7" spans="1:8" ht="16" x14ac:dyDescent="0.2">
      <c r="A7" s="87">
        <v>45674</v>
      </c>
      <c r="C7" t="s">
        <v>51</v>
      </c>
      <c r="D7">
        <v>-70</v>
      </c>
      <c r="E7" t="s">
        <v>57</v>
      </c>
      <c r="F7" t="s">
        <v>43</v>
      </c>
      <c r="G7" t="s">
        <v>55</v>
      </c>
    </row>
    <row r="8" spans="1:8" ht="16" x14ac:dyDescent="0.2">
      <c r="A8" s="87">
        <v>45672</v>
      </c>
      <c r="C8" t="s">
        <v>51</v>
      </c>
      <c r="D8">
        <v>-20</v>
      </c>
      <c r="E8" t="s">
        <v>60</v>
      </c>
      <c r="F8" t="s">
        <v>35</v>
      </c>
      <c r="G8" t="s">
        <v>55</v>
      </c>
    </row>
    <row r="9" spans="1:8" ht="16" x14ac:dyDescent="0.2">
      <c r="A9" s="87">
        <v>45671</v>
      </c>
      <c r="C9" t="s">
        <v>51</v>
      </c>
      <c r="D9">
        <v>-27.33</v>
      </c>
      <c r="E9" t="s">
        <v>56</v>
      </c>
      <c r="F9" t="s">
        <v>25</v>
      </c>
      <c r="G9" t="s">
        <v>55</v>
      </c>
    </row>
    <row r="10" spans="1:8" ht="16" x14ac:dyDescent="0.2">
      <c r="A10" s="87">
        <v>45670</v>
      </c>
      <c r="C10" t="s">
        <v>51</v>
      </c>
      <c r="D10">
        <v>-24</v>
      </c>
      <c r="E10" t="s">
        <v>63</v>
      </c>
      <c r="F10" t="s">
        <v>43</v>
      </c>
      <c r="G10" t="s">
        <v>55</v>
      </c>
    </row>
    <row r="11" spans="1:8" ht="16" x14ac:dyDescent="0.2">
      <c r="A11" s="87">
        <v>45668</v>
      </c>
      <c r="C11" t="s">
        <v>51</v>
      </c>
      <c r="D11">
        <v>-31.02</v>
      </c>
      <c r="E11" t="s">
        <v>56</v>
      </c>
      <c r="F11" t="s">
        <v>25</v>
      </c>
      <c r="G11" t="s">
        <v>55</v>
      </c>
    </row>
    <row r="12" spans="1:8" ht="16" x14ac:dyDescent="0.2">
      <c r="A12" s="87">
        <v>45667</v>
      </c>
      <c r="C12" t="s">
        <v>51</v>
      </c>
      <c r="D12">
        <v>-1003.45</v>
      </c>
      <c r="E12" t="s">
        <v>66</v>
      </c>
      <c r="F12" t="s">
        <v>25</v>
      </c>
      <c r="G12" t="s">
        <v>55</v>
      </c>
    </row>
    <row r="13" spans="1:8" ht="16" x14ac:dyDescent="0.2">
      <c r="A13" s="87">
        <v>45666</v>
      </c>
      <c r="C13" t="s">
        <v>51</v>
      </c>
      <c r="D13">
        <v>-31.03</v>
      </c>
      <c r="E13" t="s">
        <v>56</v>
      </c>
      <c r="F13" t="s">
        <v>25</v>
      </c>
      <c r="G13" t="s">
        <v>55</v>
      </c>
    </row>
    <row r="14" spans="1:8" ht="16" x14ac:dyDescent="0.2">
      <c r="A14" s="87">
        <v>45666</v>
      </c>
      <c r="C14" t="s">
        <v>51</v>
      </c>
      <c r="D14">
        <v>-27.6</v>
      </c>
      <c r="E14" t="s">
        <v>56</v>
      </c>
      <c r="F14" t="s">
        <v>25</v>
      </c>
      <c r="G14" t="s">
        <v>55</v>
      </c>
    </row>
    <row r="15" spans="1:8" ht="16" x14ac:dyDescent="0.2">
      <c r="A15" s="87">
        <v>45665</v>
      </c>
      <c r="C15" t="s">
        <v>51</v>
      </c>
      <c r="D15">
        <v>-581.64</v>
      </c>
      <c r="E15" t="s">
        <v>69</v>
      </c>
      <c r="F15" t="s">
        <v>25</v>
      </c>
      <c r="G15" t="s">
        <v>55</v>
      </c>
    </row>
    <row r="16" spans="1:8" ht="16" x14ac:dyDescent="0.2">
      <c r="A16" s="87">
        <v>45665</v>
      </c>
      <c r="C16" t="s">
        <v>51</v>
      </c>
      <c r="D16">
        <v>-20.45</v>
      </c>
      <c r="E16" t="s">
        <v>56</v>
      </c>
      <c r="F16" t="s">
        <v>25</v>
      </c>
      <c r="G16" t="s">
        <v>55</v>
      </c>
    </row>
    <row r="17" spans="1:7" ht="16" x14ac:dyDescent="0.2">
      <c r="A17" s="87">
        <v>45665</v>
      </c>
      <c r="C17" t="s">
        <v>51</v>
      </c>
      <c r="D17">
        <v>-19.690000000000001</v>
      </c>
      <c r="E17" t="s">
        <v>56</v>
      </c>
      <c r="F17" t="s">
        <v>25</v>
      </c>
      <c r="G17" t="s">
        <v>55</v>
      </c>
    </row>
    <row r="18" spans="1:7" ht="16" x14ac:dyDescent="0.2">
      <c r="A18" s="87">
        <v>45664</v>
      </c>
      <c r="C18" t="s">
        <v>51</v>
      </c>
      <c r="D18">
        <v>-9.27</v>
      </c>
      <c r="E18" t="s">
        <v>56</v>
      </c>
      <c r="F18" t="s">
        <v>25</v>
      </c>
      <c r="G18" t="s">
        <v>55</v>
      </c>
    </row>
    <row r="19" spans="1:7" ht="16" x14ac:dyDescent="0.2">
      <c r="A19" s="87">
        <v>45664</v>
      </c>
      <c r="C19" t="s">
        <v>51</v>
      </c>
      <c r="D19">
        <v>-471.13</v>
      </c>
      <c r="E19" t="s">
        <v>71</v>
      </c>
      <c r="F19" t="s">
        <v>26</v>
      </c>
      <c r="G19" t="s">
        <v>55</v>
      </c>
    </row>
    <row r="20" spans="1:7" ht="16" x14ac:dyDescent="0.2">
      <c r="A20" s="87">
        <v>45663</v>
      </c>
      <c r="C20" t="s">
        <v>51</v>
      </c>
      <c r="D20">
        <v>-29.06</v>
      </c>
      <c r="E20" t="s">
        <v>56</v>
      </c>
      <c r="F20" t="s">
        <v>25</v>
      </c>
      <c r="G20" t="s">
        <v>55</v>
      </c>
    </row>
    <row r="21" spans="1:7" ht="16" x14ac:dyDescent="0.2">
      <c r="A21" s="87">
        <v>45662</v>
      </c>
      <c r="C21" t="s">
        <v>51</v>
      </c>
      <c r="D21">
        <v>-236</v>
      </c>
      <c r="E21" t="s">
        <v>72</v>
      </c>
      <c r="F21" t="s">
        <v>43</v>
      </c>
      <c r="G21" t="s">
        <v>55</v>
      </c>
    </row>
    <row r="22" spans="1:7" ht="16" x14ac:dyDescent="0.2">
      <c r="A22" s="87">
        <v>45660</v>
      </c>
      <c r="C22" t="s">
        <v>51</v>
      </c>
      <c r="D22">
        <v>-8738.99</v>
      </c>
      <c r="E22" t="s">
        <v>73</v>
      </c>
      <c r="F22" t="s">
        <v>261</v>
      </c>
      <c r="G22" t="s">
        <v>55</v>
      </c>
    </row>
    <row r="23" spans="1:7" ht="16" x14ac:dyDescent="0.2">
      <c r="A23" s="87">
        <v>45658</v>
      </c>
      <c r="C23" t="s">
        <v>51</v>
      </c>
      <c r="D23">
        <v>-36.96</v>
      </c>
      <c r="E23" t="s">
        <v>56</v>
      </c>
      <c r="F23" t="s">
        <v>25</v>
      </c>
      <c r="G23" t="s">
        <v>55</v>
      </c>
    </row>
    <row r="24" spans="1:7" ht="16" x14ac:dyDescent="0.2">
      <c r="A24" s="87">
        <v>45649</v>
      </c>
      <c r="C24" t="s">
        <v>51</v>
      </c>
      <c r="D24" s="62">
        <v>-70.27</v>
      </c>
      <c r="E24" t="s">
        <v>54</v>
      </c>
      <c r="F24" t="s">
        <v>43</v>
      </c>
      <c r="G24" t="s">
        <v>55</v>
      </c>
    </row>
    <row r="25" spans="1:7" ht="16" x14ac:dyDescent="0.2">
      <c r="A25" s="87">
        <v>45643</v>
      </c>
      <c r="C25" t="s">
        <v>51</v>
      </c>
      <c r="D25" s="62">
        <v>-70</v>
      </c>
      <c r="E25" t="s">
        <v>75</v>
      </c>
      <c r="F25" t="s">
        <v>43</v>
      </c>
      <c r="G25" t="s">
        <v>55</v>
      </c>
    </row>
    <row r="26" spans="1:7" ht="16" x14ac:dyDescent="0.2">
      <c r="A26" s="87">
        <v>45641</v>
      </c>
      <c r="C26" t="s">
        <v>51</v>
      </c>
      <c r="D26" s="62">
        <v>-62.8</v>
      </c>
      <c r="E26" t="s">
        <v>79</v>
      </c>
      <c r="F26" t="s">
        <v>30</v>
      </c>
      <c r="G26" t="s">
        <v>55</v>
      </c>
    </row>
    <row r="27" spans="1:7" ht="16" x14ac:dyDescent="0.2">
      <c r="A27" s="87">
        <v>45639</v>
      </c>
      <c r="C27" t="s">
        <v>51</v>
      </c>
      <c r="D27" s="62">
        <v>-24</v>
      </c>
      <c r="E27" t="s">
        <v>63</v>
      </c>
      <c r="F27" t="s">
        <v>43</v>
      </c>
      <c r="G27" t="s">
        <v>55</v>
      </c>
    </row>
    <row r="28" spans="1:7" ht="16" x14ac:dyDescent="0.2">
      <c r="A28" s="87">
        <v>45637</v>
      </c>
      <c r="C28" t="s">
        <v>51</v>
      </c>
      <c r="D28" s="62">
        <v>-88.61</v>
      </c>
      <c r="E28" t="s">
        <v>82</v>
      </c>
      <c r="F28" t="s">
        <v>30</v>
      </c>
      <c r="G28" t="s">
        <v>55</v>
      </c>
    </row>
    <row r="29" spans="1:7" ht="16" x14ac:dyDescent="0.2">
      <c r="A29" s="87">
        <v>45635</v>
      </c>
      <c r="C29" t="s">
        <v>51</v>
      </c>
      <c r="D29" s="62">
        <v>-628.77</v>
      </c>
      <c r="E29" t="s">
        <v>83</v>
      </c>
      <c r="F29" t="s">
        <v>43</v>
      </c>
      <c r="G29" t="s">
        <v>55</v>
      </c>
    </row>
    <row r="30" spans="1:7" ht="16" x14ac:dyDescent="0.2">
      <c r="A30" s="87">
        <v>45634</v>
      </c>
      <c r="C30" t="s">
        <v>51</v>
      </c>
      <c r="D30" s="62">
        <v>-112.35</v>
      </c>
      <c r="E30" t="s">
        <v>84</v>
      </c>
      <c r="F30" t="s">
        <v>43</v>
      </c>
      <c r="G30" t="s">
        <v>55</v>
      </c>
    </row>
    <row r="31" spans="1:7" ht="16" x14ac:dyDescent="0.2">
      <c r="A31" s="87">
        <v>45632</v>
      </c>
      <c r="C31" t="s">
        <v>51</v>
      </c>
      <c r="D31" s="62">
        <v>-49.14</v>
      </c>
      <c r="E31" t="s">
        <v>82</v>
      </c>
      <c r="F31" t="s">
        <v>30</v>
      </c>
      <c r="G31" t="s">
        <v>55</v>
      </c>
    </row>
    <row r="32" spans="1:7" ht="16" x14ac:dyDescent="0.2">
      <c r="A32" s="87">
        <v>45631</v>
      </c>
      <c r="C32" t="s">
        <v>51</v>
      </c>
      <c r="D32" s="62">
        <v>-42.72</v>
      </c>
      <c r="E32" t="s">
        <v>82</v>
      </c>
      <c r="F32" t="s">
        <v>30</v>
      </c>
      <c r="G32" t="s">
        <v>55</v>
      </c>
    </row>
    <row r="33" spans="1:8" ht="16" x14ac:dyDescent="0.2">
      <c r="A33" s="87">
        <v>45631</v>
      </c>
      <c r="C33" t="s">
        <v>51</v>
      </c>
      <c r="D33" s="62">
        <v>-236</v>
      </c>
      <c r="E33" t="s">
        <v>88</v>
      </c>
      <c r="F33" t="s">
        <v>43</v>
      </c>
      <c r="G33" t="s">
        <v>55</v>
      </c>
    </row>
    <row r="34" spans="1:8" ht="16" x14ac:dyDescent="0.2">
      <c r="A34" s="87">
        <v>45629</v>
      </c>
      <c r="C34" t="s">
        <v>51</v>
      </c>
      <c r="D34" s="62">
        <v>-8732.0499999999993</v>
      </c>
      <c r="E34" t="s">
        <v>73</v>
      </c>
      <c r="F34" t="s">
        <v>36</v>
      </c>
      <c r="G34" t="s">
        <v>55</v>
      </c>
    </row>
    <row r="35" spans="1:8" ht="16" x14ac:dyDescent="0.2">
      <c r="A35" s="87">
        <v>45629</v>
      </c>
      <c r="C35" t="s">
        <v>51</v>
      </c>
      <c r="D35" s="62">
        <v>-309.69</v>
      </c>
      <c r="E35" t="s">
        <v>90</v>
      </c>
      <c r="F35" t="s">
        <v>43</v>
      </c>
      <c r="G35" t="s">
        <v>91</v>
      </c>
    </row>
    <row r="36" spans="1:8" ht="16" x14ac:dyDescent="0.2">
      <c r="A36" s="87">
        <v>45625</v>
      </c>
      <c r="C36" t="s">
        <v>51</v>
      </c>
      <c r="D36" s="62">
        <v>-1500</v>
      </c>
      <c r="E36" t="s">
        <v>93</v>
      </c>
      <c r="F36" t="s">
        <v>43</v>
      </c>
      <c r="G36" t="s">
        <v>55</v>
      </c>
    </row>
    <row r="37" spans="1:8" ht="16" x14ac:dyDescent="0.2">
      <c r="A37" s="87">
        <v>45621</v>
      </c>
      <c r="C37" t="s">
        <v>51</v>
      </c>
      <c r="D37" s="62">
        <v>-70.27</v>
      </c>
      <c r="E37" t="s">
        <v>54</v>
      </c>
      <c r="F37" t="s">
        <v>43</v>
      </c>
      <c r="G37" t="s">
        <v>55</v>
      </c>
    </row>
    <row r="38" spans="1:8" s="85" customFormat="1" ht="16" x14ac:dyDescent="0.2">
      <c r="A38" s="136">
        <v>45615</v>
      </c>
      <c r="B38" s="137"/>
      <c r="C38" s="85" t="s">
        <v>51</v>
      </c>
      <c r="D38" s="139">
        <v>-81.2</v>
      </c>
      <c r="E38" s="85" t="s">
        <v>95</v>
      </c>
      <c r="F38" s="85" t="s">
        <v>30</v>
      </c>
      <c r="G38" s="85" t="s">
        <v>55</v>
      </c>
      <c r="H38" s="138"/>
    </row>
    <row r="39" spans="1:8" s="85" customFormat="1" ht="16" x14ac:dyDescent="0.2">
      <c r="A39" s="136">
        <v>45613</v>
      </c>
      <c r="B39" s="137"/>
      <c r="C39" s="85" t="s">
        <v>51</v>
      </c>
      <c r="D39" s="139">
        <v>-70</v>
      </c>
      <c r="E39" s="85" t="s">
        <v>98</v>
      </c>
      <c r="F39" s="85" t="s">
        <v>43</v>
      </c>
      <c r="G39" s="85" t="s">
        <v>55</v>
      </c>
      <c r="H39" s="138"/>
    </row>
    <row r="40" spans="1:8" s="85" customFormat="1" ht="16" x14ac:dyDescent="0.2">
      <c r="A40" s="136">
        <v>45613</v>
      </c>
      <c r="B40" s="137"/>
      <c r="C40" s="85" t="s">
        <v>51</v>
      </c>
      <c r="D40" s="139">
        <v>-203.75</v>
      </c>
      <c r="E40" s="85" t="s">
        <v>99</v>
      </c>
      <c r="F40" s="85" t="s">
        <v>30</v>
      </c>
      <c r="G40" s="85" t="s">
        <v>55</v>
      </c>
      <c r="H40" s="138"/>
    </row>
    <row r="41" spans="1:8" s="85" customFormat="1" ht="16" x14ac:dyDescent="0.2">
      <c r="A41" s="136">
        <v>45613</v>
      </c>
      <c r="B41" s="137"/>
      <c r="C41" s="85" t="s">
        <v>51</v>
      </c>
      <c r="D41" s="139">
        <v>-28.98</v>
      </c>
      <c r="E41" s="85" t="s">
        <v>100</v>
      </c>
      <c r="F41" s="85" t="s">
        <v>40</v>
      </c>
      <c r="G41" s="85" t="s">
        <v>55</v>
      </c>
      <c r="H41" s="138"/>
    </row>
    <row r="42" spans="1:8" s="85" customFormat="1" ht="16" x14ac:dyDescent="0.2">
      <c r="A42" s="136">
        <v>45613</v>
      </c>
      <c r="B42" s="137"/>
      <c r="C42" s="85" t="s">
        <v>51</v>
      </c>
      <c r="D42" s="139">
        <v>-20.99</v>
      </c>
      <c r="E42" s="85" t="s">
        <v>100</v>
      </c>
      <c r="F42" s="85" t="s">
        <v>40</v>
      </c>
      <c r="G42" s="85" t="s">
        <v>55</v>
      </c>
      <c r="H42" s="138"/>
    </row>
    <row r="43" spans="1:8" s="85" customFormat="1" ht="16" x14ac:dyDescent="0.2">
      <c r="A43" s="136">
        <v>45609</v>
      </c>
      <c r="B43" s="137"/>
      <c r="C43" s="85" t="s">
        <v>51</v>
      </c>
      <c r="D43" s="139">
        <v>-24</v>
      </c>
      <c r="E43" s="85" t="s">
        <v>63</v>
      </c>
      <c r="F43" s="85" t="s">
        <v>43</v>
      </c>
      <c r="G43" s="85" t="s">
        <v>55</v>
      </c>
      <c r="H43" s="138"/>
    </row>
    <row r="44" spans="1:8" s="85" customFormat="1" ht="16" x14ac:dyDescent="0.2">
      <c r="A44" s="136">
        <v>45605</v>
      </c>
      <c r="B44" s="137"/>
      <c r="C44" s="85" t="s">
        <v>51</v>
      </c>
      <c r="D44" s="139">
        <v>-416.43</v>
      </c>
      <c r="E44" s="85" t="s">
        <v>103</v>
      </c>
      <c r="F44" s="85" t="s">
        <v>43</v>
      </c>
      <c r="G44" s="85" t="s">
        <v>55</v>
      </c>
      <c r="H44" s="138"/>
    </row>
    <row r="45" spans="1:8" s="85" customFormat="1" ht="16" x14ac:dyDescent="0.2">
      <c r="A45" s="136">
        <v>45604</v>
      </c>
      <c r="B45" s="137"/>
      <c r="C45" s="85" t="s">
        <v>51</v>
      </c>
      <c r="D45" s="139">
        <v>-112.35</v>
      </c>
      <c r="E45" s="85" t="s">
        <v>84</v>
      </c>
      <c r="F45" s="85" t="s">
        <v>43</v>
      </c>
      <c r="G45" s="85" t="s">
        <v>55</v>
      </c>
      <c r="H45" s="138"/>
    </row>
    <row r="46" spans="1:8" s="85" customFormat="1" ht="16" x14ac:dyDescent="0.2">
      <c r="A46" s="136">
        <v>45601</v>
      </c>
      <c r="B46" s="137"/>
      <c r="C46" s="85" t="s">
        <v>51</v>
      </c>
      <c r="D46" s="139">
        <v>-226.77</v>
      </c>
      <c r="E46" s="85" t="s">
        <v>105</v>
      </c>
      <c r="F46" s="85" t="s">
        <v>43</v>
      </c>
      <c r="G46" s="85" t="s">
        <v>55</v>
      </c>
      <c r="H46" s="138"/>
    </row>
    <row r="47" spans="1:8" s="85" customFormat="1" ht="16" x14ac:dyDescent="0.2">
      <c r="A47" s="136">
        <v>45599</v>
      </c>
      <c r="B47" s="137"/>
      <c r="C47" s="85" t="s">
        <v>51</v>
      </c>
      <c r="D47" s="139">
        <v>-80.28</v>
      </c>
      <c r="E47" s="85" t="s">
        <v>73</v>
      </c>
      <c r="F47" s="85" t="s">
        <v>36</v>
      </c>
      <c r="G47" s="85" t="s">
        <v>55</v>
      </c>
      <c r="H47" s="138"/>
    </row>
    <row r="48" spans="1:8" s="85" customFormat="1" ht="16" x14ac:dyDescent="0.2">
      <c r="A48" s="136">
        <v>45598</v>
      </c>
      <c r="B48" s="137"/>
      <c r="C48" s="85" t="s">
        <v>51</v>
      </c>
      <c r="D48" s="139">
        <v>-37.86</v>
      </c>
      <c r="E48" s="85" t="s">
        <v>109</v>
      </c>
      <c r="F48" s="85" t="s">
        <v>35</v>
      </c>
      <c r="G48" s="85" t="s">
        <v>55</v>
      </c>
      <c r="H48" s="138"/>
    </row>
    <row r="49" spans="1:8" s="85" customFormat="1" ht="16" x14ac:dyDescent="0.2">
      <c r="A49" s="136">
        <v>45590</v>
      </c>
      <c r="B49" s="137"/>
      <c r="C49" s="85" t="s">
        <v>51</v>
      </c>
      <c r="D49" s="139">
        <v>-70.27</v>
      </c>
      <c r="E49" s="85" t="s">
        <v>54</v>
      </c>
      <c r="F49" s="85" t="s">
        <v>43</v>
      </c>
      <c r="G49" s="85" t="s">
        <v>55</v>
      </c>
      <c r="H49" s="138"/>
    </row>
    <row r="50" spans="1:8" ht="16" x14ac:dyDescent="0.2">
      <c r="A50" s="87">
        <v>45587</v>
      </c>
      <c r="C50" t="s">
        <v>51</v>
      </c>
      <c r="D50" s="62">
        <v>-38.369999999999997</v>
      </c>
      <c r="E50" t="s">
        <v>112</v>
      </c>
      <c r="F50" t="s">
        <v>30</v>
      </c>
      <c r="G50" t="s">
        <v>55</v>
      </c>
    </row>
    <row r="51" spans="1:8" ht="16" x14ac:dyDescent="0.2">
      <c r="A51" s="87">
        <v>45583</v>
      </c>
      <c r="C51" t="s">
        <v>51</v>
      </c>
      <c r="D51" s="62">
        <v>-200.2</v>
      </c>
      <c r="E51" t="s">
        <v>113</v>
      </c>
      <c r="F51" t="s">
        <v>30</v>
      </c>
      <c r="G51" t="s">
        <v>55</v>
      </c>
    </row>
    <row r="52" spans="1:8" ht="16" x14ac:dyDescent="0.2">
      <c r="A52" s="87">
        <v>45583</v>
      </c>
      <c r="C52" t="s">
        <v>51</v>
      </c>
      <c r="D52" s="62">
        <v>-19.07</v>
      </c>
      <c r="E52" t="s">
        <v>114</v>
      </c>
      <c r="F52" t="s">
        <v>30</v>
      </c>
      <c r="G52" t="s">
        <v>55</v>
      </c>
    </row>
    <row r="53" spans="1:8" ht="16" x14ac:dyDescent="0.2">
      <c r="A53" s="87">
        <v>45582</v>
      </c>
      <c r="C53" t="s">
        <v>51</v>
      </c>
      <c r="D53" s="62">
        <v>-70</v>
      </c>
      <c r="E53" t="s">
        <v>115</v>
      </c>
      <c r="F53" t="s">
        <v>43</v>
      </c>
      <c r="G53" t="s">
        <v>55</v>
      </c>
    </row>
    <row r="54" spans="1:8" ht="16" x14ac:dyDescent="0.2">
      <c r="A54" s="87">
        <v>45581</v>
      </c>
      <c r="C54" t="s">
        <v>51</v>
      </c>
      <c r="D54" s="62">
        <v>-22.32</v>
      </c>
      <c r="E54" t="s">
        <v>116</v>
      </c>
      <c r="F54" t="s">
        <v>30</v>
      </c>
      <c r="G54" t="s">
        <v>55</v>
      </c>
    </row>
    <row r="55" spans="1:8" ht="16" x14ac:dyDescent="0.2">
      <c r="A55" s="87">
        <v>45580</v>
      </c>
      <c r="C55" t="s">
        <v>51</v>
      </c>
      <c r="D55" s="62">
        <v>-19.07</v>
      </c>
      <c r="E55" t="s">
        <v>117</v>
      </c>
      <c r="F55" t="s">
        <v>30</v>
      </c>
      <c r="G55" t="s">
        <v>55</v>
      </c>
    </row>
    <row r="56" spans="1:8" ht="16" x14ac:dyDescent="0.2">
      <c r="A56" s="87">
        <v>45579</v>
      </c>
      <c r="C56" t="s">
        <v>51</v>
      </c>
      <c r="D56" s="62">
        <v>-493.77</v>
      </c>
      <c r="E56" t="s">
        <v>118</v>
      </c>
      <c r="F56" t="s">
        <v>40</v>
      </c>
      <c r="G56" t="s">
        <v>55</v>
      </c>
    </row>
    <row r="57" spans="1:8" ht="16" x14ac:dyDescent="0.2">
      <c r="A57" s="87">
        <v>45579</v>
      </c>
      <c r="C57" t="s">
        <v>51</v>
      </c>
      <c r="D57" s="62">
        <v>-17.25</v>
      </c>
      <c r="E57" t="s">
        <v>100</v>
      </c>
      <c r="F57" t="s">
        <v>40</v>
      </c>
      <c r="G57" t="s">
        <v>55</v>
      </c>
    </row>
    <row r="58" spans="1:8" ht="16" x14ac:dyDescent="0.2">
      <c r="A58" s="87">
        <v>45578</v>
      </c>
      <c r="C58" t="s">
        <v>51</v>
      </c>
      <c r="D58" s="62">
        <v>-196.98</v>
      </c>
      <c r="E58" t="s">
        <v>119</v>
      </c>
      <c r="F58" t="s">
        <v>30</v>
      </c>
      <c r="G58" t="s">
        <v>55</v>
      </c>
    </row>
    <row r="59" spans="1:8" ht="16" x14ac:dyDescent="0.2">
      <c r="A59" s="87">
        <v>45578</v>
      </c>
      <c r="C59" t="s">
        <v>51</v>
      </c>
      <c r="D59" s="62">
        <v>-24</v>
      </c>
      <c r="E59" t="s">
        <v>63</v>
      </c>
      <c r="F59" t="s">
        <v>43</v>
      </c>
      <c r="G59" t="s">
        <v>55</v>
      </c>
    </row>
    <row r="60" spans="1:8" ht="16" x14ac:dyDescent="0.2">
      <c r="A60" s="87">
        <v>45576</v>
      </c>
      <c r="C60" t="s">
        <v>51</v>
      </c>
      <c r="D60" s="62">
        <v>-19.07</v>
      </c>
      <c r="E60" t="s">
        <v>117</v>
      </c>
      <c r="F60" t="s">
        <v>30</v>
      </c>
      <c r="G60" t="s">
        <v>55</v>
      </c>
    </row>
    <row r="61" spans="1:8" ht="16" x14ac:dyDescent="0.2">
      <c r="A61" s="87">
        <v>45576</v>
      </c>
      <c r="C61" t="s">
        <v>51</v>
      </c>
      <c r="D61" s="62">
        <v>-29.9</v>
      </c>
      <c r="E61" t="s">
        <v>113</v>
      </c>
      <c r="F61" t="s">
        <v>30</v>
      </c>
      <c r="G61" t="s">
        <v>55</v>
      </c>
    </row>
    <row r="62" spans="1:8" ht="16" x14ac:dyDescent="0.2">
      <c r="A62" s="87">
        <v>45576</v>
      </c>
      <c r="C62" t="s">
        <v>51</v>
      </c>
      <c r="D62" s="62">
        <v>-372.49</v>
      </c>
      <c r="E62" t="s">
        <v>120</v>
      </c>
      <c r="F62" t="s">
        <v>43</v>
      </c>
      <c r="G62" t="s">
        <v>55</v>
      </c>
    </row>
    <row r="63" spans="1:8" ht="16" x14ac:dyDescent="0.2">
      <c r="A63" s="87">
        <v>45575</v>
      </c>
      <c r="C63" t="s">
        <v>51</v>
      </c>
      <c r="D63" s="62">
        <v>-312.62</v>
      </c>
      <c r="E63" t="s">
        <v>114</v>
      </c>
      <c r="F63" t="s">
        <v>30</v>
      </c>
      <c r="G63" t="s">
        <v>55</v>
      </c>
    </row>
    <row r="64" spans="1:8" ht="16" x14ac:dyDescent="0.2">
      <c r="A64" s="87">
        <v>45575</v>
      </c>
      <c r="C64" t="s">
        <v>51</v>
      </c>
      <c r="D64" s="62">
        <v>-0.4</v>
      </c>
      <c r="E64" t="s">
        <v>63</v>
      </c>
      <c r="F64" t="s">
        <v>43</v>
      </c>
      <c r="G64" t="s">
        <v>55</v>
      </c>
    </row>
    <row r="65" spans="1:7" ht="16" x14ac:dyDescent="0.2">
      <c r="A65" s="87">
        <v>45574</v>
      </c>
      <c r="C65" t="s">
        <v>51</v>
      </c>
      <c r="D65" s="62">
        <v>-19.07</v>
      </c>
      <c r="E65" t="s">
        <v>117</v>
      </c>
      <c r="F65" t="s">
        <v>30</v>
      </c>
      <c r="G65" t="s">
        <v>55</v>
      </c>
    </row>
    <row r="66" spans="1:7" ht="16" x14ac:dyDescent="0.2">
      <c r="A66" s="87">
        <v>45574</v>
      </c>
      <c r="C66" t="s">
        <v>51</v>
      </c>
      <c r="D66" s="62">
        <v>-112.35</v>
      </c>
      <c r="E66" t="s">
        <v>84</v>
      </c>
      <c r="F66" t="s">
        <v>28</v>
      </c>
      <c r="G66" t="s">
        <v>55</v>
      </c>
    </row>
    <row r="67" spans="1:7" ht="16" x14ac:dyDescent="0.2">
      <c r="A67" s="87">
        <v>45573</v>
      </c>
      <c r="C67" t="s">
        <v>51</v>
      </c>
      <c r="D67" s="62">
        <v>-15.83</v>
      </c>
      <c r="E67" t="s">
        <v>117</v>
      </c>
      <c r="F67" t="s">
        <v>30</v>
      </c>
      <c r="G67" t="s">
        <v>55</v>
      </c>
    </row>
    <row r="68" spans="1:7" ht="16" x14ac:dyDescent="0.2">
      <c r="A68" s="87">
        <v>45572</v>
      </c>
      <c r="C68" t="s">
        <v>51</v>
      </c>
      <c r="D68" s="62">
        <v>-8702.33</v>
      </c>
      <c r="E68" t="s">
        <v>73</v>
      </c>
      <c r="F68" t="s">
        <v>36</v>
      </c>
      <c r="G68" t="s">
        <v>55</v>
      </c>
    </row>
    <row r="69" spans="1:7" ht="16" x14ac:dyDescent="0.2">
      <c r="A69" s="87">
        <v>45570</v>
      </c>
      <c r="C69" t="s">
        <v>51</v>
      </c>
      <c r="D69" s="62">
        <v>-212.4</v>
      </c>
      <c r="E69" t="s">
        <v>125</v>
      </c>
      <c r="F69" t="s">
        <v>43</v>
      </c>
      <c r="G69" t="s">
        <v>55</v>
      </c>
    </row>
    <row r="70" spans="1:7" ht="16" x14ac:dyDescent="0.2">
      <c r="A70" s="87">
        <v>45570</v>
      </c>
      <c r="C70" t="s">
        <v>51</v>
      </c>
      <c r="D70" s="62">
        <v>-3.2</v>
      </c>
      <c r="E70" t="s">
        <v>63</v>
      </c>
      <c r="F70" t="s">
        <v>43</v>
      </c>
      <c r="G70" t="s">
        <v>55</v>
      </c>
    </row>
    <row r="71" spans="1:7" ht="16" x14ac:dyDescent="0.2">
      <c r="A71" s="87">
        <v>45568</v>
      </c>
      <c r="C71" t="s">
        <v>51</v>
      </c>
      <c r="D71" s="62">
        <v>-90.78</v>
      </c>
      <c r="E71" t="s">
        <v>113</v>
      </c>
      <c r="F71" t="s">
        <v>30</v>
      </c>
      <c r="G71" t="s">
        <v>55</v>
      </c>
    </row>
    <row r="72" spans="1:7" ht="16" x14ac:dyDescent="0.2">
      <c r="A72" s="87">
        <v>45568</v>
      </c>
      <c r="C72" t="s">
        <v>51</v>
      </c>
      <c r="D72" s="62">
        <v>-58.39</v>
      </c>
      <c r="E72" t="s">
        <v>126</v>
      </c>
      <c r="F72" t="s">
        <v>30</v>
      </c>
      <c r="G72" t="s">
        <v>55</v>
      </c>
    </row>
    <row r="73" spans="1:7" ht="16" x14ac:dyDescent="0.2">
      <c r="A73" s="87">
        <v>45568</v>
      </c>
      <c r="C73" t="s">
        <v>51</v>
      </c>
      <c r="D73" s="62">
        <v>-45.16</v>
      </c>
      <c r="E73" t="s">
        <v>114</v>
      </c>
      <c r="F73" t="s">
        <v>30</v>
      </c>
      <c r="G73" t="s">
        <v>55</v>
      </c>
    </row>
    <row r="74" spans="1:7" ht="16" x14ac:dyDescent="0.2">
      <c r="A74" s="87">
        <v>45567</v>
      </c>
      <c r="C74" t="s">
        <v>51</v>
      </c>
      <c r="D74" s="62">
        <v>-24.32</v>
      </c>
      <c r="E74" t="s">
        <v>117</v>
      </c>
      <c r="F74" t="s">
        <v>30</v>
      </c>
      <c r="G74" t="s">
        <v>55</v>
      </c>
    </row>
    <row r="75" spans="1:7" ht="16" x14ac:dyDescent="0.2">
      <c r="A75" s="87">
        <v>45567</v>
      </c>
      <c r="C75" t="s">
        <v>51</v>
      </c>
      <c r="D75" s="62">
        <v>-115.89</v>
      </c>
      <c r="E75" t="s">
        <v>109</v>
      </c>
      <c r="F75" t="s">
        <v>35</v>
      </c>
      <c r="G75" t="s">
        <v>55</v>
      </c>
    </row>
    <row r="76" spans="1:7" ht="16" x14ac:dyDescent="0.2">
      <c r="A76" s="87">
        <v>45567</v>
      </c>
      <c r="C76" t="s">
        <v>51</v>
      </c>
      <c r="D76" s="62">
        <v>-134.01</v>
      </c>
      <c r="E76" t="s">
        <v>127</v>
      </c>
      <c r="F76" t="s">
        <v>30</v>
      </c>
      <c r="G76" t="s">
        <v>55</v>
      </c>
    </row>
    <row r="77" spans="1:7" ht="16" x14ac:dyDescent="0.2">
      <c r="A77" s="87">
        <v>45565</v>
      </c>
      <c r="C77" t="s">
        <v>51</v>
      </c>
      <c r="D77" s="62">
        <v>-25.57</v>
      </c>
      <c r="E77" t="s">
        <v>128</v>
      </c>
      <c r="F77" t="s">
        <v>30</v>
      </c>
      <c r="G77" t="s">
        <v>55</v>
      </c>
    </row>
    <row r="78" spans="1:7" ht="17" customHeight="1" x14ac:dyDescent="0.2">
      <c r="A78" s="87">
        <v>45565</v>
      </c>
      <c r="C78" t="s">
        <v>51</v>
      </c>
      <c r="D78" s="62">
        <v>-156.80000000000001</v>
      </c>
      <c r="E78" s="61" t="s">
        <v>129</v>
      </c>
      <c r="F78" t="s">
        <v>169</v>
      </c>
      <c r="G78" t="s">
        <v>55</v>
      </c>
    </row>
    <row r="79" spans="1:7" ht="17" customHeight="1" x14ac:dyDescent="0.2">
      <c r="A79" s="87">
        <v>45563</v>
      </c>
      <c r="C79" t="s">
        <v>51</v>
      </c>
      <c r="D79" s="62">
        <v>-103.51</v>
      </c>
      <c r="E79" s="61" t="s">
        <v>131</v>
      </c>
      <c r="F79" t="s">
        <v>30</v>
      </c>
      <c r="G79" t="s">
        <v>55</v>
      </c>
    </row>
    <row r="80" spans="1:7" ht="17" customHeight="1" x14ac:dyDescent="0.2">
      <c r="A80" s="87">
        <v>45562</v>
      </c>
      <c r="C80" t="s">
        <v>51</v>
      </c>
      <c r="D80" s="62">
        <v>-18.91</v>
      </c>
      <c r="E80" s="61" t="s">
        <v>117</v>
      </c>
      <c r="F80" t="s">
        <v>30</v>
      </c>
      <c r="G80" t="s">
        <v>55</v>
      </c>
    </row>
    <row r="81" spans="1:7" ht="17" customHeight="1" x14ac:dyDescent="0.2">
      <c r="A81" s="87">
        <v>45561</v>
      </c>
      <c r="C81" t="s">
        <v>51</v>
      </c>
      <c r="D81" s="62">
        <v>-43.8</v>
      </c>
      <c r="E81" s="61" t="s">
        <v>132</v>
      </c>
      <c r="F81" t="s">
        <v>30</v>
      </c>
      <c r="G81" t="s">
        <v>55</v>
      </c>
    </row>
    <row r="82" spans="1:7" ht="17" customHeight="1" x14ac:dyDescent="0.2">
      <c r="A82" s="87">
        <v>45561</v>
      </c>
      <c r="C82" t="s">
        <v>51</v>
      </c>
      <c r="D82" s="62">
        <v>-108.77</v>
      </c>
      <c r="E82" s="61" t="s">
        <v>113</v>
      </c>
      <c r="F82" t="s">
        <v>30</v>
      </c>
      <c r="G82" t="s">
        <v>55</v>
      </c>
    </row>
    <row r="83" spans="1:7" ht="18" x14ac:dyDescent="0.2">
      <c r="A83" s="87">
        <v>45559</v>
      </c>
      <c r="C83" t="s">
        <v>51</v>
      </c>
      <c r="D83" s="62">
        <v>-29.84</v>
      </c>
      <c r="E83" s="61" t="s">
        <v>117</v>
      </c>
      <c r="F83" t="s">
        <v>30</v>
      </c>
      <c r="G83" t="s">
        <v>55</v>
      </c>
    </row>
    <row r="84" spans="1:7" ht="16" x14ac:dyDescent="0.2">
      <c r="A84" s="87">
        <v>45558</v>
      </c>
      <c r="C84" t="s">
        <v>51</v>
      </c>
      <c r="D84" s="62">
        <v>-89.02</v>
      </c>
      <c r="E84" t="s">
        <v>133</v>
      </c>
      <c r="F84" t="s">
        <v>43</v>
      </c>
      <c r="G84" t="s">
        <v>55</v>
      </c>
    </row>
    <row r="85" spans="1:7" ht="16" x14ac:dyDescent="0.2">
      <c r="A85" s="87">
        <v>45557</v>
      </c>
      <c r="C85" t="s">
        <v>51</v>
      </c>
      <c r="D85" s="62">
        <v>-37.369999999999997</v>
      </c>
      <c r="E85" t="s">
        <v>134</v>
      </c>
      <c r="F85" t="s">
        <v>30</v>
      </c>
      <c r="G85" t="s">
        <v>55</v>
      </c>
    </row>
    <row r="86" spans="1:7" ht="16" x14ac:dyDescent="0.2">
      <c r="A86" s="87">
        <v>45556</v>
      </c>
      <c r="C86" t="s">
        <v>51</v>
      </c>
      <c r="D86" s="62">
        <v>-18.79</v>
      </c>
      <c r="E86" t="s">
        <v>135</v>
      </c>
      <c r="F86" t="s">
        <v>40</v>
      </c>
      <c r="G86" t="s">
        <v>55</v>
      </c>
    </row>
    <row r="87" spans="1:7" ht="18" x14ac:dyDescent="0.2">
      <c r="A87" s="87">
        <v>45556</v>
      </c>
      <c r="C87" t="s">
        <v>51</v>
      </c>
      <c r="D87" s="62">
        <v>-36.31</v>
      </c>
      <c r="E87" s="61" t="s">
        <v>113</v>
      </c>
      <c r="F87" t="s">
        <v>30</v>
      </c>
      <c r="G87" t="s">
        <v>55</v>
      </c>
    </row>
    <row r="88" spans="1:7" ht="16" x14ac:dyDescent="0.2">
      <c r="A88" s="87">
        <v>45554</v>
      </c>
      <c r="C88" t="s">
        <v>51</v>
      </c>
      <c r="D88" s="62">
        <v>-29.84</v>
      </c>
      <c r="E88" t="s">
        <v>136</v>
      </c>
      <c r="F88" t="s">
        <v>30</v>
      </c>
      <c r="G88" t="s">
        <v>55</v>
      </c>
    </row>
    <row r="89" spans="1:7" ht="16" x14ac:dyDescent="0.2">
      <c r="A89" s="87">
        <v>45553</v>
      </c>
      <c r="C89" t="s">
        <v>51</v>
      </c>
      <c r="D89" s="62">
        <v>-29.84</v>
      </c>
      <c r="E89" t="s">
        <v>136</v>
      </c>
      <c r="F89" t="s">
        <v>30</v>
      </c>
      <c r="G89" t="s">
        <v>55</v>
      </c>
    </row>
    <row r="90" spans="1:7" ht="18" x14ac:dyDescent="0.2">
      <c r="A90" s="87">
        <v>45553</v>
      </c>
      <c r="C90" t="s">
        <v>51</v>
      </c>
      <c r="D90" s="62">
        <v>-41.48</v>
      </c>
      <c r="E90" s="61" t="s">
        <v>79</v>
      </c>
      <c r="F90" t="s">
        <v>30</v>
      </c>
      <c r="G90" t="s">
        <v>55</v>
      </c>
    </row>
    <row r="91" spans="1:7" ht="16" x14ac:dyDescent="0.2">
      <c r="A91" s="87">
        <v>45552</v>
      </c>
      <c r="C91" t="s">
        <v>51</v>
      </c>
      <c r="D91" s="62">
        <v>-22.35</v>
      </c>
      <c r="E91" t="s">
        <v>137</v>
      </c>
      <c r="F91" t="s">
        <v>30</v>
      </c>
      <c r="G91" t="s">
        <v>55</v>
      </c>
    </row>
    <row r="92" spans="1:7" ht="18" x14ac:dyDescent="0.2">
      <c r="A92" s="87">
        <v>45552</v>
      </c>
      <c r="C92" t="s">
        <v>51</v>
      </c>
      <c r="D92" s="62">
        <v>-70</v>
      </c>
      <c r="E92" s="61" t="s">
        <v>138</v>
      </c>
      <c r="F92" t="s">
        <v>43</v>
      </c>
      <c r="G92" t="s">
        <v>55</v>
      </c>
    </row>
    <row r="93" spans="1:7" ht="18" x14ac:dyDescent="0.2">
      <c r="A93" s="87">
        <v>45551</v>
      </c>
      <c r="C93" t="s">
        <v>51</v>
      </c>
      <c r="D93" s="62">
        <v>-196</v>
      </c>
      <c r="E93" s="61" t="s">
        <v>141</v>
      </c>
      <c r="F93" t="s">
        <v>169</v>
      </c>
      <c r="G93" t="s">
        <v>55</v>
      </c>
    </row>
    <row r="94" spans="1:7" ht="16" x14ac:dyDescent="0.2">
      <c r="A94" s="87">
        <v>45548</v>
      </c>
      <c r="C94" t="s">
        <v>51</v>
      </c>
      <c r="D94" s="62">
        <v>-8</v>
      </c>
      <c r="E94" t="s">
        <v>63</v>
      </c>
      <c r="F94" t="s">
        <v>43</v>
      </c>
      <c r="G94" t="s">
        <v>55</v>
      </c>
    </row>
    <row r="95" spans="1:7" ht="16" x14ac:dyDescent="0.2">
      <c r="A95" s="87">
        <v>45548</v>
      </c>
      <c r="C95" t="s">
        <v>51</v>
      </c>
      <c r="D95" s="62">
        <v>-60.78</v>
      </c>
      <c r="E95" s="133" t="s">
        <v>142</v>
      </c>
      <c r="F95" t="s">
        <v>43</v>
      </c>
      <c r="G95" t="s">
        <v>55</v>
      </c>
    </row>
    <row r="96" spans="1:7" ht="16" x14ac:dyDescent="0.2">
      <c r="A96" s="87">
        <v>45546</v>
      </c>
      <c r="C96" t="s">
        <v>51</v>
      </c>
      <c r="D96" s="62">
        <v>-18.07</v>
      </c>
      <c r="E96" t="s">
        <v>136</v>
      </c>
      <c r="F96" t="s">
        <v>30</v>
      </c>
      <c r="G96" t="s">
        <v>55</v>
      </c>
    </row>
    <row r="97" spans="1:7" ht="16" x14ac:dyDescent="0.2">
      <c r="A97" s="87">
        <v>45546</v>
      </c>
      <c r="C97" t="s">
        <v>51</v>
      </c>
      <c r="D97" s="62">
        <v>-106.18</v>
      </c>
      <c r="E97" s="133" t="s">
        <v>144</v>
      </c>
      <c r="F97" t="s">
        <v>43</v>
      </c>
      <c r="G97" t="s">
        <v>55</v>
      </c>
    </row>
    <row r="98" spans="1:7" ht="16" x14ac:dyDescent="0.2">
      <c r="A98" s="87">
        <v>45546</v>
      </c>
      <c r="C98" t="s">
        <v>51</v>
      </c>
      <c r="D98" s="62">
        <v>-1913.34</v>
      </c>
      <c r="E98" s="133" t="s">
        <v>145</v>
      </c>
      <c r="F98" t="s">
        <v>43</v>
      </c>
      <c r="G98" t="s">
        <v>55</v>
      </c>
    </row>
    <row r="99" spans="1:7" ht="18" x14ac:dyDescent="0.2">
      <c r="A99" s="87">
        <v>45546</v>
      </c>
      <c r="C99" t="s">
        <v>51</v>
      </c>
      <c r="D99" s="62">
        <v>-25.6</v>
      </c>
      <c r="E99" s="61" t="s">
        <v>137</v>
      </c>
      <c r="F99" t="s">
        <v>30</v>
      </c>
      <c r="G99" t="s">
        <v>55</v>
      </c>
    </row>
    <row r="100" spans="1:7" ht="18" x14ac:dyDescent="0.2">
      <c r="A100" s="87">
        <v>45545</v>
      </c>
      <c r="C100" t="s">
        <v>51</v>
      </c>
      <c r="D100" s="62">
        <v>-200</v>
      </c>
      <c r="E100" s="61" t="s">
        <v>146</v>
      </c>
      <c r="F100" t="s">
        <v>43</v>
      </c>
      <c r="G100" t="s">
        <v>55</v>
      </c>
    </row>
    <row r="101" spans="1:7" ht="18" x14ac:dyDescent="0.2">
      <c r="A101" s="87">
        <v>45545</v>
      </c>
      <c r="C101" t="s">
        <v>51</v>
      </c>
      <c r="D101" s="62">
        <v>-95.99</v>
      </c>
      <c r="E101" s="61" t="s">
        <v>127</v>
      </c>
      <c r="F101" t="s">
        <v>30</v>
      </c>
      <c r="G101" t="s">
        <v>55</v>
      </c>
    </row>
    <row r="102" spans="1:7" ht="16" x14ac:dyDescent="0.2">
      <c r="A102" s="87">
        <v>45544</v>
      </c>
      <c r="C102" t="s">
        <v>51</v>
      </c>
      <c r="D102" s="62">
        <v>-960.4</v>
      </c>
      <c r="E102" t="s">
        <v>147</v>
      </c>
      <c r="F102" t="s">
        <v>169</v>
      </c>
      <c r="G102" t="s">
        <v>55</v>
      </c>
    </row>
    <row r="103" spans="1:7" ht="18" x14ac:dyDescent="0.2">
      <c r="A103" s="87">
        <v>45543</v>
      </c>
      <c r="C103" t="s">
        <v>51</v>
      </c>
      <c r="D103" s="62">
        <v>-32.76</v>
      </c>
      <c r="E103" s="61" t="s">
        <v>117</v>
      </c>
      <c r="F103" t="s">
        <v>30</v>
      </c>
      <c r="G103" t="s">
        <v>55</v>
      </c>
    </row>
    <row r="104" spans="1:7" ht="16" x14ac:dyDescent="0.2">
      <c r="A104" s="87">
        <v>45544</v>
      </c>
      <c r="C104" t="s">
        <v>51</v>
      </c>
      <c r="D104" s="62">
        <v>-105.57</v>
      </c>
      <c r="E104" s="5" t="s">
        <v>148</v>
      </c>
      <c r="F104" t="s">
        <v>43</v>
      </c>
      <c r="G104" t="s">
        <v>55</v>
      </c>
    </row>
    <row r="105" spans="1:7" ht="16" x14ac:dyDescent="0.2">
      <c r="A105" s="87">
        <v>45543</v>
      </c>
      <c r="C105" t="s">
        <v>51</v>
      </c>
      <c r="D105" s="62">
        <v>-112.35</v>
      </c>
      <c r="E105" s="5" t="s">
        <v>84</v>
      </c>
      <c r="F105" s="40" t="s">
        <v>43</v>
      </c>
      <c r="G105" t="s">
        <v>55</v>
      </c>
    </row>
    <row r="106" spans="1:7" ht="16" x14ac:dyDescent="0.2">
      <c r="A106" s="87">
        <v>45543</v>
      </c>
      <c r="C106" t="s">
        <v>51</v>
      </c>
      <c r="D106" s="62">
        <v>-41.59</v>
      </c>
      <c r="E106" s="5" t="s">
        <v>132</v>
      </c>
      <c r="F106" s="40" t="s">
        <v>30</v>
      </c>
      <c r="G106" t="s">
        <v>55</v>
      </c>
    </row>
    <row r="107" spans="1:7" ht="16" x14ac:dyDescent="0.2">
      <c r="A107" s="87">
        <v>45541</v>
      </c>
      <c r="C107" t="s">
        <v>51</v>
      </c>
      <c r="D107" s="62">
        <v>-42.56</v>
      </c>
      <c r="E107" s="5" t="s">
        <v>79</v>
      </c>
      <c r="F107" s="40" t="s">
        <v>30</v>
      </c>
      <c r="G107" t="s">
        <v>55</v>
      </c>
    </row>
    <row r="108" spans="1:7" ht="16" x14ac:dyDescent="0.2">
      <c r="A108" s="87">
        <v>45541</v>
      </c>
      <c r="C108" t="s">
        <v>51</v>
      </c>
      <c r="D108" s="62">
        <v>-1308.43</v>
      </c>
      <c r="E108" s="134" t="s">
        <v>149</v>
      </c>
      <c r="F108" t="s">
        <v>43</v>
      </c>
      <c r="G108" t="s">
        <v>55</v>
      </c>
    </row>
    <row r="109" spans="1:7" ht="16" x14ac:dyDescent="0.2">
      <c r="A109" s="87">
        <v>45541</v>
      </c>
      <c r="C109" t="s">
        <v>51</v>
      </c>
      <c r="D109" s="62">
        <v>-6025.55</v>
      </c>
      <c r="E109" s="5" t="s">
        <v>73</v>
      </c>
      <c r="F109" s="40" t="s">
        <v>36</v>
      </c>
      <c r="G109" t="s">
        <v>55</v>
      </c>
    </row>
    <row r="110" spans="1:7" ht="16" x14ac:dyDescent="0.2">
      <c r="A110" s="87">
        <v>45540</v>
      </c>
      <c r="C110" t="s">
        <v>51</v>
      </c>
      <c r="D110" s="62">
        <v>-13.66</v>
      </c>
      <c r="E110" s="5" t="s">
        <v>150</v>
      </c>
      <c r="F110" s="40" t="s">
        <v>30</v>
      </c>
      <c r="G110" t="s">
        <v>55</v>
      </c>
    </row>
    <row r="111" spans="1:7" ht="16" x14ac:dyDescent="0.2">
      <c r="A111" s="87">
        <v>45540</v>
      </c>
      <c r="C111" t="s">
        <v>51</v>
      </c>
      <c r="D111" s="62">
        <v>-200.81</v>
      </c>
      <c r="E111" s="5" t="s">
        <v>151</v>
      </c>
      <c r="F111" t="s">
        <v>43</v>
      </c>
      <c r="G111" t="s">
        <v>55</v>
      </c>
    </row>
    <row r="112" spans="1:7" ht="16" x14ac:dyDescent="0.2">
      <c r="A112" s="87">
        <v>45539</v>
      </c>
      <c r="C112" t="s">
        <v>51</v>
      </c>
      <c r="D112" s="62">
        <v>-78</v>
      </c>
      <c r="E112" s="134" t="s">
        <v>152</v>
      </c>
      <c r="F112" t="s">
        <v>43</v>
      </c>
      <c r="G112" t="s">
        <v>55</v>
      </c>
    </row>
    <row r="113" spans="1:7" ht="16" x14ac:dyDescent="0.2">
      <c r="A113" s="87">
        <v>45537</v>
      </c>
      <c r="C113" t="s">
        <v>51</v>
      </c>
      <c r="D113" s="62">
        <v>-1503.6</v>
      </c>
      <c r="E113" s="5" t="s">
        <v>153</v>
      </c>
      <c r="F113" s="40" t="s">
        <v>169</v>
      </c>
      <c r="G113" t="s">
        <v>55</v>
      </c>
    </row>
    <row r="114" spans="1:7" ht="16" x14ac:dyDescent="0.2">
      <c r="A114" s="87">
        <v>45537</v>
      </c>
      <c r="C114" t="s">
        <v>51</v>
      </c>
      <c r="D114" s="62">
        <v>-83.94</v>
      </c>
      <c r="E114" s="5" t="s">
        <v>154</v>
      </c>
      <c r="F114" t="s">
        <v>43</v>
      </c>
      <c r="G114" t="s">
        <v>55</v>
      </c>
    </row>
    <row r="115" spans="1:7" ht="16" x14ac:dyDescent="0.2">
      <c r="A115" s="87">
        <v>45530</v>
      </c>
      <c r="C115" t="s">
        <v>51</v>
      </c>
      <c r="D115" s="62">
        <v>-1425.2</v>
      </c>
      <c r="E115" s="5" t="s">
        <v>155</v>
      </c>
      <c r="F115" s="40" t="s">
        <v>169</v>
      </c>
      <c r="G115" t="s">
        <v>55</v>
      </c>
    </row>
    <row r="116" spans="1:7" ht="16" x14ac:dyDescent="0.2">
      <c r="A116" s="87">
        <v>45523</v>
      </c>
      <c r="C116" t="s">
        <v>51</v>
      </c>
      <c r="D116" s="62">
        <v>-79.150000000000006</v>
      </c>
      <c r="E116" s="5" t="s">
        <v>142</v>
      </c>
      <c r="F116" t="s">
        <v>43</v>
      </c>
      <c r="G116" t="s">
        <v>55</v>
      </c>
    </row>
    <row r="117" spans="1:7" ht="16" x14ac:dyDescent="0.2">
      <c r="A117" s="87">
        <v>45523</v>
      </c>
      <c r="C117" t="s">
        <v>51</v>
      </c>
      <c r="D117" s="62">
        <v>-1121.4000000000001</v>
      </c>
      <c r="E117" s="5" t="s">
        <v>156</v>
      </c>
      <c r="F117" s="40" t="s">
        <v>169</v>
      </c>
      <c r="G117" t="s">
        <v>55</v>
      </c>
    </row>
    <row r="118" spans="1:7" ht="16" x14ac:dyDescent="0.2">
      <c r="A118" s="87">
        <v>45520</v>
      </c>
      <c r="C118" t="s">
        <v>51</v>
      </c>
      <c r="D118" s="62">
        <v>-24.99</v>
      </c>
      <c r="E118" s="134" t="s">
        <v>157</v>
      </c>
      <c r="F118" t="s">
        <v>43</v>
      </c>
      <c r="G118" t="s">
        <v>55</v>
      </c>
    </row>
    <row r="119" spans="1:7" ht="16" x14ac:dyDescent="0.2">
      <c r="A119" s="87">
        <v>45519</v>
      </c>
      <c r="C119" t="s">
        <v>51</v>
      </c>
      <c r="D119" s="62">
        <v>-5.25</v>
      </c>
      <c r="E119" s="134" t="s">
        <v>158</v>
      </c>
      <c r="F119" t="s">
        <v>43</v>
      </c>
      <c r="G119" t="s">
        <v>55</v>
      </c>
    </row>
    <row r="120" spans="1:7" ht="16" x14ac:dyDescent="0.2">
      <c r="A120" s="87">
        <v>45517</v>
      </c>
      <c r="C120" t="s">
        <v>51</v>
      </c>
      <c r="D120" s="62">
        <v>-59.98</v>
      </c>
      <c r="E120" s="5" t="s">
        <v>142</v>
      </c>
      <c r="F120" t="s">
        <v>43</v>
      </c>
      <c r="G120" t="s">
        <v>55</v>
      </c>
    </row>
    <row r="121" spans="1:7" ht="16" x14ac:dyDescent="0.2">
      <c r="A121" s="87">
        <v>45516</v>
      </c>
      <c r="C121" t="s">
        <v>51</v>
      </c>
      <c r="D121" s="62">
        <f>-945</f>
        <v>-945</v>
      </c>
      <c r="E121" s="5" t="s">
        <v>160</v>
      </c>
      <c r="F121" s="40" t="s">
        <v>169</v>
      </c>
      <c r="G121" t="s">
        <v>55</v>
      </c>
    </row>
    <row r="122" spans="1:7" ht="18" x14ac:dyDescent="0.2">
      <c r="A122" s="87">
        <v>45513</v>
      </c>
      <c r="C122" t="s">
        <v>51</v>
      </c>
      <c r="D122" s="62">
        <v>-58.28</v>
      </c>
      <c r="E122" s="61" t="s">
        <v>161</v>
      </c>
      <c r="F122" t="s">
        <v>43</v>
      </c>
      <c r="G122" t="s">
        <v>55</v>
      </c>
    </row>
    <row r="123" spans="1:7" ht="18" x14ac:dyDescent="0.2">
      <c r="A123" s="87">
        <v>45511</v>
      </c>
      <c r="C123" t="s">
        <v>51</v>
      </c>
      <c r="D123" s="62">
        <v>-100</v>
      </c>
      <c r="E123" s="61" t="s">
        <v>162</v>
      </c>
      <c r="F123" t="s">
        <v>43</v>
      </c>
      <c r="G123" t="s">
        <v>55</v>
      </c>
    </row>
    <row r="124" spans="1:7" ht="16" x14ac:dyDescent="0.2">
      <c r="A124" s="87">
        <v>45510</v>
      </c>
      <c r="C124" t="s">
        <v>51</v>
      </c>
      <c r="D124" s="62">
        <v>-5</v>
      </c>
      <c r="E124" s="5" t="s">
        <v>163</v>
      </c>
      <c r="F124" t="s">
        <v>43</v>
      </c>
      <c r="G124" t="s">
        <v>55</v>
      </c>
    </row>
    <row r="125" spans="1:7" ht="16" x14ac:dyDescent="0.2">
      <c r="A125" s="87">
        <v>45510</v>
      </c>
      <c r="C125" t="s">
        <v>51</v>
      </c>
      <c r="D125" s="62">
        <v>-10</v>
      </c>
      <c r="E125" s="5" t="s">
        <v>163</v>
      </c>
      <c r="F125" t="s">
        <v>43</v>
      </c>
      <c r="G125" t="s">
        <v>55</v>
      </c>
    </row>
    <row r="126" spans="1:7" ht="16" x14ac:dyDescent="0.2">
      <c r="A126" s="87">
        <v>45509</v>
      </c>
      <c r="C126" t="s">
        <v>51</v>
      </c>
      <c r="D126" s="62">
        <f>-945</f>
        <v>-945</v>
      </c>
      <c r="E126" s="5" t="s">
        <v>164</v>
      </c>
      <c r="F126" s="40" t="s">
        <v>169</v>
      </c>
      <c r="G126" t="s">
        <v>55</v>
      </c>
    </row>
    <row r="127" spans="1:7" ht="16" x14ac:dyDescent="0.2">
      <c r="A127" s="87">
        <v>45509</v>
      </c>
      <c r="C127" t="s">
        <v>51</v>
      </c>
      <c r="D127" s="62">
        <v>-156.75</v>
      </c>
      <c r="E127" s="5" t="s">
        <v>165</v>
      </c>
      <c r="F127" t="s">
        <v>43</v>
      </c>
      <c r="G127" t="s">
        <v>55</v>
      </c>
    </row>
    <row r="128" spans="1:7" ht="16" x14ac:dyDescent="0.2">
      <c r="A128" s="87">
        <v>45502</v>
      </c>
      <c r="C128" t="s">
        <v>51</v>
      </c>
      <c r="D128" s="62">
        <f>-945</f>
        <v>-945</v>
      </c>
      <c r="E128" s="5" t="s">
        <v>167</v>
      </c>
      <c r="F128" s="40" t="s">
        <v>169</v>
      </c>
      <c r="G128" t="s">
        <v>55</v>
      </c>
    </row>
    <row r="129" spans="1:8" ht="16" x14ac:dyDescent="0.2">
      <c r="A129" s="87">
        <v>45498</v>
      </c>
      <c r="C129" t="s">
        <v>51</v>
      </c>
      <c r="D129" s="62">
        <f>-24.1</f>
        <v>-24.1</v>
      </c>
      <c r="E129" s="5" t="s">
        <v>168</v>
      </c>
      <c r="F129" s="40" t="s">
        <v>169</v>
      </c>
      <c r="G129" t="s">
        <v>91</v>
      </c>
    </row>
    <row r="130" spans="1:8" ht="16" x14ac:dyDescent="0.2">
      <c r="A130" s="87">
        <v>45496</v>
      </c>
      <c r="C130" t="s">
        <v>51</v>
      </c>
      <c r="D130" s="62">
        <v>-5</v>
      </c>
      <c r="E130" s="5" t="s">
        <v>100</v>
      </c>
      <c r="F130" s="40" t="s">
        <v>40</v>
      </c>
      <c r="G130" t="s">
        <v>55</v>
      </c>
    </row>
    <row r="131" spans="1:8" ht="16" x14ac:dyDescent="0.2">
      <c r="A131" s="87">
        <v>45496</v>
      </c>
      <c r="C131" t="s">
        <v>51</v>
      </c>
      <c r="D131" s="62">
        <v>-11.98</v>
      </c>
      <c r="E131" s="5" t="s">
        <v>170</v>
      </c>
      <c r="F131" s="40" t="s">
        <v>171</v>
      </c>
      <c r="G131" t="s">
        <v>55</v>
      </c>
    </row>
    <row r="132" spans="1:8" ht="16" x14ac:dyDescent="0.2">
      <c r="A132" s="87">
        <v>45495</v>
      </c>
      <c r="C132" t="s">
        <v>51</v>
      </c>
      <c r="D132" s="62">
        <v>-1036.8800000000001</v>
      </c>
      <c r="E132" s="5" t="s">
        <v>172</v>
      </c>
      <c r="F132" s="40" t="s">
        <v>169</v>
      </c>
      <c r="G132" t="s">
        <v>55</v>
      </c>
    </row>
    <row r="133" spans="1:8" ht="16" x14ac:dyDescent="0.2">
      <c r="A133" s="87">
        <v>45492</v>
      </c>
      <c r="C133" t="s">
        <v>51</v>
      </c>
      <c r="D133" s="62">
        <v>-79.150000000000006</v>
      </c>
      <c r="E133" s="5" t="s">
        <v>142</v>
      </c>
      <c r="F133" t="s">
        <v>43</v>
      </c>
      <c r="G133" t="s">
        <v>55</v>
      </c>
    </row>
    <row r="134" spans="1:8" ht="16" x14ac:dyDescent="0.2">
      <c r="A134" s="87">
        <v>45488</v>
      </c>
      <c r="C134" t="s">
        <v>51</v>
      </c>
      <c r="D134" s="62">
        <v>-2321.5500000000002</v>
      </c>
      <c r="E134" s="5" t="s">
        <v>173</v>
      </c>
      <c r="F134" s="40" t="s">
        <v>169</v>
      </c>
      <c r="G134" t="s">
        <v>55</v>
      </c>
    </row>
    <row r="135" spans="1:8" ht="16" x14ac:dyDescent="0.2">
      <c r="A135" s="87">
        <v>45487</v>
      </c>
      <c r="C135" t="s">
        <v>51</v>
      </c>
      <c r="D135" s="62">
        <v>-60.16</v>
      </c>
      <c r="E135" s="5" t="s">
        <v>142</v>
      </c>
      <c r="F135" t="s">
        <v>43</v>
      </c>
      <c r="G135" t="s">
        <v>55</v>
      </c>
    </row>
    <row r="136" spans="1:8" ht="16" x14ac:dyDescent="0.2">
      <c r="A136" s="87">
        <v>45484</v>
      </c>
      <c r="C136" t="s">
        <v>51</v>
      </c>
      <c r="D136" s="62">
        <v>-72.62</v>
      </c>
      <c r="E136" s="5" t="s">
        <v>174</v>
      </c>
      <c r="F136" s="40" t="s">
        <v>30</v>
      </c>
      <c r="G136" t="s">
        <v>55</v>
      </c>
    </row>
    <row r="137" spans="1:8" ht="16" x14ac:dyDescent="0.2">
      <c r="A137" s="87">
        <v>45483</v>
      </c>
      <c r="C137" t="s">
        <v>51</v>
      </c>
      <c r="D137" s="62">
        <v>-216.28</v>
      </c>
      <c r="E137" s="133" t="s">
        <v>168</v>
      </c>
      <c r="F137" t="s">
        <v>35</v>
      </c>
      <c r="G137" t="s">
        <v>91</v>
      </c>
      <c r="H137" s="37"/>
    </row>
    <row r="138" spans="1:8" ht="16" x14ac:dyDescent="0.2">
      <c r="A138" s="87">
        <v>45482</v>
      </c>
      <c r="C138" t="s">
        <v>51</v>
      </c>
      <c r="D138" s="62">
        <v>-14.95</v>
      </c>
      <c r="E138" s="5" t="s">
        <v>175</v>
      </c>
      <c r="F138" t="s">
        <v>43</v>
      </c>
      <c r="G138" t="s">
        <v>55</v>
      </c>
    </row>
    <row r="139" spans="1:8" ht="16" x14ac:dyDescent="0.2">
      <c r="A139" s="87">
        <v>45481</v>
      </c>
      <c r="C139" t="s">
        <v>51</v>
      </c>
      <c r="D139" s="62">
        <v>-3916.5</v>
      </c>
      <c r="E139" s="5" t="s">
        <v>176</v>
      </c>
      <c r="F139" s="40" t="s">
        <v>169</v>
      </c>
      <c r="G139" t="s">
        <v>55</v>
      </c>
    </row>
    <row r="140" spans="1:8" ht="16" x14ac:dyDescent="0.2">
      <c r="A140" s="87">
        <v>45478</v>
      </c>
      <c r="C140" t="s">
        <v>51</v>
      </c>
      <c r="D140" s="62">
        <v>-140.02000000000001</v>
      </c>
      <c r="E140" s="5" t="s">
        <v>177</v>
      </c>
      <c r="F140" t="s">
        <v>43</v>
      </c>
      <c r="G140" t="s">
        <v>55</v>
      </c>
    </row>
    <row r="141" spans="1:8" ht="16" x14ac:dyDescent="0.2">
      <c r="A141" s="87">
        <v>45476</v>
      </c>
      <c r="C141" t="s">
        <v>51</v>
      </c>
      <c r="D141" s="62">
        <v>-6177.5</v>
      </c>
      <c r="E141" s="5" t="s">
        <v>178</v>
      </c>
      <c r="F141" s="40" t="s">
        <v>169</v>
      </c>
      <c r="G141" t="s">
        <v>55</v>
      </c>
    </row>
    <row r="142" spans="1:8" ht="16" x14ac:dyDescent="0.2">
      <c r="A142" s="87">
        <v>45476</v>
      </c>
      <c r="C142" t="s">
        <v>51</v>
      </c>
      <c r="D142" s="62">
        <v>-71.099999999999994</v>
      </c>
      <c r="E142" s="5" t="s">
        <v>168</v>
      </c>
      <c r="F142" t="s">
        <v>35</v>
      </c>
      <c r="G142" t="s">
        <v>55</v>
      </c>
    </row>
    <row r="143" spans="1:8" ht="16" x14ac:dyDescent="0.2">
      <c r="A143" s="87">
        <v>45476</v>
      </c>
      <c r="C143" t="s">
        <v>51</v>
      </c>
      <c r="D143" s="62">
        <v>-413</v>
      </c>
      <c r="E143" s="5" t="s">
        <v>168</v>
      </c>
      <c r="F143" t="s">
        <v>35</v>
      </c>
      <c r="G143" t="s">
        <v>55</v>
      </c>
    </row>
    <row r="144" spans="1:8" ht="16" x14ac:dyDescent="0.2">
      <c r="A144" s="87">
        <v>45467</v>
      </c>
      <c r="C144" t="s">
        <v>51</v>
      </c>
      <c r="D144" s="62">
        <f>-4586.45</f>
        <v>-4586.45</v>
      </c>
      <c r="E144" s="5" t="s">
        <v>180</v>
      </c>
      <c r="F144" s="40" t="s">
        <v>169</v>
      </c>
      <c r="G144" t="s">
        <v>55</v>
      </c>
    </row>
    <row r="145" spans="1:8" ht="16" x14ac:dyDescent="0.2">
      <c r="A145" s="87">
        <v>45462</v>
      </c>
      <c r="C145" t="s">
        <v>51</v>
      </c>
      <c r="D145" s="62">
        <f>-123.92</f>
        <v>-123.92</v>
      </c>
      <c r="E145" s="5" t="s">
        <v>182</v>
      </c>
      <c r="F145" s="40" t="s">
        <v>30</v>
      </c>
      <c r="G145" t="s">
        <v>55</v>
      </c>
    </row>
    <row r="146" spans="1:8" ht="16" x14ac:dyDescent="0.2">
      <c r="A146" s="87">
        <v>45462</v>
      </c>
      <c r="C146" t="s">
        <v>51</v>
      </c>
      <c r="D146" s="62">
        <f>-79.15</f>
        <v>-79.150000000000006</v>
      </c>
      <c r="E146" s="5" t="s">
        <v>142</v>
      </c>
      <c r="F146" t="s">
        <v>43</v>
      </c>
      <c r="G146" t="s">
        <v>55</v>
      </c>
    </row>
    <row r="147" spans="1:8" ht="16" x14ac:dyDescent="0.2">
      <c r="A147" s="87">
        <v>45460</v>
      </c>
      <c r="C147" t="s">
        <v>51</v>
      </c>
      <c r="D147" s="39">
        <f>-9.99</f>
        <v>-9.99</v>
      </c>
      <c r="E147" s="5" t="s">
        <v>183</v>
      </c>
      <c r="F147" t="s">
        <v>169</v>
      </c>
      <c r="G147" t="s">
        <v>55</v>
      </c>
    </row>
    <row r="148" spans="1:8" ht="16" x14ac:dyDescent="0.2">
      <c r="A148" s="87">
        <v>45460</v>
      </c>
      <c r="C148" t="s">
        <v>51</v>
      </c>
      <c r="D148" s="39">
        <f>-4490.5</f>
        <v>-4490.5</v>
      </c>
      <c r="E148" s="5" t="s">
        <v>184</v>
      </c>
      <c r="F148" t="s">
        <v>169</v>
      </c>
      <c r="G148" t="s">
        <v>55</v>
      </c>
    </row>
    <row r="149" spans="1:8" ht="16" x14ac:dyDescent="0.2">
      <c r="A149" s="87">
        <v>45456</v>
      </c>
      <c r="C149" t="s">
        <v>51</v>
      </c>
      <c r="D149" s="39">
        <f>-59.98</f>
        <v>-59.98</v>
      </c>
      <c r="E149" s="5" t="s">
        <v>142</v>
      </c>
      <c r="F149" t="s">
        <v>43</v>
      </c>
      <c r="G149" t="s">
        <v>55</v>
      </c>
    </row>
    <row r="150" spans="1:8" ht="16" x14ac:dyDescent="0.2">
      <c r="A150" s="87">
        <v>45453</v>
      </c>
      <c r="B150" s="31"/>
      <c r="C150" t="s">
        <v>51</v>
      </c>
      <c r="D150" s="39">
        <f>-1669.5</f>
        <v>-1669.5</v>
      </c>
      <c r="E150" s="5" t="s">
        <v>185</v>
      </c>
      <c r="F150" t="s">
        <v>169</v>
      </c>
      <c r="G150" t="s">
        <v>55</v>
      </c>
    </row>
    <row r="151" spans="1:8" ht="16" x14ac:dyDescent="0.2">
      <c r="A151" s="87">
        <v>45452</v>
      </c>
      <c r="B151" s="31"/>
      <c r="C151" t="s">
        <v>51</v>
      </c>
      <c r="D151" s="39">
        <f>-131.95</f>
        <v>-131.94999999999999</v>
      </c>
      <c r="E151" s="5" t="s">
        <v>186</v>
      </c>
      <c r="F151" t="s">
        <v>43</v>
      </c>
      <c r="G151" t="s">
        <v>55</v>
      </c>
    </row>
    <row r="152" spans="1:8" ht="16" x14ac:dyDescent="0.2">
      <c r="A152" s="87">
        <v>45448</v>
      </c>
      <c r="B152" s="31">
        <v>45449</v>
      </c>
      <c r="C152" t="s">
        <v>51</v>
      </c>
      <c r="D152" s="39">
        <f>-72.62</f>
        <v>-72.62</v>
      </c>
      <c r="E152" s="5" t="s">
        <v>174</v>
      </c>
      <c r="F152" t="s">
        <v>30</v>
      </c>
      <c r="G152" t="s">
        <v>55</v>
      </c>
      <c r="H152" s="37"/>
    </row>
    <row r="153" spans="1:8" ht="16" x14ac:dyDescent="0.2">
      <c r="A153" s="87">
        <v>45448</v>
      </c>
      <c r="B153" s="31">
        <v>45449</v>
      </c>
      <c r="C153" t="s">
        <v>51</v>
      </c>
      <c r="D153" s="39">
        <f>-167.92</f>
        <v>-167.92</v>
      </c>
      <c r="E153" s="5" t="s">
        <v>188</v>
      </c>
      <c r="F153" t="s">
        <v>43</v>
      </c>
      <c r="G153" t="s">
        <v>55</v>
      </c>
      <c r="H153" s="37"/>
    </row>
    <row r="154" spans="1:8" ht="16" x14ac:dyDescent="0.2">
      <c r="A154" s="87">
        <v>45448</v>
      </c>
      <c r="B154" s="31">
        <v>45449</v>
      </c>
      <c r="C154" t="s">
        <v>51</v>
      </c>
      <c r="D154" s="39">
        <v>-125.87</v>
      </c>
      <c r="E154" s="5" t="s">
        <v>189</v>
      </c>
      <c r="F154" s="38" t="s">
        <v>43</v>
      </c>
      <c r="G154" s="38" t="s">
        <v>55</v>
      </c>
      <c r="H154" s="37"/>
    </row>
    <row r="155" spans="1:8" ht="16" x14ac:dyDescent="0.2">
      <c r="A155" s="87">
        <v>45448</v>
      </c>
      <c r="B155" s="31">
        <v>45449</v>
      </c>
      <c r="C155" t="s">
        <v>51</v>
      </c>
      <c r="D155" s="39">
        <v>-22.05</v>
      </c>
      <c r="E155" s="5" t="s">
        <v>262</v>
      </c>
      <c r="F155" s="38" t="s">
        <v>169</v>
      </c>
      <c r="G155" s="38" t="s">
        <v>55</v>
      </c>
      <c r="H155" s="37"/>
    </row>
    <row r="156" spans="1:8" ht="16" x14ac:dyDescent="0.2">
      <c r="A156" s="87">
        <v>45446</v>
      </c>
      <c r="B156" s="31">
        <v>45388</v>
      </c>
      <c r="C156" t="s">
        <v>51</v>
      </c>
      <c r="D156" s="39">
        <f>-1499.45</f>
        <v>-1499.45</v>
      </c>
      <c r="E156" s="5" t="s">
        <v>263</v>
      </c>
      <c r="F156" s="38" t="s">
        <v>169</v>
      </c>
      <c r="G156" s="38" t="s">
        <v>55</v>
      </c>
      <c r="H156" s="37"/>
    </row>
    <row r="157" spans="1:8" ht="16" x14ac:dyDescent="0.2">
      <c r="A157" s="87">
        <v>45441</v>
      </c>
      <c r="B157" s="31" t="s">
        <v>264</v>
      </c>
      <c r="C157" t="s">
        <v>51</v>
      </c>
      <c r="D157" s="39">
        <f>-11.17</f>
        <v>-11.17</v>
      </c>
      <c r="E157" s="134" t="s">
        <v>188</v>
      </c>
      <c r="F157" t="s">
        <v>43</v>
      </c>
      <c r="G157" s="38" t="s">
        <v>55</v>
      </c>
      <c r="H157" s="37"/>
    </row>
    <row r="158" spans="1:8" ht="16" x14ac:dyDescent="0.2">
      <c r="A158" s="87">
        <v>45442</v>
      </c>
      <c r="B158" s="31" t="s">
        <v>264</v>
      </c>
      <c r="C158" t="s">
        <v>51</v>
      </c>
      <c r="D158" s="39">
        <f>-11.17</f>
        <v>-11.17</v>
      </c>
      <c r="E158" s="5" t="s">
        <v>188</v>
      </c>
      <c r="F158" t="s">
        <v>43</v>
      </c>
      <c r="G158" s="38" t="s">
        <v>55</v>
      </c>
      <c r="H158" s="37"/>
    </row>
    <row r="159" spans="1:8" ht="16" x14ac:dyDescent="0.2">
      <c r="A159" s="87">
        <v>45439</v>
      </c>
      <c r="B159" s="31" t="s">
        <v>265</v>
      </c>
      <c r="C159" t="s">
        <v>51</v>
      </c>
      <c r="D159" s="39">
        <f>-2371</f>
        <v>-2371</v>
      </c>
      <c r="E159" s="5" t="s">
        <v>193</v>
      </c>
      <c r="F159" s="38" t="s">
        <v>169</v>
      </c>
      <c r="G159" s="38" t="s">
        <v>55</v>
      </c>
      <c r="H159" s="37"/>
    </row>
    <row r="160" spans="1:8" ht="16" x14ac:dyDescent="0.2">
      <c r="A160" s="87">
        <v>45433</v>
      </c>
      <c r="B160" s="31" t="s">
        <v>266</v>
      </c>
      <c r="C160" t="s">
        <v>51</v>
      </c>
      <c r="D160" s="39">
        <v>-945</v>
      </c>
      <c r="E160" s="5" t="s">
        <v>267</v>
      </c>
      <c r="F160" s="5" t="s">
        <v>169</v>
      </c>
      <c r="G160" s="5" t="s">
        <v>55</v>
      </c>
      <c r="H160" s="37"/>
    </row>
    <row r="161" spans="1:8" ht="16" x14ac:dyDescent="0.2">
      <c r="A161" s="87">
        <v>45432</v>
      </c>
      <c r="B161" s="31" t="s">
        <v>266</v>
      </c>
      <c r="C161" t="s">
        <v>51</v>
      </c>
      <c r="D161" s="39">
        <v>-1126.45</v>
      </c>
      <c r="E161" s="5" t="s">
        <v>268</v>
      </c>
      <c r="F161" s="5" t="s">
        <v>169</v>
      </c>
      <c r="G161" s="5" t="s">
        <v>55</v>
      </c>
      <c r="H161" s="37"/>
    </row>
    <row r="162" spans="1:8" ht="17" x14ac:dyDescent="0.2">
      <c r="A162" s="87">
        <v>45428</v>
      </c>
      <c r="B162" s="31" t="s">
        <v>266</v>
      </c>
      <c r="C162" t="s">
        <v>51</v>
      </c>
      <c r="D162" s="39">
        <v>-214.33</v>
      </c>
      <c r="E162" s="5" t="s">
        <v>269</v>
      </c>
      <c r="F162" s="5" t="s">
        <v>30</v>
      </c>
      <c r="G162" s="5" t="s">
        <v>55</v>
      </c>
      <c r="H162" s="25" t="s">
        <v>270</v>
      </c>
    </row>
    <row r="163" spans="1:8" ht="17" x14ac:dyDescent="0.2">
      <c r="A163" s="87">
        <v>45429</v>
      </c>
      <c r="B163" s="31" t="s">
        <v>271</v>
      </c>
      <c r="C163" t="s">
        <v>51</v>
      </c>
      <c r="D163" s="39">
        <v>-192.25</v>
      </c>
      <c r="E163" s="5" t="s">
        <v>142</v>
      </c>
      <c r="F163" s="5" t="s">
        <v>43</v>
      </c>
      <c r="G163" s="5" t="s">
        <v>55</v>
      </c>
      <c r="H163" s="25" t="s">
        <v>272</v>
      </c>
    </row>
    <row r="164" spans="1:8" ht="16" x14ac:dyDescent="0.2">
      <c r="A164" s="87">
        <v>45427</v>
      </c>
      <c r="B164" s="31" t="s">
        <v>273</v>
      </c>
      <c r="C164" t="s">
        <v>51</v>
      </c>
      <c r="D164" s="39">
        <v>-31.28</v>
      </c>
      <c r="E164" s="5" t="s">
        <v>274</v>
      </c>
      <c r="F164" s="5" t="s">
        <v>30</v>
      </c>
      <c r="G164" s="5" t="s">
        <v>55</v>
      </c>
    </row>
    <row r="165" spans="1:8" ht="17" x14ac:dyDescent="0.2">
      <c r="A165" s="87">
        <v>45427</v>
      </c>
      <c r="B165" s="31" t="s">
        <v>273</v>
      </c>
      <c r="C165" t="s">
        <v>51</v>
      </c>
      <c r="D165" s="39">
        <v>-59.98</v>
      </c>
      <c r="E165" s="5" t="s">
        <v>142</v>
      </c>
      <c r="F165" s="5" t="s">
        <v>43</v>
      </c>
      <c r="G165" s="5" t="s">
        <v>55</v>
      </c>
      <c r="H165" s="25" t="s">
        <v>272</v>
      </c>
    </row>
    <row r="166" spans="1:8" ht="16" x14ac:dyDescent="0.2">
      <c r="A166" s="87">
        <v>45425</v>
      </c>
      <c r="B166" s="31" t="s">
        <v>275</v>
      </c>
      <c r="C166" t="s">
        <v>51</v>
      </c>
      <c r="D166" s="39">
        <v>-648.29999999999995</v>
      </c>
      <c r="E166" s="5" t="s">
        <v>276</v>
      </c>
      <c r="F166" s="5" t="s">
        <v>169</v>
      </c>
      <c r="G166" s="5" t="s">
        <v>55</v>
      </c>
    </row>
    <row r="167" spans="1:8" ht="16" x14ac:dyDescent="0.2">
      <c r="A167" s="87">
        <v>45421</v>
      </c>
      <c r="B167" s="31">
        <v>45540</v>
      </c>
      <c r="C167" t="s">
        <v>51</v>
      </c>
      <c r="D167" s="39">
        <v>-17.78</v>
      </c>
      <c r="E167" s="5" t="s">
        <v>277</v>
      </c>
      <c r="F167" s="5" t="s">
        <v>40</v>
      </c>
      <c r="G167" s="5" t="s">
        <v>55</v>
      </c>
    </row>
    <row r="168" spans="1:8" ht="17" x14ac:dyDescent="0.2">
      <c r="A168" s="87">
        <v>45420</v>
      </c>
      <c r="B168" s="31">
        <v>45509</v>
      </c>
      <c r="C168" t="s">
        <v>51</v>
      </c>
      <c r="D168" s="39">
        <v>-47.25</v>
      </c>
      <c r="E168" s="5" t="s">
        <v>278</v>
      </c>
      <c r="F168" s="5" t="s">
        <v>30</v>
      </c>
      <c r="G168" s="5" t="s">
        <v>55</v>
      </c>
      <c r="H168" s="25" t="s">
        <v>279</v>
      </c>
    </row>
    <row r="169" spans="1:8" ht="17" x14ac:dyDescent="0.2">
      <c r="A169" s="87">
        <v>45420</v>
      </c>
      <c r="B169" s="31">
        <v>45509</v>
      </c>
      <c r="C169" t="s">
        <v>51</v>
      </c>
      <c r="D169" s="39">
        <v>-1063.9000000000001</v>
      </c>
      <c r="E169" s="5" t="s">
        <v>280</v>
      </c>
      <c r="F169" s="5" t="s">
        <v>25</v>
      </c>
      <c r="G169" s="5" t="s">
        <v>55</v>
      </c>
      <c r="H169" s="25" t="s">
        <v>281</v>
      </c>
    </row>
    <row r="170" spans="1:8" ht="17" x14ac:dyDescent="0.2">
      <c r="A170" s="87">
        <v>45421</v>
      </c>
      <c r="B170" s="31">
        <v>45540</v>
      </c>
      <c r="C170" t="s">
        <v>51</v>
      </c>
      <c r="D170" s="39">
        <v>-8.5299999999999994</v>
      </c>
      <c r="E170" s="5" t="s">
        <v>196</v>
      </c>
      <c r="F170" s="5" t="s">
        <v>43</v>
      </c>
      <c r="G170" s="5" t="s">
        <v>55</v>
      </c>
      <c r="H170" s="25" t="s">
        <v>282</v>
      </c>
    </row>
    <row r="171" spans="1:8" ht="16" x14ac:dyDescent="0.2">
      <c r="A171" s="87">
        <v>45419</v>
      </c>
      <c r="B171" s="31">
        <v>45478</v>
      </c>
      <c r="C171" t="s">
        <v>51</v>
      </c>
      <c r="D171" s="39">
        <v>-12</v>
      </c>
      <c r="E171" s="134" t="s">
        <v>283</v>
      </c>
      <c r="F171" s="5" t="s">
        <v>169</v>
      </c>
      <c r="G171" s="5" t="s">
        <v>55</v>
      </c>
    </row>
    <row r="172" spans="1:8" ht="17" x14ac:dyDescent="0.2">
      <c r="A172" s="87">
        <v>45418</v>
      </c>
      <c r="B172" s="31">
        <v>45448</v>
      </c>
      <c r="C172" t="s">
        <v>51</v>
      </c>
      <c r="D172" s="39">
        <v>-80.59</v>
      </c>
      <c r="E172" s="5" t="s">
        <v>284</v>
      </c>
      <c r="F172" s="5" t="s">
        <v>30</v>
      </c>
      <c r="G172" s="5" t="s">
        <v>55</v>
      </c>
      <c r="H172" s="25" t="s">
        <v>285</v>
      </c>
    </row>
    <row r="173" spans="1:8" ht="17" x14ac:dyDescent="0.2">
      <c r="A173" s="87">
        <v>45418</v>
      </c>
      <c r="B173" s="31">
        <v>45448</v>
      </c>
      <c r="C173" t="s">
        <v>51</v>
      </c>
      <c r="D173" s="39">
        <v>-43.45</v>
      </c>
      <c r="E173" s="5" t="s">
        <v>198</v>
      </c>
      <c r="F173" s="5" t="s">
        <v>28</v>
      </c>
      <c r="G173" s="5" t="s">
        <v>55</v>
      </c>
      <c r="H173" s="25" t="s">
        <v>286</v>
      </c>
    </row>
    <row r="174" spans="1:8" ht="17" x14ac:dyDescent="0.2">
      <c r="A174" s="87">
        <v>45413</v>
      </c>
      <c r="B174" s="31">
        <v>45296</v>
      </c>
      <c r="C174" t="s">
        <v>51</v>
      </c>
      <c r="D174" s="39">
        <v>-195</v>
      </c>
      <c r="E174" s="5" t="s">
        <v>287</v>
      </c>
      <c r="F174" s="5" t="s">
        <v>199</v>
      </c>
      <c r="G174" s="5" t="s">
        <v>55</v>
      </c>
      <c r="H174" s="25" t="s">
        <v>288</v>
      </c>
    </row>
    <row r="175" spans="1:8" ht="15.75" customHeight="1" x14ac:dyDescent="0.2">
      <c r="A175" s="32"/>
    </row>
  </sheetData>
  <autoFilter ref="A1:H174" xr:uid="{88AF0C04-411F-0347-AF1C-0D27C2A9CF05}"/>
  <phoneticPr fontId="6" type="noConversion"/>
  <hyperlinks>
    <hyperlink ref="E157" r:id="rId1" display="http://godaddy.com/" xr:uid="{69005F15-9A82-0A4E-A053-43D9CB148244}"/>
    <hyperlink ref="E158" r:id="rId2" display="http://godaddy.com/" xr:uid="{07F83AD1-EDF7-924A-9E1F-193270AAE8E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6C65-45FC-FC4E-B02F-0CC9E99DB580}">
  <dimension ref="A1:G21"/>
  <sheetViews>
    <sheetView zoomScale="130" zoomScaleNormal="130" workbookViewId="0">
      <selection activeCell="D19" sqref="D19"/>
    </sheetView>
  </sheetViews>
  <sheetFormatPr baseColWidth="10" defaultColWidth="11" defaultRowHeight="16" x14ac:dyDescent="0.2"/>
  <cols>
    <col min="1" max="1" width="15" customWidth="1"/>
    <col min="4" max="4" width="45.33203125" customWidth="1"/>
    <col min="6" max="6" width="43.83203125" customWidth="1"/>
    <col min="7" max="7" width="26" bestFit="1" customWidth="1"/>
  </cols>
  <sheetData>
    <row r="1" spans="1:7" x14ac:dyDescent="0.2">
      <c r="A1" t="s">
        <v>289</v>
      </c>
    </row>
    <row r="2" spans="1:7" x14ac:dyDescent="0.2">
      <c r="A2" s="3" t="s">
        <v>290</v>
      </c>
      <c r="B2" s="3" t="s">
        <v>291</v>
      </c>
      <c r="C2" s="3" t="s">
        <v>47</v>
      </c>
      <c r="D2" s="3" t="s">
        <v>48</v>
      </c>
      <c r="E2" s="3" t="s">
        <v>292</v>
      </c>
      <c r="F2" s="3" t="s">
        <v>200</v>
      </c>
      <c r="G2" s="3" t="s">
        <v>293</v>
      </c>
    </row>
    <row r="3" spans="1:7" x14ac:dyDescent="0.2">
      <c r="A3" s="1">
        <v>45418</v>
      </c>
      <c r="B3" s="1" t="s">
        <v>294</v>
      </c>
      <c r="C3" s="4">
        <v>15000</v>
      </c>
      <c r="D3" t="s">
        <v>295</v>
      </c>
      <c r="E3" s="1">
        <v>45449</v>
      </c>
      <c r="F3" t="s">
        <v>296</v>
      </c>
      <c r="G3" t="s">
        <v>297</v>
      </c>
    </row>
    <row r="4" spans="1:7" x14ac:dyDescent="0.2">
      <c r="A4" s="1">
        <v>45451</v>
      </c>
      <c r="B4" s="1" t="s">
        <v>294</v>
      </c>
      <c r="C4" s="4">
        <v>15000</v>
      </c>
      <c r="D4" t="s">
        <v>298</v>
      </c>
      <c r="E4" s="1">
        <v>45421</v>
      </c>
      <c r="F4" t="s">
        <v>296</v>
      </c>
      <c r="G4" t="s">
        <v>299</v>
      </c>
    </row>
    <row r="5" spans="1:7" x14ac:dyDescent="0.2">
      <c r="A5" s="1">
        <v>45642</v>
      </c>
      <c r="B5" s="1" t="s">
        <v>294</v>
      </c>
      <c r="C5" s="4">
        <v>22500</v>
      </c>
      <c r="D5" t="s">
        <v>300</v>
      </c>
      <c r="E5" s="1">
        <v>45672</v>
      </c>
      <c r="F5" t="s">
        <v>296</v>
      </c>
      <c r="G5" t="s">
        <v>301</v>
      </c>
    </row>
    <row r="6" spans="1:7" s="45" customFormat="1" x14ac:dyDescent="0.2">
      <c r="A6" s="145">
        <v>45714</v>
      </c>
      <c r="B6" s="146" t="s">
        <v>294</v>
      </c>
      <c r="C6" s="147">
        <v>22500</v>
      </c>
      <c r="D6" s="45" t="s">
        <v>302</v>
      </c>
      <c r="E6" s="145">
        <v>45742</v>
      </c>
      <c r="F6" s="45" t="s">
        <v>303</v>
      </c>
    </row>
    <row r="7" spans="1:7" s="45" customFormat="1" x14ac:dyDescent="0.2">
      <c r="A7" s="145"/>
      <c r="B7" s="146"/>
      <c r="C7" s="150">
        <f>SUM(C3:C6)</f>
        <v>75000</v>
      </c>
      <c r="E7" s="145"/>
    </row>
    <row r="8" spans="1:7" x14ac:dyDescent="0.2">
      <c r="A8" t="s">
        <v>304</v>
      </c>
      <c r="C8" s="4"/>
    </row>
    <row r="9" spans="1:7" x14ac:dyDescent="0.2">
      <c r="A9" s="3" t="s">
        <v>290</v>
      </c>
      <c r="B9" s="3" t="s">
        <v>291</v>
      </c>
      <c r="C9" s="3" t="s">
        <v>47</v>
      </c>
      <c r="D9" s="3" t="s">
        <v>48</v>
      </c>
      <c r="E9" s="3" t="s">
        <v>292</v>
      </c>
      <c r="F9" s="3" t="s">
        <v>200</v>
      </c>
      <c r="G9" s="3" t="s">
        <v>293</v>
      </c>
    </row>
    <row r="10" spans="1:7" s="85" customFormat="1" x14ac:dyDescent="0.2">
      <c r="A10" s="83">
        <v>45474</v>
      </c>
      <c r="B10" s="83" t="s">
        <v>294</v>
      </c>
      <c r="C10" s="84">
        <v>13000</v>
      </c>
      <c r="D10" s="85" t="s">
        <v>305</v>
      </c>
      <c r="E10" s="83">
        <v>45504</v>
      </c>
      <c r="F10" s="85" t="s">
        <v>306</v>
      </c>
      <c r="G10" s="85" t="s">
        <v>307</v>
      </c>
    </row>
    <row r="11" spans="1:7" s="85" customFormat="1" x14ac:dyDescent="0.2">
      <c r="A11" s="151">
        <v>45593</v>
      </c>
      <c r="B11" s="83" t="s">
        <v>294</v>
      </c>
      <c r="C11" s="84">
        <v>13000</v>
      </c>
      <c r="D11" s="85" t="s">
        <v>308</v>
      </c>
      <c r="E11" s="83">
        <v>45623</v>
      </c>
      <c r="F11" s="85" t="s">
        <v>309</v>
      </c>
      <c r="G11" s="85" t="s">
        <v>310</v>
      </c>
    </row>
    <row r="12" spans="1:7" x14ac:dyDescent="0.2">
      <c r="B12" s="83" t="s">
        <v>294</v>
      </c>
      <c r="C12">
        <v>19500</v>
      </c>
      <c r="D12" t="s">
        <v>311</v>
      </c>
    </row>
    <row r="13" spans="1:7" x14ac:dyDescent="0.2">
      <c r="B13" s="83" t="s">
        <v>294</v>
      </c>
      <c r="C13">
        <v>19500</v>
      </c>
      <c r="D13" t="s">
        <v>312</v>
      </c>
    </row>
    <row r="14" spans="1:7" x14ac:dyDescent="0.2">
      <c r="C14" s="150">
        <f>SUM(C10:C13)</f>
        <v>65000</v>
      </c>
    </row>
    <row r="15" spans="1:7" x14ac:dyDescent="0.2">
      <c r="A15" t="s">
        <v>42</v>
      </c>
    </row>
    <row r="16" spans="1:7" x14ac:dyDescent="0.2">
      <c r="A16" s="3" t="s">
        <v>290</v>
      </c>
      <c r="B16" s="3" t="s">
        <v>291</v>
      </c>
      <c r="C16" s="3" t="s">
        <v>47</v>
      </c>
      <c r="D16" s="3" t="s">
        <v>48</v>
      </c>
      <c r="E16" s="3" t="s">
        <v>292</v>
      </c>
      <c r="F16" s="3" t="s">
        <v>200</v>
      </c>
      <c r="G16" s="3" t="s">
        <v>293</v>
      </c>
    </row>
    <row r="17" spans="1:7" s="85" customFormat="1" x14ac:dyDescent="0.2">
      <c r="A17" s="151" t="s">
        <v>313</v>
      </c>
      <c r="B17" s="83" t="s">
        <v>42</v>
      </c>
      <c r="C17" s="84">
        <v>11830</v>
      </c>
      <c r="D17" s="85" t="s">
        <v>94</v>
      </c>
      <c r="E17" s="83">
        <v>45647</v>
      </c>
      <c r="F17" s="85" t="s">
        <v>314</v>
      </c>
      <c r="G17" s="85" t="s">
        <v>315</v>
      </c>
    </row>
    <row r="18" spans="1:7" s="85" customFormat="1" x14ac:dyDescent="0.2">
      <c r="A18" s="83">
        <v>45695</v>
      </c>
      <c r="B18" s="83" t="s">
        <v>42</v>
      </c>
      <c r="C18" s="84">
        <v>35490</v>
      </c>
      <c r="D18" s="85" t="s">
        <v>316</v>
      </c>
      <c r="E18" s="83">
        <v>45725</v>
      </c>
      <c r="F18" s="85" t="s">
        <v>317</v>
      </c>
    </row>
    <row r="19" spans="1:7" x14ac:dyDescent="0.2">
      <c r="B19" s="1"/>
      <c r="C19" s="150">
        <f>SUM(C17:C18)</f>
        <v>47320</v>
      </c>
    </row>
    <row r="20" spans="1:7" x14ac:dyDescent="0.2">
      <c r="B20" s="1"/>
      <c r="C20" s="4"/>
    </row>
    <row r="21" spans="1:7" x14ac:dyDescent="0.2">
      <c r="C21" s="4">
        <f>C8+C14+C19</f>
        <v>112320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5EAF3-DB57-B648-9C07-C109C53B020B}">
  <dimension ref="A1:AV19"/>
  <sheetViews>
    <sheetView zoomScaleNormal="100" workbookViewId="0">
      <pane xSplit="1" topLeftCell="S1" activePane="topRight" state="frozen"/>
      <selection pane="topRight" activeCell="AV3" sqref="AV3"/>
    </sheetView>
  </sheetViews>
  <sheetFormatPr baseColWidth="10" defaultColWidth="11" defaultRowHeight="15.75" customHeight="1" x14ac:dyDescent="0.2"/>
  <cols>
    <col min="1" max="1" width="31" style="9" bestFit="1" customWidth="1"/>
    <col min="2" max="2" width="13.33203125" style="9" customWidth="1"/>
    <col min="3" max="3" width="21.6640625" style="9" bestFit="1" customWidth="1"/>
    <col min="4" max="4" width="21.6640625" style="9" customWidth="1"/>
    <col min="5" max="5" width="23.1640625" style="9" bestFit="1" customWidth="1"/>
    <col min="6" max="6" width="25" style="9" customWidth="1"/>
    <col min="7" max="7" width="5.1640625" style="9" customWidth="1"/>
    <col min="8" max="8" width="7.6640625" style="9" customWidth="1"/>
    <col min="9" max="9" width="4.6640625" style="9" customWidth="1"/>
    <col min="10" max="10" width="10.1640625" style="9" customWidth="1"/>
    <col min="11" max="11" width="6.5" style="9" customWidth="1"/>
    <col min="12" max="12" width="6.1640625" style="9" customWidth="1"/>
    <col min="13" max="13" width="7.83203125" style="9" customWidth="1"/>
    <col min="14" max="14" width="5" style="9" customWidth="1"/>
    <col min="15" max="15" width="7" style="9" customWidth="1"/>
    <col min="16" max="16" width="5.1640625" style="9" customWidth="1"/>
    <col min="17" max="17" width="8.5" style="9" customWidth="1"/>
    <col min="18" max="18" width="8.83203125" style="9" customWidth="1"/>
    <col min="19" max="19" width="8.1640625" style="9" customWidth="1"/>
    <col min="20" max="20" width="8.33203125" style="9" customWidth="1"/>
    <col min="21" max="22" width="7.1640625" style="9" bestFit="1" customWidth="1"/>
    <col min="23" max="23" width="7.6640625" style="9" customWidth="1"/>
    <col min="24" max="28" width="8" style="9" customWidth="1"/>
    <col min="29" max="29" width="4.33203125" style="9" customWidth="1"/>
    <col min="30" max="30" width="3.1640625" style="9" customWidth="1"/>
    <col min="31" max="31" width="5.1640625" style="9" customWidth="1"/>
    <col min="32" max="32" width="5.6640625" style="9" customWidth="1"/>
    <col min="33" max="33" width="6.83203125" style="9" customWidth="1"/>
    <col min="34" max="34" width="9" style="9" customWidth="1"/>
    <col min="35" max="35" width="8.5" style="9" customWidth="1"/>
    <col min="36" max="47" width="8.1640625" style="9" customWidth="1"/>
    <col min="48" max="16384" width="11" style="9"/>
  </cols>
  <sheetData>
    <row r="1" spans="1:48" ht="103" thickBot="1" x14ac:dyDescent="0.25">
      <c r="A1" s="153" t="s">
        <v>318</v>
      </c>
      <c r="B1" s="154" t="s">
        <v>319</v>
      </c>
      <c r="C1" s="155" t="s">
        <v>49</v>
      </c>
      <c r="D1" s="154" t="s">
        <v>320</v>
      </c>
      <c r="E1" s="154" t="s">
        <v>321</v>
      </c>
      <c r="F1" s="154" t="s">
        <v>322</v>
      </c>
      <c r="G1" s="156" t="s">
        <v>323</v>
      </c>
      <c r="H1" s="157" t="s">
        <v>324</v>
      </c>
      <c r="I1" s="158" t="s">
        <v>325</v>
      </c>
      <c r="J1" s="159" t="s">
        <v>326</v>
      </c>
      <c r="K1" s="160" t="s">
        <v>327</v>
      </c>
      <c r="L1" s="161" t="s">
        <v>328</v>
      </c>
      <c r="M1" s="162" t="s">
        <v>329</v>
      </c>
      <c r="N1" s="163" t="s">
        <v>330</v>
      </c>
      <c r="O1" s="164" t="s">
        <v>331</v>
      </c>
      <c r="P1" s="165" t="s">
        <v>332</v>
      </c>
      <c r="Q1" s="166" t="s">
        <v>333</v>
      </c>
      <c r="R1" s="166" t="s">
        <v>334</v>
      </c>
      <c r="S1" s="167" t="s">
        <v>335</v>
      </c>
      <c r="T1" s="167" t="s">
        <v>336</v>
      </c>
      <c r="U1" s="168" t="s">
        <v>337</v>
      </c>
      <c r="V1" s="169" t="s">
        <v>338</v>
      </c>
      <c r="W1" s="170" t="s">
        <v>339</v>
      </c>
      <c r="X1" s="171" t="s">
        <v>340</v>
      </c>
      <c r="Y1" s="172" t="s">
        <v>341</v>
      </c>
      <c r="Z1" s="173" t="s">
        <v>342</v>
      </c>
      <c r="AA1" s="174" t="s">
        <v>343</v>
      </c>
      <c r="AB1" s="175" t="s">
        <v>344</v>
      </c>
      <c r="AC1" s="176" t="s">
        <v>345</v>
      </c>
      <c r="AD1" s="176" t="s">
        <v>346</v>
      </c>
      <c r="AE1" s="177" t="s">
        <v>347</v>
      </c>
      <c r="AF1" s="178" t="s">
        <v>348</v>
      </c>
      <c r="AG1" s="179" t="s">
        <v>349</v>
      </c>
      <c r="AH1" s="179" t="s">
        <v>350</v>
      </c>
      <c r="AI1" s="180" t="s">
        <v>351</v>
      </c>
      <c r="AJ1" s="180" t="s">
        <v>352</v>
      </c>
      <c r="AK1" s="156" t="s">
        <v>353</v>
      </c>
      <c r="AL1" s="157" t="s">
        <v>354</v>
      </c>
      <c r="AM1" s="181" t="s">
        <v>355</v>
      </c>
      <c r="AN1" s="181" t="s">
        <v>356</v>
      </c>
      <c r="AO1" s="181"/>
      <c r="AP1" s="182">
        <v>40057</v>
      </c>
      <c r="AQ1" s="182">
        <v>40057</v>
      </c>
      <c r="AR1" s="94">
        <v>42614</v>
      </c>
      <c r="AS1" s="94">
        <v>42614</v>
      </c>
      <c r="AT1" s="93">
        <v>11202</v>
      </c>
      <c r="AU1" s="93">
        <v>11202</v>
      </c>
      <c r="AV1" s="9" t="s">
        <v>357</v>
      </c>
    </row>
    <row r="2" spans="1:48" ht="17" x14ac:dyDescent="0.2">
      <c r="A2" s="10" t="s">
        <v>358</v>
      </c>
      <c r="B2" s="9">
        <v>56</v>
      </c>
      <c r="C2" s="11" t="s">
        <v>31</v>
      </c>
      <c r="D2" s="9" t="s">
        <v>359</v>
      </c>
      <c r="G2" s="12">
        <v>5.3</v>
      </c>
      <c r="H2" s="13">
        <f>4.95+15.4+308</f>
        <v>328.35</v>
      </c>
      <c r="I2" s="14">
        <v>4.3</v>
      </c>
      <c r="J2" s="15">
        <f>12.6+252</f>
        <v>264.60000000000002</v>
      </c>
      <c r="K2" s="16">
        <v>7.5</v>
      </c>
      <c r="L2" s="17">
        <f>438.67+21.93</f>
        <v>460.6</v>
      </c>
      <c r="M2" s="18">
        <v>0</v>
      </c>
      <c r="N2" s="27">
        <v>0</v>
      </c>
      <c r="O2" s="29"/>
      <c r="P2" s="30"/>
      <c r="Q2" s="36">
        <v>30</v>
      </c>
      <c r="R2" s="36">
        <f>1680+84</f>
        <v>1764</v>
      </c>
      <c r="S2" s="44">
        <v>30</v>
      </c>
      <c r="T2" s="44">
        <f>1764</f>
        <v>1764</v>
      </c>
      <c r="U2" s="48">
        <v>30</v>
      </c>
      <c r="V2" s="47">
        <v>1764</v>
      </c>
      <c r="W2" s="52">
        <v>30</v>
      </c>
      <c r="X2" s="58">
        <v>1764</v>
      </c>
      <c r="Y2" s="60">
        <v>6.5</v>
      </c>
      <c r="Z2" s="67">
        <v>401.8</v>
      </c>
      <c r="AA2" s="68"/>
      <c r="AB2" s="69"/>
      <c r="AC2" s="66"/>
      <c r="AD2" s="66"/>
      <c r="AE2" s="70"/>
      <c r="AF2" s="71"/>
      <c r="AG2" s="179"/>
      <c r="AH2" s="179"/>
      <c r="AI2" s="82">
        <v>3</v>
      </c>
      <c r="AJ2" s="82">
        <f>168+8.4</f>
        <v>176.4</v>
      </c>
      <c r="AK2" s="12">
        <v>8.1</v>
      </c>
      <c r="AL2" s="13">
        <f>457.33+22.87</f>
        <v>480.2</v>
      </c>
      <c r="AM2" s="86">
        <v>9.3000000000000007</v>
      </c>
      <c r="AN2" s="86">
        <f>532+26.6</f>
        <v>558.6</v>
      </c>
      <c r="AO2" s="86"/>
      <c r="AP2" s="90">
        <v>16.2</v>
      </c>
      <c r="AQ2" s="90">
        <v>960.4</v>
      </c>
      <c r="AR2" s="91">
        <v>3.2</v>
      </c>
      <c r="AS2" s="91">
        <f>186.67+9.33</f>
        <v>196</v>
      </c>
      <c r="AT2" s="92">
        <v>2.4</v>
      </c>
      <c r="AU2" s="92">
        <v>156.80000000000001</v>
      </c>
      <c r="AV2" s="26">
        <f>H2+J2+L2+N2+P2+R2+T2+V2+X2+Z2+AB2+AD2+AF2+AH2+AJ2+AL2+AN2+AQ2+AS2+AU2</f>
        <v>11039.75</v>
      </c>
    </row>
    <row r="3" spans="1:48" ht="34" x14ac:dyDescent="0.2">
      <c r="A3" s="10" t="s">
        <v>360</v>
      </c>
      <c r="B3" s="9">
        <v>30</v>
      </c>
      <c r="C3" s="11" t="s">
        <v>33</v>
      </c>
      <c r="D3" s="9" t="s">
        <v>361</v>
      </c>
      <c r="G3" s="12">
        <v>10</v>
      </c>
      <c r="H3" s="13">
        <f>315+4.95</f>
        <v>319.95</v>
      </c>
      <c r="I3" s="14">
        <v>30</v>
      </c>
      <c r="J3" s="15">
        <v>945</v>
      </c>
      <c r="K3" s="16">
        <v>30</v>
      </c>
      <c r="L3" s="17">
        <v>945</v>
      </c>
      <c r="M3" s="18">
        <v>30</v>
      </c>
      <c r="N3" s="27">
        <v>945</v>
      </c>
      <c r="O3" s="29">
        <v>30</v>
      </c>
      <c r="P3" s="30">
        <v>945</v>
      </c>
      <c r="Q3" s="36">
        <v>30</v>
      </c>
      <c r="R3" s="36">
        <v>945</v>
      </c>
      <c r="S3" s="44">
        <v>28</v>
      </c>
      <c r="T3" s="44">
        <v>882</v>
      </c>
      <c r="U3" s="48">
        <v>28</v>
      </c>
      <c r="V3" s="47">
        <v>882</v>
      </c>
      <c r="W3" s="52">
        <v>30</v>
      </c>
      <c r="X3" s="57">
        <v>945</v>
      </c>
      <c r="Y3" s="60">
        <v>34</v>
      </c>
      <c r="Z3" s="67">
        <v>1071</v>
      </c>
      <c r="AA3" s="68">
        <v>30</v>
      </c>
      <c r="AB3" s="69">
        <v>945</v>
      </c>
      <c r="AC3" s="66">
        <v>30</v>
      </c>
      <c r="AD3" s="66">
        <v>945</v>
      </c>
      <c r="AE3" s="70">
        <v>30</v>
      </c>
      <c r="AF3" s="71">
        <v>945</v>
      </c>
      <c r="AG3" s="27">
        <v>30</v>
      </c>
      <c r="AH3" s="27">
        <v>945</v>
      </c>
      <c r="AI3" s="74">
        <v>30</v>
      </c>
      <c r="AJ3" s="74">
        <v>945</v>
      </c>
      <c r="AK3" s="12">
        <v>30</v>
      </c>
      <c r="AL3" s="13">
        <v>945</v>
      </c>
      <c r="AM3" s="86">
        <v>30</v>
      </c>
      <c r="AN3" s="86">
        <v>945</v>
      </c>
      <c r="AO3" s="86"/>
      <c r="AP3" s="90"/>
      <c r="AQ3" s="90"/>
      <c r="AR3" s="91"/>
      <c r="AS3" s="91"/>
      <c r="AT3" s="92"/>
      <c r="AU3" s="92"/>
      <c r="AV3" s="26">
        <f t="shared" ref="AV3:AV13" si="0">H3+J3+L3+N3+P3+R3+T3+V3+X3+Z3+AB3+AD3+AF3+AH3+AJ3+AL3+AN3+AQ3</f>
        <v>15439.95</v>
      </c>
    </row>
    <row r="4" spans="1:48" ht="34" x14ac:dyDescent="0.2">
      <c r="A4" s="10" t="s">
        <v>362</v>
      </c>
      <c r="B4" s="9">
        <v>20</v>
      </c>
      <c r="C4" s="11" t="s">
        <v>39</v>
      </c>
      <c r="D4" s="9" t="s">
        <v>361</v>
      </c>
      <c r="E4" s="9" t="s">
        <v>363</v>
      </c>
      <c r="G4" s="12"/>
      <c r="H4" s="13"/>
      <c r="I4" s="14">
        <v>16.100000000000001</v>
      </c>
      <c r="J4" s="15">
        <f>323.33+16.17+4.95</f>
        <v>344.45</v>
      </c>
      <c r="K4" s="16">
        <v>20</v>
      </c>
      <c r="L4" s="17">
        <v>420</v>
      </c>
      <c r="M4" s="18"/>
      <c r="N4" s="27"/>
      <c r="O4" s="29">
        <v>5</v>
      </c>
      <c r="P4" s="30">
        <v>105</v>
      </c>
      <c r="Q4" s="36">
        <v>4</v>
      </c>
      <c r="R4" s="36">
        <v>84</v>
      </c>
      <c r="S4" s="44">
        <v>7.5</v>
      </c>
      <c r="T4" s="44">
        <f>156.67+7.83</f>
        <v>164.5</v>
      </c>
      <c r="U4" s="48">
        <v>39.200000000000003</v>
      </c>
      <c r="V4" s="47">
        <f>786.67+39.33</f>
        <v>826</v>
      </c>
      <c r="W4" s="52">
        <v>40</v>
      </c>
      <c r="X4" s="57">
        <v>840</v>
      </c>
      <c r="Y4" s="60">
        <v>34.1</v>
      </c>
      <c r="Z4" s="67">
        <f>683.33+34.17</f>
        <v>717.5</v>
      </c>
      <c r="AA4" s="68"/>
      <c r="AB4" s="69"/>
      <c r="AC4" s="66"/>
      <c r="AD4" s="66"/>
      <c r="AE4" s="70"/>
      <c r="AF4" s="71"/>
      <c r="AG4" s="27"/>
      <c r="AH4" s="27"/>
      <c r="AI4" s="74"/>
      <c r="AJ4" s="74"/>
      <c r="AK4" s="12"/>
      <c r="AL4" s="13"/>
      <c r="AM4" s="86"/>
      <c r="AN4" s="86"/>
      <c r="AO4" s="86"/>
      <c r="AP4" s="90"/>
      <c r="AQ4" s="90"/>
      <c r="AR4" s="91"/>
      <c r="AS4" s="91"/>
      <c r="AT4" s="92"/>
      <c r="AU4" s="92"/>
      <c r="AV4" s="26">
        <f t="shared" si="0"/>
        <v>3501.45</v>
      </c>
    </row>
    <row r="5" spans="1:48" ht="34" x14ac:dyDescent="0.2">
      <c r="A5" s="10" t="s">
        <v>364</v>
      </c>
      <c r="B5" s="9">
        <v>30</v>
      </c>
      <c r="C5" s="11" t="s">
        <v>37</v>
      </c>
      <c r="D5" s="9" t="s">
        <v>361</v>
      </c>
      <c r="E5" s="9" t="s">
        <v>363</v>
      </c>
      <c r="G5" s="12"/>
      <c r="H5" s="13"/>
      <c r="I5" s="14">
        <v>5</v>
      </c>
      <c r="J5" s="15">
        <f>150+7.5+4.95</f>
        <v>162.44999999999999</v>
      </c>
      <c r="K5" s="16"/>
      <c r="L5" s="17"/>
      <c r="M5" s="18">
        <v>8.5</v>
      </c>
      <c r="N5" s="28">
        <f>265+13.25</f>
        <v>278.25</v>
      </c>
      <c r="O5" s="29">
        <v>11.2</v>
      </c>
      <c r="P5" s="30">
        <v>357</v>
      </c>
      <c r="Q5" s="36">
        <v>20</v>
      </c>
      <c r="R5" s="36">
        <f>600+15+300+30+9.99</f>
        <v>954.99</v>
      </c>
      <c r="S5" s="44">
        <v>27.2</v>
      </c>
      <c r="T5" s="44">
        <f>861</f>
        <v>861</v>
      </c>
      <c r="U5" s="48">
        <v>8.4</v>
      </c>
      <c r="V5" s="47">
        <v>273</v>
      </c>
      <c r="W5" s="52"/>
      <c r="X5" s="57"/>
      <c r="Y5" s="60"/>
      <c r="Z5" s="67"/>
      <c r="AA5" s="68"/>
      <c r="AB5" s="69"/>
      <c r="AC5" s="66"/>
      <c r="AD5" s="66"/>
      <c r="AE5" s="70"/>
      <c r="AF5" s="71"/>
      <c r="AG5" s="27"/>
      <c r="AH5" s="27"/>
      <c r="AI5" s="74"/>
      <c r="AJ5" s="74"/>
      <c r="AK5" s="12"/>
      <c r="AL5" s="13"/>
      <c r="AM5" s="86"/>
      <c r="AN5" s="86"/>
      <c r="AO5" s="86"/>
      <c r="AP5" s="90"/>
      <c r="AQ5" s="90"/>
      <c r="AR5" s="91"/>
      <c r="AS5" s="91"/>
      <c r="AT5" s="92"/>
      <c r="AU5" s="92"/>
      <c r="AV5" s="26">
        <f t="shared" si="0"/>
        <v>2886.69</v>
      </c>
    </row>
    <row r="6" spans="1:48" ht="17" x14ac:dyDescent="0.2">
      <c r="A6" s="10" t="s">
        <v>365</v>
      </c>
      <c r="B6" s="9">
        <v>25</v>
      </c>
      <c r="C6" s="11" t="s">
        <v>41</v>
      </c>
      <c r="G6" s="12"/>
      <c r="H6" s="13"/>
      <c r="I6" s="14">
        <v>13.2</v>
      </c>
      <c r="J6" s="15">
        <f>4.95+16.67+333.33</f>
        <v>354.95</v>
      </c>
      <c r="K6" s="16">
        <v>8</v>
      </c>
      <c r="L6" s="17">
        <v>210</v>
      </c>
      <c r="M6" s="18"/>
      <c r="N6" s="28"/>
      <c r="O6" s="29">
        <v>10</v>
      </c>
      <c r="P6" s="30">
        <v>262.5</v>
      </c>
      <c r="Q6" s="36">
        <v>14.4</v>
      </c>
      <c r="R6" s="36">
        <f>366.67+18.33</f>
        <v>385</v>
      </c>
      <c r="S6" s="44">
        <v>8.4</v>
      </c>
      <c r="T6" s="44">
        <f>216.67+10.83</f>
        <v>227.5</v>
      </c>
      <c r="U6" s="48">
        <v>26.4</v>
      </c>
      <c r="V6" s="47">
        <f>666.67+33.33</f>
        <v>700</v>
      </c>
      <c r="W6" s="52">
        <v>25</v>
      </c>
      <c r="X6" s="57">
        <v>367.5</v>
      </c>
      <c r="Y6" s="60">
        <v>5</v>
      </c>
      <c r="Z6" s="67">
        <v>131.25</v>
      </c>
      <c r="AA6" s="68">
        <v>3.3</v>
      </c>
      <c r="AB6" s="69">
        <f>87.5+4.38</f>
        <v>91.88</v>
      </c>
      <c r="AC6" s="66"/>
      <c r="AD6" s="66"/>
      <c r="AE6" s="70"/>
      <c r="AF6" s="71"/>
      <c r="AG6" s="27"/>
      <c r="AH6" s="27"/>
      <c r="AI6" s="74"/>
      <c r="AJ6" s="74"/>
      <c r="AK6" s="12"/>
      <c r="AL6" s="13"/>
      <c r="AM6" s="86"/>
      <c r="AN6" s="86"/>
      <c r="AO6" s="86"/>
      <c r="AP6" s="90"/>
      <c r="AQ6" s="90"/>
      <c r="AR6" s="91"/>
      <c r="AS6" s="91"/>
      <c r="AT6" s="92"/>
      <c r="AU6" s="92"/>
      <c r="AV6" s="26">
        <f t="shared" si="0"/>
        <v>2730.58</v>
      </c>
    </row>
    <row r="7" spans="1:48" ht="34" x14ac:dyDescent="0.2">
      <c r="A7" s="10" t="s">
        <v>366</v>
      </c>
      <c r="B7" s="9">
        <v>30</v>
      </c>
      <c r="C7" s="11" t="s">
        <v>367</v>
      </c>
      <c r="D7" s="9" t="s">
        <v>361</v>
      </c>
      <c r="E7" s="9" t="s">
        <v>363</v>
      </c>
      <c r="G7" s="12"/>
      <c r="H7" s="13"/>
      <c r="I7" s="14"/>
      <c r="J7" s="15"/>
      <c r="K7" s="16"/>
      <c r="L7" s="17"/>
      <c r="M7" s="18"/>
      <c r="N7" s="28"/>
      <c r="O7" s="29"/>
      <c r="P7" s="30"/>
      <c r="Q7" s="36"/>
      <c r="R7" s="36"/>
      <c r="S7" s="44"/>
      <c r="T7" s="44"/>
      <c r="U7" s="48"/>
      <c r="V7" s="47"/>
      <c r="W7" s="52"/>
      <c r="X7" s="57"/>
      <c r="Y7" s="60"/>
      <c r="Z7" s="67"/>
      <c r="AA7" s="68"/>
      <c r="AB7" s="69"/>
      <c r="AC7" s="66"/>
      <c r="AD7" s="66"/>
      <c r="AE7" s="70"/>
      <c r="AF7" s="71"/>
      <c r="AG7" s="27"/>
      <c r="AH7" s="27"/>
      <c r="AI7" s="74"/>
      <c r="AJ7" s="74"/>
      <c r="AK7" s="12"/>
      <c r="AL7" s="13"/>
      <c r="AM7" s="86"/>
      <c r="AN7" s="86"/>
      <c r="AO7" s="86"/>
      <c r="AP7" s="90"/>
      <c r="AQ7" s="90"/>
      <c r="AR7" s="91"/>
      <c r="AS7" s="91"/>
      <c r="AT7" s="92"/>
      <c r="AU7" s="92"/>
      <c r="AV7" s="26">
        <f t="shared" si="0"/>
        <v>0</v>
      </c>
    </row>
    <row r="8" spans="1:48" ht="26" customHeight="1" x14ac:dyDescent="0.2">
      <c r="A8" s="10" t="s">
        <v>368</v>
      </c>
      <c r="B8" s="9">
        <v>35</v>
      </c>
      <c r="C8" s="11" t="s">
        <v>369</v>
      </c>
      <c r="D8" s="9" t="s">
        <v>370</v>
      </c>
      <c r="E8" s="9" t="s">
        <v>363</v>
      </c>
      <c r="F8" s="9" t="s">
        <v>371</v>
      </c>
      <c r="G8" s="12"/>
      <c r="H8" s="13"/>
      <c r="I8" s="14"/>
      <c r="J8" s="15"/>
      <c r="K8" s="16"/>
      <c r="L8" s="17"/>
      <c r="M8" s="18">
        <v>5.4</v>
      </c>
      <c r="N8" s="28">
        <f>198.33+9.92+4.95</f>
        <v>213.2</v>
      </c>
      <c r="O8" s="29"/>
      <c r="P8" s="30"/>
      <c r="Q8" s="36">
        <v>10</v>
      </c>
      <c r="R8" s="36">
        <f>350+17.5</f>
        <v>367.5</v>
      </c>
      <c r="S8" s="44">
        <v>10</v>
      </c>
      <c r="T8" s="44">
        <v>367.5</v>
      </c>
      <c r="U8" s="48">
        <v>40</v>
      </c>
      <c r="V8" s="47">
        <v>1470</v>
      </c>
      <c r="W8" s="52"/>
      <c r="X8" s="57"/>
      <c r="Y8" s="60"/>
      <c r="Z8" s="67"/>
      <c r="AA8" s="68"/>
      <c r="AB8" s="69"/>
      <c r="AC8" s="66"/>
      <c r="AD8" s="66"/>
      <c r="AE8" s="70"/>
      <c r="AF8" s="71"/>
      <c r="AG8" s="27"/>
      <c r="AH8" s="27"/>
      <c r="AI8" s="74"/>
      <c r="AJ8" s="74"/>
      <c r="AK8" s="12"/>
      <c r="AL8" s="13"/>
      <c r="AM8" s="86"/>
      <c r="AN8" s="86"/>
      <c r="AO8" s="86"/>
      <c r="AP8" s="90"/>
      <c r="AQ8" s="90"/>
      <c r="AR8" s="91"/>
      <c r="AS8" s="91"/>
      <c r="AT8" s="92"/>
      <c r="AU8" s="92"/>
      <c r="AV8" s="26">
        <f t="shared" si="0"/>
        <v>2418.1999999999998</v>
      </c>
    </row>
    <row r="9" spans="1:48" ht="51" x14ac:dyDescent="0.2">
      <c r="A9" s="10" t="s">
        <v>372</v>
      </c>
      <c r="B9" s="9">
        <v>20</v>
      </c>
      <c r="C9" s="11" t="s">
        <v>369</v>
      </c>
      <c r="D9" s="9" t="s">
        <v>373</v>
      </c>
      <c r="E9" s="9" t="s">
        <v>363</v>
      </c>
      <c r="F9" s="9" t="s">
        <v>374</v>
      </c>
      <c r="G9" s="12"/>
      <c r="H9" s="13"/>
      <c r="I9" s="14"/>
      <c r="J9" s="15"/>
      <c r="K9" s="16">
        <v>8</v>
      </c>
      <c r="L9" s="17">
        <v>172.95</v>
      </c>
      <c r="M9" s="18"/>
      <c r="N9" s="28"/>
      <c r="O9" s="29"/>
      <c r="P9" s="30"/>
      <c r="Q9" s="36"/>
      <c r="R9" s="36"/>
      <c r="S9" s="44"/>
      <c r="T9" s="44"/>
      <c r="U9" s="48"/>
      <c r="V9" s="47"/>
      <c r="W9" s="52"/>
      <c r="X9" s="57"/>
      <c r="Y9" s="60"/>
      <c r="Z9" s="67"/>
      <c r="AA9" s="68"/>
      <c r="AB9" s="69"/>
      <c r="AC9" s="66"/>
      <c r="AD9" s="66"/>
      <c r="AE9" s="70"/>
      <c r="AF9" s="71"/>
      <c r="AG9" s="27"/>
      <c r="AH9" s="27"/>
      <c r="AI9" s="74"/>
      <c r="AJ9" s="74"/>
      <c r="AK9" s="12"/>
      <c r="AL9" s="13"/>
      <c r="AM9" s="86"/>
      <c r="AN9" s="86"/>
      <c r="AO9" s="86"/>
      <c r="AP9" s="90"/>
      <c r="AQ9" s="90"/>
      <c r="AR9" s="91"/>
      <c r="AS9" s="91"/>
      <c r="AT9" s="92"/>
      <c r="AU9" s="92"/>
      <c r="AV9" s="26">
        <f t="shared" si="0"/>
        <v>172.95</v>
      </c>
    </row>
    <row r="10" spans="1:48" ht="34" x14ac:dyDescent="0.2">
      <c r="A10" s="10" t="s">
        <v>375</v>
      </c>
      <c r="B10" s="9">
        <v>30</v>
      </c>
      <c r="C10" s="11" t="s">
        <v>369</v>
      </c>
      <c r="D10" s="9" t="s">
        <v>370</v>
      </c>
      <c r="E10" s="9" t="s">
        <v>363</v>
      </c>
      <c r="G10" s="12"/>
      <c r="H10" s="13"/>
      <c r="I10" s="14"/>
      <c r="J10" s="15"/>
      <c r="K10" s="16">
        <v>5</v>
      </c>
      <c r="L10" s="17">
        <f>150+7.5+4.95</f>
        <v>162.44999999999999</v>
      </c>
      <c r="M10" s="18">
        <v>2</v>
      </c>
      <c r="N10" s="28">
        <f>84+1.05</f>
        <v>85.05</v>
      </c>
      <c r="O10" s="29"/>
      <c r="P10" s="30"/>
      <c r="Q10" s="36"/>
      <c r="R10" s="36"/>
      <c r="S10" s="44"/>
      <c r="T10" s="44"/>
      <c r="U10" s="48"/>
      <c r="V10" s="47"/>
      <c r="W10" s="52"/>
      <c r="X10" s="57"/>
      <c r="Y10" s="60"/>
      <c r="Z10" s="67"/>
      <c r="AA10" s="68"/>
      <c r="AB10" s="69"/>
      <c r="AC10" s="66"/>
      <c r="AD10" s="66"/>
      <c r="AE10" s="70"/>
      <c r="AF10" s="71"/>
      <c r="AG10" s="27"/>
      <c r="AH10" s="27"/>
      <c r="AI10" s="74"/>
      <c r="AJ10" s="74"/>
      <c r="AK10" s="12"/>
      <c r="AL10" s="13"/>
      <c r="AM10" s="86"/>
      <c r="AN10" s="86"/>
      <c r="AO10" s="86"/>
      <c r="AP10" s="90"/>
      <c r="AQ10" s="90"/>
      <c r="AR10" s="91"/>
      <c r="AS10" s="91"/>
      <c r="AT10" s="92"/>
      <c r="AU10" s="92"/>
      <c r="AV10" s="26">
        <f t="shared" si="0"/>
        <v>247.5</v>
      </c>
    </row>
    <row r="11" spans="1:48" ht="51" x14ac:dyDescent="0.2">
      <c r="A11" s="10" t="s">
        <v>376</v>
      </c>
      <c r="C11" s="11"/>
      <c r="D11" s="9" t="s">
        <v>361</v>
      </c>
      <c r="E11" s="9" t="s">
        <v>377</v>
      </c>
      <c r="G11" s="12"/>
      <c r="H11" s="13"/>
      <c r="I11" s="14"/>
      <c r="J11" s="15"/>
      <c r="K11" s="16"/>
      <c r="L11" s="17"/>
      <c r="M11" s="18"/>
      <c r="N11" s="28"/>
      <c r="O11" s="29"/>
      <c r="P11" s="30"/>
      <c r="Q11" s="36"/>
      <c r="R11" s="36"/>
      <c r="S11" s="44"/>
      <c r="T11" s="44"/>
      <c r="U11" s="48"/>
      <c r="V11" s="47"/>
      <c r="W11" s="52"/>
      <c r="X11" s="57"/>
      <c r="Y11" s="60"/>
      <c r="Z11" s="67"/>
      <c r="AA11" s="68"/>
      <c r="AB11" s="69"/>
      <c r="AC11" s="66"/>
      <c r="AD11" s="66"/>
      <c r="AE11" s="70"/>
      <c r="AF11" s="71"/>
      <c r="AG11" s="27"/>
      <c r="AH11" s="27"/>
      <c r="AI11" s="74"/>
      <c r="AJ11" s="74"/>
      <c r="AK11" s="12"/>
      <c r="AL11" s="13"/>
      <c r="AM11" s="86"/>
      <c r="AN11" s="86"/>
      <c r="AO11" s="86"/>
      <c r="AP11" s="90"/>
      <c r="AQ11" s="90"/>
      <c r="AR11" s="91"/>
      <c r="AS11" s="91"/>
      <c r="AT11" s="92"/>
      <c r="AU11" s="92"/>
      <c r="AV11" s="26">
        <f t="shared" si="0"/>
        <v>0</v>
      </c>
    </row>
    <row r="12" spans="1:48" ht="17" x14ac:dyDescent="0.2">
      <c r="A12" s="10" t="s">
        <v>378</v>
      </c>
      <c r="C12" s="11" t="s">
        <v>37</v>
      </c>
      <c r="G12" s="12"/>
      <c r="H12" s="13"/>
      <c r="I12" s="14"/>
      <c r="J12" s="15"/>
      <c r="K12" s="16"/>
      <c r="L12" s="17"/>
      <c r="M12" s="18"/>
      <c r="N12" s="27"/>
      <c r="O12" s="29"/>
      <c r="P12" s="30"/>
      <c r="Q12" s="36"/>
      <c r="R12" s="36"/>
      <c r="S12" s="44">
        <v>10</v>
      </c>
      <c r="T12" s="44">
        <f>300+4.95+15</f>
        <v>319.95</v>
      </c>
      <c r="U12" s="48">
        <v>8.1999999999999993</v>
      </c>
      <c r="V12" s="47">
        <v>262.5</v>
      </c>
      <c r="W12" s="52"/>
      <c r="X12" s="57"/>
      <c r="Y12" s="60"/>
      <c r="Z12" s="67"/>
      <c r="AA12" s="68"/>
      <c r="AB12" s="69"/>
      <c r="AC12" s="66"/>
      <c r="AD12" s="66"/>
      <c r="AE12" s="70"/>
      <c r="AF12" s="71"/>
      <c r="AG12" s="27"/>
      <c r="AH12" s="27"/>
      <c r="AI12" s="74"/>
      <c r="AJ12" s="74"/>
      <c r="AK12" s="12"/>
      <c r="AL12" s="13"/>
      <c r="AM12" s="86"/>
      <c r="AN12" s="86"/>
      <c r="AO12" s="86"/>
      <c r="AP12" s="90"/>
      <c r="AQ12" s="90"/>
      <c r="AR12" s="91"/>
      <c r="AS12" s="91"/>
      <c r="AT12" s="92"/>
      <c r="AU12" s="92"/>
      <c r="AV12" s="26">
        <f t="shared" si="0"/>
        <v>582.45000000000005</v>
      </c>
    </row>
    <row r="13" spans="1:48" ht="17" thickBot="1" x14ac:dyDescent="0.25">
      <c r="A13" s="10"/>
      <c r="C13" s="11"/>
      <c r="G13" s="12"/>
      <c r="H13" s="13"/>
      <c r="I13" s="14"/>
      <c r="J13" s="15"/>
      <c r="K13" s="16"/>
      <c r="L13" s="17"/>
      <c r="M13" s="18"/>
      <c r="N13" s="27"/>
      <c r="O13" s="183"/>
      <c r="P13" s="184"/>
      <c r="Q13" s="36"/>
      <c r="R13" s="36"/>
      <c r="S13" s="44"/>
      <c r="T13" s="44"/>
      <c r="U13" s="48"/>
      <c r="V13" s="47"/>
      <c r="W13" s="52"/>
      <c r="X13" s="57"/>
      <c r="Y13" s="60"/>
      <c r="Z13" s="67"/>
      <c r="AA13" s="68"/>
      <c r="AB13" s="69"/>
      <c r="AC13" s="66"/>
      <c r="AD13" s="66"/>
      <c r="AE13" s="70"/>
      <c r="AF13" s="71"/>
      <c r="AG13" s="27"/>
      <c r="AH13" s="27"/>
      <c r="AI13" s="74"/>
      <c r="AJ13" s="74"/>
      <c r="AK13" s="12"/>
      <c r="AL13" s="13"/>
      <c r="AM13" s="86"/>
      <c r="AN13" s="86"/>
      <c r="AO13" s="86"/>
      <c r="AP13" s="90"/>
      <c r="AQ13" s="90"/>
      <c r="AR13" s="91"/>
      <c r="AS13" s="91"/>
      <c r="AT13" s="92"/>
      <c r="AU13" s="92"/>
      <c r="AV13" s="26">
        <f t="shared" si="0"/>
        <v>0</v>
      </c>
    </row>
    <row r="14" spans="1:48" ht="18" thickBot="1" x14ac:dyDescent="0.25">
      <c r="A14" s="153" t="s">
        <v>379</v>
      </c>
      <c r="B14" s="154"/>
      <c r="C14" s="155"/>
      <c r="D14" s="154"/>
      <c r="E14" s="154"/>
      <c r="F14" s="154"/>
      <c r="G14" s="53">
        <f t="shared" ref="G14:N14" si="1">SUM(G2:G13)</f>
        <v>15.3</v>
      </c>
      <c r="H14" s="53">
        <f t="shared" si="1"/>
        <v>648.29999999999995</v>
      </c>
      <c r="I14" s="54">
        <f t="shared" si="1"/>
        <v>68.599999999999994</v>
      </c>
      <c r="J14" s="54">
        <f>SUM(J2:J13)</f>
        <v>2071.4499999999998</v>
      </c>
      <c r="K14" s="55">
        <f t="shared" si="1"/>
        <v>78.5</v>
      </c>
      <c r="L14" s="55">
        <f t="shared" si="1"/>
        <v>2370.9999999999995</v>
      </c>
      <c r="M14" s="56">
        <f t="shared" si="1"/>
        <v>45.9</v>
      </c>
      <c r="N14" s="56">
        <f t="shared" si="1"/>
        <v>1521.5</v>
      </c>
      <c r="O14" s="165">
        <f>SUM(O2:O13)</f>
        <v>56.2</v>
      </c>
      <c r="P14" s="165">
        <f>SUM(P3:P13)</f>
        <v>1669.5</v>
      </c>
      <c r="Q14" s="34">
        <f>SUM(Q2:Q12)</f>
        <v>108.4</v>
      </c>
      <c r="R14" s="35">
        <f t="shared" ref="R14:V14" si="2">SUM(R2:R13)</f>
        <v>4500.49</v>
      </c>
      <c r="S14" s="43">
        <f t="shared" si="2"/>
        <v>121.10000000000001</v>
      </c>
      <c r="T14" s="43">
        <f t="shared" si="2"/>
        <v>4586.45</v>
      </c>
      <c r="U14" s="49">
        <f t="shared" si="2"/>
        <v>180.2</v>
      </c>
      <c r="V14" s="50">
        <f t="shared" si="2"/>
        <v>6177.5</v>
      </c>
      <c r="W14" s="51">
        <f t="shared" ref="W14:AE14" si="3">SUM(W2:W13)</f>
        <v>125</v>
      </c>
      <c r="X14" s="59">
        <f t="shared" si="3"/>
        <v>3916.5</v>
      </c>
      <c r="Y14" s="172">
        <f t="shared" si="3"/>
        <v>79.599999999999994</v>
      </c>
      <c r="Z14" s="173">
        <f t="shared" si="3"/>
        <v>2321.5500000000002</v>
      </c>
      <c r="AA14" s="185">
        <f t="shared" si="3"/>
        <v>33.299999999999997</v>
      </c>
      <c r="AB14" s="186">
        <f t="shared" si="3"/>
        <v>1036.8800000000001</v>
      </c>
      <c r="AC14" s="72">
        <f t="shared" si="3"/>
        <v>30</v>
      </c>
      <c r="AD14" s="73">
        <f t="shared" si="3"/>
        <v>945</v>
      </c>
      <c r="AE14" s="187">
        <f t="shared" si="3"/>
        <v>30</v>
      </c>
      <c r="AF14" s="188">
        <f>SUM(AF2:AF13)</f>
        <v>945</v>
      </c>
      <c r="AG14" s="75">
        <f>SUM(AG3:AG13)</f>
        <v>30</v>
      </c>
      <c r="AH14" s="75">
        <f>SUM(AH3:AH13)</f>
        <v>945</v>
      </c>
      <c r="AI14" s="76">
        <f>SUM(AI2:AI13)</f>
        <v>33</v>
      </c>
      <c r="AJ14" s="77">
        <f>SUM(AJ2:AJ11)</f>
        <v>1121.4000000000001</v>
      </c>
      <c r="AK14" s="53">
        <f t="shared" ref="AK14:AL14" si="4">SUM(AK2:AK13)</f>
        <v>38.1</v>
      </c>
      <c r="AL14" s="53">
        <f t="shared" si="4"/>
        <v>1425.2</v>
      </c>
      <c r="AM14" s="86">
        <f>SUM(AM2:AM13)</f>
        <v>39.299999999999997</v>
      </c>
      <c r="AN14" s="86">
        <f>SUM(AN2:AN13)</f>
        <v>1503.6</v>
      </c>
      <c r="AO14" s="86"/>
      <c r="AP14" s="90">
        <f>SUM(AP2:AP13)</f>
        <v>16.2</v>
      </c>
      <c r="AQ14" s="90">
        <f>SUM(AQ2:AQ13)</f>
        <v>960.4</v>
      </c>
      <c r="AR14" s="91">
        <f>SUM(AR2:AR13)</f>
        <v>3.2</v>
      </c>
      <c r="AS14" s="91">
        <f>SUM(AS2:AS13)</f>
        <v>196</v>
      </c>
      <c r="AT14" s="92">
        <f>SUM(AT2:AT12)</f>
        <v>2.4</v>
      </c>
      <c r="AU14" s="92">
        <f>SUM(AU2:AU13)</f>
        <v>156.80000000000001</v>
      </c>
      <c r="AV14" s="26">
        <f>SUM(AV2:AV13)</f>
        <v>39019.519999999997</v>
      </c>
    </row>
    <row r="15" spans="1:48" ht="15.75" customHeight="1" x14ac:dyDescent="0.2">
      <c r="R15" s="41"/>
    </row>
    <row r="16" spans="1:48" ht="15.75" customHeight="1" x14ac:dyDescent="0.2">
      <c r="R16" s="26"/>
    </row>
    <row r="17" spans="2:12" ht="16" x14ac:dyDescent="0.2">
      <c r="B17" s="19"/>
      <c r="C17" s="19"/>
      <c r="D17" s="19"/>
      <c r="E17" s="19"/>
      <c r="F17" s="19"/>
    </row>
    <row r="18" spans="2:12" ht="16" x14ac:dyDescent="0.2">
      <c r="B18" s="19"/>
      <c r="C18" s="19"/>
      <c r="D18" s="19"/>
      <c r="E18" s="19"/>
      <c r="F18" s="19"/>
      <c r="L18" s="20"/>
    </row>
    <row r="19" spans="2:12" ht="16" x14ac:dyDescent="0.2">
      <c r="B19" s="19"/>
      <c r="C19" s="19"/>
      <c r="D19" s="19"/>
      <c r="E19" s="19"/>
      <c r="F19" s="1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560B6-E40C-4877-AAC0-49DB1B7E234F}">
  <dimension ref="A1:I10"/>
  <sheetViews>
    <sheetView tabSelected="1" zoomScale="130" zoomScaleNormal="130" workbookViewId="0">
      <selection activeCell="E13" sqref="E13"/>
    </sheetView>
  </sheetViews>
  <sheetFormatPr baseColWidth="10" defaultColWidth="8.83203125" defaultRowHeight="16" x14ac:dyDescent="0.2"/>
  <cols>
    <col min="2" max="2" width="12.33203125" bestFit="1" customWidth="1"/>
    <col min="3" max="8" width="10.33203125" bestFit="1" customWidth="1"/>
    <col min="9" max="9" width="9.33203125" bestFit="1" customWidth="1"/>
  </cols>
  <sheetData>
    <row r="1" spans="1:9" x14ac:dyDescent="0.2">
      <c r="A1" s="95"/>
      <c r="B1" s="95" t="s">
        <v>380</v>
      </c>
      <c r="C1" s="96">
        <v>45505</v>
      </c>
      <c r="D1" s="96">
        <v>45536</v>
      </c>
      <c r="E1" s="96">
        <v>45566</v>
      </c>
      <c r="F1" s="96">
        <v>45597</v>
      </c>
      <c r="G1" s="96">
        <v>45627</v>
      </c>
      <c r="H1" s="96">
        <v>45658</v>
      </c>
      <c r="I1" s="96">
        <v>45689</v>
      </c>
    </row>
    <row r="2" spans="1:9" x14ac:dyDescent="0.2">
      <c r="A2" s="95" t="s">
        <v>381</v>
      </c>
      <c r="B2">
        <v>40</v>
      </c>
      <c r="C2" s="135">
        <v>3780</v>
      </c>
      <c r="D2" s="135">
        <v>1980</v>
      </c>
      <c r="E2" s="135">
        <v>1960</v>
      </c>
      <c r="F2" s="135">
        <v>1560</v>
      </c>
      <c r="G2" s="135">
        <v>3280</v>
      </c>
      <c r="H2" s="135">
        <v>4920</v>
      </c>
      <c r="I2">
        <v>2440</v>
      </c>
    </row>
    <row r="3" spans="1:9" x14ac:dyDescent="0.2">
      <c r="A3" s="95" t="s">
        <v>382</v>
      </c>
      <c r="B3">
        <v>36</v>
      </c>
      <c r="C3" s="135">
        <v>1872</v>
      </c>
      <c r="D3" s="135">
        <v>1728</v>
      </c>
      <c r="E3" s="135">
        <v>2556</v>
      </c>
      <c r="F3" s="135">
        <v>2160</v>
      </c>
      <c r="G3" s="135">
        <v>1296</v>
      </c>
      <c r="H3" s="135">
        <v>1026</v>
      </c>
      <c r="I3" s="148"/>
    </row>
    <row r="4" spans="1:9" x14ac:dyDescent="0.2">
      <c r="A4" s="95" t="s">
        <v>383</v>
      </c>
      <c r="B4">
        <v>47</v>
      </c>
      <c r="C4" s="135"/>
      <c r="D4" s="135">
        <v>814.51</v>
      </c>
      <c r="E4" s="135">
        <v>1175</v>
      </c>
      <c r="F4" s="135">
        <v>1621.5</v>
      </c>
      <c r="G4" s="135">
        <v>1081</v>
      </c>
      <c r="H4" s="135">
        <v>2068</v>
      </c>
      <c r="I4" s="135">
        <v>1880</v>
      </c>
    </row>
    <row r="5" spans="1:9" x14ac:dyDescent="0.2">
      <c r="A5" s="95" t="s">
        <v>14</v>
      </c>
      <c r="B5">
        <v>44</v>
      </c>
      <c r="C5" s="135"/>
      <c r="D5" s="135"/>
      <c r="E5" s="135">
        <v>1430</v>
      </c>
      <c r="F5" s="135">
        <v>594</v>
      </c>
      <c r="G5" s="135">
        <v>1672</v>
      </c>
      <c r="H5" s="135">
        <v>1584</v>
      </c>
      <c r="I5" s="135">
        <v>594</v>
      </c>
    </row>
    <row r="6" spans="1:9" x14ac:dyDescent="0.2">
      <c r="A6" s="95" t="s">
        <v>384</v>
      </c>
      <c r="B6">
        <v>40</v>
      </c>
      <c r="C6" s="135"/>
      <c r="D6" s="135"/>
      <c r="E6" s="135"/>
      <c r="F6" s="135">
        <v>640</v>
      </c>
      <c r="G6" s="135">
        <v>2260</v>
      </c>
      <c r="H6" s="135">
        <v>4220</v>
      </c>
      <c r="I6">
        <v>2130</v>
      </c>
    </row>
    <row r="7" spans="1:9" x14ac:dyDescent="0.2">
      <c r="A7" s="95" t="s">
        <v>385</v>
      </c>
      <c r="B7">
        <v>40</v>
      </c>
      <c r="C7" s="135"/>
      <c r="D7" s="135"/>
      <c r="E7" s="135"/>
      <c r="F7" s="135"/>
      <c r="G7" s="135"/>
      <c r="H7" s="135">
        <v>6800</v>
      </c>
      <c r="I7">
        <v>840</v>
      </c>
    </row>
    <row r="8" spans="1:9" x14ac:dyDescent="0.2">
      <c r="A8" s="95" t="s">
        <v>386</v>
      </c>
      <c r="C8" s="149"/>
      <c r="D8" s="149"/>
      <c r="E8" s="149"/>
      <c r="F8" s="149"/>
      <c r="G8" s="149"/>
      <c r="H8" s="135"/>
      <c r="I8" s="148"/>
    </row>
    <row r="9" spans="1:9" x14ac:dyDescent="0.2">
      <c r="A9" s="95" t="s">
        <v>387</v>
      </c>
      <c r="C9" s="135"/>
      <c r="D9" s="135"/>
      <c r="E9" s="135"/>
      <c r="F9" s="135"/>
      <c r="G9" s="135"/>
      <c r="H9" s="135"/>
    </row>
    <row r="10" spans="1:9" x14ac:dyDescent="0.2">
      <c r="C10" s="135">
        <f t="shared" ref="C10:I10" si="0">SUM(C2:C7)</f>
        <v>5652</v>
      </c>
      <c r="D10" s="135">
        <f t="shared" si="0"/>
        <v>4522.51</v>
      </c>
      <c r="E10" s="135">
        <f t="shared" si="0"/>
        <v>7121</v>
      </c>
      <c r="F10" s="135">
        <f t="shared" si="0"/>
        <v>6575.5</v>
      </c>
      <c r="G10" s="135">
        <f t="shared" si="0"/>
        <v>9589</v>
      </c>
      <c r="H10" s="135">
        <f t="shared" si="0"/>
        <v>20618</v>
      </c>
      <c r="I10" s="135">
        <f t="shared" si="0"/>
        <v>7884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A9D6-B394-9548-B738-C3A6278CBF19}">
  <dimension ref="A1"/>
  <sheetViews>
    <sheetView workbookViewId="0">
      <selection activeCell="E40" sqref="E40"/>
    </sheetView>
  </sheetViews>
  <sheetFormatPr baseColWidth="10" defaultColWidth="11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0A77B-73C4-9E41-AE7A-161052A4419E}">
  <dimension ref="A1:D3"/>
  <sheetViews>
    <sheetView workbookViewId="0">
      <selection activeCell="J15" sqref="J15"/>
    </sheetView>
  </sheetViews>
  <sheetFormatPr baseColWidth="10" defaultColWidth="11" defaultRowHeight="16" x14ac:dyDescent="0.2"/>
  <sheetData>
    <row r="1" spans="1:4" x14ac:dyDescent="0.2">
      <c r="A1" t="s">
        <v>388</v>
      </c>
      <c r="B1">
        <v>40</v>
      </c>
      <c r="C1">
        <v>44</v>
      </c>
      <c r="D1">
        <f>B1*C1</f>
        <v>1760</v>
      </c>
    </row>
    <row r="2" spans="1:4" x14ac:dyDescent="0.2">
      <c r="A2" t="s">
        <v>383</v>
      </c>
      <c r="B2">
        <v>10</v>
      </c>
      <c r="C2">
        <v>47</v>
      </c>
      <c r="D2">
        <f>B2*C2</f>
        <v>470</v>
      </c>
    </row>
    <row r="3" spans="1:4" x14ac:dyDescent="0.2">
      <c r="D3" s="88">
        <f>SUM(D1:D2)</f>
        <v>2230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D55A-6CBA-794E-9B9B-4033559991F8}">
  <dimension ref="A1:AB14"/>
  <sheetViews>
    <sheetView workbookViewId="0">
      <selection activeCell="X9" sqref="X9"/>
    </sheetView>
  </sheetViews>
  <sheetFormatPr baseColWidth="10" defaultColWidth="11" defaultRowHeight="16" x14ac:dyDescent="0.2"/>
  <sheetData>
    <row r="1" spans="1:28" ht="21.75" customHeight="1" x14ac:dyDescent="0.2">
      <c r="A1" s="102" t="s">
        <v>389</v>
      </c>
      <c r="C1" s="103" t="s">
        <v>390</v>
      </c>
      <c r="D1" s="190" t="s">
        <v>391</v>
      </c>
      <c r="E1" s="191"/>
      <c r="F1" s="191"/>
      <c r="G1" s="191"/>
      <c r="H1" s="191" t="s">
        <v>392</v>
      </c>
      <c r="I1" s="191"/>
      <c r="J1" s="191"/>
      <c r="K1" s="191"/>
      <c r="L1" s="191"/>
      <c r="M1" s="191"/>
      <c r="N1" s="191"/>
      <c r="O1" s="191"/>
      <c r="P1" s="191" t="s">
        <v>393</v>
      </c>
      <c r="Q1" s="191"/>
      <c r="R1" s="191"/>
      <c r="S1" s="191"/>
      <c r="U1" s="192" t="s">
        <v>357</v>
      </c>
      <c r="V1" s="192"/>
    </row>
    <row r="2" spans="1:28" x14ac:dyDescent="0.2">
      <c r="A2" s="102" t="s">
        <v>394</v>
      </c>
      <c r="C2" s="193" t="s">
        <v>395</v>
      </c>
      <c r="D2" s="195" t="s">
        <v>396</v>
      </c>
      <c r="E2" s="196"/>
      <c r="F2" s="197" t="s">
        <v>397</v>
      </c>
      <c r="G2" s="198"/>
      <c r="H2" s="197" t="s">
        <v>398</v>
      </c>
      <c r="I2" s="198"/>
      <c r="J2" s="197" t="s">
        <v>399</v>
      </c>
      <c r="K2" s="198"/>
      <c r="L2" s="197" t="s">
        <v>400</v>
      </c>
      <c r="M2" s="198"/>
      <c r="N2" s="197" t="s">
        <v>401</v>
      </c>
      <c r="O2" s="198"/>
      <c r="P2" s="197" t="s">
        <v>402</v>
      </c>
      <c r="Q2" s="198"/>
      <c r="R2" s="197" t="s">
        <v>403</v>
      </c>
      <c r="S2" s="198"/>
      <c r="U2" s="199" t="s">
        <v>404</v>
      </c>
      <c r="V2" s="201" t="s">
        <v>405</v>
      </c>
    </row>
    <row r="3" spans="1:28" x14ac:dyDescent="0.2">
      <c r="A3" s="102"/>
      <c r="C3" s="194"/>
      <c r="D3" s="104" t="s">
        <v>406</v>
      </c>
      <c r="E3" s="105" t="s">
        <v>405</v>
      </c>
      <c r="F3" s="104" t="s">
        <v>406</v>
      </c>
      <c r="G3" s="105" t="s">
        <v>405</v>
      </c>
      <c r="H3" s="104" t="s">
        <v>406</v>
      </c>
      <c r="I3" s="105" t="s">
        <v>405</v>
      </c>
      <c r="J3" s="104" t="s">
        <v>406</v>
      </c>
      <c r="K3" s="105" t="s">
        <v>405</v>
      </c>
      <c r="L3" s="104" t="s">
        <v>406</v>
      </c>
      <c r="M3" s="105" t="s">
        <v>405</v>
      </c>
      <c r="N3" s="104" t="s">
        <v>406</v>
      </c>
      <c r="O3" s="105" t="s">
        <v>405</v>
      </c>
      <c r="P3" s="104" t="s">
        <v>406</v>
      </c>
      <c r="Q3" s="105" t="s">
        <v>405</v>
      </c>
      <c r="R3" s="104" t="s">
        <v>406</v>
      </c>
      <c r="S3" s="105" t="s">
        <v>405</v>
      </c>
      <c r="U3" s="200"/>
      <c r="V3" s="202"/>
    </row>
    <row r="4" spans="1:28" x14ac:dyDescent="0.2">
      <c r="A4" s="102" t="s">
        <v>407</v>
      </c>
      <c r="C4" s="106"/>
      <c r="E4" s="107"/>
      <c r="F4" s="108"/>
      <c r="G4" s="107"/>
      <c r="I4" s="107"/>
      <c r="J4" s="108"/>
      <c r="K4" s="107"/>
      <c r="L4" s="108"/>
      <c r="M4" s="107"/>
      <c r="N4" s="108"/>
      <c r="O4" s="107"/>
      <c r="P4" s="108"/>
      <c r="Q4" s="107"/>
      <c r="R4" s="108"/>
      <c r="S4" s="107"/>
      <c r="U4" s="109"/>
      <c r="V4" s="109"/>
      <c r="X4" t="s">
        <v>318</v>
      </c>
      <c r="Y4" t="s">
        <v>76</v>
      </c>
    </row>
    <row r="5" spans="1:28" x14ac:dyDescent="0.2">
      <c r="A5" t="s">
        <v>383</v>
      </c>
      <c r="C5" s="106">
        <v>22</v>
      </c>
      <c r="D5" s="110">
        <v>8</v>
      </c>
      <c r="E5" s="111">
        <v>8</v>
      </c>
      <c r="F5" s="112">
        <v>10</v>
      </c>
      <c r="G5" s="113">
        <v>10</v>
      </c>
      <c r="H5" s="110">
        <v>6</v>
      </c>
      <c r="I5" s="113">
        <v>6</v>
      </c>
      <c r="J5" s="112">
        <v>8</v>
      </c>
      <c r="K5" s="113">
        <v>8</v>
      </c>
      <c r="L5" s="112">
        <v>10</v>
      </c>
      <c r="M5" s="113">
        <v>10</v>
      </c>
      <c r="N5" s="112">
        <v>4</v>
      </c>
      <c r="O5" s="113">
        <v>4</v>
      </c>
      <c r="P5" s="112">
        <v>10</v>
      </c>
      <c r="Q5" s="113">
        <v>10</v>
      </c>
      <c r="R5" s="112">
        <v>10</v>
      </c>
      <c r="S5" s="113">
        <v>10</v>
      </c>
      <c r="T5">
        <f>Q5+S5</f>
        <v>20</v>
      </c>
      <c r="U5" s="114">
        <f>SUM(C5+D5+F5+H5+J5+L5+N5+P5+R5)</f>
        <v>88</v>
      </c>
      <c r="V5" s="115">
        <v>102</v>
      </c>
      <c r="W5">
        <v>47</v>
      </c>
      <c r="X5">
        <f>V5*W5</f>
        <v>4794</v>
      </c>
      <c r="AB5">
        <f>T5*W5</f>
        <v>940</v>
      </c>
    </row>
    <row r="6" spans="1:28" x14ac:dyDescent="0.2">
      <c r="A6" t="s">
        <v>382</v>
      </c>
      <c r="C6" s="106">
        <v>20</v>
      </c>
      <c r="D6" s="116">
        <v>4</v>
      </c>
      <c r="E6" s="117">
        <v>4</v>
      </c>
      <c r="F6" s="118">
        <v>10</v>
      </c>
      <c r="G6" s="119">
        <v>10</v>
      </c>
      <c r="H6" s="116">
        <v>10</v>
      </c>
      <c r="I6" s="119">
        <v>10</v>
      </c>
      <c r="J6" s="118">
        <v>10</v>
      </c>
      <c r="K6" s="119">
        <v>10</v>
      </c>
      <c r="L6" s="118">
        <v>5</v>
      </c>
      <c r="M6" s="119">
        <v>5</v>
      </c>
      <c r="N6" s="118">
        <v>5</v>
      </c>
      <c r="O6" s="119">
        <v>5</v>
      </c>
      <c r="P6" s="118">
        <v>5</v>
      </c>
      <c r="Q6" s="119">
        <v>5</v>
      </c>
      <c r="R6" s="118">
        <v>5</v>
      </c>
      <c r="S6" s="119">
        <v>5</v>
      </c>
      <c r="T6">
        <f t="shared" ref="T6:T11" si="0">Q6+S6</f>
        <v>10</v>
      </c>
      <c r="U6" s="114">
        <f t="shared" ref="U6:U10" si="1">SUM(C6+D6+F6+H6+J6+L6+N6+P6+R6)</f>
        <v>74</v>
      </c>
      <c r="V6" s="115">
        <v>59.5</v>
      </c>
      <c r="W6">
        <v>36</v>
      </c>
      <c r="X6">
        <f t="shared" ref="X6:X11" si="2">V6*W6</f>
        <v>2142</v>
      </c>
      <c r="AB6">
        <f t="shared" ref="AB6:AB11" si="3">T6*W6</f>
        <v>360</v>
      </c>
    </row>
    <row r="7" spans="1:28" x14ac:dyDescent="0.2">
      <c r="A7" t="s">
        <v>384</v>
      </c>
      <c r="C7" s="106">
        <v>2.5</v>
      </c>
      <c r="D7" s="116">
        <v>6</v>
      </c>
      <c r="E7" s="117">
        <v>6</v>
      </c>
      <c r="F7" s="118">
        <v>8</v>
      </c>
      <c r="G7" s="119">
        <v>8</v>
      </c>
      <c r="H7" s="116">
        <v>15</v>
      </c>
      <c r="I7" s="119">
        <v>15</v>
      </c>
      <c r="J7" s="118">
        <v>20</v>
      </c>
      <c r="K7" s="119">
        <v>20</v>
      </c>
      <c r="L7" s="118">
        <v>20</v>
      </c>
      <c r="M7" s="119">
        <v>20</v>
      </c>
      <c r="N7" s="118">
        <v>10</v>
      </c>
      <c r="O7" s="119">
        <v>10</v>
      </c>
      <c r="P7" s="118">
        <v>15</v>
      </c>
      <c r="Q7" s="119">
        <v>15</v>
      </c>
      <c r="R7" s="118">
        <v>20</v>
      </c>
      <c r="S7" s="119">
        <v>20</v>
      </c>
      <c r="T7">
        <f t="shared" si="0"/>
        <v>35</v>
      </c>
      <c r="U7" s="114">
        <f t="shared" si="1"/>
        <v>116.5</v>
      </c>
      <c r="V7" s="115">
        <v>151.5</v>
      </c>
      <c r="W7">
        <v>40</v>
      </c>
      <c r="X7">
        <f t="shared" si="2"/>
        <v>6060</v>
      </c>
      <c r="AB7">
        <f t="shared" si="3"/>
        <v>1400</v>
      </c>
    </row>
    <row r="8" spans="1:28" x14ac:dyDescent="0.2">
      <c r="A8" t="s">
        <v>381</v>
      </c>
      <c r="C8" s="106">
        <v>9</v>
      </c>
      <c r="D8" s="116">
        <v>3</v>
      </c>
      <c r="E8" s="117">
        <v>3</v>
      </c>
      <c r="F8" s="118">
        <v>6</v>
      </c>
      <c r="G8" s="119">
        <v>6</v>
      </c>
      <c r="H8" s="116">
        <v>15</v>
      </c>
      <c r="I8" s="119">
        <v>15</v>
      </c>
      <c r="J8" s="118">
        <v>20</v>
      </c>
      <c r="K8" s="119">
        <v>20</v>
      </c>
      <c r="L8" s="118">
        <v>20</v>
      </c>
      <c r="M8" s="119">
        <v>20</v>
      </c>
      <c r="N8" s="118">
        <v>5</v>
      </c>
      <c r="O8" s="119">
        <v>5</v>
      </c>
      <c r="P8" s="118">
        <v>15</v>
      </c>
      <c r="Q8" s="119">
        <v>15</v>
      </c>
      <c r="R8" s="118">
        <v>20</v>
      </c>
      <c r="S8" s="119">
        <v>20</v>
      </c>
      <c r="T8">
        <f t="shared" si="0"/>
        <v>35</v>
      </c>
      <c r="U8" s="114">
        <f t="shared" si="1"/>
        <v>113</v>
      </c>
      <c r="V8" s="115">
        <v>162</v>
      </c>
      <c r="W8">
        <v>40</v>
      </c>
      <c r="X8">
        <f t="shared" si="2"/>
        <v>6480</v>
      </c>
      <c r="AB8">
        <f t="shared" si="3"/>
        <v>1400</v>
      </c>
    </row>
    <row r="9" spans="1:28" x14ac:dyDescent="0.2">
      <c r="A9" t="s">
        <v>408</v>
      </c>
      <c r="C9" s="106">
        <v>0</v>
      </c>
      <c r="D9" s="116">
        <v>5</v>
      </c>
      <c r="E9" s="117">
        <v>5</v>
      </c>
      <c r="F9" s="118">
        <v>6</v>
      </c>
      <c r="G9" s="119">
        <v>6</v>
      </c>
      <c r="H9" s="116">
        <v>15</v>
      </c>
      <c r="I9" s="119">
        <v>15</v>
      </c>
      <c r="J9" s="118">
        <v>20</v>
      </c>
      <c r="K9" s="119">
        <v>20</v>
      </c>
      <c r="L9" s="118">
        <v>20</v>
      </c>
      <c r="M9" s="119">
        <v>20</v>
      </c>
      <c r="N9" s="118">
        <v>10</v>
      </c>
      <c r="O9" s="119">
        <v>10</v>
      </c>
      <c r="P9" s="118">
        <v>20</v>
      </c>
      <c r="Q9" s="119">
        <v>20</v>
      </c>
      <c r="R9" s="118">
        <v>20</v>
      </c>
      <c r="S9" s="119">
        <v>20</v>
      </c>
      <c r="T9">
        <f t="shared" si="0"/>
        <v>40</v>
      </c>
      <c r="U9" s="114">
        <f t="shared" si="1"/>
        <v>116</v>
      </c>
      <c r="V9" s="115">
        <v>170</v>
      </c>
      <c r="W9">
        <v>40</v>
      </c>
      <c r="X9">
        <f t="shared" si="2"/>
        <v>6800</v>
      </c>
      <c r="AB9">
        <f t="shared" si="3"/>
        <v>1600</v>
      </c>
    </row>
    <row r="10" spans="1:28" x14ac:dyDescent="0.2">
      <c r="A10" t="s">
        <v>14</v>
      </c>
      <c r="C10" s="106">
        <v>14</v>
      </c>
      <c r="D10" s="116">
        <v>3</v>
      </c>
      <c r="E10" s="117">
        <v>3</v>
      </c>
      <c r="F10" s="118">
        <v>6</v>
      </c>
      <c r="G10" s="119">
        <v>6</v>
      </c>
      <c r="H10" s="116">
        <v>16</v>
      </c>
      <c r="I10" s="119">
        <v>16</v>
      </c>
      <c r="J10" s="118">
        <v>16</v>
      </c>
      <c r="K10" s="119">
        <v>16</v>
      </c>
      <c r="L10" s="118">
        <v>16</v>
      </c>
      <c r="M10" s="119">
        <v>16</v>
      </c>
      <c r="N10" s="118">
        <v>8</v>
      </c>
      <c r="O10" s="119">
        <v>8</v>
      </c>
      <c r="P10" s="118">
        <v>8</v>
      </c>
      <c r="Q10" s="119">
        <v>8</v>
      </c>
      <c r="R10" s="118">
        <v>16</v>
      </c>
      <c r="S10" s="119">
        <v>16</v>
      </c>
      <c r="T10">
        <f t="shared" si="0"/>
        <v>24</v>
      </c>
      <c r="U10" s="114">
        <f t="shared" si="1"/>
        <v>103</v>
      </c>
      <c r="V10" s="115">
        <v>96.5</v>
      </c>
      <c r="W10">
        <v>44</v>
      </c>
      <c r="X10">
        <f t="shared" si="2"/>
        <v>4246</v>
      </c>
      <c r="AB10">
        <f t="shared" si="3"/>
        <v>1056</v>
      </c>
    </row>
    <row r="11" spans="1:28" x14ac:dyDescent="0.2">
      <c r="A11" t="s">
        <v>386</v>
      </c>
      <c r="C11" s="120"/>
      <c r="D11" s="116"/>
      <c r="E11" s="117"/>
      <c r="F11" s="118"/>
      <c r="G11" s="119"/>
      <c r="H11" s="116"/>
      <c r="I11" s="119"/>
      <c r="J11" s="118"/>
      <c r="K11" s="119"/>
      <c r="L11" s="116"/>
      <c r="M11" s="119"/>
      <c r="N11" s="116"/>
      <c r="O11" s="119"/>
      <c r="P11" s="116"/>
      <c r="Q11" s="119"/>
      <c r="R11" s="116"/>
      <c r="S11" s="119"/>
      <c r="T11">
        <f t="shared" si="0"/>
        <v>0</v>
      </c>
      <c r="U11" s="114"/>
      <c r="V11" s="115">
        <v>21</v>
      </c>
      <c r="W11">
        <v>52</v>
      </c>
      <c r="X11">
        <f t="shared" si="2"/>
        <v>1092</v>
      </c>
      <c r="AB11">
        <f t="shared" si="3"/>
        <v>0</v>
      </c>
    </row>
    <row r="12" spans="1:28" x14ac:dyDescent="0.2">
      <c r="U12" s="121"/>
      <c r="V12" s="115"/>
      <c r="X12" s="62">
        <f>SUM(X5:X11)</f>
        <v>31614</v>
      </c>
      <c r="Y12" s="62">
        <v>47320</v>
      </c>
      <c r="Z12" s="88">
        <f>Y12-X12</f>
        <v>15706</v>
      </c>
    </row>
    <row r="13" spans="1:28" x14ac:dyDescent="0.2">
      <c r="A13" s="122"/>
      <c r="B13" s="123"/>
      <c r="C13" s="124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Z13" s="189">
        <f>Z12/Y12</f>
        <v>0.3319103972950127</v>
      </c>
    </row>
    <row r="14" spans="1:28" x14ac:dyDescent="0.2">
      <c r="A14" s="126"/>
      <c r="B14" s="127"/>
      <c r="C14" s="128"/>
      <c r="D14" s="127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</row>
  </sheetData>
  <mergeCells count="15">
    <mergeCell ref="D1:G1"/>
    <mergeCell ref="H1:O1"/>
    <mergeCell ref="P1:S1"/>
    <mergeCell ref="U1:V1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U2:U3"/>
    <mergeCell ref="V2:V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0E75-B78A-3E43-B833-EF18685808B8}">
  <dimension ref="A1:F12"/>
  <sheetViews>
    <sheetView zoomScale="110" zoomScaleNormal="110" workbookViewId="0">
      <selection activeCell="K11" sqref="K11"/>
    </sheetView>
  </sheetViews>
  <sheetFormatPr baseColWidth="10" defaultColWidth="11" defaultRowHeight="16" x14ac:dyDescent="0.2"/>
  <cols>
    <col min="1" max="1" width="40.6640625" bestFit="1" customWidth="1"/>
    <col min="2" max="2" width="12.83203125" bestFit="1" customWidth="1"/>
    <col min="3" max="3" width="11.6640625" bestFit="1" customWidth="1"/>
    <col min="4" max="4" width="19.5" bestFit="1" customWidth="1"/>
  </cols>
  <sheetData>
    <row r="1" spans="1:6" x14ac:dyDescent="0.2">
      <c r="A1" s="38"/>
      <c r="B1" s="38" t="s">
        <v>318</v>
      </c>
      <c r="C1" s="38" t="s">
        <v>76</v>
      </c>
      <c r="D1" s="38"/>
    </row>
    <row r="2" spans="1:6" x14ac:dyDescent="0.2">
      <c r="A2" s="38" t="s">
        <v>409</v>
      </c>
      <c r="B2" s="131">
        <v>31039</v>
      </c>
      <c r="C2" s="38"/>
      <c r="D2" s="38"/>
    </row>
    <row r="3" spans="1:6" x14ac:dyDescent="0.2">
      <c r="A3" s="38" t="s">
        <v>410</v>
      </c>
      <c r="B3" s="131">
        <v>2000</v>
      </c>
      <c r="C3" s="131"/>
      <c r="D3" s="38"/>
    </row>
    <row r="4" spans="1:6" x14ac:dyDescent="0.2">
      <c r="A4" s="38" t="s">
        <v>411</v>
      </c>
      <c r="B4" s="131">
        <v>3000</v>
      </c>
      <c r="C4" s="131"/>
      <c r="D4" s="38"/>
    </row>
    <row r="5" spans="1:6" x14ac:dyDescent="0.2">
      <c r="A5" s="38" t="s">
        <v>412</v>
      </c>
      <c r="B5" s="131">
        <v>17000</v>
      </c>
      <c r="C5" s="131"/>
      <c r="D5" s="38"/>
    </row>
    <row r="6" spans="1:6" x14ac:dyDescent="0.2">
      <c r="A6" s="38" t="s">
        <v>413</v>
      </c>
      <c r="B6" s="131">
        <v>6000</v>
      </c>
      <c r="C6" s="131"/>
      <c r="D6" s="38"/>
    </row>
    <row r="7" spans="1:6" x14ac:dyDescent="0.2">
      <c r="A7" s="38" t="s">
        <v>414</v>
      </c>
      <c r="B7" s="131">
        <v>2400</v>
      </c>
      <c r="C7" s="131"/>
      <c r="D7" s="38"/>
      <c r="F7" s="38" t="s">
        <v>415</v>
      </c>
    </row>
    <row r="8" spans="1:6" x14ac:dyDescent="0.2">
      <c r="A8" s="38" t="s">
        <v>416</v>
      </c>
      <c r="B8" s="131">
        <v>5280</v>
      </c>
      <c r="C8" s="131"/>
      <c r="D8" s="38"/>
      <c r="F8" s="38" t="s">
        <v>417</v>
      </c>
    </row>
    <row r="9" spans="1:6" x14ac:dyDescent="0.2">
      <c r="A9" s="38" t="s">
        <v>418</v>
      </c>
      <c r="B9" s="131">
        <v>10000</v>
      </c>
      <c r="C9" s="131"/>
      <c r="D9" s="38"/>
    </row>
    <row r="10" spans="1:6" x14ac:dyDescent="0.2">
      <c r="A10" s="45"/>
      <c r="B10" s="131"/>
      <c r="C10" s="131"/>
      <c r="D10" s="38"/>
    </row>
    <row r="11" spans="1:6" x14ac:dyDescent="0.2">
      <c r="A11" s="38"/>
      <c r="B11" s="132">
        <f>SUM(B2:B10)</f>
        <v>76719</v>
      </c>
      <c r="C11">
        <v>140000</v>
      </c>
      <c r="D11" s="132">
        <f>C11-B11</f>
        <v>63281</v>
      </c>
    </row>
    <row r="12" spans="1:6" x14ac:dyDescent="0.2">
      <c r="D12" s="130">
        <f>D11/C11</f>
        <v>0.45200714285714283</v>
      </c>
      <c r="E12" s="13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AE8E-7EF6-B34C-BEE9-ECB47179DBB2}">
  <dimension ref="A1"/>
  <sheetViews>
    <sheetView workbookViewId="0"/>
  </sheetViews>
  <sheetFormatPr baseColWidth="10" defaultColWidth="11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forecast</vt:lpstr>
      <vt:lpstr>summary</vt:lpstr>
      <vt:lpstr>P&amp;L</vt:lpstr>
      <vt:lpstr>Bank statement</vt:lpstr>
      <vt:lpstr>Credit card statement</vt:lpstr>
      <vt:lpstr>AR</vt:lpstr>
      <vt:lpstr>Upwork</vt:lpstr>
      <vt:lpstr>Freelance charges</vt:lpstr>
      <vt:lpstr>reimbursement personal expenses</vt:lpstr>
      <vt:lpstr>Brain Dead BC</vt:lpstr>
      <vt:lpstr>Metropolitan</vt:lpstr>
      <vt:lpstr>Laurel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Marianna</dc:creator>
  <cp:keywords/>
  <dc:description/>
  <cp:lastModifiedBy>Marianna</cp:lastModifiedBy>
  <cp:revision/>
  <dcterms:created xsi:type="dcterms:W3CDTF">2024-05-07T13:20:41Z</dcterms:created>
  <dcterms:modified xsi:type="dcterms:W3CDTF">2025-04-03T07:44:43Z</dcterms:modified>
  <cp:category/>
  <cp:contentStatus/>
</cp:coreProperties>
</file>