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aurelag-my.sharepoint.com/personal/kconway_laurel-ag_com/Documents/Desktop/"/>
    </mc:Choice>
  </mc:AlternateContent>
  <xr:revisionPtr revIDLastSave="497" documentId="8_{160F5EA6-A9D0-4FD1-BFF7-D90197B5F9CC}" xr6:coauthVersionLast="47" xr6:coauthVersionMax="47" xr10:uidLastSave="{27ED36A7-1BE6-4C4C-BACB-1656B1DD58D1}"/>
  <bookViews>
    <workbookView xWindow="-120" yWindow="-120" windowWidth="29040" windowHeight="15840" firstSheet="73" activeTab="74" xr2:uid="{00000000-000D-0000-FFFF-FFFF00000000}"/>
  </bookViews>
  <sheets>
    <sheet name="ACMII CA" sheetId="248" r:id="rId1"/>
    <sheet name="ALLIED POTATO" sheetId="298" r:id="rId2"/>
    <sheet name="AM-SOD" sheetId="297" r:id="rId3"/>
    <sheet name="Howard Albano" sheetId="4" r:id="rId4"/>
    <sheet name="ALMONDS EIGHT" sheetId="247" r:id="rId5"/>
    <sheet name="AR FARMING &amp; LEASING" sheetId="279" r:id="rId6"/>
    <sheet name="BOLTHOUSE" sheetId="191" r:id="rId7"/>
    <sheet name="BRITE CREEK FARM" sheetId="245" r:id="rId8"/>
    <sheet name="BROKEN WING FARMS" sheetId="252" r:id="rId9"/>
    <sheet name="BUTTONWILLOW LAND &amp; CATTLE" sheetId="227" r:id="rId10"/>
    <sheet name="Cauzza Bros." sheetId="186" r:id="rId11"/>
    <sheet name="CBP PROPERTIES" sheetId="260" r:id="rId12"/>
    <sheet name="COSTA AG COMPANY" sheetId="284" r:id="rId13"/>
    <sheet name="CORE AGRICULTURE" sheetId="283" r:id="rId14"/>
    <sheet name="DALE CREIGHTON" sheetId="273" r:id="rId15"/>
    <sheet name="DANIEL FARMS" sheetId="257" r:id="rId16"/>
    <sheet name="DEL MAR FARMS" sheetId="236" r:id="rId17"/>
    <sheet name="DENNY RANCH" sheetId="256" r:id="rId18"/>
    <sheet name="DESERT RANCH" sheetId="266" r:id="rId19"/>
    <sheet name="DM CAMP" sheetId="290" r:id="rId20"/>
    <sheet name="DOUGLAS RANCHES" sheetId="231" r:id="rId21"/>
    <sheet name="DUNCAN FAMILY FARMS" sheetId="210" r:id="rId22"/>
    <sheet name="ELK GROVE RANCH" sheetId="108" r:id="rId23"/>
    <sheet name="Enza Zaden USA" sheetId="23" r:id="rId24"/>
    <sheet name="EYRAUD PIPE RENTAL" sheetId="26" r:id="rId25"/>
    <sheet name="FAIRWAY FARMS" sheetId="294" r:id="rId26"/>
    <sheet name="Freedom Farms" sheetId="255" r:id="rId27"/>
    <sheet name="GENE PALLA FARMS" sheetId="272" r:id="rId28"/>
    <sheet name="GILKEY FIVE" sheetId="259" r:id="rId29"/>
    <sheet name="Hafenfeld Ranch" sheetId="36" r:id="rId30"/>
    <sheet name="HERITAGE FARMS" sheetId="143" r:id="rId31"/>
    <sheet name="H&amp;H Farms" sheetId="37" r:id="rId32"/>
    <sheet name="ILLUME AG" sheetId="296" r:id="rId33"/>
    <sheet name="DAVID JACOBSON" sheetId="145" r:id="rId34"/>
    <sheet name="J.P. Oil" sheetId="258" r:id="rId35"/>
    <sheet name="Kirschenmann Ent." sheetId="263" r:id="rId36"/>
    <sheet name="KIRSCHENMANN 2008 TRUST" sheetId="209" r:id="rId37"/>
    <sheet name="KOSAREFF FARMS" sheetId="265" r:id="rId38"/>
    <sheet name="LA CAROTA FARMS" sheetId="166" r:id="rId39"/>
    <sheet name="Lehr Bros." sheetId="49" r:id="rId40"/>
    <sheet name="LOS GATOS - WOOLF" sheetId="222" r:id="rId41"/>
    <sheet name="L.P. Farms" sheetId="50" r:id="rId42"/>
    <sheet name="L.T. FARMS" sheetId="302" r:id="rId43"/>
    <sheet name="MAPLE" sheetId="254" r:id="rId44"/>
    <sheet name="MATERRA FARMING" sheetId="217" r:id="rId45"/>
    <sheet name="MCKITTRICK RANCH" sheetId="295" r:id="rId46"/>
    <sheet name="L. Neufeld" sheetId="194" r:id="rId47"/>
    <sheet name="OLD RIVER FARMING" sheetId="269" r:id="rId48"/>
    <sheet name="Joe Paesano" sheetId="59" r:id="rId49"/>
    <sheet name="PETER RABBIT" sheetId="159" r:id="rId50"/>
    <sheet name="Poso Ridge N." sheetId="206" r:id="rId51"/>
    <sheet name="PROGENY ADVANCED GENETICS" sheetId="237" r:id="rId52"/>
    <sheet name="RIO RANCHO 2005" sheetId="193" r:id="rId53"/>
    <sheet name="RV FARMS" sheetId="179" r:id="rId54"/>
    <sheet name="JERRY SLOUGH" sheetId="72" r:id="rId55"/>
    <sheet name="SYNGENTA SEEDS" sheetId="118" r:id="rId56"/>
    <sheet name="TASTEFUL SELECTIONS" sheetId="75" r:id="rId57"/>
    <sheet name="TEN STAR FARMING" sheetId="235" r:id="rId58"/>
    <sheet name="THREE BRAND CATTLE" sheetId="196" r:id="rId59"/>
    <sheet name="THOMSON INT'L" sheetId="200" r:id="rId60"/>
    <sheet name="TORIGIANI FARMS" sheetId="242" r:id="rId61"/>
    <sheet name="TRILOGY DAIRY" sheetId="301" r:id="rId62"/>
    <sheet name="UNDERWOOD" sheetId="215" r:id="rId63"/>
    <sheet name="URI BROS" sheetId="277" r:id="rId64"/>
    <sheet name="WARREN AG " sheetId="240" r:id="rId65"/>
    <sheet name="WATER ASSOC. " sheetId="223" r:id="rId66"/>
    <sheet name="WEST COAST BERRY FARMS" sheetId="250" r:id="rId67"/>
    <sheet name="WONDERFUL NURSERSIES" sheetId="289" r:id="rId68"/>
    <sheet name="WOOLF ENTER." sheetId="229" r:id="rId69"/>
    <sheet name="WP RODUNER CATTLE &amp; FARMING" sheetId="303" r:id="rId70"/>
    <sheet name="VARSITY PRODUCE" sheetId="288" r:id="rId71"/>
    <sheet name="ZUCKERMAN HERITAGE" sheetId="278" r:id="rId72"/>
    <sheet name="RENTAL INVENTORY 7-16-18" sheetId="218" r:id="rId73"/>
    <sheet name="RENTAL INVENT 04302020" sheetId="232" r:id="rId74"/>
    <sheet name="M2M RENTALS" sheetId="292" r:id="rId75"/>
    <sheet name="RETRIEVER MACHINES" sheetId="299" r:id="rId76"/>
    <sheet name="PROJ CLEANUP" sheetId="300" r:id="rId7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303" l="1"/>
  <c r="A1" i="302"/>
  <c r="A1" i="301"/>
  <c r="A1" i="298"/>
  <c r="A1" i="296"/>
  <c r="A1" i="295" l="1"/>
  <c r="J67" i="75"/>
  <c r="J66" i="75"/>
  <c r="A1" i="294"/>
  <c r="I16" i="284"/>
  <c r="I15" i="284"/>
  <c r="I14" i="284"/>
  <c r="I13" i="284"/>
  <c r="I12" i="284"/>
  <c r="I11" i="284"/>
  <c r="I10" i="284"/>
  <c r="I9" i="284"/>
  <c r="I8" i="284"/>
  <c r="I7" i="284"/>
  <c r="I6" i="284"/>
  <c r="I11" i="265"/>
  <c r="I10" i="265"/>
  <c r="I9" i="265"/>
  <c r="I8" i="265"/>
  <c r="I7" i="265"/>
  <c r="I6" i="265"/>
  <c r="I5" i="265"/>
  <c r="I12" i="257" l="1"/>
  <c r="I11" i="257"/>
  <c r="I10" i="257"/>
  <c r="I9" i="257"/>
  <c r="I8" i="257"/>
  <c r="I7" i="257"/>
  <c r="I6" i="257"/>
  <c r="I5" i="257"/>
  <c r="B103" i="232" l="1"/>
  <c r="B87" i="232"/>
  <c r="B99" i="232"/>
  <c r="D99" i="232"/>
  <c r="D85" i="232" l="1"/>
  <c r="B85" i="232"/>
  <c r="D63" i="232" l="1"/>
  <c r="B63" i="232"/>
  <c r="D35" i="232"/>
  <c r="A1" i="290"/>
  <c r="B35" i="232"/>
  <c r="B38" i="232" l="1"/>
  <c r="B65" i="232"/>
  <c r="A1" i="289" l="1"/>
  <c r="A1" i="288"/>
  <c r="A1" i="284"/>
  <c r="A1" i="283"/>
  <c r="I19" i="263" l="1"/>
  <c r="I18" i="263"/>
  <c r="I17" i="263"/>
  <c r="A1" i="279"/>
  <c r="A1" i="278"/>
  <c r="A1" i="277"/>
  <c r="A1" i="273" l="1"/>
  <c r="A1" i="272"/>
  <c r="A1" i="269"/>
  <c r="A1" i="266"/>
  <c r="A1" i="265"/>
  <c r="A1" i="263"/>
  <c r="I5" i="263"/>
  <c r="I6" i="263"/>
  <c r="I7" i="263"/>
  <c r="I8" i="263"/>
  <c r="I9" i="263"/>
  <c r="I11" i="263"/>
  <c r="I12" i="263"/>
  <c r="I13" i="263"/>
  <c r="I14" i="263"/>
  <c r="I15" i="263"/>
  <c r="A1" i="260"/>
  <c r="A1" i="259"/>
  <c r="A1" i="258"/>
  <c r="I5" i="258"/>
  <c r="I6" i="258"/>
  <c r="I7" i="258"/>
  <c r="I8" i="258"/>
  <c r="I9" i="258"/>
  <c r="I10" i="258"/>
  <c r="I11" i="258"/>
  <c r="I12" i="258"/>
  <c r="I13" i="258"/>
  <c r="A1" i="257"/>
  <c r="I10" i="256"/>
  <c r="I9" i="256"/>
  <c r="I8" i="256"/>
  <c r="I7" i="256"/>
  <c r="A1" i="256"/>
  <c r="A1" i="255"/>
  <c r="A1" i="254"/>
  <c r="I13" i="166" l="1"/>
  <c r="I12" i="166"/>
  <c r="I11" i="166"/>
  <c r="I10" i="166"/>
  <c r="I9" i="166"/>
  <c r="J113" i="75" l="1"/>
  <c r="J112" i="75"/>
  <c r="J111" i="75"/>
  <c r="J110" i="75"/>
  <c r="J109" i="75"/>
  <c r="J108" i="75"/>
  <c r="J107" i="75"/>
  <c r="J105" i="75"/>
  <c r="J104" i="75"/>
  <c r="J102" i="75"/>
  <c r="J100" i="75"/>
  <c r="J99" i="75"/>
  <c r="J98" i="75"/>
  <c r="J97" i="75"/>
  <c r="J96" i="75"/>
  <c r="J95" i="75"/>
  <c r="J93" i="75"/>
  <c r="J91" i="75"/>
  <c r="J89" i="75"/>
  <c r="J88" i="75"/>
  <c r="J86" i="75"/>
  <c r="J85" i="75"/>
  <c r="J84" i="75"/>
  <c r="J83" i="75"/>
  <c r="J82" i="75"/>
  <c r="J81" i="75"/>
  <c r="J80" i="75"/>
  <c r="J78" i="75"/>
  <c r="J77" i="75"/>
  <c r="J76" i="75"/>
  <c r="J65" i="75"/>
  <c r="J64" i="75"/>
  <c r="J63" i="75"/>
  <c r="J62" i="75"/>
  <c r="J61" i="75"/>
  <c r="J60" i="75"/>
  <c r="J59" i="75"/>
  <c r="J58" i="75"/>
  <c r="J57" i="75"/>
  <c r="J55" i="75"/>
  <c r="J54" i="75"/>
  <c r="J53" i="75"/>
  <c r="J52" i="75"/>
  <c r="J51" i="75"/>
  <c r="J50" i="75"/>
  <c r="J49" i="75"/>
  <c r="J48" i="75"/>
  <c r="J47" i="75"/>
  <c r="J46" i="75"/>
  <c r="J45" i="75"/>
  <c r="J43" i="75"/>
  <c r="J42" i="75"/>
  <c r="J41" i="75"/>
  <c r="J40" i="75"/>
  <c r="J38" i="75"/>
  <c r="J37" i="75"/>
  <c r="J36" i="75"/>
  <c r="J35" i="75"/>
  <c r="J34" i="75"/>
  <c r="J32" i="75"/>
  <c r="J31" i="75"/>
  <c r="J30" i="75"/>
  <c r="J29" i="75"/>
  <c r="J28" i="75"/>
  <c r="J27" i="75"/>
  <c r="J26" i="75"/>
  <c r="J25" i="75"/>
  <c r="J23" i="75"/>
  <c r="J22" i="75"/>
  <c r="J21" i="75"/>
  <c r="J20" i="75"/>
  <c r="J19" i="75"/>
  <c r="J18" i="75"/>
  <c r="J17" i="75"/>
  <c r="J15" i="75"/>
  <c r="J14" i="75"/>
  <c r="J13" i="75"/>
  <c r="J12" i="75"/>
  <c r="J11" i="75"/>
  <c r="J10" i="75"/>
  <c r="J9" i="75"/>
  <c r="J7" i="75"/>
  <c r="J6" i="75"/>
  <c r="J5" i="75"/>
  <c r="A1" i="252" l="1"/>
  <c r="A1" i="250" l="1"/>
  <c r="A1" i="248"/>
  <c r="A1" i="247"/>
  <c r="I13" i="245" l="1"/>
  <c r="I12" i="245"/>
  <c r="I11" i="245"/>
  <c r="I10" i="245"/>
  <c r="I9" i="245"/>
  <c r="I8" i="245"/>
  <c r="I7" i="245"/>
  <c r="I6" i="245"/>
  <c r="I5" i="245"/>
  <c r="A1" i="245"/>
  <c r="I7" i="166" l="1"/>
  <c r="I6" i="166"/>
  <c r="I5" i="166"/>
  <c r="A1" i="242" l="1"/>
  <c r="A1" i="240" l="1"/>
  <c r="A1" i="237" l="1"/>
  <c r="A1" i="236" l="1"/>
  <c r="A1" i="235"/>
  <c r="I17" i="50" l="1"/>
  <c r="I16" i="50"/>
  <c r="I15" i="50"/>
  <c r="I13" i="50"/>
  <c r="I12" i="50"/>
  <c r="I71" i="37"/>
  <c r="I53" i="37" l="1"/>
  <c r="A1" i="231"/>
  <c r="A1" i="229"/>
  <c r="J128" i="215"/>
  <c r="A1" i="227"/>
  <c r="A1" i="223" l="1"/>
  <c r="I5" i="222"/>
  <c r="A1" i="222"/>
  <c r="D75" i="218" l="1"/>
  <c r="B75" i="218"/>
  <c r="F43" i="218"/>
  <c r="D43" i="218"/>
  <c r="B43" i="218"/>
  <c r="D76" i="218" l="1"/>
  <c r="D87" i="218"/>
  <c r="B76" i="218" l="1"/>
  <c r="I75" i="218"/>
  <c r="B87" i="218" s="1"/>
  <c r="F75" i="218"/>
  <c r="F44" i="218"/>
  <c r="D44" i="218"/>
  <c r="B44" i="218"/>
  <c r="F76" i="218" l="1"/>
  <c r="F88" i="218" s="1"/>
  <c r="F87" i="218"/>
  <c r="B46" i="218"/>
  <c r="D88" i="218"/>
  <c r="I76" i="218"/>
  <c r="B88" i="218" l="1"/>
  <c r="I60" i="200" l="1"/>
  <c r="I59" i="200"/>
  <c r="I58" i="200"/>
  <c r="I57" i="200"/>
  <c r="I56" i="200"/>
  <c r="I55" i="200"/>
  <c r="I54" i="200"/>
  <c r="I53" i="200"/>
  <c r="I52" i="200"/>
  <c r="I51" i="200"/>
  <c r="I50" i="200"/>
  <c r="I49" i="200"/>
  <c r="I48" i="200"/>
  <c r="I47" i="200"/>
  <c r="I46" i="200"/>
  <c r="I45" i="200"/>
  <c r="I44" i="200"/>
  <c r="I11" i="50"/>
  <c r="I10" i="50"/>
  <c r="I9" i="50"/>
  <c r="I66" i="37"/>
  <c r="I65" i="37"/>
  <c r="I64" i="37"/>
  <c r="I63" i="37"/>
  <c r="I62" i="37"/>
  <c r="I60" i="37"/>
  <c r="I59" i="37"/>
  <c r="I57" i="37"/>
  <c r="I56" i="37"/>
  <c r="I55" i="37"/>
  <c r="I52" i="37"/>
  <c r="I51" i="37"/>
  <c r="I49" i="37"/>
  <c r="I48" i="37"/>
  <c r="I47" i="37"/>
  <c r="I45" i="37"/>
  <c r="I44" i="37"/>
  <c r="I43" i="37"/>
  <c r="I42" i="37"/>
  <c r="I40" i="37"/>
  <c r="I39" i="37"/>
  <c r="I37" i="37"/>
  <c r="I36" i="37"/>
  <c r="I35" i="37"/>
  <c r="I33" i="37"/>
  <c r="I32" i="37"/>
  <c r="I31" i="37"/>
  <c r="I30" i="37"/>
  <c r="I29" i="37"/>
  <c r="I28" i="37"/>
  <c r="I27" i="37"/>
  <c r="I26" i="37"/>
  <c r="I24" i="37"/>
  <c r="I23" i="37"/>
  <c r="I22" i="37"/>
  <c r="I21" i="37"/>
  <c r="I19" i="37"/>
  <c r="I18" i="37"/>
  <c r="I17" i="37"/>
  <c r="I15" i="37"/>
  <c r="I13" i="37"/>
  <c r="I12" i="37"/>
  <c r="I11" i="37"/>
  <c r="I10" i="37"/>
  <c r="I9" i="37"/>
  <c r="I8" i="37"/>
  <c r="I7" i="37"/>
  <c r="A1" i="217" l="1"/>
  <c r="I7" i="50"/>
  <c r="J131" i="215"/>
  <c r="J130" i="215"/>
  <c r="J129" i="215"/>
  <c r="J127" i="215"/>
  <c r="J126" i="215"/>
  <c r="J125" i="215"/>
  <c r="J124" i="215"/>
  <c r="J123" i="215"/>
  <c r="J122" i="215"/>
  <c r="J121" i="215"/>
  <c r="I5" i="50"/>
  <c r="A1" i="210" l="1"/>
  <c r="A1" i="209"/>
  <c r="A1" i="206" l="1"/>
  <c r="A1" i="196" l="1"/>
  <c r="A1" i="194"/>
  <c r="A1" i="193"/>
  <c r="A1" i="191"/>
  <c r="A1" i="186"/>
  <c r="A1" i="179" l="1"/>
  <c r="A1" i="166"/>
  <c r="A1" i="159"/>
  <c r="A1" i="145" l="1"/>
  <c r="A1" i="143"/>
  <c r="I6" i="4"/>
  <c r="I7" i="4"/>
  <c r="I5" i="4"/>
  <c r="A1" i="118"/>
  <c r="A1" i="108"/>
  <c r="A1" i="72" l="1"/>
  <c r="A1" i="75"/>
  <c r="A1" i="37"/>
  <c r="A1" i="49"/>
  <c r="A1" i="50"/>
  <c r="A1" i="59"/>
  <c r="A1" i="36"/>
  <c r="A1" i="23"/>
  <c r="A1" i="26"/>
  <c r="A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tc={54EFD12B-2EC7-4F9E-83FB-BB33D62659A0}</author>
    <author>tc={C0FDEEA4-C46F-4BC5-A39A-F57074F51325}</author>
    <author>tc={3F3C2401-875D-450E-8A23-031425360B7D}</author>
    <author>Kirby Conway</author>
    <author>tc={15566CE7-2728-49E2-A402-78F499E646F8}</author>
    <author>tc={699925C4-9D26-4B42-9BA5-033E6DA00C42}</author>
    <author>tc={0FF916E8-9E6D-47EE-B731-C9AB9538E7E6}</author>
    <author>tc={024C8B63-E0E2-4F53-B09B-EAC93CF807D5}</author>
    <author>tc={FEF7D121-77C9-45A1-A82F-8FACB87383CA}</author>
    <author>tc={60690AF5-327C-41FD-86C9-7AFA185B20CF}</author>
    <author>tc={CACB629A-5225-4ED7-AD02-E373A035E536}</author>
  </authors>
  <commentList>
    <comment ref="F5" authorId="0" shapeId="0" xr:uid="{54EFD12B-2EC7-4F9E-83FB-BB33D62659A0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INVOICE 1 MORE MONTH</t>
      </text>
    </comment>
    <comment ref="G7" authorId="1" shapeId="0" xr:uid="{C0FDEEA4-C46F-4BC5-A39A-F57074F513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STOPPED RENT</t>
      </text>
    </comment>
    <comment ref="H14" authorId="2" shapeId="0" xr:uid="{3F3C2401-875D-450E-8A23-031425360B7D}">
      <text>
        <t>[Threaded comment]
Your version of Excel allows you to read this threaded comment; however, any edits to it will get removed if the file is opened in a newer version of Excel. Learn more: https://go.microsoft.com/fwlink/?linkid=870924
Comment:
    STOPPED RENT</t>
      </text>
    </comment>
    <comment ref="Q19" authorId="3" shapeId="0" xr:uid="{5B23FC48-D53E-4AE6-9ABD-31B2EE42B9AC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Jerry stopped rent on 12/20/22 via email. 
</t>
        </r>
      </text>
    </comment>
    <comment ref="I25" authorId="3" shapeId="0" xr:uid="{37D46C8E-BC21-4C47-8C47-BB6E83FE5020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CREDITED THIS INVOICE. FILTER WAS RETURNED ON 6/24/22 PER JERRY IN YUMA</t>
        </r>
      </text>
    </comment>
    <comment ref="N29" authorId="3" shapeId="0" xr:uid="{1A9F202B-4D7D-46B8-98A4-6A8BEC7C949C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Credit off invoices 
031099
030464
029082
028542
see email sent from Jerry on 12/20/22proj009231
</t>
        </r>
      </text>
    </comment>
    <comment ref="Q31" authorId="3" shapeId="0" xr:uid="{3C8102CA-7CC3-463E-AE1A-FE56110F66D4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Billed at 50% of rent - stand by time</t>
        </r>
      </text>
    </comment>
    <comment ref="F32" authorId="4" shapeId="0" xr:uid="{15566CE7-2728-49E2-A402-78F499E646F8}">
      <text>
        <t>[Threaded comment]
Your version of Excel allows you to read this threaded comment; however, any edits to it will get removed if the file is opened in a newer version of Excel. Learn more: https://go.microsoft.com/fwlink/?linkid=870924
Comment:
    CREDITED FROM CUSTOMER ACCOUNT, PER TONY &amp; JERRY EMAIL</t>
      </text>
    </comment>
    <comment ref="G36" authorId="3" shapeId="0" xr:uid="{72B575DC-061F-408D-82DB-F28CED53B67D}">
      <text>
        <r>
          <rPr>
            <b/>
            <sz val="9"/>
            <color indexed="81"/>
            <rFont val="Tahoma"/>
            <family val="2"/>
          </rPr>
          <t>Kirby Conway:Billed on Tony's computer during meeting with Jerry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6" authorId="3" shapeId="0" xr:uid="{E4BBA2DB-7B35-40C6-9CA4-F970AB249525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Credited 75% of rent. Filter was returned early, 6/30/23
</t>
        </r>
      </text>
    </comment>
    <comment ref="Q45" authorId="3" shapeId="0" xr:uid="{1B2963B6-6116-4570-8C8D-BBE69D8F8964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INCREASER RENT THIS MONTH BY 20%, PER TONY</t>
        </r>
      </text>
    </comment>
    <comment ref="I46" authorId="5" shapeId="0" xr:uid="{699925C4-9D26-4B42-9BA5-033E6DA00C42}">
      <text>
        <t>[Threaded comment]
Your version of Excel allows you to read this threaded comment; however, any edits to it will get removed if the file is opened in a newer version of Excel. Learn more: https://go.microsoft.com/fwlink/?linkid=870924
Comment:
    SEPTEMBER ADD ONS - FROM MATTS EMAIL ON 8/30</t>
      </text>
    </comment>
    <comment ref="Q46" authorId="6" shapeId="0" xr:uid="{0FF916E8-9E6D-47EE-B731-C9AB9538E7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ITEMS FROM EMAIL 5/28/22</t>
      </text>
    </comment>
    <comment ref="S46" authorId="3" shapeId="0" xr:uid="{D4A3F503-7117-4B68-B370-5A9935924EAC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INCREASED RENT THIS MONTH BY 20% PER TONY</t>
        </r>
      </text>
    </comment>
    <comment ref="T46" authorId="3" shapeId="0" xr:uid="{E44EB883-1513-463D-B9C9-D4E4411F2181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Remove pipe &amp; fittings per Matt's email 8/7/22, 8/16/22
</t>
        </r>
      </text>
    </comment>
    <comment ref="U46" authorId="3" shapeId="0" xr:uid="{CF52B2EC-DC57-427A-94DA-2DAC87B92297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REMOVED ALL ALUMINUM PIPE (3", 8", 10") AND ALL ALUM FITTINGS EXCEPT 4X3 VOE AND 4X3X3 VOT</t>
        </r>
      </text>
    </comment>
    <comment ref="H50" authorId="3" shapeId="0" xr:uid="{FD63FF11-CC0F-4A0D-A1C6-B1E4098CD2DA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1 PUMP RETURNED 6/25/23, PER MATT. VERBAL PHONE CALL 6/30/23</t>
        </r>
      </text>
    </comment>
    <comment ref="J52" authorId="3" shapeId="0" xr:uid="{7A57485C-5375-48BC-98A3-780C9E84EEE2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Generator returned 10/24/22 per Matt. Phone call. 10/26/22</t>
        </r>
      </text>
    </comment>
    <comment ref="U57" authorId="3" shapeId="0" xr:uid="{38642B28-F31F-47F1-A1E3-39A48E537432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INCREASED PRICING BY $200/MO, PER ARMANDO. CONVERSATION AT MY DESK 9/6/22</t>
        </r>
      </text>
    </comment>
    <comment ref="AF57" authorId="3" shapeId="0" xr:uid="{00A86E7F-6511-42CB-9739-D6E394720D6F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This filter went back to Tasteful Selections billing
</t>
        </r>
      </text>
    </comment>
    <comment ref="AE58" authorId="3" shapeId="0" xr:uid="{FD949E17-1C12-450D-A733-5B79C25A9BF6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Charged 50% of rent - stand by charge
</t>
        </r>
      </text>
    </comment>
    <comment ref="AF58" authorId="3" shapeId="0" xr:uid="{24015FA2-A2AE-4974-A3D4-8419F9D44B14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BILLED GRIMMWAY THE STANDBY CHARGE FOR ANOTHER MONTH. 50% OF RENT. </t>
        </r>
      </text>
    </comment>
    <comment ref="AG58" authorId="3" shapeId="0" xr:uid="{A41C4271-159F-4881-BA44-92226EF59EA0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STAND BY CHARGE
50%
</t>
        </r>
      </text>
    </comment>
    <comment ref="X59" authorId="3" shapeId="0" xr:uid="{EC96A3FF-81CF-4F87-B4B1-083F2EE4B89D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Charged stand by charge - 50%</t>
        </r>
      </text>
    </comment>
    <comment ref="Y59" authorId="3" shapeId="0" xr:uid="{767BE095-62DA-4D17-A461-25C42411BDAA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Charged customer stand by charge. 
</t>
        </r>
      </text>
    </comment>
    <comment ref="Z59" authorId="3" shapeId="0" xr:uid="{847F4D20-613F-452F-B975-F5137C02C6CC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STAND BY CHARGE
50%
</t>
        </r>
      </text>
    </comment>
    <comment ref="X62" authorId="3" shapeId="0" xr:uid="{CFD826FE-5826-4CA0-8FFD-EE5A9789297B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Charged stand by charge - 50%</t>
        </r>
      </text>
    </comment>
    <comment ref="Y62" authorId="3" shapeId="0" xr:uid="{5CD2BD4A-8C08-4A41-9D6C-DFFBD4C1F29C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Charged customer stand by charge
</t>
        </r>
      </text>
    </comment>
    <comment ref="Z62" authorId="3" shapeId="0" xr:uid="{F568B643-4123-428E-ACC3-C4C336987009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STAND BY CHARGE
50%</t>
        </r>
      </text>
    </comment>
    <comment ref="H68" authorId="7" shapeId="0" xr:uid="{024C8B63-E0E2-4F53-B09B-EAC93CF807D5}">
      <text>
        <t>[Threaded comment]
Your version of Excel allows you to read this threaded comment; however, any edits to it will get removed if the file is opened in a newer version of Excel. Learn more: https://go.microsoft.com/fwlink/?linkid=870924
Comment:
    DELETED.</t>
      </text>
    </comment>
    <comment ref="H71" authorId="3" shapeId="0" xr:uid="{6D84EF92-AB8C-4BEF-9808-6A257B311457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Stop rent. Generator returned on 10/28 per Alex's email. 
</t>
        </r>
      </text>
    </comment>
    <comment ref="L72" authorId="3" shapeId="0" xr:uid="{A3203688-534B-4BBF-8277-BC2947B07555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True Up Bill. Customer had the generator from July - Sept but we didn’t start rent until Sept. 
</t>
        </r>
      </text>
    </comment>
    <comment ref="H73" authorId="3" shapeId="0" xr:uid="{3FD9DD64-27F0-4EB2-BDC2-978E53C14DB1}">
      <text>
        <r>
          <rPr>
            <b/>
            <sz val="9"/>
            <color indexed="81"/>
            <rFont val="Tahoma"/>
            <family val="2"/>
          </rPr>
          <t>Kirby Conway:</t>
        </r>
        <r>
          <rPr>
            <sz val="9"/>
            <color indexed="81"/>
            <rFont val="Tahoma"/>
            <family val="2"/>
          </rPr>
          <t xml:space="preserve">
Customer called Alex Navarro for pick up on 10/10/22. Alex confirmed in an email, generator is returned</t>
        </r>
      </text>
    </comment>
    <comment ref="G76" authorId="8" shapeId="0" xr:uid="{FEF7D121-77C9-45A1-A82F-8FACB87383CA}">
      <text>
        <t>[Threaded comment]
Your version of Excel allows you to read this threaded comment; however, any edits to it will get removed if the file is opened in a newer version of Excel. Learn more: https://go.microsoft.com/fwlink/?linkid=870924
Comment:
    DID REBILL. THESE 2 PUMPS ARE RETURNED, PER TONY. PHONE CONVERSATION AT 4:30PM 3/36/23</t>
      </text>
    </comment>
    <comment ref="F77" authorId="9" shapeId="0" xr:uid="{60690AF5-327C-41FD-86C9-7AFA185B20CF}">
      <text>
        <t>[Threaded comment]
Your version of Excel allows you to read this threaded comment; however, any edits to it will get removed if the file is opened in a newer version of Excel. Learn more: https://go.microsoft.com/fwlink/?linkid=870924
Comment:
    Credit off per Tony &amp; Matt. Went to Braga</t>
      </text>
    </comment>
    <comment ref="G87" authorId="10" shapeId="0" xr:uid="{CACB629A-5225-4ED7-AD02-E373A035E536}">
      <text>
        <t>[Threaded comment]
Your version of Excel allows you to read this threaded comment; however, any edits to it will get removed if the file is opened in a newer version of Excel. Learn more: https://go.microsoft.com/fwlink/?linkid=870924
Comment:
    BILLED FOR 1 MORE MONTH 7/17 - 8/17</t>
      </text>
    </comment>
  </commentList>
</comments>
</file>

<file path=xl/sharedStrings.xml><?xml version="1.0" encoding="utf-8"?>
<sst xmlns="http://schemas.openxmlformats.org/spreadsheetml/2006/main" count="3257" uniqueCount="1654">
  <si>
    <t>LOCATION</t>
  </si>
  <si>
    <t>CUSTOMER</t>
  </si>
  <si>
    <t>QTY</t>
  </si>
  <si>
    <t>DESCRIPTION</t>
  </si>
  <si>
    <t>DATE FROM</t>
  </si>
  <si>
    <t>DATE TO</t>
  </si>
  <si>
    <t>4x3x3 VOT</t>
  </si>
  <si>
    <t xml:space="preserve"> </t>
  </si>
  <si>
    <t>3" END PLUGS</t>
  </si>
  <si>
    <t>8" VIC CLAMPS</t>
  </si>
  <si>
    <t>10" END PLUG</t>
  </si>
  <si>
    <t>12"x10" REDUCER</t>
  </si>
  <si>
    <t>10"x12" INCREASER</t>
  </si>
  <si>
    <t>DAVID &amp; EDISON</t>
  </si>
  <si>
    <t>10"x8" REDUCER</t>
  </si>
  <si>
    <t>8"x10' SUCTION HOSE</t>
  </si>
  <si>
    <t>NELSON ROAD GUARDS</t>
  </si>
  <si>
    <t>8" DISCHARGE Z</t>
  </si>
  <si>
    <t>8"x6" REDUCER</t>
  </si>
  <si>
    <t>10" END TEE</t>
  </si>
  <si>
    <t>6-CYL BOOSTER PUMP</t>
  </si>
  <si>
    <t>10"x45' MAINLINE</t>
  </si>
  <si>
    <t>6" END PLUG</t>
  </si>
  <si>
    <t>8"x45' MAINLINE</t>
  </si>
  <si>
    <t>10"x40' MAINLINE</t>
  </si>
  <si>
    <t>12"x45' MAINLINE</t>
  </si>
  <si>
    <t>8"x40' MAINLINE</t>
  </si>
  <si>
    <t>8" R/L CLAMPS</t>
  </si>
  <si>
    <t>10" R/L CLAMPS</t>
  </si>
  <si>
    <t>4x3 VOE</t>
  </si>
  <si>
    <t>12"x40' MAINLINE</t>
  </si>
  <si>
    <t>8" 90* ELBOW</t>
  </si>
  <si>
    <t>3" LINE TEES</t>
  </si>
  <si>
    <t>10"x40' YELOMINE</t>
  </si>
  <si>
    <t>10"x20' YELOMINE</t>
  </si>
  <si>
    <t>8"x40' YELOMINE</t>
  </si>
  <si>
    <t>3"x30' LATERALS</t>
  </si>
  <si>
    <t>6"x45' MAINLINE</t>
  </si>
  <si>
    <t>12"x10' MAINLINE</t>
  </si>
  <si>
    <t>8" END PLUG</t>
  </si>
  <si>
    <t>10" LINE TEE</t>
  </si>
  <si>
    <t>10" END PLUG W/VENT</t>
  </si>
  <si>
    <t>8" END PLUG W/VENT</t>
  </si>
  <si>
    <t>COACHELLA</t>
  </si>
  <si>
    <t>8" 45* ELBOW</t>
  </si>
  <si>
    <t>8" END TEE</t>
  </si>
  <si>
    <t>10"x5' MAINLINE</t>
  </si>
  <si>
    <t>12" END TEE</t>
  </si>
  <si>
    <t>10" TAPPED COUPLERS</t>
  </si>
  <si>
    <t>STEEL ROAD GUARDS</t>
  </si>
  <si>
    <t>12"x5' MAINLINE</t>
  </si>
  <si>
    <t>10" 67* ELBOW</t>
  </si>
  <si>
    <t>8" PLUGS W/VENTS</t>
  </si>
  <si>
    <t>10" R/L CLAMP</t>
  </si>
  <si>
    <t>10" INLINE FILTER</t>
  </si>
  <si>
    <t>8" R/L CLAMP</t>
  </si>
  <si>
    <t>12"x3' MAINLINE</t>
  </si>
  <si>
    <t>3"x30' YELOMINE</t>
  </si>
  <si>
    <t>3" SPLINES</t>
  </si>
  <si>
    <t>NELSON VALVES</t>
  </si>
  <si>
    <t>8" SPLINES</t>
  </si>
  <si>
    <t>KELSO VALLEY &amp; HWY 178</t>
  </si>
  <si>
    <t>10"x8: REDUCER</t>
  </si>
  <si>
    <t>AIR VENT 4x3</t>
  </si>
  <si>
    <t>10" SPLINES</t>
  </si>
  <si>
    <t>PACIFIC ORGANICS</t>
  </si>
  <si>
    <t>CRESTON, CA</t>
  </si>
  <si>
    <t>10"x40' YELOMINE MAINLINE</t>
  </si>
  <si>
    <t>3"x30' YELOMINE LATERALS</t>
  </si>
  <si>
    <t>10" CLAMPS</t>
  </si>
  <si>
    <t>12" CLAMPS</t>
  </si>
  <si>
    <t>3" END PLUG</t>
  </si>
  <si>
    <t>8" CLAMPS</t>
  </si>
  <si>
    <t>6" CLAMPS</t>
  </si>
  <si>
    <t>10" MALE x 10" CERTA-LOK</t>
  </si>
  <si>
    <t>HWY 58 &amp; BENA</t>
  </si>
  <si>
    <t>THE WASH</t>
  </si>
  <si>
    <t>10" MALE R/L x 10" C/L</t>
  </si>
  <si>
    <t>10" FEMALE R/L x 10" C/L</t>
  </si>
  <si>
    <t>4x3 SCH80 NIPPLES</t>
  </si>
  <si>
    <t>4x3 ALUM STUB VALVES</t>
  </si>
  <si>
    <t>8" LINE TEE</t>
  </si>
  <si>
    <t>VOE</t>
  </si>
  <si>
    <t>VOT</t>
  </si>
  <si>
    <t>3"x19' JUMPERS</t>
  </si>
  <si>
    <t>3" CERTA-SET TEES</t>
  </si>
  <si>
    <t>3" CERTA-SET END PLUGS</t>
  </si>
  <si>
    <t>10"x3" TAPPED COUPLERS</t>
  </si>
  <si>
    <t>3x6 NIPPLES</t>
  </si>
  <si>
    <t>10" CLAMP</t>
  </si>
  <si>
    <t>3" AIR VENT</t>
  </si>
  <si>
    <t>10" PLAIN COUPLERS</t>
  </si>
  <si>
    <t>DAMAGED</t>
  </si>
  <si>
    <t>REAMINING PIPE/PARTS</t>
  </si>
  <si>
    <t>COMMENTS</t>
  </si>
  <si>
    <t>PICKED UP</t>
  </si>
  <si>
    <t>REMAINING PARTS/PIPE</t>
  </si>
  <si>
    <t>10" YELOMINE TEE</t>
  </si>
  <si>
    <t>10" YELOMINE PLUG W/VENT</t>
  </si>
  <si>
    <t>NELSON TEE VALVES</t>
  </si>
  <si>
    <t>INVOICE #</t>
  </si>
  <si>
    <t>INVOICE</t>
  </si>
  <si>
    <t>3" C/L END PLUGS</t>
  </si>
  <si>
    <t>10" C/L END PLUG W/VENT</t>
  </si>
  <si>
    <t>3" MIPT x 3" CERTA-LOK</t>
  </si>
  <si>
    <t>10" x 3" TAPPED COUPLERS</t>
  </si>
  <si>
    <t>3" SCH40 PLUGS</t>
  </si>
  <si>
    <t>3" C/L x 3" MIPT ADAPTERS</t>
  </si>
  <si>
    <t>80 ACRE RENT</t>
  </si>
  <si>
    <t>10" CERTA MALE x 8" R/L REMALE</t>
  </si>
  <si>
    <t>10" CERTA MALE x 10" R/L MALE</t>
  </si>
  <si>
    <t>8" CLAMP</t>
  </si>
  <si>
    <t>REMAINING PIPE/PARTS</t>
  </si>
  <si>
    <t>12" 90° ELBOW</t>
  </si>
  <si>
    <t>12" 45° ELBOW</t>
  </si>
  <si>
    <t>10" 90° ELBOW</t>
  </si>
  <si>
    <t>8" 90° ELBOW</t>
  </si>
  <si>
    <t>12" PLAIN COUPLERS</t>
  </si>
  <si>
    <t>ADD ON</t>
  </si>
  <si>
    <t>3" C/L TEES</t>
  </si>
  <si>
    <t>10" 45° ELBOW</t>
  </si>
  <si>
    <t>3" 90° ELBOW</t>
  </si>
  <si>
    <t>3" CERTA LOK END PLUGS</t>
  </si>
  <si>
    <t>6" PLAIN COUPLERS</t>
  </si>
  <si>
    <t>6" TAPPED COUPLERS</t>
  </si>
  <si>
    <t>8" PLAIN COUPLERS</t>
  </si>
  <si>
    <t>8" TAPPED COUPLERS</t>
  </si>
  <si>
    <t>8" 1/2 SPLINES</t>
  </si>
  <si>
    <t>VENTICOPA</t>
  </si>
  <si>
    <t>PROTECTION</t>
  </si>
  <si>
    <t>FROST</t>
  </si>
  <si>
    <t>SLED,RISER,MRDC,WF, (EXTRA)</t>
  </si>
  <si>
    <t>10"x7' PUP JOINT</t>
  </si>
  <si>
    <t>ASHE &amp; GOSFORD</t>
  </si>
  <si>
    <t>10" 1/2 SPLINES</t>
  </si>
  <si>
    <t>8"x40' YELOMINE MAINLINE</t>
  </si>
  <si>
    <t>10" TAPPED COUPLER</t>
  </si>
  <si>
    <t>8"x10" INCREASER</t>
  </si>
  <si>
    <t>WESTMORLAND</t>
  </si>
  <si>
    <t>3"x30' ALUM LATS</t>
  </si>
  <si>
    <t>DRAGLINE COUPLERS</t>
  </si>
  <si>
    <t>3/4"x1/2"x18" GALV RISER</t>
  </si>
  <si>
    <t>NELSON DRAIN CHECK</t>
  </si>
  <si>
    <t>NELSON R2000 WF W/ADP</t>
  </si>
  <si>
    <t>EDISON &amp; SANDRINI</t>
  </si>
  <si>
    <t>BEECH &amp; MERCED</t>
  </si>
  <si>
    <t>3"x20' YELOMINE</t>
  </si>
  <si>
    <t>3" CERTA-SET 90° ELBOW</t>
  </si>
  <si>
    <t>3" CERTA MALE x MALE SHORT</t>
  </si>
  <si>
    <t>3" C/L FxF COUPLER</t>
  </si>
  <si>
    <t>8" FOOT VALVE</t>
  </si>
  <si>
    <t>EDISON &amp; HERRING</t>
  </si>
  <si>
    <t>12" END PLUG W/VENT</t>
  </si>
  <si>
    <t>N. RANCHO &amp; DAVID</t>
  </si>
  <si>
    <t>10"x45' GATED PIPE W/40" SPACE</t>
  </si>
  <si>
    <t>10"x40' GATED PIPE W/40" SPACE</t>
  </si>
  <si>
    <t>10"x30' GATED PIPE W/40" SPACE</t>
  </si>
  <si>
    <t>AVE 52 &amp; EDUCATION WAY</t>
  </si>
  <si>
    <t>43 ACRES</t>
  </si>
  <si>
    <t>10"x20' YELOMINE MAINLINE</t>
  </si>
  <si>
    <t>3"x9" C/L NIPPLES</t>
  </si>
  <si>
    <t>3" C/S FEMALE TEES</t>
  </si>
  <si>
    <t>3" C/S 90° FEMALE ELBOW</t>
  </si>
  <si>
    <t>3" C/S MALE x MALE</t>
  </si>
  <si>
    <t>3" SLED COUPLERS</t>
  </si>
  <si>
    <t>3" W.F. WITH ROAD GUARDS</t>
  </si>
  <si>
    <t>EXTRA NELSON SPRINKLERS</t>
  </si>
  <si>
    <t>10" PLAIN COUPLER</t>
  </si>
  <si>
    <t>WAYNE KIRSCHENMANN</t>
  </si>
  <si>
    <t>TASTEFUL SELECTIONS</t>
  </si>
  <si>
    <t>UNDERWOOD</t>
  </si>
  <si>
    <t>52 ACRE RENT</t>
  </si>
  <si>
    <t>6" SPLINES</t>
  </si>
  <si>
    <t>10"x40' YELO MAINLINE</t>
  </si>
  <si>
    <t>8"x40' YELO MAINLINE</t>
  </si>
  <si>
    <t>8"x6" YELO REDUCER</t>
  </si>
  <si>
    <t>6" YELO TEE</t>
  </si>
  <si>
    <t>8" VIC x 8" CERTA LOK</t>
  </si>
  <si>
    <t>10" YELO TEE</t>
  </si>
  <si>
    <t>MOUNTAIN VIEW &amp; HWY 184</t>
  </si>
  <si>
    <t>3"x30' YELO LATERALS</t>
  </si>
  <si>
    <t>3" CERTA-LOK TEES</t>
  </si>
  <si>
    <t>3" MxM SHORT</t>
  </si>
  <si>
    <t>3" CERTA END PLUGS</t>
  </si>
  <si>
    <t>3" MIPT x 3" CERTA LOK</t>
  </si>
  <si>
    <t>3" CERTA TEES</t>
  </si>
  <si>
    <t>3" MxM SHORTS</t>
  </si>
  <si>
    <t>155 ACRE RENT</t>
  </si>
  <si>
    <t>McCUTCHEN &amp; GOSFORD</t>
  </si>
  <si>
    <t>DAVID &amp; RANCHO RD</t>
  </si>
  <si>
    <t>RANCH 209</t>
  </si>
  <si>
    <t>10"x40' YELOMINE ML</t>
  </si>
  <si>
    <t>3"x9" MNPT x CERTA-LOK</t>
  </si>
  <si>
    <t>RANCHO &amp; DAVID</t>
  </si>
  <si>
    <t>3x4 SCH80 TBE</t>
  </si>
  <si>
    <t>4x3 TTRB</t>
  </si>
  <si>
    <t>KELSO VALLEY RD</t>
  </si>
  <si>
    <t>ONYX</t>
  </si>
  <si>
    <t>8" PLAIN COUPLER</t>
  </si>
  <si>
    <t>3"x19' JUMPERS, COMP</t>
  </si>
  <si>
    <t>3" C-SET END PLUGS</t>
  </si>
  <si>
    <t>3" C-SET TEES</t>
  </si>
  <si>
    <t>DAVID &amp; RANCHO</t>
  </si>
  <si>
    <t>MERCED &amp; BEECH</t>
  </si>
  <si>
    <t>BENA &amp; HWY 58</t>
  </si>
  <si>
    <t>BLYTHE CA</t>
  </si>
  <si>
    <t>HERRING &amp; HWY 184</t>
  </si>
  <si>
    <t>3" SCH40 3" MNPT PLUGS</t>
  </si>
  <si>
    <t>3" C/S MNPT x 9 LONG</t>
  </si>
  <si>
    <t>3" C/S END PLUGS</t>
  </si>
  <si>
    <t>3" STREET 90° ELBOW</t>
  </si>
  <si>
    <t xml:space="preserve">3" AV-150 </t>
  </si>
  <si>
    <t>14" QUICKSEAL HYDRANT</t>
  </si>
  <si>
    <t>MANTECA</t>
  </si>
  <si>
    <t>THOMSON INT'L</t>
  </si>
  <si>
    <t>THOMSON INT'L INVENTORY</t>
  </si>
  <si>
    <t>OLD RIVER RD  &amp; SHAFTER</t>
  </si>
  <si>
    <t>8" YELOMINE PLUG W/VENT</t>
  </si>
  <si>
    <t>10" SPINCLEAN FILTER</t>
  </si>
  <si>
    <t>RANCHO &amp; DAVID RD</t>
  </si>
  <si>
    <t>10"X40' YELOMINE MAINLINE</t>
  </si>
  <si>
    <t>WELDON</t>
  </si>
  <si>
    <t>10" MALE R/L x 10" CERTA</t>
  </si>
  <si>
    <t>10" FEMALE R/L x 10" CERTA</t>
  </si>
  <si>
    <t>FUGITT #6</t>
  </si>
  <si>
    <t>AVAIL.</t>
  </si>
  <si>
    <t>MONTH-TO</t>
  </si>
  <si>
    <t>-MONTH</t>
  </si>
  <si>
    <t>FUGITT #10</t>
  </si>
  <si>
    <t>12" QUICK SEAL HYDRANT</t>
  </si>
  <si>
    <t>3"x30' YELOMINE LATERAL</t>
  </si>
  <si>
    <t>12" GALV 90° ELBOW</t>
  </si>
  <si>
    <t>200 ACRE RENT</t>
  </si>
  <si>
    <t>COACHELLA,CA</t>
  </si>
  <si>
    <t>ACRES RENTAL EQUIPMENT</t>
  </si>
  <si>
    <t>TRANSFER LINE</t>
  </si>
  <si>
    <t>HOOK &amp; BANDS</t>
  </si>
  <si>
    <t>HERRING &amp; 184</t>
  </si>
  <si>
    <t>GOOD YEAR AZ</t>
  </si>
  <si>
    <t xml:space="preserve">AT DUNCAN FAMILY </t>
  </si>
  <si>
    <t xml:space="preserve">FARMS, </t>
  </si>
  <si>
    <t>PURCHASED USED EQUIP</t>
  </si>
  <si>
    <t xml:space="preserve">NOT PICKED UP YET. </t>
  </si>
  <si>
    <t>3"x30' ALUMINUM LATERALS</t>
  </si>
  <si>
    <t>(1650 DO NOT HAVE HEADS)</t>
  </si>
  <si>
    <t>7TH STANDARD &amp; ZERKER</t>
  </si>
  <si>
    <t>MALAGA &amp; PANAMA</t>
  </si>
  <si>
    <t>8"X45' MAINLINE</t>
  </si>
  <si>
    <t>10"X5' PUP JOINT</t>
  </si>
  <si>
    <t>.</t>
  </si>
  <si>
    <t>3"x30' YELOMINE LATERAS</t>
  </si>
  <si>
    <t>HERRING &amp; EDISON</t>
  </si>
  <si>
    <t>3"x30' LATERALS, COMPLETE</t>
  </si>
  <si>
    <t xml:space="preserve">RE-RENT </t>
  </si>
  <si>
    <t>IN MAR</t>
  </si>
  <si>
    <t>3" CERTA PLUGS</t>
  </si>
  <si>
    <t>CUSTOMER (US IRRIGATION)</t>
  </si>
  <si>
    <t>HOWARD ALBANO</t>
  </si>
  <si>
    <t>BADGER CREEK</t>
  </si>
  <si>
    <t>BELLUOMINI</t>
  </si>
  <si>
    <t>BOSWELL</t>
  </si>
  <si>
    <t>CAUZZA</t>
  </si>
  <si>
    <t>DUNCAN FAMILY FARMS</t>
  </si>
  <si>
    <t>ELK GROVE</t>
  </si>
  <si>
    <t>ENZA ZADEN</t>
  </si>
  <si>
    <t>EYRAUD PIPE</t>
  </si>
  <si>
    <t>GRIMMWAY FARMS</t>
  </si>
  <si>
    <t>HAFENFELD RANCH</t>
  </si>
  <si>
    <t>HERITAGE</t>
  </si>
  <si>
    <t>H &amp; H</t>
  </si>
  <si>
    <t>DAVID JACOBSON</t>
  </si>
  <si>
    <t>JP OIL</t>
  </si>
  <si>
    <t>KOSAREFF</t>
  </si>
  <si>
    <t>LEHR BROS.</t>
  </si>
  <si>
    <t>MUSSI AG</t>
  </si>
  <si>
    <t>LESTER NEUFELD</t>
  </si>
  <si>
    <t>JOE PAESANO</t>
  </si>
  <si>
    <t>PETER RABBIT</t>
  </si>
  <si>
    <t>POSO RIDGE</t>
  </si>
  <si>
    <t>RIO RANCHO 2005</t>
  </si>
  <si>
    <t>JERRY SLOUGH</t>
  </si>
  <si>
    <t>STEVANO FARMS</t>
  </si>
  <si>
    <t>SYNGENTA SEEDS</t>
  </si>
  <si>
    <t>TOTAL JOINTS</t>
  </si>
  <si>
    <t>TOTAL FEET</t>
  </si>
  <si>
    <t>TOTAL PIPE/MILES</t>
  </si>
  <si>
    <t>CUSTOMER (MATT'S)</t>
  </si>
  <si>
    <t>F&amp;S FARMS</t>
  </si>
  <si>
    <t>BRAGA</t>
  </si>
  <si>
    <t>J&amp;J FARMS</t>
  </si>
  <si>
    <t>RIO FARMS</t>
  </si>
  <si>
    <t>GILL RANCH</t>
  </si>
  <si>
    <t>RAMCO</t>
  </si>
  <si>
    <t>MADISON FARMS</t>
  </si>
  <si>
    <t>T&amp;A FARMS</t>
  </si>
  <si>
    <t>JOE TONASCIA</t>
  </si>
  <si>
    <t>REITER BERRY</t>
  </si>
  <si>
    <t>REFCO FARMS</t>
  </si>
  <si>
    <t>TOTAL COMPLETE JOINTS</t>
  </si>
  <si>
    <t>TOTAL COMPLETE FEET</t>
  </si>
  <si>
    <t>3"x30' ALUMINUM</t>
  </si>
  <si>
    <t>D &amp; J FARMS</t>
  </si>
  <si>
    <t>LA CAROTA</t>
  </si>
  <si>
    <t>CHRIS VANDBORG</t>
  </si>
  <si>
    <t>WONDERFUL NURSERIES</t>
  </si>
  <si>
    <t>DALE CREIGHTON</t>
  </si>
  <si>
    <t>DM CAMP</t>
  </si>
  <si>
    <t>SCOTT KIRSCHENMANN</t>
  </si>
  <si>
    <t>OLAM</t>
  </si>
  <si>
    <r>
      <t>AMERICAN IRRIGATION 3"  (</t>
    </r>
    <r>
      <rPr>
        <b/>
        <i/>
        <u/>
        <sz val="8"/>
        <rFont val="Arial"/>
        <family val="2"/>
      </rPr>
      <t>NOT</t>
    </r>
    <r>
      <rPr>
        <b/>
        <sz val="8"/>
        <rFont val="Arial"/>
        <family val="2"/>
      </rPr>
      <t xml:space="preserve"> INCLUDED IN MATT'S        INVENTORY)</t>
    </r>
  </si>
  <si>
    <t>BRAGA - EL CENTRO</t>
  </si>
  <si>
    <t>JEFF RIANDA</t>
  </si>
  <si>
    <t>MIKE CHUCK</t>
  </si>
  <si>
    <t>G&amp;C FARMS</t>
  </si>
  <si>
    <t>MISSION RANCH</t>
  </si>
  <si>
    <t xml:space="preserve">EARTH BOUND FARMS - TRIAL </t>
  </si>
  <si>
    <t>FIORIO FARMS</t>
  </si>
  <si>
    <t>CASTRO FARMS</t>
  </si>
  <si>
    <t>US IRRIGATION, AMERICAN IRRIGATION AND MATT'S TOTALS COMBINED</t>
  </si>
  <si>
    <t>WOOLF</t>
  </si>
  <si>
    <t>MATT'S YARD</t>
  </si>
  <si>
    <t>SANDRIDGE</t>
  </si>
  <si>
    <t>WASCO WAY</t>
  </si>
  <si>
    <t>TEHACHAPI</t>
  </si>
  <si>
    <t>WIBLE &amp; HWY 223</t>
  </si>
  <si>
    <t>8" TAPPED COUPLER</t>
  </si>
  <si>
    <t>3" 45° ELBOW</t>
  </si>
  <si>
    <t>3" PLAIN END x CERTA FEM</t>
  </si>
  <si>
    <t>3" CERTA TEE</t>
  </si>
  <si>
    <t>3"x6" MIPT x CERTA LOK</t>
  </si>
  <si>
    <t>HURON</t>
  </si>
  <si>
    <t>3"x30' YELOMINE LATERALS COMP</t>
  </si>
  <si>
    <t>NELSON TEE VALVES W/TWIGS</t>
  </si>
  <si>
    <t>3"x9" CERTA x MNPT</t>
  </si>
  <si>
    <t>TWIG REPEATERS</t>
  </si>
  <si>
    <t>3" NELSON END PLUGS</t>
  </si>
  <si>
    <t>10" 45° YELOMINE ELBOW</t>
  </si>
  <si>
    <t>10" YELOMINE PLUG</t>
  </si>
  <si>
    <t>NELSON HIGH ANGLE ROAD GUARDS</t>
  </si>
  <si>
    <t>10" GEAR-OP BUTTERFLY VALVE</t>
  </si>
  <si>
    <t xml:space="preserve">HURON </t>
  </si>
  <si>
    <t>10" ALUM INLINE VALVE</t>
  </si>
  <si>
    <t>10" INLINE FILTERS</t>
  </si>
  <si>
    <t xml:space="preserve">RANCHO &amp; DAVID </t>
  </si>
  <si>
    <t>298 ACRES</t>
  </si>
  <si>
    <t>AVAILABLE</t>
  </si>
  <si>
    <t>3"x9" MIPT x C/L</t>
  </si>
  <si>
    <t>6" PLUGS</t>
  </si>
  <si>
    <t>FITTINGS</t>
  </si>
  <si>
    <t>PRICE</t>
  </si>
  <si>
    <t>ACRE RENT</t>
  </si>
  <si>
    <t>DAVID &amp; HWY99</t>
  </si>
  <si>
    <t>RE-RENTING</t>
  </si>
  <si>
    <t xml:space="preserve">RE-RENTING </t>
  </si>
  <si>
    <t>VALOS &amp; DAVID</t>
  </si>
  <si>
    <t>VOT'S</t>
  </si>
  <si>
    <t>3" ENG PLUGS</t>
  </si>
  <si>
    <t>COTTONWOOD &amp; PANAMA</t>
  </si>
  <si>
    <t>8" 22° VIC x VIC</t>
  </si>
  <si>
    <t>8"x5' ALUM PUP JOINT</t>
  </si>
  <si>
    <t>8" 45° ELBOW</t>
  </si>
  <si>
    <t>8"x13' YELOMINE</t>
  </si>
  <si>
    <t>8" CERTA 90° ELBOW</t>
  </si>
  <si>
    <t>8" CERTA 45° ELBOW</t>
  </si>
  <si>
    <t>10"x8" VIC x VIC</t>
  </si>
  <si>
    <t>8" CEERTA x VIC</t>
  </si>
  <si>
    <t>12"x20' YELOMINE</t>
  </si>
  <si>
    <t>12" TAPPED COUPLERS</t>
  </si>
  <si>
    <t>12"x10" YELOMINE REDUCER</t>
  </si>
  <si>
    <t>10"x8" YELMINE REDUCER</t>
  </si>
  <si>
    <t>8" GOBV</t>
  </si>
  <si>
    <t>8" VAN STONE FLANGE</t>
  </si>
  <si>
    <t>8"x14" P/E x CERTA</t>
  </si>
  <si>
    <t>8" CERTA TEE</t>
  </si>
  <si>
    <t>8"x10' YELOMINE</t>
  </si>
  <si>
    <t>STOCKDALE &amp; WASCO WAY</t>
  </si>
  <si>
    <t>VAN HORN &amp; HWY 119</t>
  </si>
  <si>
    <t>4"x3" VOE</t>
  </si>
  <si>
    <t xml:space="preserve">EDISON RD. </t>
  </si>
  <si>
    <t>available</t>
  </si>
  <si>
    <t>FUGITT</t>
  </si>
  <si>
    <t>8"x11' SUCTION HOSE</t>
  </si>
  <si>
    <t>COULTER</t>
  </si>
  <si>
    <t>10"x17' ALUM MAINLINE</t>
  </si>
  <si>
    <t>MIGUEL</t>
  </si>
  <si>
    <t>12" CERTA x VIC</t>
  </si>
  <si>
    <t>10" CERTA PLAIN COUPLER</t>
  </si>
  <si>
    <t>3" AIR VENT ASSEMBLY</t>
  </si>
  <si>
    <t>(GERRY DAVIS)</t>
  </si>
  <si>
    <t>PANAMA &amp; MALAGA</t>
  </si>
  <si>
    <t>OXNARD</t>
  </si>
  <si>
    <t>ACRES OF RENTAL PIPE</t>
  </si>
  <si>
    <t>DiGIORGIO &amp; COMANCHE</t>
  </si>
  <si>
    <t>TOLLESON</t>
  </si>
  <si>
    <t>3"x30' YELOMINE LATS</t>
  </si>
  <si>
    <t>10" YELOMINE MAINLINE</t>
  </si>
  <si>
    <t>NELSON VALVES - ONE WAY</t>
  </si>
  <si>
    <t>10" C-LOK END PLUGS</t>
  </si>
  <si>
    <t>PORTABLE BOOSTER PUMP</t>
  </si>
  <si>
    <t>000459</t>
  </si>
  <si>
    <t>STILL ON SITE</t>
  </si>
  <si>
    <t>(17 VOT'S RETURNED</t>
  </si>
  <si>
    <t>Re-Rent in</t>
  </si>
  <si>
    <t>001488</t>
  </si>
  <si>
    <t>re-Rents in</t>
  </si>
  <si>
    <t>Re-Rent</t>
  </si>
  <si>
    <t>in Oct 2020</t>
  </si>
  <si>
    <t>PICKING UP</t>
  </si>
  <si>
    <t>PROJ000880</t>
  </si>
  <si>
    <t>DAVID &amp; ADOBE</t>
  </si>
  <si>
    <t>FIELD #14</t>
  </si>
  <si>
    <t>001042</t>
  </si>
  <si>
    <t>10" INLINE BUTTERFLY VALVE</t>
  </si>
  <si>
    <t>10"X45' MAINLINE</t>
  </si>
  <si>
    <t>12"X10" REDUCER</t>
  </si>
  <si>
    <t>10"X8" REDUCER</t>
  </si>
  <si>
    <t>START DATE</t>
  </si>
  <si>
    <t>END DATE</t>
  </si>
  <si>
    <t>6" PLUG</t>
  </si>
  <si>
    <t>3"X30' YELOMINE LATERALS</t>
  </si>
  <si>
    <t>8"X10' SUCTION HOSE</t>
  </si>
  <si>
    <t>3"X30' LATERALS</t>
  </si>
  <si>
    <t>8"X10" INCREASER</t>
  </si>
  <si>
    <t>12" PLAIN COUPLER</t>
  </si>
  <si>
    <t>12"X40' MAINLINE</t>
  </si>
  <si>
    <t>LANCASTER</t>
  </si>
  <si>
    <t>BOOSTER PUMP RENT</t>
  </si>
  <si>
    <t>10"X10' MAINLINE</t>
  </si>
  <si>
    <t>3" END CAPS</t>
  </si>
  <si>
    <t>GUN CLUB</t>
  </si>
  <si>
    <t>SHANK RENTAL</t>
  </si>
  <si>
    <t>8"X40' YELOMINE</t>
  </si>
  <si>
    <t>8" FLANGE X 8" CERTA</t>
  </si>
  <si>
    <t>8" X 6" YELO REDUCER</t>
  </si>
  <si>
    <t>6" PLAIN COUPLER</t>
  </si>
  <si>
    <t>6" YELO PLUG W/FLUSHOUT</t>
  </si>
  <si>
    <t>7TH STNDRD &amp; ENOS</t>
  </si>
  <si>
    <t>8" END PLUGS</t>
  </si>
  <si>
    <t>8" LINE TEES</t>
  </si>
  <si>
    <t>8" LINE GATES</t>
  </si>
  <si>
    <t>3" END TEE</t>
  </si>
  <si>
    <t>8" VIC CLAMP</t>
  </si>
  <si>
    <t>10"X12" INCREASER</t>
  </si>
  <si>
    <t>10"X20' MAINLINE</t>
  </si>
  <si>
    <t>NELSON ROAD GUARD</t>
  </si>
  <si>
    <t>STEEL ROAD GUARD</t>
  </si>
  <si>
    <t>8"X40' YELOMINE MAINLINE</t>
  </si>
  <si>
    <t>12"X5' MAINLINE</t>
  </si>
  <si>
    <t>10" 90 ELBOW</t>
  </si>
  <si>
    <t>6" YELO PLUGS W/VENTS</t>
  </si>
  <si>
    <t>8" YELO TEES</t>
  </si>
  <si>
    <t>8"x6" YELO REDUCERS</t>
  </si>
  <si>
    <t>ON SITE</t>
  </si>
  <si>
    <t>3" CERTA-SET END PLUG</t>
  </si>
  <si>
    <t>10"x40' GATED PIPE 30IN SPACE</t>
  </si>
  <si>
    <t>8"X30' GATED PIPE 30IN SPACE</t>
  </si>
  <si>
    <t>#13 ELK GROVE &amp; 58</t>
  </si>
  <si>
    <t>ACRES OF RENTAL EQUIPMENT</t>
  </si>
  <si>
    <t>3"X9" MIPT X C/L</t>
  </si>
  <si>
    <t>3"X19' JUMPERS</t>
  </si>
  <si>
    <t>3" C-SET PLUGS</t>
  </si>
  <si>
    <t>3" MXM SHORTS</t>
  </si>
  <si>
    <t>10" C-LOK PLUG W/VENT</t>
  </si>
  <si>
    <t>#9 ELK GROVE &amp; 58</t>
  </si>
  <si>
    <t>3"X30' YELOMINE</t>
  </si>
  <si>
    <t>5&amp;8D LERDO &amp; ID</t>
  </si>
  <si>
    <t>12"X20' YELO MAINLINE</t>
  </si>
  <si>
    <t>10"X12" C-LOK INCREASER</t>
  </si>
  <si>
    <t>12" C-LOK 90 ELBOW</t>
  </si>
  <si>
    <t>12" GEAR-OP BFV</t>
  </si>
  <si>
    <t>12" VANSTONE FLANGE</t>
  </si>
  <si>
    <t>12"X14" CERTA X PLAIN END</t>
  </si>
  <si>
    <t>12" TAPPED COUPLER</t>
  </si>
  <si>
    <t>12" C-LOK PLUG W/VENT</t>
  </si>
  <si>
    <t>12" CLAMP</t>
  </si>
  <si>
    <t xml:space="preserve">RE-RENT IN </t>
  </si>
  <si>
    <t>6" CLAMP</t>
  </si>
  <si>
    <t>7TH STANDARD &amp; ENOS</t>
  </si>
  <si>
    <t>12"X45' MAINLINE</t>
  </si>
  <si>
    <t>10" INLINE TEE</t>
  </si>
  <si>
    <t>INVUSI-000640</t>
  </si>
  <si>
    <t>3"X20' YELOMINE LATERALS</t>
  </si>
  <si>
    <t>3"X9" C/L X MIPT</t>
  </si>
  <si>
    <t>NELSON TEE VALVE</t>
  </si>
  <si>
    <t>3" M XM SHORTS</t>
  </si>
  <si>
    <t>3"X30' LATERAL</t>
  </si>
  <si>
    <t>8"X40' ALUM MAINLINE</t>
  </si>
  <si>
    <t>3" YELO PLUGS</t>
  </si>
  <si>
    <t>3"x30' YELOMINE LATRALS</t>
  </si>
  <si>
    <t>KELSO &amp; 178</t>
  </si>
  <si>
    <t>LEASE-TO-PUR</t>
  </si>
  <si>
    <t>3" YELOMINE LATERALS (COMPLETE</t>
  </si>
  <si>
    <t>TEJON &amp; DiGIORGIO</t>
  </si>
  <si>
    <t>8" X 40' YELOMINE MAINLINE</t>
  </si>
  <si>
    <t>6"X 40' YELOMINE MAINLINE</t>
  </si>
  <si>
    <t>6" X 20' YELOMINE PUPS</t>
  </si>
  <si>
    <t>6" PLAIN</t>
  </si>
  <si>
    <t>3" 90 ELBOW</t>
  </si>
  <si>
    <t>OLD RIVER PICKUP</t>
  </si>
  <si>
    <t>3" LINE TEE</t>
  </si>
  <si>
    <t>001584</t>
  </si>
  <si>
    <t>INVUSI-001709</t>
  </si>
  <si>
    <t>DiGIORGIO &amp; MALAGA</t>
  </si>
  <si>
    <t>HWY 119 &amp; VAN HORN</t>
  </si>
  <si>
    <t>INVUSI-01389</t>
  </si>
  <si>
    <t>8"X40' YELOMINE MAIINLINE</t>
  </si>
  <si>
    <t>BUENA VISTA &amp; COMANCH</t>
  </si>
  <si>
    <t>FILTER STATION ON TRAILER</t>
  </si>
  <si>
    <t>SANDRINI &amp; HWY 184</t>
  </si>
  <si>
    <t>INVUSI-001713</t>
  </si>
  <si>
    <t>3"X30 LATERAL</t>
  </si>
  <si>
    <t>MALAGA &amp; HWY 119</t>
  </si>
  <si>
    <t>DELLIS POTATOES</t>
  </si>
  <si>
    <t>INVUSI-001753</t>
  </si>
  <si>
    <t>INVUSI-001754</t>
  </si>
  <si>
    <t>4"x3"x3" VOT</t>
  </si>
  <si>
    <t>10" GEAR OP BFV</t>
  </si>
  <si>
    <t>4"x3" ALUM STUB VALVES</t>
  </si>
  <si>
    <t>3"x4" NIPPLES</t>
  </si>
  <si>
    <t>10" PLUG W/VENT</t>
  </si>
  <si>
    <t>McCOMBS &amp; SCHOFIELD</t>
  </si>
  <si>
    <t>Howard Albano</t>
  </si>
  <si>
    <t>Belluomini</t>
  </si>
  <si>
    <t>Boswell</t>
  </si>
  <si>
    <t>Brite Creek</t>
  </si>
  <si>
    <t>Cauzza Bros.</t>
  </si>
  <si>
    <t>Dale Creighton</t>
  </si>
  <si>
    <t>Desert Ranch</t>
  </si>
  <si>
    <t>DM Camp</t>
  </si>
  <si>
    <t>Duncan Family Farms</t>
  </si>
  <si>
    <t>Elk Grove</t>
  </si>
  <si>
    <t>Enza Zaden</t>
  </si>
  <si>
    <t>Eyraud Pipe Rental</t>
  </si>
  <si>
    <t>Gilkey Five</t>
  </si>
  <si>
    <t>Hafenfeld Ranch</t>
  </si>
  <si>
    <t>H&amp;H Farms</t>
  </si>
  <si>
    <t>David Jacobson</t>
  </si>
  <si>
    <t>Kirschenmann Ent</t>
  </si>
  <si>
    <t>Lehr Bros</t>
  </si>
  <si>
    <t>Los Gatos</t>
  </si>
  <si>
    <t>LP Farms</t>
  </si>
  <si>
    <t>Mussi Bros</t>
  </si>
  <si>
    <t>Lester Neufeld</t>
  </si>
  <si>
    <t>Nutrien Ag Solutions</t>
  </si>
  <si>
    <t>Old River Farming</t>
  </si>
  <si>
    <t>Poso Ridge North</t>
  </si>
  <si>
    <t>Rio Rancho 2005</t>
  </si>
  <si>
    <t>Stevano</t>
  </si>
  <si>
    <t>Tasteful Selections</t>
  </si>
  <si>
    <t>Torigiani</t>
  </si>
  <si>
    <t>Underwood Ranches</t>
  </si>
  <si>
    <t>Zuckerman Heritage</t>
  </si>
  <si>
    <t>Total:</t>
  </si>
  <si>
    <t>TOTAL VALLEY 3" ALUM &amp; YELO</t>
  </si>
  <si>
    <t>OLD RIVER YARD</t>
  </si>
  <si>
    <t>F&amp;S</t>
  </si>
  <si>
    <t>T&amp;A</t>
  </si>
  <si>
    <t>CASTRO</t>
  </si>
  <si>
    <t>TOP FLAVOR</t>
  </si>
  <si>
    <t>MAD FARMS</t>
  </si>
  <si>
    <t>LAZZARINI</t>
  </si>
  <si>
    <t>TOTAL</t>
  </si>
  <si>
    <t>TOTAL HOLLISTER 3" ALUM &amp; YELO</t>
  </si>
  <si>
    <t>CUSTOMER (Hollister)</t>
  </si>
  <si>
    <t>Benson</t>
  </si>
  <si>
    <t>Braga El Centro</t>
  </si>
  <si>
    <t>Broken Wing</t>
  </si>
  <si>
    <t>Country Line Harvest</t>
  </si>
  <si>
    <t>Heritage farms</t>
  </si>
  <si>
    <t>Kirschenmann Ent 2008 trust</t>
  </si>
  <si>
    <t>Mission Ranches</t>
  </si>
  <si>
    <t>Peter Rabbitt</t>
  </si>
  <si>
    <t>Visionary Veg</t>
  </si>
  <si>
    <t>Rousseau Farm</t>
  </si>
  <si>
    <t>CUSTOMER (Valley)</t>
  </si>
  <si>
    <t>CUSTOMER (Desert)</t>
  </si>
  <si>
    <t>CUSTOMER (Stockton)</t>
  </si>
  <si>
    <t>TOTAL:</t>
  </si>
  <si>
    <t>TOTAL DESERT 3" ALUM &amp; YELO</t>
  </si>
  <si>
    <t>TOTAL STOCKTON 3" ALUM &amp; YELO</t>
  </si>
  <si>
    <t>CATANI, AZ</t>
  </si>
  <si>
    <t>CATANI AZ - ADD ON</t>
  </si>
  <si>
    <t>Poso Ridge</t>
  </si>
  <si>
    <t>INVUSI-005748</t>
  </si>
  <si>
    <t>INVUSI-003875</t>
  </si>
  <si>
    <t>INVUSI-004560</t>
  </si>
  <si>
    <t>INVUSI-005707</t>
  </si>
  <si>
    <t>INVUSI-005128</t>
  </si>
  <si>
    <t>INVUSI-005134</t>
  </si>
  <si>
    <t>FILTER STATION</t>
  </si>
  <si>
    <t>ARMANDO</t>
  </si>
  <si>
    <t>INVUSI-005508</t>
  </si>
  <si>
    <t>6-TANK FILTER STATION</t>
  </si>
  <si>
    <t>INVUSI-003686</t>
  </si>
  <si>
    <t>3" GALV 90° ELBOW</t>
  </si>
  <si>
    <t>7/12/2020J</t>
  </si>
  <si>
    <t>INVUSI-004122</t>
  </si>
  <si>
    <t>PROJ003156</t>
  </si>
  <si>
    <t>4" AIR VENT ASSEMBLY</t>
  </si>
  <si>
    <t>PALLA 4</t>
  </si>
  <si>
    <t>INVUSI-004110</t>
  </si>
  <si>
    <t>PROJ003151</t>
  </si>
  <si>
    <t>10" END PLUG w/VENT</t>
  </si>
  <si>
    <t xml:space="preserve">DiGIORGIO </t>
  </si>
  <si>
    <t>INVUSI-005705</t>
  </si>
  <si>
    <t>INVUSI-004840</t>
  </si>
  <si>
    <t>PROJECT #</t>
  </si>
  <si>
    <t>PASQUINELLI</t>
  </si>
  <si>
    <t>PROJ005765</t>
  </si>
  <si>
    <t>FILTER STATION FS-007</t>
  </si>
  <si>
    <t>PROJ005239</t>
  </si>
  <si>
    <t>FILTER STATION FS-005</t>
  </si>
  <si>
    <t>2M SALES</t>
  </si>
  <si>
    <t>CACTUS LANE</t>
  </si>
  <si>
    <t>PROJ005852</t>
  </si>
  <si>
    <t>FILTER STATION DT-01</t>
  </si>
  <si>
    <t>RENTAL REGION</t>
  </si>
  <si>
    <t>YUMA</t>
  </si>
  <si>
    <t>FILTER STATION FS-004</t>
  </si>
  <si>
    <t>HOLLISTER</t>
  </si>
  <si>
    <t>BAKERSFIELD</t>
  </si>
  <si>
    <t>RENTAL: FILTER STATIONS</t>
  </si>
  <si>
    <t>LEHR BROS</t>
  </si>
  <si>
    <t>PROJ002130</t>
  </si>
  <si>
    <t>VAC CLEAN FILTER</t>
  </si>
  <si>
    <t>PROJ001257</t>
  </si>
  <si>
    <t>CAUZZA BROS</t>
  </si>
  <si>
    <t>RUBY FARMS</t>
  </si>
  <si>
    <t>FILTER STATIONS</t>
  </si>
  <si>
    <t>PROJ005686</t>
  </si>
  <si>
    <t>YELO RENT TO OWN</t>
  </si>
  <si>
    <t>AL FRESCO</t>
  </si>
  <si>
    <t>BOOSTER PUMP</t>
  </si>
  <si>
    <t>PROJ006615</t>
  </si>
  <si>
    <t>INVUSI-010546 05/01/21-05/31/21</t>
  </si>
  <si>
    <t>PROJ005685</t>
  </si>
  <si>
    <t>ALUMINUM MONTH TO MONTH (ALL ADD ONS BILL ON THIS PROJECT</t>
  </si>
  <si>
    <t>ADD ADD ONS FROM MATT'S EMAIL ON 5/27/2021</t>
  </si>
  <si>
    <t>INVUSI-009381</t>
  </si>
  <si>
    <t>ON JESSE'S RENTAL ANALYTIC TOTAL</t>
  </si>
  <si>
    <t>MAY PURCHASE</t>
  </si>
  <si>
    <t xml:space="preserve">ON JESSE'S </t>
  </si>
  <si>
    <t xml:space="preserve">RENTAL </t>
  </si>
  <si>
    <t>ANALYTIC</t>
  </si>
  <si>
    <t>INVUSI-010527 04/26/21-05/26/21</t>
  </si>
  <si>
    <t>INVUSI-010526 03/26/21-04/26/21</t>
  </si>
  <si>
    <t>INVUSI-010529 03/26/21-04/26/21</t>
  </si>
  <si>
    <t>INVUSI-010530 04/26/21-05/26/21</t>
  </si>
  <si>
    <t>INVUSI-010528 04/12/21-05/12/21</t>
  </si>
  <si>
    <t>INVLAWS-011135   5/5/21 - 6/5/21</t>
  </si>
  <si>
    <t>INVLAWS-011137  5/5/21 - 6/5/21</t>
  </si>
  <si>
    <t>FILTER STATION SALOME, AZ</t>
  </si>
  <si>
    <t>FILTER STATION SOMERTON, AZ</t>
  </si>
  <si>
    <t>FILTER STATION WELLTON, AZ</t>
  </si>
  <si>
    <t>INVLAWS-011139  5/6/21 - 6/6/21</t>
  </si>
  <si>
    <t>INVLAWS-011140 6/1/21 - 6/30/21</t>
  </si>
  <si>
    <t>INVLAWS-011141 5/26/21-6/26/21</t>
  </si>
  <si>
    <t>INVLAWS-011142 5/26/21-6/26/21</t>
  </si>
  <si>
    <t>INVLAWS-011143 5/12/21 -6/12/21</t>
  </si>
  <si>
    <t>INVUSI-010746 05/02/21-06/02/21</t>
  </si>
  <si>
    <t xml:space="preserve">INVUSI-010745 04/02/21 - 05/02/21 </t>
  </si>
  <si>
    <t>INVLAWS-011144 6/2/21-7/2/21</t>
  </si>
  <si>
    <t>INVLAWS-011146</t>
  </si>
  <si>
    <t>3" SCH 40 PLUGS</t>
  </si>
  <si>
    <t>AIR VENT ASSEMBLIES</t>
  </si>
  <si>
    <t>10" MALE R/L X 10" CERTA</t>
  </si>
  <si>
    <t>10" FEMALE R/L X 10" CERTA</t>
  </si>
  <si>
    <t>10" CERTA 90*</t>
  </si>
  <si>
    <t>INVUSI-006244</t>
  </si>
  <si>
    <t>3" X 30' ALUMINUM LATERALS</t>
  </si>
  <si>
    <t>MIRASOL &amp; BRITE</t>
  </si>
  <si>
    <t>INVUSI-006246</t>
  </si>
  <si>
    <t>10"X40' ALUMINUM MAINLINE</t>
  </si>
  <si>
    <t>10"X30' ALUMINUM MAINLINE</t>
  </si>
  <si>
    <t>8"X40' ALUM. MAINLINE</t>
  </si>
  <si>
    <t>INVUSI-006465</t>
  </si>
  <si>
    <t>12"X40' ALUM MAINLINE</t>
  </si>
  <si>
    <t>12"X20' ALUM MAINLINE</t>
  </si>
  <si>
    <t>GUN CLUB &amp; 46</t>
  </si>
  <si>
    <t>INVUSI-006466</t>
  </si>
  <si>
    <t>12"X45' ALUM MAINLINE</t>
  </si>
  <si>
    <t>10"X45' ALUM MAINLINE</t>
  </si>
  <si>
    <t>3"X30' ALUM LATERAL</t>
  </si>
  <si>
    <t>MONTH</t>
  </si>
  <si>
    <t>7TH STANDARD &amp;</t>
  </si>
  <si>
    <t>WILDWOOD</t>
  </si>
  <si>
    <t>INVUSI-008834</t>
  </si>
  <si>
    <t>INVUSI-008534</t>
  </si>
  <si>
    <t>TULARE</t>
  </si>
  <si>
    <t>INVUSI-009388</t>
  </si>
  <si>
    <t>10"X40' ALUM. MAINLIN</t>
  </si>
  <si>
    <t>RICO FIELD</t>
  </si>
  <si>
    <t>65ACRES</t>
  </si>
  <si>
    <t>INVUSI-006762</t>
  </si>
  <si>
    <t>ACRES OF RENTAL EQUIP</t>
  </si>
  <si>
    <t>EDISON RANCH</t>
  </si>
  <si>
    <t>INVUSI-007422</t>
  </si>
  <si>
    <t>CERRO RANCH</t>
  </si>
  <si>
    <t>INVUSI-007678</t>
  </si>
  <si>
    <t>TEJON &amp; PANAMA</t>
  </si>
  <si>
    <t>INVUSI-008037</t>
  </si>
  <si>
    <t>10"X32' YELOMINE MAINLINE</t>
  </si>
  <si>
    <t>10"C/L TEE</t>
  </si>
  <si>
    <t xml:space="preserve">MONTH TO </t>
  </si>
  <si>
    <t>INVUSI-008035</t>
  </si>
  <si>
    <t>10"X40' ALUM MAINLINE</t>
  </si>
  <si>
    <t>INVUSI-007996</t>
  </si>
  <si>
    <t>HERMOSA &amp; TEJON</t>
  </si>
  <si>
    <t>INVUSI-008141</t>
  </si>
  <si>
    <t>6"X45' ALUM MAINLINE</t>
  </si>
  <si>
    <t>6" END TEE</t>
  </si>
  <si>
    <t>6"X8" INCREASER</t>
  </si>
  <si>
    <t>6" CERTA DAPTER</t>
  </si>
  <si>
    <t>INVUSI-008533</t>
  </si>
  <si>
    <t>INVUSI-009380</t>
  </si>
  <si>
    <t>INVUSI-009383</t>
  </si>
  <si>
    <t>FIELD #261</t>
  </si>
  <si>
    <t>4 TANK SKID FILTER STATION</t>
  </si>
  <si>
    <t>FIELD #259</t>
  </si>
  <si>
    <t>INVUSI-9384</t>
  </si>
  <si>
    <t xml:space="preserve">6 TANK FILTER STATION </t>
  </si>
  <si>
    <t>ZERKER &amp; 7TH STANDARD</t>
  </si>
  <si>
    <t>INVUSI-9387</t>
  </si>
  <si>
    <t>8" VIC X  10' ADAPTER</t>
  </si>
  <si>
    <t>10" VIC CLAMP</t>
  </si>
  <si>
    <t>8" X 9' YELOMINE JOINT</t>
  </si>
  <si>
    <t>10" X 3' PUP JOINT</t>
  </si>
  <si>
    <t>INVUSI-009379</t>
  </si>
  <si>
    <t>8"X20' SUCTION HOSE</t>
  </si>
  <si>
    <t>INVUSI-008715</t>
  </si>
  <si>
    <t>JUMPER &amp; RIVERSIDE</t>
  </si>
  <si>
    <t>10"X2' PUP JOINT</t>
  </si>
  <si>
    <t>PEA TRIAL</t>
  </si>
  <si>
    <t>INVUSI-008777</t>
  </si>
  <si>
    <t xml:space="preserve">5 ACRES </t>
  </si>
  <si>
    <t>6"X40' YELOMINE MAINLINE</t>
  </si>
  <si>
    <t>6" TAPPED COUPLER</t>
  </si>
  <si>
    <t>3" CERTA-SET TEE</t>
  </si>
  <si>
    <t>3"X20' YELOMINE LATERAL</t>
  </si>
  <si>
    <t>INVUSI-009102</t>
  </si>
  <si>
    <t>ROCKPILE &amp; HWY 119</t>
  </si>
  <si>
    <t>INVUSI-009103</t>
  </si>
  <si>
    <t>6"X40' ALUM MAINLINE</t>
  </si>
  <si>
    <t>6" LINE TEE</t>
  </si>
  <si>
    <t>6" 90° ELBOW</t>
  </si>
  <si>
    <t>6" FLANGE X MALE R/L</t>
  </si>
  <si>
    <t>8" FLANGE X FEMALE R/L</t>
  </si>
  <si>
    <t>8" X 6" REDUCER</t>
  </si>
  <si>
    <t>6"CLAMP</t>
  </si>
  <si>
    <t>INVUSI-008036</t>
  </si>
  <si>
    <t>10"X45' ALUM. MAINLINE</t>
  </si>
  <si>
    <t>MATERRA</t>
  </si>
  <si>
    <t>GOSFORD &amp; HOUGHTON</t>
  </si>
  <si>
    <t>3"X4" TBE NIPPLE</t>
  </si>
  <si>
    <t>4"X4" THREADED STUB VALVE</t>
  </si>
  <si>
    <t>INVUSI-009042</t>
  </si>
  <si>
    <t>5-TANK FILTER UNIT</t>
  </si>
  <si>
    <t>PALLA 6</t>
  </si>
  <si>
    <t>FIELD #253</t>
  </si>
  <si>
    <t>INVUSI-009044</t>
  </si>
  <si>
    <t>FIELD #269</t>
  </si>
  <si>
    <t>INVUSI-009045</t>
  </si>
  <si>
    <t>SYCAMORE &amp; BLACKBURN</t>
  </si>
  <si>
    <t>INVUSI-008368</t>
  </si>
  <si>
    <t>3"X30' YELOMINE LATERAL</t>
  </si>
  <si>
    <t>3" M X M SHORTS</t>
  </si>
  <si>
    <t>INVUSI-008531</t>
  </si>
  <si>
    <t>INVUSI-008530</t>
  </si>
  <si>
    <t>INVUSI-008529</t>
  </si>
  <si>
    <t>INVUSI-008373</t>
  </si>
  <si>
    <t>TEJON &amp; HERRING</t>
  </si>
  <si>
    <t>INVUSI-008369</t>
  </si>
  <si>
    <t>3" HOOK &amp; BAND</t>
  </si>
  <si>
    <t>INVUSI-008713</t>
  </si>
  <si>
    <t>8" X 10' SUCTION HOSE</t>
  </si>
  <si>
    <t>ASHE &amp; SHAFTER</t>
  </si>
  <si>
    <t>INVUSI-008750</t>
  </si>
  <si>
    <t>3"X30' ALUMINUM LATERAL</t>
  </si>
  <si>
    <t>EYRAUD 40AC</t>
  </si>
  <si>
    <t>INVUSI-008077</t>
  </si>
  <si>
    <t>INVUSI-008881</t>
  </si>
  <si>
    <t>3"X30 ALUM LATERAL</t>
  </si>
  <si>
    <t>SUNSET &amp; FAIRFAX</t>
  </si>
  <si>
    <t>INVUSI-008880</t>
  </si>
  <si>
    <t>INVUSI-008793</t>
  </si>
  <si>
    <t>8"X20' YELOMINE MAINLINE</t>
  </si>
  <si>
    <t>10"X8" YELOMINE REDUCER</t>
  </si>
  <si>
    <t>8" YELOMINE END PLUG W/VENT</t>
  </si>
  <si>
    <t>GILL EAST</t>
  </si>
  <si>
    <t>INVUSI-008038</t>
  </si>
  <si>
    <t>INVUSI-008398</t>
  </si>
  <si>
    <t>3" SCH40 PLUG</t>
  </si>
  <si>
    <t>8" VIC X 8" R/L</t>
  </si>
  <si>
    <t>8" TEE CERTA LOK</t>
  </si>
  <si>
    <t>INVUSI-008399</t>
  </si>
  <si>
    <t>7TH STANDARD</t>
  </si>
  <si>
    <t>INVUSI-008842</t>
  </si>
  <si>
    <t>WIBLE &amp; 223</t>
  </si>
  <si>
    <t>INVUSI-008879</t>
  </si>
  <si>
    <t>SHANDON ONION RANCH</t>
  </si>
  <si>
    <t>INVUSI-008645</t>
  </si>
  <si>
    <t>INVUSI-009173</t>
  </si>
  <si>
    <t>3" X 30' ALUM. LATERAL</t>
  </si>
  <si>
    <t>INVUSI-008494</t>
  </si>
  <si>
    <t>4-TANK SAND MEDIA FILTER</t>
  </si>
  <si>
    <t>3" X 30' ALUM LATERAL</t>
  </si>
  <si>
    <t>INVUSI-008532</t>
  </si>
  <si>
    <t>McCOY &amp; HWY 46</t>
  </si>
  <si>
    <t>WILDWOOD &amp; 7TH STANDARD</t>
  </si>
  <si>
    <t>INVUSI-008400</t>
  </si>
  <si>
    <t>McKITTRICK RANCH</t>
  </si>
  <si>
    <t>INVUSI-005733</t>
  </si>
  <si>
    <t>SHANDON RANCH</t>
  </si>
  <si>
    <t>INVLAWS-010838</t>
  </si>
  <si>
    <t>INVLAWS-010219</t>
  </si>
  <si>
    <t>3"X9" CERTA  X MNPT</t>
  </si>
  <si>
    <t>10" 45° YELO ELBOW</t>
  </si>
  <si>
    <t>10" YELO END PLUG</t>
  </si>
  <si>
    <t>AIR VENT ASSEMBLY</t>
  </si>
  <si>
    <t>10" FEMALE R/L X  10" CERTA</t>
  </si>
  <si>
    <t>10" CERTA 90°</t>
  </si>
  <si>
    <t>INVUSI-010210</t>
  </si>
  <si>
    <t>INVUSI-010211</t>
  </si>
  <si>
    <t>INVUSI-010114</t>
  </si>
  <si>
    <t>BOLTHOUSE</t>
  </si>
  <si>
    <t>INVUSI-010090</t>
  </si>
  <si>
    <t>10"X39' YELOMINE MAINLINE</t>
  </si>
  <si>
    <t>3"X12" MNPT X CERTA LOK</t>
  </si>
  <si>
    <t>3" CERTA TEE'S W/ RISER &amp; HEAD</t>
  </si>
  <si>
    <t>3"X20' YELOMINE JUMPERS</t>
  </si>
  <si>
    <t>CUYAMA SHOP</t>
  </si>
  <si>
    <t>INVLAWS-011130</t>
  </si>
  <si>
    <t>FIELD 260</t>
  </si>
  <si>
    <t>INVUSI-009043</t>
  </si>
  <si>
    <t>10"X40' YELOMINE</t>
  </si>
  <si>
    <t>FIELD 261</t>
  </si>
  <si>
    <t>INVUSI-009386</t>
  </si>
  <si>
    <t>DiGIORGIO</t>
  </si>
  <si>
    <t>INVUSI-009041</t>
  </si>
  <si>
    <t>5-TANK FILTER STATION</t>
  </si>
  <si>
    <t>FREEDOM FARMS</t>
  </si>
  <si>
    <t>INVUSI-010907</t>
  </si>
  <si>
    <t>12" ALUM CLAMP</t>
  </si>
  <si>
    <t>12" CERTA 90° ELBOW</t>
  </si>
  <si>
    <t>12" CERTA 45° ELBOW</t>
  </si>
  <si>
    <t>12" CERTA X MALE R/L ADAPT</t>
  </si>
  <si>
    <t>12" CERTA X FEMAL R/L ADAPT</t>
  </si>
  <si>
    <t>ILLUME AGRICULTURE</t>
  </si>
  <si>
    <t>INVLAWS-010947</t>
  </si>
  <si>
    <t>INVLAWS-010944</t>
  </si>
  <si>
    <t>INVLAWS-010945</t>
  </si>
  <si>
    <t>INVUSI-004961</t>
  </si>
  <si>
    <t>INUSI-004960</t>
  </si>
  <si>
    <t>INVUSI-004490</t>
  </si>
  <si>
    <t>INVUSI-006229</t>
  </si>
  <si>
    <t>INVUSI-006230</t>
  </si>
  <si>
    <t>3-BRAND CATTLE</t>
  </si>
  <si>
    <t>INVUSI-010116</t>
  </si>
  <si>
    <t>10" MALE CERTA X 10" R/L FEMALE</t>
  </si>
  <si>
    <t>8"X6" REDUCER</t>
  </si>
  <si>
    <t>INVUSI-010748 5/15/21 - 6/15/21</t>
  </si>
  <si>
    <t>INVUSI-010750  5/15/21-6/15/21</t>
  </si>
  <si>
    <t>INVLAWS-010948 5/27/21 - 6/27/21</t>
  </si>
  <si>
    <t>INVUSI-010675 05/15/21-06/15/21</t>
  </si>
  <si>
    <t>INVUSI-010674 05/15/21-06/15/21</t>
  </si>
  <si>
    <t>INVUSI-010085  04/23/21 - 5/23/21</t>
  </si>
  <si>
    <t>INVLAWS-011258 5/23/21 - 6/23/21</t>
  </si>
  <si>
    <t>INVUSI-010084 4/23/21 - 5/23/21</t>
  </si>
  <si>
    <t>INVLAWS-011260 5/23/21 - 6/23/21</t>
  </si>
  <si>
    <t>PROJ004398</t>
  </si>
  <si>
    <t>INVUSI-010735 5/15/21 - 6/15/21</t>
  </si>
  <si>
    <t>2 - 6CYL BOOSTER PUMPS - ENGINES - FILED #10, #15</t>
  </si>
  <si>
    <t>PROJ4498</t>
  </si>
  <si>
    <t>1 - CYL BOOSTER PUMP - ENGINE - FILED #66</t>
  </si>
  <si>
    <t>INVUSI-010734 5/15/21 - 6/15/21</t>
  </si>
  <si>
    <t>INVLAWS-011335 6/5/21 - 7/5/21</t>
  </si>
  <si>
    <t>INVLAWS-011336 6/5/21 - 7/5/21</t>
  </si>
  <si>
    <t>INVLAWS-011337 6/6/21 - 7/6/21</t>
  </si>
  <si>
    <t>PROJ006751</t>
  </si>
  <si>
    <t>Yelomine Retriever</t>
  </si>
  <si>
    <t>2600/month</t>
  </si>
  <si>
    <t>AM - SOD</t>
  </si>
  <si>
    <t>rate</t>
  </si>
  <si>
    <t>tax</t>
  </si>
  <si>
    <t>total</t>
  </si>
  <si>
    <t>customer</t>
  </si>
  <si>
    <t>start</t>
  </si>
  <si>
    <t>end</t>
  </si>
  <si>
    <t>invoice</t>
  </si>
  <si>
    <t>INVLAWS-011364</t>
  </si>
  <si>
    <t>project</t>
  </si>
  <si>
    <t>PROJ004646</t>
  </si>
  <si>
    <t>INVLAWS-011370</t>
  </si>
  <si>
    <t>INVLAWS-011663</t>
  </si>
  <si>
    <t>8" VIC X VIC 90 ELBOW</t>
  </si>
  <si>
    <t>THOMSON INT'L INVENTORY - PROJ006856</t>
  </si>
  <si>
    <t>INVLAWS-011668</t>
  </si>
  <si>
    <t>10" X 45' ALUM MAINLINE</t>
  </si>
  <si>
    <t>10" X 8" REDUCER</t>
  </si>
  <si>
    <t>8" X 45' ALUM MAINLINE</t>
  </si>
  <si>
    <t>10" 45 ELBOW</t>
  </si>
  <si>
    <t>10" LINE GATE</t>
  </si>
  <si>
    <t>3" X 30' LATERALS</t>
  </si>
  <si>
    <t>VOE'S</t>
  </si>
  <si>
    <t>3" PLUGS</t>
  </si>
  <si>
    <t>ROAD GUARDS</t>
  </si>
  <si>
    <t>MALAGA &amp; PANAMA PROJ006857</t>
  </si>
  <si>
    <t>SUNSET &amp; FAIRFAX PROJ006860</t>
  </si>
  <si>
    <t>INVLAWS-011673</t>
  </si>
  <si>
    <t>3" X 30' ALUM MAINLINE LATERALS</t>
  </si>
  <si>
    <t>INVLAWS-011675 6/12/21 - 7/12/21</t>
  </si>
  <si>
    <t>INVLAWS-011677 6/15/21 - 7/15/21</t>
  </si>
  <si>
    <t>INVLAWS-011678 6/15/21 - 7/15/21</t>
  </si>
  <si>
    <t>INVLAWS-011680 6/15/21 - 7/15/21</t>
  </si>
  <si>
    <t>INVLAWS-011682 6/15/21 - 7/15/21</t>
  </si>
  <si>
    <t>INVLAWS-011683 6/15/21 - 7/15/21</t>
  </si>
  <si>
    <t>INVLAWS-011791 6/15/21 -7/15/21</t>
  </si>
  <si>
    <t>PROJ006941</t>
  </si>
  <si>
    <t>INVLAWS-011905 6/17/21 - 7/17/21</t>
  </si>
  <si>
    <t>RETRIEVAL MACHINE</t>
  </si>
  <si>
    <t>INVLAWS-011919</t>
  </si>
  <si>
    <t xml:space="preserve">INVLAWS-012101 </t>
  </si>
  <si>
    <t>10" X 5' PUP JOINT</t>
  </si>
  <si>
    <t>10" X 20' MAINLINW</t>
  </si>
  <si>
    <t>VOTS</t>
  </si>
  <si>
    <t>VOES</t>
  </si>
  <si>
    <t>PROJ007006</t>
  </si>
  <si>
    <t>PROJ007078</t>
  </si>
  <si>
    <t>INVLAWS-012267 6/24/21 - 7/24/21</t>
  </si>
  <si>
    <t>PROJ006605</t>
  </si>
  <si>
    <t xml:space="preserve">BOOSTER PUMP MONTH TO MONTH </t>
  </si>
  <si>
    <t>INVLAWS-012288 6/26/21 - 7/26/21</t>
  </si>
  <si>
    <t>INVLAWS-012381</t>
  </si>
  <si>
    <t>INVLAWS-012382</t>
  </si>
  <si>
    <t>PROJ006412</t>
  </si>
  <si>
    <t>INVLAWS-012396 6/26/21-7/26/21</t>
  </si>
  <si>
    <t>INVLAWS-012397 6/26/21 - 7/26/21</t>
  </si>
  <si>
    <t>INVLAWS-012398 6/27/21-7/27/21</t>
  </si>
  <si>
    <t>INVLAWS-012402 6/23/21 - 7/23/21</t>
  </si>
  <si>
    <t>PROJ007286</t>
  </si>
  <si>
    <t>INVLAWS-012722 7/9/21 - 8/9/21</t>
  </si>
  <si>
    <t>INVLAWS-012727 7/5/21 - 8/5/21</t>
  </si>
  <si>
    <t>INVLAWS-012726 7/5/21 - 8/5/21</t>
  </si>
  <si>
    <t>INVLAWS-012728 7/6/21 - 8/6/21</t>
  </si>
  <si>
    <t>INVLAWS-012731 7/12/21 - 8/12/21</t>
  </si>
  <si>
    <t>INVLAWS-012898 7/15/21 - 8/15/21</t>
  </si>
  <si>
    <t>INVLAWS-012901 7/15/21 - 8/15/21</t>
  </si>
  <si>
    <t>INVLAWS-012902 7/15/21 - 8/15/21</t>
  </si>
  <si>
    <t>INVLAWS-012904 7/15/21 - 8/15/21</t>
  </si>
  <si>
    <t>INVLAWS-012907 7/15/21 - 8/15/21</t>
  </si>
  <si>
    <t>INVLAWS-0131456</t>
  </si>
  <si>
    <t xml:space="preserve">YELOMINE RETRIEVER </t>
  </si>
  <si>
    <t>INVLAWS-013206 7/17/21 - 8/17/21</t>
  </si>
  <si>
    <t>INVLAWS-013234</t>
  </si>
  <si>
    <t>12" X 45' ALUM. MAINLINE</t>
  </si>
  <si>
    <t>INVLAWS-013552 7/27/21 - 8/27/21</t>
  </si>
  <si>
    <t>INVLAWS-013571 7/23/21 - 8/23/21</t>
  </si>
  <si>
    <t>invlaws-014197 8/15/21 9/15/21</t>
  </si>
  <si>
    <t>INVLAWS-014198 8/15/21 - 9/15/21</t>
  </si>
  <si>
    <t>INVLAWS-014199 8/15/21 - 9/15/21</t>
  </si>
  <si>
    <t>INVLAWS-014200 8/15/21 - 9/15/21</t>
  </si>
  <si>
    <t>INVLAWS-014500 8/23/21 - 9/23/21</t>
  </si>
  <si>
    <t>INVLAWS-014678 8/27/21 - 9/27/21</t>
  </si>
  <si>
    <t>NUNEZ VEGETABLES</t>
  </si>
  <si>
    <t>INVLAWS-015213 9/8/21 - 10/8/21</t>
  </si>
  <si>
    <t xml:space="preserve">BRAGA RANCH </t>
  </si>
  <si>
    <t>PROJ008121</t>
  </si>
  <si>
    <t>INVLAWS-015238 9/7/21 - 10/7/21</t>
  </si>
  <si>
    <t>INVLAWS-015468 9/15/21 - 10/15/21</t>
  </si>
  <si>
    <t>INVLAWS-015469 9/15/21 - 10/15/21</t>
  </si>
  <si>
    <t>LP FARMS</t>
  </si>
  <si>
    <t>BOOSTER PUMP MONTH TO MONTH</t>
  </si>
  <si>
    <t>INVLAWS-015519 9/9/21 - 10/9/21</t>
  </si>
  <si>
    <t>INVLAWS-015520 9/23/21 - 10/23/21</t>
  </si>
  <si>
    <t>IMPERIAL AG LLC</t>
  </si>
  <si>
    <t>PROJ008145</t>
  </si>
  <si>
    <t>6-CYLINDER BOOSTER PUMP</t>
  </si>
  <si>
    <t>INVLAWS-015841 9/13/21 - 10/13/21</t>
  </si>
  <si>
    <t>INVLAWS-015846 9/15/21 - 10/15/21</t>
  </si>
  <si>
    <t>INVLAWS-015866 9/15/21 - 10/15/21</t>
  </si>
  <si>
    <t>INVLAWS-016544 10/13/21 - 11/13/21</t>
  </si>
  <si>
    <t>INVLAWS-016545 10/8/21 - 11/8/21</t>
  </si>
  <si>
    <t>PROJ008414</t>
  </si>
  <si>
    <t>INVLAWS-016417 10/15/21 - 11/15/21</t>
  </si>
  <si>
    <t>TOP FLAVOR FARMS</t>
  </si>
  <si>
    <t>PROJ008579</t>
  </si>
  <si>
    <t>INVLAWS-016683 10/21/21 - 11/21/21</t>
  </si>
  <si>
    <t>INVLAWS-016687 10/15/21 - 11/15/21</t>
  </si>
  <si>
    <t>INVLAWS-016688 10/9/21 - 11/9/21</t>
  </si>
  <si>
    <t xml:space="preserve">INVLAWS-016689 10/23/21 - 11/23/21 </t>
  </si>
  <si>
    <t>INVLAWS-016690 10/15/21 - 11/15/21</t>
  </si>
  <si>
    <t>DUE TODAY</t>
  </si>
  <si>
    <t>DELETE/ STOPPED RENT</t>
  </si>
  <si>
    <t>INVLAWS-016691 10/15/21 - 11/15/21</t>
  </si>
  <si>
    <t>INVLAWS-016700 10/15/21 - 11/15/21</t>
  </si>
  <si>
    <t>QUANTITY</t>
  </si>
  <si>
    <t>WOOLF FARMING</t>
  </si>
  <si>
    <t>GALE AVE &amp; 269</t>
  </si>
  <si>
    <t>RENTAL PERIOD</t>
  </si>
  <si>
    <t>PROJ #</t>
  </si>
  <si>
    <t>PROJ008625</t>
  </si>
  <si>
    <t>KUDU PIPE</t>
  </si>
  <si>
    <t>INVLAWS-0016416 10/15/21 - 4/15/22</t>
  </si>
  <si>
    <t>3 6-CYLINDER BOOSTER PUMP - KUDU PIPE</t>
  </si>
  <si>
    <t>update rents, less whats picked up</t>
  </si>
  <si>
    <t>PROJ008776</t>
  </si>
  <si>
    <t>WP RODUNER CATTLE</t>
  </si>
  <si>
    <t>GOSFORD &amp; SHAFTER (GILL RANCH)</t>
  </si>
  <si>
    <t>MACHINE #</t>
  </si>
  <si>
    <t>INVLAWS-017294  11/15/21 - 12/15/21</t>
  </si>
  <si>
    <t>INVLAWS-017295  11/15/21 - 12/15/21</t>
  </si>
  <si>
    <t>INVLAWS-017296  11/15/21 - 12/15/21</t>
  </si>
  <si>
    <t>INVLAWS-017311  11/15/21 - 12/15/21</t>
  </si>
  <si>
    <t>3-BOOSTER PUMPS - BRUCE RANCH (1,2,3)</t>
  </si>
  <si>
    <t>3-BOOSTER PUMPS - BRUCE RANCH (4,5,6)</t>
  </si>
  <si>
    <t>INVLAWS-017313  11/1/21 - 11/30/21</t>
  </si>
  <si>
    <t>INVLAWS-017315 11/15/21 - 12/15/21</t>
  </si>
  <si>
    <t>1 6-CYLINDER BOOSTER PUMP - KUDU 6 PIVOT</t>
  </si>
  <si>
    <t>INVLAWS-017319  9/1/21 - 11/30/21</t>
  </si>
  <si>
    <t>HAFENFELD</t>
  </si>
  <si>
    <t>RENTAL DATES</t>
  </si>
  <si>
    <t>ORIG. PROJ#</t>
  </si>
  <si>
    <t>RE-RENT INVOICE #</t>
  </si>
  <si>
    <t>CLOSED</t>
  </si>
  <si>
    <t>NEW PROJ#</t>
  </si>
  <si>
    <t>PRINT</t>
  </si>
  <si>
    <t>INVUSI-007421</t>
  </si>
  <si>
    <t>12/15/20-6/15/21</t>
  </si>
  <si>
    <t>PROJ004637</t>
  </si>
  <si>
    <t>X</t>
  </si>
  <si>
    <t>6/15/21-12/15/21</t>
  </si>
  <si>
    <t>SAME</t>
  </si>
  <si>
    <t>NO</t>
  </si>
  <si>
    <t>INVUSI-007998</t>
  </si>
  <si>
    <t>1/1/21-6/30/21</t>
  </si>
  <si>
    <t>PROJ003175</t>
  </si>
  <si>
    <t>6/30/21-12/30/21</t>
  </si>
  <si>
    <t>INVUSI-07997</t>
  </si>
  <si>
    <t>PROJ003183</t>
  </si>
  <si>
    <t>PROJ004638</t>
  </si>
  <si>
    <t>INVLAWS-013717</t>
  </si>
  <si>
    <t>8/3/21-12/3/21</t>
  </si>
  <si>
    <t>PROJ007500</t>
  </si>
  <si>
    <t>PROJ004638-OLD</t>
  </si>
  <si>
    <t>12/30/21-6/15/21</t>
  </si>
  <si>
    <t>PROJ004636</t>
  </si>
  <si>
    <t xml:space="preserve">INVLAWS-014119 </t>
  </si>
  <si>
    <t>8/13/21-1/13/22</t>
  </si>
  <si>
    <t>PROJ007645</t>
  </si>
  <si>
    <t>BECAME CERRO1</t>
  </si>
  <si>
    <t>DELIS 2A &amp; 2B</t>
  </si>
  <si>
    <t>REMOVE ONCE 2 NEW RENTS ARE ADDED</t>
  </si>
  <si>
    <t>11/15/20-6/15/21</t>
  </si>
  <si>
    <t>PROJ004410</t>
  </si>
  <si>
    <t>INVLAWS-012384</t>
  </si>
  <si>
    <t>6/29/21-12/29/21</t>
  </si>
  <si>
    <t>PROJ007127</t>
  </si>
  <si>
    <t>INVLAWS-015188</t>
  </si>
  <si>
    <t>9/10/21 - 9/10/22</t>
  </si>
  <si>
    <t>PROJ004025</t>
  </si>
  <si>
    <t>NUSS FARMS</t>
  </si>
  <si>
    <t>PROJ008209</t>
  </si>
  <si>
    <t>ANNUAL RENT - 222 ACRES</t>
  </si>
  <si>
    <t>INVLAWS-017474  11/22/21 - 12/22/21</t>
  </si>
  <si>
    <t>INVLAWS-017481 11/23/21 - 12/23/21</t>
  </si>
  <si>
    <t>TRILOGY DAIRY</t>
  </si>
  <si>
    <t>PROJ008738</t>
  </si>
  <si>
    <t>PIPE &amp; BOOSTER</t>
  </si>
  <si>
    <t>INVLAWS-017536 11/9/21 - 12/9/21</t>
  </si>
  <si>
    <t>PROJ007439</t>
  </si>
  <si>
    <t>TEMPORARY WELL DISCHARGE</t>
  </si>
  <si>
    <t>INVLAWS-017007 11/1/21 - 11/30/21</t>
  </si>
  <si>
    <t>INVLAWS-017560  11/9/21 - 12/9/21</t>
  </si>
  <si>
    <t>INVLAWS-017562 11/8/21 - 12/8/21</t>
  </si>
  <si>
    <t>INVLAWS-017563  11/21/21 - 12/21/21</t>
  </si>
  <si>
    <t>PROJ008827</t>
  </si>
  <si>
    <t>ARMANDO'S RENT</t>
  </si>
  <si>
    <t>INVLAWS-017567  11/29/21 - 12/29/21</t>
  </si>
  <si>
    <t>INVLAWS-017916 12/9/21 - 1/9/22</t>
  </si>
  <si>
    <t>PROJ008998</t>
  </si>
  <si>
    <t>BUTTONWILLOW LAND &amp; CATTLE</t>
  </si>
  <si>
    <t>INVLAWS-017948  12/1/21 - 12/31/21</t>
  </si>
  <si>
    <t>INVLAWS-017949  12/1/21 - 12/31/21</t>
  </si>
  <si>
    <t>INVLAWS-017978 12/8/21 - 1/8/22</t>
  </si>
  <si>
    <t>INVLAWS-018052  12/1/21 - 12/31/21</t>
  </si>
  <si>
    <t>INVLAWS-018053 12/15/21 - 1/15/22</t>
  </si>
  <si>
    <t>DONE</t>
  </si>
  <si>
    <t>INVLAWS-018055 12/15/21 - 1/15/22</t>
  </si>
  <si>
    <t>INVLAWS-018056  12/15/21 - 1/15/22</t>
  </si>
  <si>
    <t>INVLAWS-018059 12/15/21 - 1/15/22</t>
  </si>
  <si>
    <t>PROJ009070</t>
  </si>
  <si>
    <t>ALLIED POTATO</t>
  </si>
  <si>
    <t>INVLAWS-017918 12/9/21 - 1/9/22</t>
  </si>
  <si>
    <t>INVLAWS-018460  1/9/22 - 2/9/22</t>
  </si>
  <si>
    <t>INVLAWS-018461  1/1/22 - 1/31/22</t>
  </si>
  <si>
    <t>INVLAWS-18462 1/9/22 - 2/9/22</t>
  </si>
  <si>
    <t>INVLAWS-018211 12/22/21 - 1/21/22</t>
  </si>
  <si>
    <t>INVLAWS-018463  12/21/21 - 1/21/22</t>
  </si>
  <si>
    <t>INVLAWS-018464  1/1/22 - 1/31/22</t>
  </si>
  <si>
    <t>INVLAWS-018465 1/1/22 - 1/31/22</t>
  </si>
  <si>
    <t>INVLAWS-018466 1/1/22 - 1/31/22</t>
  </si>
  <si>
    <t>INVLAWS-018581  1/15/22 - 2/15/22</t>
  </si>
  <si>
    <t>INVLAWS-018582  1/15/22 - 2/15/22</t>
  </si>
  <si>
    <t>INVLAWS-018583  1/15/22 - 2/15/22</t>
  </si>
  <si>
    <t>INVLAWS-018584  1/15/22 - 2/15/22</t>
  </si>
  <si>
    <t>ON HOLD</t>
  </si>
  <si>
    <t>PROJ008917</t>
  </si>
  <si>
    <t>FIELD #7 GARLIC BOOSTER</t>
  </si>
  <si>
    <t>INVLAWS-018657 1/1/22 - 1/31/22</t>
  </si>
  <si>
    <t>PROJ009348</t>
  </si>
  <si>
    <t>HILL RANCH - SEED CROP - 3" &amp; 10" PIPE</t>
  </si>
  <si>
    <t>INVLAWS-018716  1/1/22 - 1/31/22</t>
  </si>
  <si>
    <t>INVLAWS-018719  1/21/22 - 2/21/22</t>
  </si>
  <si>
    <t>BROKEN WING</t>
  </si>
  <si>
    <t>PROJ009231</t>
  </si>
  <si>
    <t>INVLAWS-018794  1/14/22 - 2/14/22</t>
  </si>
  <si>
    <t>INVLAWS-019297 2/1/22 - 2/28/22</t>
  </si>
  <si>
    <t>6-CYL BOOSTER PUMP - JOHNSON   (PO#21424)</t>
  </si>
  <si>
    <t>6-CYL BOOSTER PUMP - BUCHANAN  (PO#21425)</t>
  </si>
  <si>
    <t>6-CYL BOOSTER PUMP - LINCOLN 40 AC  (PO#21426)</t>
  </si>
  <si>
    <t>INVLAWS-019746  2/9/22 - 3/9/22</t>
  </si>
  <si>
    <t>INVLAWS-019777  2/14/22 - 3/14/22</t>
  </si>
  <si>
    <t>INVLAWS-019778  2/15/22 - 3/15/22</t>
  </si>
  <si>
    <t>INVLAWS-019779  2/15/22 - 3/15/22</t>
  </si>
  <si>
    <t>INVLAWS-019781  2/1/22 - 2/28/22</t>
  </si>
  <si>
    <t>INVLAWS-019782  2/15/22 - 3/15/22</t>
  </si>
  <si>
    <t>INVLAWS-019783  2/1/22 - 2/28/22</t>
  </si>
  <si>
    <t>INVLAWS-019748  2/9/22 - 3/9/22</t>
  </si>
  <si>
    <t>INVLAWS-020144  2/21/22 - 3/21/22</t>
  </si>
  <si>
    <t>GILA VALLEY FARMS</t>
  </si>
  <si>
    <t>PROJ009574</t>
  </si>
  <si>
    <t>4-TANK FILTER STATION</t>
  </si>
  <si>
    <t>INVLAWS-020146  2/22/22 - 3/22/22</t>
  </si>
  <si>
    <t>INVLAWS-020178  2/1/22 - 2/28/22</t>
  </si>
  <si>
    <t>SOUTHWEST IRRIGATION</t>
  </si>
  <si>
    <t>PROJ008850</t>
  </si>
  <si>
    <t>BP-009</t>
  </si>
  <si>
    <t>INVLAWS-020326  2/22/22 - 3/22/22</t>
  </si>
  <si>
    <t>CAETANO RANCHES</t>
  </si>
  <si>
    <t>PROJ009712</t>
  </si>
  <si>
    <t>INVLAWS-020524  2/28/22 - 3/31/22</t>
  </si>
  <si>
    <t>INVLAWS-017506</t>
  </si>
  <si>
    <t>INVLAWS-017505</t>
  </si>
  <si>
    <t>PROJ008889</t>
  </si>
  <si>
    <t>INVLAWS-017508</t>
  </si>
  <si>
    <t>10"X40' MAINLINE</t>
  </si>
  <si>
    <t>PROJ008891</t>
  </si>
  <si>
    <t>INVLAWS-017510</t>
  </si>
  <si>
    <t>ASHE &amp; 119</t>
  </si>
  <si>
    <t>INVLAWS-017519</t>
  </si>
  <si>
    <t>SLED/RISER/MRDC/EF</t>
  </si>
  <si>
    <t>SABO RANCH</t>
  </si>
  <si>
    <t>INVLAWS-017520</t>
  </si>
  <si>
    <t>119 &amp; VINELAND</t>
  </si>
  <si>
    <t>INVLAWS-017467</t>
  </si>
  <si>
    <t>INVLAWS-017800</t>
  </si>
  <si>
    <t>LINCOLN AVE</t>
  </si>
  <si>
    <t>INVLAWS-017915</t>
  </si>
  <si>
    <t>10" CAP</t>
  </si>
  <si>
    <t>8" X 12" INCREASER</t>
  </si>
  <si>
    <t>12" X 40' MAINLINE</t>
  </si>
  <si>
    <t>INVLAWS-017991</t>
  </si>
  <si>
    <t>McCoy &amp; Poso</t>
  </si>
  <si>
    <t>INVLAWS-018019</t>
  </si>
  <si>
    <t>THE HILL RANCH</t>
  </si>
  <si>
    <t>CARROTS</t>
  </si>
  <si>
    <t>INVLAWS-018064</t>
  </si>
  <si>
    <t>INVLAWS-018065</t>
  </si>
  <si>
    <t>6-CYL BOOSTER</t>
  </si>
  <si>
    <t>INVLAWS-018156</t>
  </si>
  <si>
    <t>INVLAWS-018155</t>
  </si>
  <si>
    <t>INVLAWS-018157</t>
  </si>
  <si>
    <t>ELK GROVE &amp; HWY 58</t>
  </si>
  <si>
    <t>INVLAWS-018207</t>
  </si>
  <si>
    <t>12"X20' YELOMINE MAINLINE</t>
  </si>
  <si>
    <t>INVLAWS-018244</t>
  </si>
  <si>
    <t>S-CURVE CARROTS</t>
  </si>
  <si>
    <t>INVLAWS-018060</t>
  </si>
  <si>
    <t>S-CURVE</t>
  </si>
  <si>
    <t>INVLAWS-018061</t>
  </si>
  <si>
    <t>PALLA 5</t>
  </si>
  <si>
    <t>INVLAWS-018458</t>
  </si>
  <si>
    <t xml:space="preserve">KRATZMEYER &amp; CENTRAL </t>
  </si>
  <si>
    <t>VALLEY</t>
  </si>
  <si>
    <t>INVLAWS-018492</t>
  </si>
  <si>
    <t>INVLAWS-018459</t>
  </si>
  <si>
    <t>58 &amp; WASCO WAY</t>
  </si>
  <si>
    <t>INVLAWS-018842</t>
  </si>
  <si>
    <t>INVLAWS-018245</t>
  </si>
  <si>
    <t>FIELD 116 - COPUS</t>
  </si>
  <si>
    <t>INVLAWS-018417</t>
  </si>
  <si>
    <t>LT FARMS</t>
  </si>
  <si>
    <t>INVLAWS-018419</t>
  </si>
  <si>
    <t>BUERKLE &amp; PALOMAS</t>
  </si>
  <si>
    <t>INVLAWS-019678</t>
  </si>
  <si>
    <t>10" MALE R/L X 10" MALE CERTA ADAPTER</t>
  </si>
  <si>
    <t xml:space="preserve">10" 45° ELBOW </t>
  </si>
  <si>
    <t>10"X40' YELOMINE MAINLINE W/COUPLER</t>
  </si>
  <si>
    <t>INVLAWS-019895</t>
  </si>
  <si>
    <t>FAIRFAX &amp; HWY 223</t>
  </si>
  <si>
    <t>TOMATOES</t>
  </si>
  <si>
    <t>INVLAWS-020167</t>
  </si>
  <si>
    <t>6"X40' MAINLINE</t>
  </si>
  <si>
    <t>10" FEM R/L X 10" CERTA</t>
  </si>
  <si>
    <t>8"X40' MAINLINE</t>
  </si>
  <si>
    <t>6' CLAMP</t>
  </si>
  <si>
    <t>7TH STNRD &amp; ENOS</t>
  </si>
  <si>
    <t>INVLAWS-020168</t>
  </si>
  <si>
    <t>INVLAWS-020527</t>
  </si>
  <si>
    <t>INVLAWS-018850</t>
  </si>
  <si>
    <t>7TH STNRD &amp; ROWLEE</t>
  </si>
  <si>
    <t>INVLAWS-018844</t>
  </si>
  <si>
    <t>WASCO WAY &amp;</t>
  </si>
  <si>
    <t>BUTTONWILLOW</t>
  </si>
  <si>
    <t>INVLAWS-017606</t>
  </si>
  <si>
    <t>MERCED</t>
  </si>
  <si>
    <t>INVLAWS-020894</t>
  </si>
  <si>
    <t>6" END PLUG W/VALVE &amp; VENT</t>
  </si>
  <si>
    <t>INVLAWS-020917  1/8/22 - 2/8/22</t>
  </si>
  <si>
    <t>INVLAWS-020922 3/8/22 - 4/8/22</t>
  </si>
  <si>
    <t>D-2</t>
  </si>
  <si>
    <t>INVLAWS-021114  3/11/22 - 4/11/22</t>
  </si>
  <si>
    <t>FS-004</t>
  </si>
  <si>
    <t>INVLAWS-021121  3/1/22 - 3/31/22</t>
  </si>
  <si>
    <t>INVLAWS-021122  3/9/22 - 4/9/22</t>
  </si>
  <si>
    <t>INVLAWS-021123  3/9/22 - 4/9/22</t>
  </si>
  <si>
    <t>INVLAWS-021124  3/1/22 - 3/31/22</t>
  </si>
  <si>
    <t>INVLAWS-021125  3/1/22 - 3/31/22</t>
  </si>
  <si>
    <t>INVLAWS-021127  3/1/22 - 3/31/22</t>
  </si>
  <si>
    <t>CHAISON FARMS</t>
  </si>
  <si>
    <t>PROJ009620</t>
  </si>
  <si>
    <t>INVLAWS-021423  3/12/22 - 4/12/22</t>
  </si>
  <si>
    <t>FS RENTAL (Bill until further notice)</t>
  </si>
  <si>
    <t>Bill until further notice</t>
  </si>
  <si>
    <t>INVLAWS-020921  2/8/22 - 3/8/22</t>
  </si>
  <si>
    <t>PROJ009619</t>
  </si>
  <si>
    <t>FOUR LITTLE DEVILS</t>
  </si>
  <si>
    <t>PROJ009960</t>
  </si>
  <si>
    <t>INVLAWS-021559  3/21/22 - 4/21/22</t>
  </si>
  <si>
    <t>INVLAWS-021560  3/21/20 - 4/21/22</t>
  </si>
  <si>
    <t>GREENLINE FARMING</t>
  </si>
  <si>
    <t>PROJ009413</t>
  </si>
  <si>
    <t>4-TANK FILTER STATION + BOOSTER PUMP</t>
  </si>
  <si>
    <t>FS-007</t>
  </si>
  <si>
    <t>FS-006</t>
  </si>
  <si>
    <t>INVLAWS-019674  2/1/22 - 2/28/22</t>
  </si>
  <si>
    <t>INVLAWS-019675  2/1/22 - 2/28/22</t>
  </si>
  <si>
    <t>6-CYL BOOSTER PUMP  (bill until further notice)</t>
  </si>
  <si>
    <t>INVLAWS-021561  3/14/21 - 4/14/22</t>
  </si>
  <si>
    <t>FRAZIER FARMS ( WAS BENITO)</t>
  </si>
  <si>
    <t>INVLAWS-021154  3/1/22 - 3/31/22</t>
  </si>
  <si>
    <t>INVLAWS-021153  3/1/22 - 3/31/22</t>
  </si>
  <si>
    <t>INVLAWS-021563  3/21/22 - 4/21/22</t>
  </si>
  <si>
    <t>INVLAWS-021564  3/15/21 - 4/15/21</t>
  </si>
  <si>
    <t>INVLAWS-021565  3/15/21 - 4/15/21</t>
  </si>
  <si>
    <t>INVLAWS-021566  3/15/21 - 4/15/2022</t>
  </si>
  <si>
    <t>PROJ010122</t>
  </si>
  <si>
    <t>4 TANK SKID FILTER STATION (WAS PROJ005900)</t>
  </si>
  <si>
    <t>OFF FOR NOW, PER TONY/ JERRY CONFIRMED</t>
  </si>
  <si>
    <t>INVALWS-022348  3/22/22 - 4/22/22</t>
  </si>
  <si>
    <t>INVLAWS-022349  3/1/22 - 3/31/22</t>
  </si>
  <si>
    <t>INVLAWS-022350  4/1/22 - 4/30/22</t>
  </si>
  <si>
    <t>INVLAWS-022351  3/1/22 - 3/31/22</t>
  </si>
  <si>
    <t>INVLAWS-022352  4/1/22 - 4/30/22</t>
  </si>
  <si>
    <t>INVLAWS-022772  4/1/22 - 4/30/22</t>
  </si>
  <si>
    <t xml:space="preserve"> BUENA VISTA &amp; COMANCHE</t>
  </si>
  <si>
    <t>INVLAWS-022980  4/1/22 - 4/30/22</t>
  </si>
  <si>
    <t>INVLAWS-022981  4/1/22 - 4/30/22</t>
  </si>
  <si>
    <t>INVLAWS-022983  4/1/2022 - 4/30/2022</t>
  </si>
  <si>
    <t>INVLAWS-023021  4/8/2022 - 5/8/2022</t>
  </si>
  <si>
    <t>INVLAWS-023022  4/14/22 - 5/14/22</t>
  </si>
  <si>
    <t>INVLAWS-023024  4/22/22 - 5/22/22</t>
  </si>
  <si>
    <t>INVLAWS-023025  4/11/22 - 5/11/22</t>
  </si>
  <si>
    <t>INVLAWS-023026  4/12/22 - 5/12/22</t>
  </si>
  <si>
    <t>INVLAWS-023028  4/21/22 - 5/21/22</t>
  </si>
  <si>
    <t>INVLAWS-023029  4/21/22 - 5/21/22</t>
  </si>
  <si>
    <t>D-08</t>
  </si>
  <si>
    <t>INVLAWS-022982  4/21/22 - 5/21/22</t>
  </si>
  <si>
    <t>INVLAWS-023032  4/15/22 - 5/15/22</t>
  </si>
  <si>
    <t>INVLAWS-023033  4/15/22 - 5/15/22</t>
  </si>
  <si>
    <t>INVLAWS-023034  4/1/22 - 4/30/22</t>
  </si>
  <si>
    <t>INVLAWS-023035  4/1/22 - 4/30/22</t>
  </si>
  <si>
    <t>PROJ010514</t>
  </si>
  <si>
    <t>SCREEN FILTRATION SYSTEM</t>
  </si>
  <si>
    <t>FS-010 SCREEN FILTER</t>
  </si>
  <si>
    <t>INVLAWS-023830  4/22/22 - 5/22/22</t>
  </si>
  <si>
    <t>INVLAWS-023903  4/15/22 - 5/15/22</t>
  </si>
  <si>
    <t>INVLAWS-023913  5/15/22 - 6/15/22</t>
  </si>
  <si>
    <t>INVLAWS-023914  5/15/22 - 6/15/22</t>
  </si>
  <si>
    <t>STOP RENT PER JERRY 5.11.22</t>
  </si>
  <si>
    <t>INVLAWS-024160  5/14/22 - 6/14/22</t>
  </si>
  <si>
    <t>INVLAWS-024161  5/22/22 - 6/22/22</t>
  </si>
  <si>
    <t>INVLAWS-024162  5/11/22 - 6/11/22</t>
  </si>
  <si>
    <t>INVLAWS-024163  5/22/22 - 6/22/22</t>
  </si>
  <si>
    <t>INVLAWS-024164  5/12/22 - 6/12/22</t>
  </si>
  <si>
    <t>INVLAWS-024165  5/21/22 - 6/21/22</t>
  </si>
  <si>
    <t>INVLAWS-024166  5/21/22 - 6/21/22</t>
  </si>
  <si>
    <t>INVLAWS-024167  5/1/22 - 5/31/22</t>
  </si>
  <si>
    <t>INVLAWS-024168  5/1/22 - 5/31/22</t>
  </si>
  <si>
    <t>INVLAWS-024169  5/15/22 - 6/15/22</t>
  </si>
  <si>
    <t>INVLAWS-024170  5/1/22 - 5/31/22</t>
  </si>
  <si>
    <t>INVLAWS-024171  5/1/22 - 5/31/22</t>
  </si>
  <si>
    <t>INVLAWS-024172  5/1/22 - 5/31/22</t>
  </si>
  <si>
    <t>INVLAWS-024412  5/21/22 - 6/21/22</t>
  </si>
  <si>
    <t>INVLAWS-024341  5/1/22 - 5/31/22</t>
  </si>
  <si>
    <t>INVLAWS-024413  5/1/22 - 5/31/22</t>
  </si>
  <si>
    <t>INVLAWS-025315  6/1/2022 - 6/15/22</t>
  </si>
  <si>
    <t>INVLAWS-025316  6/14/22 - 7/14/22</t>
  </si>
  <si>
    <t>INVLAWS-025317  6/11/22 - 7/11/22</t>
  </si>
  <si>
    <t>INVLAWS-025318  6/12/22-7/12/22</t>
  </si>
  <si>
    <t>INVLAWS-025319  6/21/22-7/21/22</t>
  </si>
  <si>
    <t>INVLAWS-025320  6/21/22 - 7/21/22</t>
  </si>
  <si>
    <t>INVLAWS-025321  6/1/22 - 6/30/22</t>
  </si>
  <si>
    <t>INVLAWS-025322  6/21/22 - 7/21/22</t>
  </si>
  <si>
    <t>INVLAWS-025324  6/1/22 - 6/30/22</t>
  </si>
  <si>
    <t>PROJ011051</t>
  </si>
  <si>
    <t>GENERATOR RENT - SUB FROM PLATINUM RENTALS</t>
  </si>
  <si>
    <t>INVLAWS-025530  6/2/22 - 7/2/22</t>
  </si>
  <si>
    <t>INVLAWS-025533  6/15/22 - 7/15/22</t>
  </si>
  <si>
    <t>INVLAWS-025535  6/15/22 - 7/15/22</t>
  </si>
  <si>
    <t>INVLAWS-025536  5/1/22 - 5/31/22</t>
  </si>
  <si>
    <t>INVLAWS-025537  6/1/22 - 6/30/22</t>
  </si>
  <si>
    <t>ON HOLD - PER ARMANDO -EMAILED 6/28/22</t>
  </si>
  <si>
    <t>ON HOLD - PER ARMANDO</t>
  </si>
  <si>
    <t>INVLAWS-025538  6/1/22 - 6/30/22</t>
  </si>
  <si>
    <t>INVLAWS-025556  6/22/22 - 7/22/22</t>
  </si>
  <si>
    <t>INVLAWS-025713  6/15/22 - 7/15/22</t>
  </si>
  <si>
    <t>MONETTE FARMS</t>
  </si>
  <si>
    <t>PROJ011616</t>
  </si>
  <si>
    <t>FILTER STATION RENTAL</t>
  </si>
  <si>
    <t>INVLAWS-026559  7/13/22 - 8/13/22</t>
  </si>
  <si>
    <t>INVLAWS-026560  7/15/22 - 8/15/22</t>
  </si>
  <si>
    <t>INVLAWS-026561  7/1/22 - 7/31/22</t>
  </si>
  <si>
    <t>INVLAWS-026562  7/2/22 - 8/2/22</t>
  </si>
  <si>
    <t>INVLAWS-026563  7/1/22 - 7/31/22</t>
  </si>
  <si>
    <t>INVLAWS-026587  7/20/22 - 8/20/22</t>
  </si>
  <si>
    <t>INVLAWS-027076  7/14/22 - 8/14/22</t>
  </si>
  <si>
    <t>INVLAWS-027077  7/15/22 - 8/15/22</t>
  </si>
  <si>
    <t>INVLAWS-027078  7/1/22 - 7/31/22</t>
  </si>
  <si>
    <t>INVLAWS-027166  7/15/22 - 8/15/22</t>
  </si>
  <si>
    <t>INVLAWS-027167  7/1/22 - 7/31/22</t>
  </si>
  <si>
    <t>DOUBLE CHECK THAT THESE ARE NOT STILL SUBRENTING</t>
  </si>
  <si>
    <t>INVLAWS-027238  7/21/22 - 8/21/22</t>
  </si>
  <si>
    <t>INVLAWS-028491 8/2/22 - 9/2/22</t>
  </si>
  <si>
    <t>HOLD THIS UNTIL FURTHER NOTICE PER TONY 9/2/22 CONVO</t>
  </si>
  <si>
    <t>INVLAWS-028541  8/14/22 - 9/14/22</t>
  </si>
  <si>
    <t>INVLAWS-028542  8/15/22 - 9/15/22</t>
  </si>
  <si>
    <t>INVLAWS-028543  8/13/22 - 9/13/22</t>
  </si>
  <si>
    <t>INVLAWS-028548  8/20/22 - 9/20/22</t>
  </si>
  <si>
    <t>INVLAWS-028550  8/1/22 - 8/31/22</t>
  </si>
  <si>
    <t>INVLAWS-028552  8/1/22 - 8/31/22</t>
  </si>
  <si>
    <t>INVLAWS-028553  8/21/22 - 9/21/22</t>
  </si>
  <si>
    <t>INVLAWS-028554  9/2/22 - 10/2/22</t>
  </si>
  <si>
    <t>INVLAWS-028555  8/15/22 - 9/15/22</t>
  </si>
  <si>
    <t>INVLAWS-028556  8/15/22 - 9/15/22</t>
  </si>
  <si>
    <t>INVLAWS-028557  8/1/22 - 8/31/22</t>
  </si>
  <si>
    <t>INVLAWS-028559  8/1/22 - 8/31/22</t>
  </si>
  <si>
    <t>ACM II 6</t>
  </si>
  <si>
    <t>PROJ004769</t>
  </si>
  <si>
    <t>GENERATOR</t>
  </si>
  <si>
    <t>INVLAWS-028566  8/1/22 - 8/31/22</t>
  </si>
  <si>
    <t>catch up billing - caught up on 28559 bill</t>
  </si>
  <si>
    <t>INVLAWS-028558  8/1/22 - 8/31/22</t>
  </si>
  <si>
    <t>INVLAWS-029081  9/14/22 - 10/14/22</t>
  </si>
  <si>
    <t>INVLAWS-029082  9/15/22 - 10/15/22</t>
  </si>
  <si>
    <t>INVLAWS-029083  9/13/22 - 10/13/22</t>
  </si>
  <si>
    <t>INVLAWS-029084  9/15/22 - 10/15/22</t>
  </si>
  <si>
    <t>INVLAWS-029085  9/15/22 - 10/15/22</t>
  </si>
  <si>
    <t>INVLAWS-029086  9/1/22 - 9/30/22</t>
  </si>
  <si>
    <t>INVLAWS-029087  9/1/22 - 9/30/22</t>
  </si>
  <si>
    <t>INVLAWS-029088  9/1/22 - 9/30/22</t>
  </si>
  <si>
    <t>INVLAWS-029089  9/1/22 - 9/30/22</t>
  </si>
  <si>
    <t>INVLAWS-029090  9/20/22 - 10/20/22</t>
  </si>
  <si>
    <t>PROJ011906</t>
  </si>
  <si>
    <t>INVLAWS-027240 8/1/2022-8/31/2022</t>
  </si>
  <si>
    <t>INVLAWS-029524  9/30/22-10/31/22</t>
  </si>
  <si>
    <t>INVLAWS-029522  10/1/22-10/31/22</t>
  </si>
  <si>
    <t>INVLAWS-029523 10/1/22-10/31/22</t>
  </si>
  <si>
    <t>INVLAWS-029595  9/01/22 - 9/30/22</t>
  </si>
  <si>
    <t>INVLAWS-029625  9/21/22 - 10/21/22</t>
  </si>
  <si>
    <t>INVLAWS-029626  9/1/22 - 9/30/22</t>
  </si>
  <si>
    <t>KGS16SW</t>
  </si>
  <si>
    <t>INVLAWS-029703  9/28/22 - 10/28/22</t>
  </si>
  <si>
    <t>INVLAWS-030464  10/15/22 - 11/15/22</t>
  </si>
  <si>
    <t>INVLAWS-030465  10/13/22 - 11/13/22</t>
  </si>
  <si>
    <t>INVLAWS-030466  10/20/22 - 11/20/22</t>
  </si>
  <si>
    <t>INVLAWS-030467  10/1/22 - 10/31/22</t>
  </si>
  <si>
    <t>INVLAWS-029624  9/1/22 - 9/30/22</t>
  </si>
  <si>
    <t>INVLAWS-030468  10/1/22 - 10/31/2022</t>
  </si>
  <si>
    <t>INVLAWS-030469  10/21/22 - 11/21/22</t>
  </si>
  <si>
    <t>INVLAWS-030470  10/2/22 - 11/2/22</t>
  </si>
  <si>
    <t>INVLAWS-030471  10/15/22 - 11/15/22</t>
  </si>
  <si>
    <t>INVLAWS-030472  10/15/22 - 11/15/22</t>
  </si>
  <si>
    <t>INVLAWS-030473  10/1/22 - 10/31/22</t>
  </si>
  <si>
    <t>PROJ010372</t>
  </si>
  <si>
    <t>RETRIEVER MACHINE</t>
  </si>
  <si>
    <t>INVLAWS-030688  10/24/22 - 11/24/22</t>
  </si>
  <si>
    <t>PROJ012796</t>
  </si>
  <si>
    <t>INVLAWS-030792 10/28/22 - 11/28/22</t>
  </si>
  <si>
    <t>INVLAWS-030463  10/14/2022 - 11/14/22</t>
  </si>
  <si>
    <t>INVLAWS-031098  11/14/22 - 12/14/22</t>
  </si>
  <si>
    <t>INVLAWS-031099 11/15/22 - 12/15/22</t>
  </si>
  <si>
    <t>INVLAWS-031109 11/13/22 - 12/13/22</t>
  </si>
  <si>
    <t>PROJ013053</t>
  </si>
  <si>
    <t>FILTER STATION SKID</t>
  </si>
  <si>
    <t>INVLAWS-031176  11/9/22 - 12/9/22</t>
  </si>
  <si>
    <t>INVLAWS-031523  11/1/22 - 11/30/22</t>
  </si>
  <si>
    <t>INVLAWS-031526  11/15/22 - 12/15/22</t>
  </si>
  <si>
    <t>INVLAWS-031527  11/15/22 - 12/15/22</t>
  </si>
  <si>
    <t>INVLAWS-31528  11/1/222 - 11/30/22</t>
  </si>
  <si>
    <t>INVLAWS-031529  11/01/22 - 11/30/22</t>
  </si>
  <si>
    <t>INVLAWS-031530  11/1/22 - 11/30/22</t>
  </si>
  <si>
    <t>INVLAWS-031531 11/28/22 - 12/28/22</t>
  </si>
  <si>
    <t>INVLAWS-032102  12/15/22 - 1/15/23</t>
  </si>
  <si>
    <t>INVLAWS-032103  12/15/22 - 1/15/23</t>
  </si>
  <si>
    <t>INVLAWS-032106  12/1/22 - 12/31/22</t>
  </si>
  <si>
    <t>INVLAWS-032107  12/1/22 - 12/31/22</t>
  </si>
  <si>
    <t>INVLAWS-032108  12/28/22 - 1/28/23</t>
  </si>
  <si>
    <t>INVLAWS-031524 11/1/22 - 11/30/22</t>
  </si>
  <si>
    <t xml:space="preserve">DONE - ISSUED CREDIT </t>
  </si>
  <si>
    <t>INVLAWS-031525  11/21/22-12/21/22</t>
  </si>
  <si>
    <t>INVLAWS-032122  12/21/22 - 1/21/23</t>
  </si>
  <si>
    <t>INVLAWS-032123  12/9/22 - 1/9/23</t>
  </si>
  <si>
    <t>INVLAWS-031522 11/20/22 - 1/20/23</t>
  </si>
  <si>
    <t>INVLAWS-032124  12/13/22 - 1/13/23</t>
  </si>
  <si>
    <t>PGH</t>
  </si>
  <si>
    <t>PROJ012525</t>
  </si>
  <si>
    <t>3 BOOSTER PUMP</t>
  </si>
  <si>
    <t>INVLAWS-032339  1/11/23- 2/11/23</t>
  </si>
  <si>
    <t>DONE, STOP RENT</t>
  </si>
  <si>
    <t>DONE STOP RENT</t>
  </si>
  <si>
    <t>INVLAWS-032393  1/15/23 - 2/15/23</t>
  </si>
  <si>
    <t>PROJ011670</t>
  </si>
  <si>
    <t>WPI-CAD AZ LLC</t>
  </si>
  <si>
    <t>INVLAWS-032394  9/1/22 - 12/31/22</t>
  </si>
  <si>
    <t>INVLAWS-028540  8/1/22 - 8/31/22</t>
  </si>
  <si>
    <t>INVLAWS-032412  1/13/23 - 2/13/23</t>
  </si>
  <si>
    <t>INVLAWS-032414  1/9/23 - 2/9/23</t>
  </si>
  <si>
    <t>INVLAWS-032796  1/1/23 - 1/31/23</t>
  </si>
  <si>
    <t>INVLAWS-032797  1/21/23 - 2/21/23</t>
  </si>
  <si>
    <t>INVLAWS-032798  1/15/23 - 2/15/23</t>
  </si>
  <si>
    <t>INVLAWS-032105  12/1/22 - 12/30/22</t>
  </si>
  <si>
    <t>INVLAWS-032799  1/1/23 - 1/31/23</t>
  </si>
  <si>
    <t>INVLAWS-032800  1/1/23 - 1/31/23</t>
  </si>
  <si>
    <t>INVLAWS-032801  1/28/23 - 2/28/23</t>
  </si>
  <si>
    <t>INVLAWS-032802  1/1/23 - 1/31/23</t>
  </si>
  <si>
    <t>GENERATION FARMS</t>
  </si>
  <si>
    <t>2 - BOOSTER PUMPS</t>
  </si>
  <si>
    <t>AMARAL RANCH PARTNERSHIP</t>
  </si>
  <si>
    <t>PROJ014075</t>
  </si>
  <si>
    <t>MEGA BINDER</t>
  </si>
  <si>
    <t>INVLAWS-033293  2/1/232 - 2/28/23</t>
  </si>
  <si>
    <t>PROJ013868</t>
  </si>
  <si>
    <t>INVLAWS-032616  1/4/23 - 2/4/23 (PUMP1)</t>
  </si>
  <si>
    <t>INVLAWS-032955 1/30/23 - 2/6/23 (PUMP 2)</t>
  </si>
  <si>
    <t>INVLAWS-034050  2/13/23 - 3/13/23</t>
  </si>
  <si>
    <t>INVLAWS-034051  2/9/23 - 3/9/23</t>
  </si>
  <si>
    <t>INVLAWS-032795  1/20/23 - 2/20/2023</t>
  </si>
  <si>
    <t>INVLAWS-034053  2/11/23 - 3/11/23</t>
  </si>
  <si>
    <t>INVLAWS-034054  2/1/23 - 2/28/23</t>
  </si>
  <si>
    <t>INVLAWS-034055  2/21/23 - 3/21/23</t>
  </si>
  <si>
    <t>INVLAWS-034056 2/15/23 - 3/15/23</t>
  </si>
  <si>
    <t>INVLAWS-034058 2/15/23 - 3/15/23</t>
  </si>
  <si>
    <t>INVLAWS-034059  2/1/23 - 2/28/23</t>
  </si>
  <si>
    <t>INVLAWS-034060  2/1/23 - 2/28/23</t>
  </si>
  <si>
    <t>INVLAWS-034061  2/1/23 - 2/28/23</t>
  </si>
  <si>
    <t>CARLOS ECHEVERRIA</t>
  </si>
  <si>
    <t>PROJ012024</t>
  </si>
  <si>
    <t>RENTAL: LAGOONS</t>
  </si>
  <si>
    <t>INVLAWS-034101  2/1/23 - 2/28/23</t>
  </si>
  <si>
    <t>INVLAWS-034464  3/13/23 - 4/13/23</t>
  </si>
  <si>
    <t>INVLAWS-034052  2/20/23-3/20/2023</t>
  </si>
  <si>
    <t>INVLAWS-034467  3/9/23 - 4/9/23</t>
  </si>
  <si>
    <t>INVLAWS-034468  3/11/23 - 4/11/23</t>
  </si>
  <si>
    <t>INVLAWS-034469  3/1/23 - 3/31/23</t>
  </si>
  <si>
    <t>INVLAWS-034470  3/15/23 - 4/15/23</t>
  </si>
  <si>
    <t>INVLAWS-034471  3/15/23 - 4/15/23</t>
  </si>
  <si>
    <t>INVLAWS-034472  3/1/23 - 3/31/23</t>
  </si>
  <si>
    <t>INVLAWS-034474  3/1/23 - 3/31/23</t>
  </si>
  <si>
    <t>INVLAWS-034475  3/1/23 - 3/31/23</t>
  </si>
  <si>
    <t>INVLAWS-034656  3/1/23 - 3/31/23</t>
  </si>
  <si>
    <t>INVLAWS-034657  3/21/23 - 4/21/23</t>
  </si>
  <si>
    <t>PROJ014426</t>
  </si>
  <si>
    <t>FS</t>
  </si>
  <si>
    <t>INVLAWS-035420  7/28/22-9/28/22</t>
  </si>
  <si>
    <t>PROJ014382</t>
  </si>
  <si>
    <t>(OTC) - HIDDEN DESERT FARMS</t>
  </si>
  <si>
    <t>INVLAWS-035922 4/13/23 - 5/13/23</t>
  </si>
  <si>
    <t>INVLAWS-035923  4/9/23-5/9/23</t>
  </si>
  <si>
    <t>INVLAWS-035925  4/1/223-4/30/23</t>
  </si>
  <si>
    <t>INVLAWS-035926  4/21/23 - 5/21/23</t>
  </si>
  <si>
    <t>DONE RETURNED, BILL SERVICE</t>
  </si>
  <si>
    <t>J57 FARMS</t>
  </si>
  <si>
    <t>PROJ014702</t>
  </si>
  <si>
    <t>2 BP - KETTLEMAN RECHARGE PROJ</t>
  </si>
  <si>
    <t>INVLAWS-035595  4/6/23 - 5/6/23</t>
  </si>
  <si>
    <t xml:space="preserve">PROJ014925 </t>
  </si>
  <si>
    <t>INVLAWS-036275  4/1/23 - 4/30/23</t>
  </si>
  <si>
    <t>INVLAWS-036276  4/20/23 - 5/20/23</t>
  </si>
  <si>
    <t>INVLAWS-035174  3/22/23 - 4/22/23</t>
  </si>
  <si>
    <t>Was PROJ003933 TASTEFUL</t>
  </si>
  <si>
    <t>Was PROJ005057 TASTEFUL</t>
  </si>
  <si>
    <t>PROJ014949</t>
  </si>
  <si>
    <t>INVLAWS-036338  4/15/23 - 5/15/23</t>
  </si>
  <si>
    <t>INVLAWS-036341  4/15/23 - 5/15/23</t>
  </si>
  <si>
    <t>PROJ014950</t>
  </si>
  <si>
    <t>INVLAWS-036415  4/22/23 - 5/22/23</t>
  </si>
  <si>
    <t>INVLAWS-036659  4/1/23 - 4/30/23</t>
  </si>
  <si>
    <t>Was PROJ008819 TASTEFUL</t>
  </si>
  <si>
    <t>Was PROJ008414 TASTEFUL</t>
  </si>
  <si>
    <t>PROJ015060</t>
  </si>
  <si>
    <t>INVLAWS-034473  3/1/23 - 3/31/23</t>
  </si>
  <si>
    <t>INVLAWS-036660 4/1/23 - 4/30/23</t>
  </si>
  <si>
    <t>INVLAWS-035520  4/10/23 - 5/10/23</t>
  </si>
  <si>
    <t>WARREN AG</t>
  </si>
  <si>
    <t>PROJ015051</t>
  </si>
  <si>
    <t>CORCORAN BOOSTER PUMP</t>
  </si>
  <si>
    <t>INVLAWS-036639  4/29/23 - 5/29/23</t>
  </si>
  <si>
    <t>INVLAWS-034658  3/20/23 - 4/20/23 (credited off Tasteful and rebilled to Grimmway's project</t>
  </si>
  <si>
    <t>Was PROJ011741 TS</t>
  </si>
  <si>
    <t>PROJ014927</t>
  </si>
  <si>
    <t>INVLAWS-036903  3/20/2023 - 4/20/2023</t>
  </si>
  <si>
    <t>INVLAWS-036939  5/9/23 - 6/9/23</t>
  </si>
  <si>
    <t>INVLAWS-035924  4/11/23 - 5/11/23</t>
  </si>
  <si>
    <t>INVLAWS-036940  5/11/23 - 6/11/23</t>
  </si>
  <si>
    <t>INVLAWS-036941  5/1/23 - 5/31/23</t>
  </si>
  <si>
    <t>FILTER STATION RENTAL 2</t>
  </si>
  <si>
    <t>INVLAWS-034347  3/14/23 - 4/14/23</t>
  </si>
  <si>
    <t>INVLAWS-034390  4/14/23 - 5/14/23</t>
  </si>
  <si>
    <t>INVLAWS-036934  5/12/23 - 6/12/23</t>
  </si>
  <si>
    <t xml:space="preserve">4 TANK FS </t>
  </si>
  <si>
    <t>INVLAWS-034369  3/14/23 - 4/13/23</t>
  </si>
  <si>
    <t>INVLAWS-034391  4/14/23 - 5/13/23</t>
  </si>
  <si>
    <t>INVLAWS-036933  5/13/23 - 6/12/23</t>
  </si>
  <si>
    <t>INVLAWS-035522  5/11/23 - 6/11/23</t>
  </si>
  <si>
    <t>INVLAWS-036943  5/1/23 - 5/31/23</t>
  </si>
  <si>
    <t>INVLAWS-036944  5/1/23 - 5/31/23</t>
  </si>
  <si>
    <t>DONE, ARMANDO REQUESTED US TO PICKUP VIA EMAIL</t>
  </si>
  <si>
    <t>INVLAWS-036945  5/1/23 - 5/31/23</t>
  </si>
  <si>
    <t>INVLAWS-036946  5/6/23 - 6/6/23</t>
  </si>
  <si>
    <t>ADD ON - 8" FITTINGS</t>
  </si>
  <si>
    <t>INVLAWS-036975  5/3/23 - 6/3/23</t>
  </si>
  <si>
    <t xml:space="preserve">PROJ014940 </t>
  </si>
  <si>
    <t xml:space="preserve">BRIDGESTONE/PARKER </t>
  </si>
  <si>
    <t>DANIEL NOWLIN FARMS</t>
  </si>
  <si>
    <t>PROJ015429</t>
  </si>
  <si>
    <t xml:space="preserve">FILTER STATION - PUMP </t>
  </si>
  <si>
    <t>INVLAWS-037797  5/19/23 - 6/19/23</t>
  </si>
  <si>
    <t>INVLAWS-037810  5/13/23 - 6/13/23</t>
  </si>
  <si>
    <t>INVLAWS-037811  5/20/23 - 6/20/23</t>
  </si>
  <si>
    <t>INVLAWS-037814  5/21/23 - 6/21/23</t>
  </si>
  <si>
    <t>INVLAWS-036273  4/24/23 - 5/24/23</t>
  </si>
  <si>
    <t>INVLAWS-037815  5/24/23 - 6/24/23</t>
  </si>
  <si>
    <t>INVLAWS-037816  5/15/23 - 6/15/23</t>
  </si>
  <si>
    <t>INVLAWS-037817  5/15/23 - 6/15/23</t>
  </si>
  <si>
    <t>INVLAWS-037819  5/29/23 - 6/29/23</t>
  </si>
  <si>
    <t>CSS FARMS</t>
  </si>
  <si>
    <t>PROJ015464</t>
  </si>
  <si>
    <t>1 - BOOSTER PUMP</t>
  </si>
  <si>
    <t>INVLAWS-037942 5/22/23 - 6/22/23</t>
  </si>
  <si>
    <t>PROJ011035</t>
  </si>
  <si>
    <t>3 - 10" FILTERS</t>
  </si>
  <si>
    <t>INVLAWS-037944  5/22/23 - 6/22/23</t>
  </si>
  <si>
    <t>INVLAWS-038188  6/12/23 - 7/12/23</t>
  </si>
  <si>
    <t>DONE - PER JERRY, FS RETURNED 6/12</t>
  </si>
  <si>
    <t>INVLAWS-038359  6/6/23 - 7/6/23</t>
  </si>
  <si>
    <t>2 - 10" FILTERS</t>
  </si>
  <si>
    <t>INVLAWS-038470  6/15/23 - 7/15/23</t>
  </si>
  <si>
    <t>DONE, Per Jerry's email 6/22/23</t>
  </si>
  <si>
    <t>INVLAWS-038618  6/13/23 - 7/13/23</t>
  </si>
  <si>
    <t>INVLAWS-038639  6/19/23 - 7/19/23</t>
  </si>
  <si>
    <t>INVLAWS-038640  6/11/23 - 7/11/23</t>
  </si>
  <si>
    <t xml:space="preserve">INVLAWS-038642  6/22/23 - 7/22/23 </t>
  </si>
  <si>
    <t>INVLAWS-038643  6/21/23 - 7/21/23</t>
  </si>
  <si>
    <t>INVLAWS-038644  6/22/23 - 7/22/23</t>
  </si>
  <si>
    <t>INVLAWS-038645  6/22/23 - 7/22/23</t>
  </si>
  <si>
    <t>INVLAWS-038646  6/15/23 - 7/15/23</t>
  </si>
  <si>
    <t>INVLAWS-038648  6/15/23 - 7/15/23</t>
  </si>
  <si>
    <t>INVLAWS-038649  6/1/23 - 6/30/23</t>
  </si>
  <si>
    <t>INVLAWS-038650  6/1/23 - 6/30/23</t>
  </si>
  <si>
    <t>INVLAWS-038651  6/1/23 - 6/30/23</t>
  </si>
  <si>
    <t>INVLAWS-038652  6/3/23 - 7/3/23</t>
  </si>
  <si>
    <t xml:space="preserve">TARIN FARM LABOR </t>
  </si>
  <si>
    <t>PROJ015079</t>
  </si>
  <si>
    <t>4 TANK SAND MEDIA SKID FILTER W/ PUMP</t>
  </si>
  <si>
    <t>IN HOUSE</t>
  </si>
  <si>
    <t>INVLAWS-038662  6/1/23 - 6/30/23</t>
  </si>
  <si>
    <t>INVLAWS-0039047  5/22/23-6/22/23</t>
  </si>
  <si>
    <t>INVLAWS-039048  6/22/23-7/22/23</t>
  </si>
  <si>
    <t>INVLAWS-039050  6/24/23-7/24/23</t>
  </si>
  <si>
    <t>INVLAWS-039051  6/29/23 - 7/29/23</t>
  </si>
  <si>
    <t>DONE, PER JERRY'S EMAIL 7/13/23</t>
  </si>
  <si>
    <t>INVLAWS-039500  7/1/23 - 7/31/23</t>
  </si>
  <si>
    <t>INVLAWS-039501  7/1/23 - 7/31/23</t>
  </si>
  <si>
    <t>INVLAWS-039502  7/1/23 - 7/31/23</t>
  </si>
  <si>
    <t>INVLAWS-039503  7/1/23 - 7/31/23</t>
  </si>
  <si>
    <t>INVLAWS-039504  7/6/23 - 8/6/23</t>
  </si>
  <si>
    <t>INVLAWS-039505  7/3/23 - 8/3/23</t>
  </si>
  <si>
    <t>INVLAWS-039499  7/13/23 - 8/13/23</t>
  </si>
  <si>
    <t>JAY FARMS</t>
  </si>
  <si>
    <t>PAUL FARMS</t>
  </si>
  <si>
    <t>PROJ015592</t>
  </si>
  <si>
    <t>GLADSTONE LAND</t>
  </si>
  <si>
    <t>LAS POSAS GENERATOR</t>
  </si>
  <si>
    <t>PROJ015593</t>
  </si>
  <si>
    <t>INVLAWS-038915  5/1/23 - 6/30/23</t>
  </si>
  <si>
    <t>PROJ014960</t>
  </si>
  <si>
    <t>AZTEC PUMP RENTAL</t>
  </si>
  <si>
    <t>INVLAWS-037577  5/19/23 - 6/19/23</t>
  </si>
  <si>
    <t>INVLAWS-039765 6/19/23 - 7/19/23</t>
  </si>
  <si>
    <t>INVLAWS-039766  7/19/23 - 8/19/23</t>
  </si>
  <si>
    <t>INVLAWS-039767  7/15/23 - 8/15/23</t>
  </si>
  <si>
    <t>INVLAWS-039769  7/15/23 - 8/15/23</t>
  </si>
  <si>
    <t>INVLAWS-039055  5/1/23  6/30/23</t>
  </si>
  <si>
    <t>INVLAWS-039770  7/19/23 - 8/19/23</t>
  </si>
  <si>
    <t>Bill through 7/11/23-7/22/23 - Per Jerry's email 7/21/23</t>
  </si>
  <si>
    <t>INVLAWS-040366  7/24/23-8/24/23</t>
  </si>
  <si>
    <t>INVLAWS-040367  7/22/23 - 8/22/23</t>
  </si>
  <si>
    <t>INVLAWS-040368  7/22/23 - 8/22/23</t>
  </si>
  <si>
    <t>INVLAWS-040369  7/29/23 - 8/29/23</t>
  </si>
  <si>
    <t>INVLAWS-040371  7/22/23 - 8/22/23</t>
  </si>
  <si>
    <t>INVLAWS-040372  7/11/23-7/22/23</t>
  </si>
  <si>
    <t xml:space="preserve">DONE </t>
  </si>
  <si>
    <t>INVLAWS-040373  7/21/23 - 8/21/23</t>
  </si>
  <si>
    <t>TULE RIVER RANCH BOOSTER PUMP MONTH TO MONTH</t>
  </si>
  <si>
    <t>INVLAWS-040423  7/15/23-8/15/23</t>
  </si>
  <si>
    <t>INVLAWS-040424  7/1/23 - 7/31/23</t>
  </si>
  <si>
    <t>INVLAWS-040392  7/1/23 - 7/31/23</t>
  </si>
  <si>
    <t>HIDDEN DESERT</t>
  </si>
  <si>
    <t>PROJ016303</t>
  </si>
  <si>
    <t>4 TANK FS SKID - PHASE 2</t>
  </si>
  <si>
    <t>INVLAWS-040976  8/18/23 - 9/18/23</t>
  </si>
  <si>
    <t xml:space="preserve">3 TANK FS </t>
  </si>
  <si>
    <t>INVLAWS-040977  8/16/23 - 9/16/23</t>
  </si>
  <si>
    <t>INVLAWS-040978  8/1/23 - 8/31/23</t>
  </si>
  <si>
    <t>INVLAWS-040979  8/15/23 - 9/15/23</t>
  </si>
  <si>
    <t>INVLAWS-040980  8/1/23 - 8/31/23</t>
  </si>
  <si>
    <t>PROJ015062</t>
  </si>
  <si>
    <t>INVLAWS-040981  8/1/23 - 8/31/23</t>
  </si>
  <si>
    <t>INVLAWS-040982  8/1/23 - 8/31/23</t>
  </si>
  <si>
    <t>INVLAWS-040983  8/6/23 - 9/6/23</t>
  </si>
  <si>
    <t>INVLAWS-040984  8/3/23 - 9/3/23</t>
  </si>
  <si>
    <t>INVLAWS-040985  8/1/23 - 8/31/23</t>
  </si>
  <si>
    <t>GET WITH BRANDON - CONFIRM ADD OF FITTINGS</t>
  </si>
  <si>
    <t xml:space="preserve">BILL - wait for Sunbelt final bill. </t>
  </si>
  <si>
    <t>INVLAWS-041161  8/13/23 - 9/13/23</t>
  </si>
  <si>
    <t>INVLAWS-041162  8/22/23 - 9/22/23</t>
  </si>
  <si>
    <t>INVLAWS-041163  8/21/23-9/21/23</t>
  </si>
  <si>
    <t>INVLAWS-041164  8/24/23 - 9/24/23</t>
  </si>
  <si>
    <t>INVLAWS-041165  8/22/23 - 9/22/23</t>
  </si>
  <si>
    <t>INVLAWS-041166  8/22/23 - 9/22/23</t>
  </si>
  <si>
    <t>INVLAWS-041167  8/15/23 - 9/15/23</t>
  </si>
  <si>
    <t>INVLAWS-041168  8/19/23 - 9/19/23</t>
  </si>
  <si>
    <t>INVLAWS-041443  8/29/23 - 9/29/23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</si>
</sst>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"/>
    <numFmt numFmtId="165" formatCode="m/d/yy;@"/>
  </numFmts>
  <fonts count="15" x14ac:knownFonts="1">
    <font>
      <sz val="10"/>
      <name val="Arial"/>
    </font>
    <font>
      <b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color rgb="FF3E3E3E"/>
      <name val="Tahoma"/>
      <family val="2"/>
    </font>
    <font>
      <b/>
      <sz val="14"/>
      <color rgb="FF3E3E3E"/>
      <name val="Tahoma"/>
      <family val="2"/>
    </font>
    <font>
      <b/>
      <u val="singleAccounting"/>
      <sz val="10"/>
      <name val="Arial"/>
      <family val="2"/>
    </font>
    <font>
      <b/>
      <sz val="8"/>
      <name val="Arial"/>
      <family val="2"/>
    </font>
    <font>
      <b/>
      <i/>
      <u/>
      <sz val="8"/>
      <name val="Arial"/>
      <family val="2"/>
    </font>
    <font>
      <sz val="10"/>
      <color rgb="FFFF000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color rgb="FF9C0006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11" fillId="0" borderId="0" applyFont="0" applyFill="0" applyBorder="0" applyAlignment="0" applyProtection="0"/>
    <xf numFmtId="0" fontId="12" fillId="6" borderId="0" applyNumberFormat="0" applyBorder="0" applyAlignment="0" applyProtection="0"/>
  </cellStyleXfs>
  <cellXfs count="180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  <xf numFmtId="14" fontId="0" fillId="0" borderId="0" xfId="0" applyNumberFormat="1"/>
    <xf numFmtId="0" fontId="4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4" fontId="2" fillId="0" borderId="1" xfId="0" applyNumberFormat="1" applyFont="1" applyBorder="1"/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left"/>
    </xf>
    <xf numFmtId="0" fontId="5" fillId="0" borderId="1" xfId="0" applyFont="1" applyBorder="1"/>
    <xf numFmtId="0" fontId="0" fillId="2" borderId="1" xfId="0" applyFill="1" applyBorder="1"/>
    <xf numFmtId="164" fontId="2" fillId="0" borderId="1" xfId="0" applyNumberFormat="1" applyFont="1" applyBorder="1" applyAlignment="1">
      <alignment horizontal="left"/>
    </xf>
    <xf numFmtId="0" fontId="0" fillId="0" borderId="2" xfId="0" applyBorder="1"/>
    <xf numFmtId="0" fontId="0" fillId="0" borderId="1" xfId="0" applyBorder="1" applyAlignment="1">
      <alignment horizontal="right"/>
    </xf>
    <xf numFmtId="0" fontId="0" fillId="0" borderId="1" xfId="0" quotePrefix="1" applyBorder="1"/>
    <xf numFmtId="0" fontId="0" fillId="3" borderId="1" xfId="0" applyFill="1" applyBorder="1"/>
    <xf numFmtId="0" fontId="0" fillId="0" borderId="3" xfId="0" applyBorder="1"/>
    <xf numFmtId="0" fontId="0" fillId="0" borderId="4" xfId="0" applyBorder="1"/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/>
    <xf numFmtId="43" fontId="0" fillId="3" borderId="1" xfId="0" applyNumberFormat="1" applyFill="1" applyBorder="1"/>
    <xf numFmtId="0" fontId="2" fillId="0" borderId="1" xfId="0" applyFont="1" applyBorder="1" applyAlignment="1">
      <alignment horizontal="right"/>
    </xf>
    <xf numFmtId="14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/>
    <xf numFmtId="14" fontId="0" fillId="3" borderId="1" xfId="0" applyNumberFormat="1" applyFill="1" applyBorder="1"/>
    <xf numFmtId="0" fontId="2" fillId="3" borderId="1" xfId="0" applyFont="1" applyFill="1" applyBorder="1"/>
    <xf numFmtId="0" fontId="0" fillId="3" borderId="1" xfId="0" applyFill="1" applyBorder="1" applyAlignment="1">
      <alignment horizontal="right"/>
    </xf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3" fontId="6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43" fontId="3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left"/>
    </xf>
    <xf numFmtId="14" fontId="2" fillId="3" borderId="1" xfId="0" applyNumberFormat="1" applyFont="1" applyFill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0" fillId="3" borderId="0" xfId="0" applyFill="1"/>
    <xf numFmtId="0" fontId="2" fillId="0" borderId="1" xfId="0" applyFont="1" applyBorder="1" applyAlignment="1">
      <alignment wrapText="1"/>
    </xf>
    <xf numFmtId="43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14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/>
    <xf numFmtId="43" fontId="2" fillId="3" borderId="1" xfId="0" applyNumberFormat="1" applyFont="1" applyFill="1" applyBorder="1"/>
    <xf numFmtId="14" fontId="2" fillId="3" borderId="1" xfId="0" applyNumberFormat="1" applyFont="1" applyFill="1" applyBorder="1"/>
    <xf numFmtId="14" fontId="2" fillId="3" borderId="1" xfId="0" applyNumberFormat="1" applyFont="1" applyFill="1" applyBorder="1" applyAlignment="1">
      <alignment horizontal="center"/>
    </xf>
    <xf numFmtId="14" fontId="0" fillId="0" borderId="1" xfId="0" quotePrefix="1" applyNumberFormat="1" applyBorder="1"/>
    <xf numFmtId="0" fontId="1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right" wrapText="1"/>
    </xf>
    <xf numFmtId="3" fontId="0" fillId="0" borderId="1" xfId="0" applyNumberFormat="1" applyBorder="1"/>
    <xf numFmtId="3" fontId="3" fillId="0" borderId="1" xfId="0" applyNumberFormat="1" applyFont="1" applyBorder="1"/>
    <xf numFmtId="4" fontId="3" fillId="0" borderId="1" xfId="0" applyNumberFormat="1" applyFont="1" applyBorder="1"/>
    <xf numFmtId="0" fontId="3" fillId="4" borderId="1" xfId="0" applyFont="1" applyFill="1" applyBorder="1" applyAlignment="1">
      <alignment horizontal="right"/>
    </xf>
    <xf numFmtId="4" fontId="3" fillId="4" borderId="1" xfId="0" applyNumberFormat="1" applyFont="1" applyFill="1" applyBorder="1"/>
    <xf numFmtId="0" fontId="0" fillId="4" borderId="1" xfId="0" applyFill="1" applyBorder="1"/>
    <xf numFmtId="0" fontId="0" fillId="4" borderId="3" xfId="0" applyFill="1" applyBorder="1"/>
    <xf numFmtId="0" fontId="0" fillId="4" borderId="5" xfId="0" applyFill="1" applyBorder="1"/>
    <xf numFmtId="0" fontId="0" fillId="4" borderId="4" xfId="0" applyFill="1" applyBorder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2" fontId="0" fillId="0" borderId="1" xfId="0" applyNumberFormat="1" applyBorder="1"/>
    <xf numFmtId="2" fontId="1" fillId="0" borderId="1" xfId="0" applyNumberFormat="1" applyFont="1" applyBorder="1" applyAlignment="1">
      <alignment horizontal="center"/>
    </xf>
    <xf numFmtId="2" fontId="2" fillId="0" borderId="1" xfId="0" applyNumberFormat="1" applyFont="1" applyBorder="1"/>
    <xf numFmtId="2" fontId="2" fillId="3" borderId="1" xfId="0" applyNumberFormat="1" applyFont="1" applyFill="1" applyBorder="1"/>
    <xf numFmtId="2" fontId="0" fillId="3" borderId="1" xfId="0" applyNumberFormat="1" applyFill="1" applyBorder="1"/>
    <xf numFmtId="2" fontId="0" fillId="0" borderId="0" xfId="0" applyNumberFormat="1"/>
    <xf numFmtId="2" fontId="2" fillId="0" borderId="1" xfId="0" applyNumberFormat="1" applyFont="1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17" fontId="0" fillId="0" borderId="1" xfId="0" applyNumberFormat="1" applyBorder="1"/>
    <xf numFmtId="0" fontId="4" fillId="0" borderId="1" xfId="0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wrapText="1"/>
    </xf>
    <xf numFmtId="43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/>
    <xf numFmtId="14" fontId="2" fillId="0" borderId="1" xfId="0" applyNumberFormat="1" applyFont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2" fontId="0" fillId="5" borderId="1" xfId="0" applyNumberFormat="1" applyFill="1" applyBorder="1"/>
    <xf numFmtId="14" fontId="0" fillId="5" borderId="1" xfId="0" applyNumberFormat="1" applyFill="1" applyBorder="1"/>
    <xf numFmtId="0" fontId="0" fillId="5" borderId="0" xfId="0" applyFill="1"/>
    <xf numFmtId="43" fontId="0" fillId="0" borderId="1" xfId="0" applyNumberFormat="1" applyBorder="1"/>
    <xf numFmtId="0" fontId="3" fillId="0" borderId="1" xfId="0" applyFont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2" fillId="0" borderId="1" xfId="0" quotePrefix="1" applyFont="1" applyBorder="1" applyAlignment="1">
      <alignment horizontal="right"/>
    </xf>
    <xf numFmtId="17" fontId="0" fillId="3" borderId="1" xfId="0" applyNumberFormat="1" applyFill="1" applyBorder="1"/>
    <xf numFmtId="165" fontId="0" fillId="0" borderId="1" xfId="0" applyNumberFormat="1" applyBorder="1"/>
    <xf numFmtId="0" fontId="2" fillId="0" borderId="0" xfId="1"/>
    <xf numFmtId="0" fontId="2" fillId="0" borderId="1" xfId="1" applyBorder="1"/>
    <xf numFmtId="14" fontId="2" fillId="0" borderId="1" xfId="1" applyNumberFormat="1" applyBorder="1"/>
    <xf numFmtId="0" fontId="2" fillId="3" borderId="1" xfId="1" applyFill="1" applyBorder="1"/>
    <xf numFmtId="14" fontId="2" fillId="3" borderId="1" xfId="1" applyNumberFormat="1" applyFill="1" applyBorder="1"/>
    <xf numFmtId="164" fontId="2" fillId="3" borderId="1" xfId="1" applyNumberFormat="1" applyFill="1" applyBorder="1"/>
    <xf numFmtId="164" fontId="2" fillId="0" borderId="1" xfId="1" applyNumberFormat="1" applyBorder="1"/>
    <xf numFmtId="0" fontId="2" fillId="0" borderId="1" xfId="1" applyBorder="1" applyAlignment="1">
      <alignment horizontal="right"/>
    </xf>
    <xf numFmtId="0" fontId="3" fillId="0" borderId="0" xfId="1" applyFont="1"/>
    <xf numFmtId="0" fontId="1" fillId="0" borderId="1" xfId="1" applyFont="1" applyBorder="1"/>
    <xf numFmtId="0" fontId="1" fillId="0" borderId="1" xfId="1" applyFont="1" applyBorder="1" applyAlignment="1">
      <alignment horizontal="center"/>
    </xf>
    <xf numFmtId="43" fontId="6" fillId="0" borderId="1" xfId="1" applyNumberFormat="1" applyFont="1" applyBorder="1" applyAlignment="1">
      <alignment horizontal="center"/>
    </xf>
    <xf numFmtId="164" fontId="1" fillId="0" borderId="1" xfId="1" applyNumberFormat="1" applyFont="1" applyBorder="1" applyAlignment="1">
      <alignment horizontal="center"/>
    </xf>
    <xf numFmtId="0" fontId="2" fillId="3" borderId="1" xfId="1" applyFill="1" applyBorder="1" applyAlignment="1">
      <alignment horizontal="right"/>
    </xf>
    <xf numFmtId="0" fontId="4" fillId="0" borderId="1" xfId="1" applyFont="1" applyBorder="1"/>
    <xf numFmtId="0" fontId="0" fillId="2" borderId="1" xfId="0" applyFill="1" applyBorder="1" applyAlignment="1">
      <alignment horizontal="right"/>
    </xf>
    <xf numFmtId="0" fontId="2" fillId="0" borderId="1" xfId="1" applyBorder="1" applyAlignment="1">
      <alignment horizontal="left"/>
    </xf>
    <xf numFmtId="2" fontId="2" fillId="0" borderId="0" xfId="1" applyNumberFormat="1"/>
    <xf numFmtId="2" fontId="2" fillId="0" borderId="1" xfId="1" applyNumberFormat="1" applyBorder="1"/>
    <xf numFmtId="2" fontId="2" fillId="3" borderId="1" xfId="1" applyNumberFormat="1" applyFill="1" applyBorder="1"/>
    <xf numFmtId="2" fontId="1" fillId="0" borderId="1" xfId="1" applyNumberFormat="1" applyFont="1" applyBorder="1" applyAlignment="1">
      <alignment horizontal="center"/>
    </xf>
    <xf numFmtId="164" fontId="2" fillId="0" borderId="1" xfId="1" applyNumberFormat="1" applyBorder="1" applyAlignment="1">
      <alignment horizontal="left"/>
    </xf>
    <xf numFmtId="0" fontId="2" fillId="0" borderId="1" xfId="1" applyBorder="1" applyAlignment="1">
      <alignment horizontal="center" wrapText="1"/>
    </xf>
    <xf numFmtId="0" fontId="10" fillId="0" borderId="0" xfId="0" applyFont="1"/>
    <xf numFmtId="0" fontId="10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3" fontId="10" fillId="0" borderId="0" xfId="0" applyNumberFormat="1" applyFont="1"/>
    <xf numFmtId="0" fontId="3" fillId="0" borderId="11" xfId="0" applyFont="1" applyBorder="1"/>
    <xf numFmtId="0" fontId="3" fillId="0" borderId="12" xfId="0" applyFont="1" applyBorder="1"/>
    <xf numFmtId="0" fontId="0" fillId="0" borderId="13" xfId="0" applyBorder="1"/>
    <xf numFmtId="0" fontId="0" fillId="0" borderId="14" xfId="0" applyBorder="1"/>
    <xf numFmtId="0" fontId="3" fillId="0" borderId="15" xfId="0" applyFont="1" applyBorder="1"/>
    <xf numFmtId="3" fontId="3" fillId="0" borderId="0" xfId="0" applyNumberFormat="1" applyFont="1"/>
    <xf numFmtId="0" fontId="0" fillId="3" borderId="11" xfId="0" applyFill="1" applyBorder="1"/>
    <xf numFmtId="0" fontId="2" fillId="0" borderId="0" xfId="0" applyFont="1" applyAlignment="1">
      <alignment horizontal="right" wrapText="1"/>
    </xf>
    <xf numFmtId="2" fontId="0" fillId="3" borderId="1" xfId="0" applyNumberFormat="1" applyFill="1" applyBorder="1" applyAlignment="1">
      <alignment horizontal="right"/>
    </xf>
    <xf numFmtId="14" fontId="0" fillId="3" borderId="1" xfId="0" applyNumberForma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43" fontId="2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43" fontId="2" fillId="0" borderId="1" xfId="0" applyNumberFormat="1" applyFont="1" applyBorder="1"/>
    <xf numFmtId="14" fontId="0" fillId="0" borderId="1" xfId="0" applyNumberFormat="1" applyBorder="1" applyAlignment="1">
      <alignment horizontal="left"/>
    </xf>
    <xf numFmtId="0" fontId="0" fillId="4" borderId="0" xfId="0" applyFill="1"/>
    <xf numFmtId="43" fontId="0" fillId="0" borderId="0" xfId="2" applyFont="1"/>
    <xf numFmtId="0" fontId="3" fillId="0" borderId="1" xfId="0" applyFont="1" applyBorder="1" applyAlignment="1">
      <alignment horizontal="center"/>
    </xf>
    <xf numFmtId="0" fontId="12" fillId="0" borderId="0" xfId="3" applyFill="1"/>
    <xf numFmtId="0" fontId="2" fillId="7" borderId="0" xfId="0" applyFont="1" applyFill="1"/>
    <xf numFmtId="0" fontId="0" fillId="8" borderId="0" xfId="0" applyFill="1"/>
    <xf numFmtId="0" fontId="2" fillId="8" borderId="0" xfId="0" applyFont="1" applyFill="1"/>
    <xf numFmtId="0" fontId="2" fillId="5" borderId="0" xfId="0" applyFont="1" applyFill="1"/>
    <xf numFmtId="0" fontId="0" fillId="9" borderId="0" xfId="0" applyFill="1"/>
    <xf numFmtId="0" fontId="0" fillId="10" borderId="0" xfId="0" applyFill="1"/>
    <xf numFmtId="0" fontId="2" fillId="3" borderId="1" xfId="0" applyFont="1" applyFill="1" applyBorder="1" applyAlignment="1">
      <alignment horizontal="left" wrapText="1"/>
    </xf>
    <xf numFmtId="0" fontId="1" fillId="3" borderId="1" xfId="0" applyFont="1" applyFill="1" applyBorder="1"/>
    <xf numFmtId="1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/>
    <xf numFmtId="0" fontId="1" fillId="0" borderId="1" xfId="0" applyFont="1" applyBorder="1" applyAlignment="1">
      <alignment horizontal="center" wrapText="1"/>
    </xf>
    <xf numFmtId="0" fontId="1" fillId="0" borderId="1" xfId="1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7" fillId="0" borderId="3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</cellXfs>
  <cellStyles count="4">
    <cellStyle name="Bad" xfId="3" builtinId="27"/>
    <cellStyle name="Comma" xfId="2" builtinId="3"/>
    <cellStyle name="Normal" xfId="0" builtinId="0"/>
    <cellStyle name="Normal 2" xfId="1" xr:uid="{CD1B39AA-C933-41B0-A456-3715DE849D67}"/>
  </cellStyles>
  <dxfs count="0"/>
  <tableStyles count="0" defaultTableStyle="TableStyleMedium9" defaultPivotStyle="PivotStyleLight16"/>
  <colors>
    <mruColors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ustomXml" Target="../customXml/item2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haredStrings" Target="sharedStrings.xml"/><Relationship Id="rId85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theme" Target="theme/theme1.xml"/><Relationship Id="rId8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a Mora - Laurel Ag &amp; Water" id="{7BA82F38-B3C0-49F7-A7F3-D310E572B185}" userId="S::amora@laurel-ag.com::413b6e54-377d-46be-840b-fea107497a31" providerId="AD"/>
  <person displayName="Kirby Conway - Laurel Ag &amp; Water" id="{A72D0DAF-7948-4598-B37F-7DC89A231823}" userId="S::kconway@laurel-ag.com::e2ecf4a5-f085-4b80-84e3-0cade2d475b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5" dT="2021-09-30T17:35:29.26" personId="{7BA82F38-B3C0-49F7-A7F3-D310E572B185}" id="{54EFD12B-2EC7-4F9E-83FB-BB33D62659A0}">
    <text>INVOICE 1 MORE MONTH</text>
  </threadedComment>
  <threadedComment ref="G7" dT="2021-06-23T15:17:33.10" personId="{7BA82F38-B3C0-49F7-A7F3-D310E572B185}" id="{C0FDEEA4-C46F-4BC5-A39A-F57074F51325}">
    <text>STOPPED RENT</text>
  </threadedComment>
  <threadedComment ref="H14" dT="2021-07-01T15:30:29.38" personId="{7BA82F38-B3C0-49F7-A7F3-D310E572B185}" id="{3F3C2401-875D-450E-8A23-031425360B7D}">
    <text>STOPPED RENT</text>
  </threadedComment>
  <threadedComment ref="F32" dT="2022-11-22T01:28:01.01" personId="{A72D0DAF-7948-4598-B37F-7DC89A231823}" id="{15566CE7-2728-49E2-A402-78F499E646F8}">
    <text>CREDITED FROM CUSTOMER ACCOUNT, PER TONY &amp; JERRY EMAIL</text>
  </threadedComment>
  <threadedComment ref="I46" dT="2021-08-31T18:01:44.24" personId="{7BA82F38-B3C0-49F7-A7F3-D310E572B185}" id="{699925C4-9D26-4B42-9BA5-033E6DA00C42}">
    <text>SEPTEMBER ADD ONS - FROM MATTS EMAIL ON 8/30</text>
  </threadedComment>
  <threadedComment ref="Q46" dT="2022-06-21T22:57:29.24" personId="{A72D0DAF-7948-4598-B37F-7DC89A231823}" id="{0FF916E8-9E6D-47EE-B731-C9AB9538E7E6}">
    <text>REMOVED ITEMS FROM EMAIL 5/28/22</text>
  </threadedComment>
  <threadedComment ref="H68" dT="2021-07-15T18:09:21.37" personId="{7BA82F38-B3C0-49F7-A7F3-D310E572B185}" id="{024C8B63-E0E2-4F53-B09B-EAC93CF807D5}">
    <text>DELETED.</text>
  </threadedComment>
  <threadedComment ref="G76" dT="2023-03-04T00:38:57.12" personId="{A72D0DAF-7948-4598-B37F-7DC89A231823}" id="{FEF7D121-77C9-45A1-A82F-8FACB87383CA}">
    <text>DID REBILL. THESE 2 PUMPS ARE RETURNED, PER TONY. PHONE CONVERSATION AT 4:30PM 3/36/23</text>
  </threadedComment>
  <threadedComment ref="F77" dT="2023-03-04T00:40:22.38" personId="{A72D0DAF-7948-4598-B37F-7DC89A231823}" id="{60690AF5-327C-41FD-86C9-7AFA185B20CF}">
    <text>Credit off per Tony &amp; Matt. Went to Braga</text>
  </threadedComment>
  <threadedComment ref="G87" dT="2021-07-22T18:05:56.94" personId="{7BA82F38-B3C0-49F7-A7F3-D310E572B185}" id="{CACB629A-5225-4ED7-AD02-E373A035E536}">
    <text>BILLED FOR 1 MORE MONTH 7/17 - 8/17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5.bin"/><Relationship Id="rId4" Type="http://schemas.microsoft.com/office/2017/10/relationships/threadedComment" Target="../threadedComments/threadedComment1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11C49-29DE-4AF7-BC69-180EF06B11A5}">
  <sheetPr>
    <tabColor theme="0" tint="-0.34998626667073579"/>
    <pageSetUpPr fitToPage="1"/>
  </sheetPr>
  <dimension ref="A1:J22"/>
  <sheetViews>
    <sheetView zoomScaleNormal="100" workbookViewId="0"/>
  </sheetViews>
  <sheetFormatPr defaultRowHeight="12.75" x14ac:dyDescent="0.2"/>
  <cols>
    <col min="1" max="1" width="18.140625" customWidth="1"/>
    <col min="2" max="2" width="17.85546875" bestFit="1" customWidth="1"/>
    <col min="3" max="3" width="6.5703125" customWidth="1"/>
    <col min="4" max="4" width="22.140625" customWidth="1"/>
    <col min="5" max="5" width="12.5703125" customWidth="1"/>
    <col min="6" max="6" width="10.28515625" customWidth="1"/>
    <col min="7" max="7" width="10.85546875" customWidth="1"/>
    <col min="8" max="8" width="10.42578125" customWidth="1"/>
    <col min="9" max="9" width="13" customWidth="1"/>
    <col min="10" max="10" width="9.85546875" customWidth="1"/>
  </cols>
  <sheetData>
    <row r="1" spans="1:10" ht="15" x14ac:dyDescent="0.2">
      <c r="A1" s="5" t="str">
        <f ca="1">MID(CELL("filename",$A$1),FIND("]",CELL("filename",$A$1),1)+1,1024)</f>
        <v>ACMII CA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customHeight="1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/>
      <c r="B5" s="6"/>
      <c r="C5" s="6"/>
      <c r="D5" s="6"/>
      <c r="E5" s="10"/>
      <c r="F5" s="10"/>
      <c r="G5" s="6"/>
      <c r="H5" s="6"/>
      <c r="I5" s="6"/>
      <c r="J5" s="6"/>
    </row>
    <row r="6" spans="1:10" x14ac:dyDescent="0.2">
      <c r="A6" s="6"/>
      <c r="B6" s="6"/>
      <c r="C6" s="6"/>
      <c r="D6" s="6"/>
      <c r="E6" s="10"/>
      <c r="F6" s="10"/>
      <c r="G6" s="6"/>
      <c r="H6" s="6"/>
      <c r="I6" s="6"/>
      <c r="J6" s="6"/>
    </row>
    <row r="7" spans="1:10" x14ac:dyDescent="0.2">
      <c r="A7" s="6"/>
      <c r="B7" s="6"/>
      <c r="C7" s="6"/>
      <c r="D7" s="6"/>
      <c r="E7" s="10"/>
      <c r="F7" s="10"/>
      <c r="G7" s="6"/>
      <c r="H7" s="6"/>
      <c r="I7" s="6"/>
      <c r="J7" s="12"/>
    </row>
    <row r="8" spans="1:10" x14ac:dyDescent="0.2">
      <c r="A8" s="6"/>
      <c r="B8" s="6"/>
      <c r="C8" s="6"/>
      <c r="D8" s="6"/>
      <c r="E8" s="10"/>
      <c r="F8" s="10"/>
      <c r="G8" s="6"/>
      <c r="H8" s="6"/>
      <c r="I8" s="6"/>
      <c r="J8" s="6"/>
    </row>
    <row r="9" spans="1:10" x14ac:dyDescent="0.2">
      <c r="A9" s="6"/>
      <c r="B9" s="6"/>
      <c r="C9" s="6"/>
      <c r="D9" s="6"/>
      <c r="E9" s="10"/>
      <c r="F9" s="10"/>
      <c r="G9" s="6"/>
      <c r="H9" s="6"/>
      <c r="I9" s="6"/>
      <c r="J9" s="6"/>
    </row>
    <row r="10" spans="1:10" x14ac:dyDescent="0.2">
      <c r="A10" s="6"/>
      <c r="B10" s="6"/>
      <c r="C10" s="6"/>
      <c r="D10" s="6"/>
      <c r="E10" s="10"/>
      <c r="F10" s="10"/>
      <c r="G10" s="6"/>
      <c r="H10" s="6"/>
      <c r="I10" s="6"/>
      <c r="J10" s="6"/>
    </row>
    <row r="11" spans="1:10" x14ac:dyDescent="0.2">
      <c r="A11" s="6"/>
      <c r="B11" s="6"/>
      <c r="C11" s="6"/>
      <c r="D11" s="6"/>
      <c r="E11" s="10"/>
      <c r="F11" s="10"/>
      <c r="G11" s="6"/>
      <c r="H11" s="6"/>
      <c r="I11" s="6"/>
      <c r="J11" s="6"/>
    </row>
    <row r="12" spans="1:10" x14ac:dyDescent="0.2">
      <c r="A12" s="6"/>
      <c r="B12" s="6"/>
      <c r="C12" s="6"/>
      <c r="D12" s="6"/>
      <c r="E12" s="10"/>
      <c r="F12" s="10"/>
      <c r="G12" s="6"/>
      <c r="H12" s="6"/>
      <c r="I12" s="6"/>
      <c r="J12" s="6"/>
    </row>
    <row r="13" spans="1:10" x14ac:dyDescent="0.2">
      <c r="A13" s="6"/>
      <c r="B13" s="6"/>
      <c r="C13" s="6"/>
      <c r="D13" s="6"/>
      <c r="E13" s="10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6"/>
      <c r="E14" s="10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10"/>
      <c r="F15" s="10"/>
      <c r="G15" s="6"/>
      <c r="H15" s="6"/>
      <c r="I15" s="6"/>
      <c r="J15" s="6"/>
    </row>
    <row r="16" spans="1:10" x14ac:dyDescent="0.2">
      <c r="A16" s="6"/>
      <c r="B16" s="6"/>
      <c r="C16" s="6"/>
      <c r="D16" s="6"/>
      <c r="E16" s="10"/>
      <c r="F16" s="10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10"/>
      <c r="F19" s="10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6"/>
      <c r="F22" s="6"/>
      <c r="G22" s="6"/>
      <c r="H22" s="6"/>
      <c r="I22" s="6"/>
      <c r="J22" s="6"/>
    </row>
  </sheetData>
  <mergeCells count="1">
    <mergeCell ref="I3:I4"/>
  </mergeCells>
  <pageMargins left="0.7" right="0.7" top="0.75" bottom="0.75" header="0.3" footer="0.3"/>
  <pageSetup scale="88" fitToHeight="6" orientation="landscape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2E68-412D-43E6-9F65-E4C54DED0C41}">
  <sheetPr>
    <tabColor theme="0" tint="-0.34998626667073579"/>
    <pageSetUpPr fitToPage="1"/>
  </sheetPr>
  <dimension ref="A1:J22"/>
  <sheetViews>
    <sheetView zoomScaleNormal="100" workbookViewId="0"/>
  </sheetViews>
  <sheetFormatPr defaultRowHeight="12.75" x14ac:dyDescent="0.2"/>
  <cols>
    <col min="1" max="1" width="18.140625" customWidth="1"/>
    <col min="2" max="2" width="17.85546875" bestFit="1" customWidth="1"/>
    <col min="3" max="3" width="6.5703125" customWidth="1"/>
    <col min="4" max="4" width="22.140625" customWidth="1"/>
    <col min="5" max="5" width="12.5703125" customWidth="1"/>
    <col min="6" max="6" width="10.28515625" customWidth="1"/>
    <col min="7" max="7" width="10.85546875" customWidth="1"/>
    <col min="8" max="8" width="10.42578125" customWidth="1"/>
    <col min="9" max="9" width="13" customWidth="1"/>
    <col min="10" max="10" width="12.85546875" customWidth="1"/>
  </cols>
  <sheetData>
    <row r="1" spans="1:10" ht="15" x14ac:dyDescent="0.2">
      <c r="A1" s="5" t="str">
        <f ca="1">MID(CELL("filename",$A$1),FIND("]",CELL("filename",$A$1),1)+1,1024)</f>
        <v>ALLIED POTATO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customHeight="1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878</v>
      </c>
      <c r="B5" s="8" t="s">
        <v>892</v>
      </c>
      <c r="C5" s="6">
        <v>1</v>
      </c>
      <c r="D5" s="6" t="s">
        <v>879</v>
      </c>
      <c r="E5" s="10">
        <v>44351</v>
      </c>
      <c r="F5" s="10">
        <v>44381</v>
      </c>
      <c r="G5" s="6"/>
      <c r="H5" s="6"/>
      <c r="I5" s="6"/>
      <c r="J5" s="6" t="s">
        <v>880</v>
      </c>
    </row>
    <row r="6" spans="1:10" x14ac:dyDescent="0.2">
      <c r="A6" s="6"/>
      <c r="B6" s="6"/>
      <c r="C6" s="6"/>
      <c r="D6" s="6"/>
      <c r="E6" s="10"/>
      <c r="F6" s="10"/>
      <c r="G6" s="6"/>
      <c r="H6" s="6"/>
      <c r="I6" s="6"/>
      <c r="J6" s="6"/>
    </row>
    <row r="7" spans="1:10" x14ac:dyDescent="0.2">
      <c r="A7" s="6"/>
      <c r="B7" s="6"/>
      <c r="C7" s="6"/>
      <c r="D7" s="6"/>
      <c r="E7" s="10"/>
      <c r="F7" s="10"/>
      <c r="G7" s="6"/>
      <c r="H7" s="6"/>
      <c r="I7" s="6"/>
      <c r="J7" s="12"/>
    </row>
    <row r="8" spans="1:10" x14ac:dyDescent="0.2">
      <c r="A8" s="6"/>
      <c r="B8" s="6"/>
      <c r="C8" s="6"/>
      <c r="D8" s="6"/>
      <c r="E8" s="10"/>
      <c r="F8" s="10"/>
      <c r="G8" s="6"/>
      <c r="H8" s="6"/>
      <c r="I8" s="6"/>
      <c r="J8" s="6"/>
    </row>
    <row r="9" spans="1:10" x14ac:dyDescent="0.2">
      <c r="A9" s="6"/>
      <c r="B9" s="6"/>
      <c r="C9" s="6"/>
      <c r="D9" s="6"/>
      <c r="E9" s="10"/>
      <c r="F9" s="10"/>
      <c r="G9" s="6"/>
      <c r="H9" s="6"/>
      <c r="I9" s="6"/>
      <c r="J9" s="6"/>
    </row>
    <row r="10" spans="1:10" x14ac:dyDescent="0.2">
      <c r="A10" s="6"/>
      <c r="B10" s="6"/>
      <c r="C10" s="6"/>
      <c r="D10" s="6"/>
      <c r="E10" s="10"/>
      <c r="F10" s="10"/>
      <c r="G10" s="6"/>
      <c r="H10" s="6"/>
      <c r="I10" s="6"/>
      <c r="J10" s="6"/>
    </row>
    <row r="11" spans="1:10" x14ac:dyDescent="0.2">
      <c r="A11" s="6"/>
      <c r="B11" s="6"/>
      <c r="C11" s="6"/>
      <c r="D11" s="6"/>
      <c r="E11" s="10"/>
      <c r="F11" s="10"/>
      <c r="G11" s="6"/>
      <c r="H11" s="6"/>
      <c r="I11" s="6"/>
      <c r="J11" s="6"/>
    </row>
    <row r="12" spans="1:10" x14ac:dyDescent="0.2">
      <c r="A12" s="6"/>
      <c r="B12" s="6"/>
      <c r="C12" s="6"/>
      <c r="D12" s="6"/>
      <c r="E12" s="10"/>
      <c r="F12" s="10"/>
      <c r="G12" s="6"/>
      <c r="H12" s="6"/>
      <c r="I12" s="6"/>
      <c r="J12" s="6"/>
    </row>
    <row r="13" spans="1:10" x14ac:dyDescent="0.2">
      <c r="A13" s="6"/>
      <c r="B13" s="6"/>
      <c r="C13" s="6"/>
      <c r="D13" s="6"/>
      <c r="E13" s="10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6"/>
      <c r="E14" s="10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10"/>
      <c r="F15" s="10"/>
      <c r="G15" s="6"/>
      <c r="H15" s="6"/>
      <c r="I15" s="6"/>
      <c r="J15" s="6"/>
    </row>
    <row r="16" spans="1:10" x14ac:dyDescent="0.2">
      <c r="A16" s="6"/>
      <c r="B16" s="6"/>
      <c r="C16" s="6"/>
      <c r="D16" s="6"/>
      <c r="E16" s="10"/>
      <c r="F16" s="10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10"/>
      <c r="F19" s="10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6"/>
      <c r="F22" s="6"/>
      <c r="G22" s="6"/>
      <c r="H22" s="6"/>
      <c r="I22" s="6"/>
      <c r="J22" s="6"/>
    </row>
  </sheetData>
  <mergeCells count="1">
    <mergeCell ref="I3:I4"/>
  </mergeCells>
  <pageMargins left="0.7" right="0.7" top="0.75" bottom="0.75" header="0.3" footer="0.3"/>
  <pageSetup scale="92" fitToHeight="6" orientation="landscape" horizontalDpi="300" r:id="rId1"/>
  <headerFooter>
    <oddFooter>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770F6-5AD8-466B-A9BA-7CADDB12DE7F}">
  <sheetPr>
    <tabColor theme="0" tint="-0.34998626667073579"/>
  </sheetPr>
  <dimension ref="A1:H35"/>
  <sheetViews>
    <sheetView workbookViewId="0"/>
  </sheetViews>
  <sheetFormatPr defaultRowHeight="12.75" x14ac:dyDescent="0.2"/>
  <cols>
    <col min="1" max="1" width="10.7109375" customWidth="1"/>
    <col min="7" max="7" width="18" customWidth="1"/>
    <col min="8" max="8" width="15" customWidth="1"/>
  </cols>
  <sheetData>
    <row r="1" spans="1:8" x14ac:dyDescent="0.2">
      <c r="A1" s="152" t="s">
        <v>885</v>
      </c>
      <c r="B1" s="152" t="s">
        <v>886</v>
      </c>
      <c r="C1" s="152" t="s">
        <v>887</v>
      </c>
      <c r="D1" s="152" t="s">
        <v>882</v>
      </c>
      <c r="E1" s="152" t="s">
        <v>883</v>
      </c>
      <c r="F1" s="152" t="s">
        <v>884</v>
      </c>
      <c r="G1" s="152" t="s">
        <v>888</v>
      </c>
      <c r="H1" s="152" t="s">
        <v>890</v>
      </c>
    </row>
    <row r="2" spans="1:8" x14ac:dyDescent="0.2">
      <c r="A2" t="s">
        <v>881</v>
      </c>
      <c r="B2" s="4">
        <v>44350</v>
      </c>
      <c r="C2" s="4">
        <v>44533</v>
      </c>
      <c r="D2" s="151">
        <v>1155</v>
      </c>
      <c r="E2">
        <v>31.78</v>
      </c>
      <c r="F2" s="151">
        <v>1186.78</v>
      </c>
      <c r="G2" s="1" t="s">
        <v>889</v>
      </c>
      <c r="H2" s="1" t="s">
        <v>891</v>
      </c>
    </row>
    <row r="35" spans="8:8" ht="15" x14ac:dyDescent="0.25">
      <c r="H35" s="153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0" tint="-0.34998626667073579"/>
    <pageSetUpPr fitToPage="1"/>
  </sheetPr>
  <dimension ref="A1:J22"/>
  <sheetViews>
    <sheetView zoomScaleNormal="100" workbookViewId="0"/>
  </sheetViews>
  <sheetFormatPr defaultRowHeight="12.75" x14ac:dyDescent="0.2"/>
  <cols>
    <col min="1" max="1" width="14.42578125" customWidth="1"/>
    <col min="2" max="2" width="17.85546875" bestFit="1" customWidth="1"/>
    <col min="3" max="3" width="6.5703125" customWidth="1"/>
    <col min="4" max="4" width="22.140625" customWidth="1"/>
    <col min="5" max="5" width="12.5703125" customWidth="1"/>
    <col min="6" max="6" width="10.28515625" customWidth="1"/>
    <col min="7" max="7" width="10.85546875" customWidth="1"/>
    <col min="8" max="8" width="10.42578125" customWidth="1"/>
    <col min="9" max="9" width="13" customWidth="1"/>
    <col min="10" max="10" width="9.85546875" customWidth="1"/>
  </cols>
  <sheetData>
    <row r="1" spans="1:10" ht="15" x14ac:dyDescent="0.2">
      <c r="A1" s="5" t="str">
        <f ca="1">MID(CELL("filename",$A$1),FIND("]",CELL("filename",$A$1),1)+1,1024)</f>
        <v>Howard Albano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customHeight="1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128</v>
      </c>
      <c r="B5" s="8" t="s">
        <v>638</v>
      </c>
      <c r="C5" s="6">
        <v>1313</v>
      </c>
      <c r="D5" s="6" t="s">
        <v>36</v>
      </c>
      <c r="E5" s="10">
        <v>43891</v>
      </c>
      <c r="F5" s="10">
        <v>43983</v>
      </c>
      <c r="G5" s="6"/>
      <c r="H5" s="6"/>
      <c r="I5" s="6">
        <f>C5-G5-H5</f>
        <v>1313</v>
      </c>
      <c r="J5" s="6" t="s">
        <v>253</v>
      </c>
    </row>
    <row r="6" spans="1:10" x14ac:dyDescent="0.2">
      <c r="A6" s="6" t="s">
        <v>130</v>
      </c>
      <c r="B6" s="6"/>
      <c r="C6" s="6">
        <v>30</v>
      </c>
      <c r="D6" s="6" t="s">
        <v>29</v>
      </c>
      <c r="E6" s="10">
        <v>43891</v>
      </c>
      <c r="F6" s="10">
        <v>43983</v>
      </c>
      <c r="G6" s="6"/>
      <c r="H6" s="6"/>
      <c r="I6" s="6">
        <f>C6-G6-H6</f>
        <v>30</v>
      </c>
      <c r="J6" s="6" t="s">
        <v>254</v>
      </c>
    </row>
    <row r="7" spans="1:10" x14ac:dyDescent="0.2">
      <c r="A7" s="6" t="s">
        <v>129</v>
      </c>
      <c r="B7" s="6"/>
      <c r="C7" s="6">
        <v>30</v>
      </c>
      <c r="D7" s="6" t="s">
        <v>8</v>
      </c>
      <c r="E7" s="10">
        <v>43891</v>
      </c>
      <c r="F7" s="10">
        <v>43983</v>
      </c>
      <c r="G7" s="6"/>
      <c r="H7" s="6"/>
      <c r="I7" s="6">
        <f>C7-G7-H7</f>
        <v>30</v>
      </c>
      <c r="J7" s="12">
        <v>2022</v>
      </c>
    </row>
    <row r="8" spans="1:10" x14ac:dyDescent="0.2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x14ac:dyDescent="0.2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x14ac:dyDescent="0.2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6"/>
      <c r="F22" s="6"/>
      <c r="G22" s="6"/>
      <c r="H22" s="6"/>
      <c r="I22" s="6"/>
      <c r="J22" s="6"/>
    </row>
  </sheetData>
  <mergeCells count="1">
    <mergeCell ref="I3:I4"/>
  </mergeCells>
  <pageMargins left="0.7" right="0.7" top="0.75" bottom="0.75" header="0.3" footer="0.3"/>
  <pageSetup scale="91" fitToHeight="6" orientation="landscape" horizontalDpi="300" r:id="rId1"/>
  <headerFooter>
    <oddFooter>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5E4E2-7CA1-4631-9767-B53AC5A7C16C}">
  <sheetPr>
    <tabColor theme="0" tint="-0.34998626667073579"/>
    <pageSetUpPr fitToPage="1"/>
  </sheetPr>
  <dimension ref="A1:J22"/>
  <sheetViews>
    <sheetView zoomScaleNormal="100" workbookViewId="0"/>
  </sheetViews>
  <sheetFormatPr defaultRowHeight="12.75" x14ac:dyDescent="0.2"/>
  <cols>
    <col min="1" max="1" width="14.42578125" customWidth="1"/>
    <col min="2" max="2" width="17.85546875" bestFit="1" customWidth="1"/>
    <col min="3" max="3" width="6.5703125" customWidth="1"/>
    <col min="4" max="4" width="22.140625" customWidth="1"/>
    <col min="5" max="5" width="12.5703125" customWidth="1"/>
    <col min="6" max="6" width="10.28515625" customWidth="1"/>
    <col min="7" max="7" width="10.85546875" customWidth="1"/>
    <col min="8" max="8" width="10.42578125" customWidth="1"/>
    <col min="9" max="9" width="13" customWidth="1"/>
    <col min="10" max="10" width="9.85546875" customWidth="1"/>
  </cols>
  <sheetData>
    <row r="1" spans="1:10" ht="15" x14ac:dyDescent="0.2">
      <c r="A1" s="5" t="str">
        <f ca="1">MID(CELL("filename",$A$1),FIND("]",CELL("filename",$A$1),1)+1,1024)</f>
        <v>ALMONDS EIGHT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customHeight="1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8"/>
      <c r="B5" s="8"/>
      <c r="C5" s="6"/>
      <c r="D5" s="8"/>
      <c r="E5" s="10"/>
      <c r="F5" s="10"/>
      <c r="G5" s="6"/>
      <c r="H5" s="6"/>
      <c r="I5" s="6"/>
      <c r="J5" s="6"/>
    </row>
    <row r="6" spans="1:10" x14ac:dyDescent="0.2">
      <c r="A6" s="8"/>
      <c r="B6" s="6"/>
      <c r="C6" s="8"/>
      <c r="D6" s="8"/>
      <c r="E6" s="10"/>
      <c r="F6" s="10"/>
      <c r="G6" s="6"/>
      <c r="H6" s="6"/>
      <c r="I6" s="6"/>
      <c r="J6" s="6"/>
    </row>
    <row r="7" spans="1:10" x14ac:dyDescent="0.2">
      <c r="A7" s="6"/>
      <c r="B7" s="6"/>
      <c r="C7" s="6"/>
      <c r="D7" s="8"/>
      <c r="E7" s="10"/>
      <c r="F7" s="10"/>
      <c r="G7" s="6"/>
      <c r="H7" s="6"/>
      <c r="I7" s="6"/>
      <c r="J7" s="12"/>
    </row>
    <row r="8" spans="1:10" x14ac:dyDescent="0.2">
      <c r="A8" s="6"/>
      <c r="B8" s="6"/>
      <c r="C8" s="6"/>
      <c r="D8" s="8"/>
      <c r="E8" s="10"/>
      <c r="F8" s="10"/>
      <c r="G8" s="6"/>
      <c r="H8" s="6"/>
      <c r="I8" s="6"/>
      <c r="J8" s="6"/>
    </row>
    <row r="9" spans="1:10" x14ac:dyDescent="0.2">
      <c r="A9" s="6"/>
      <c r="B9" s="6"/>
      <c r="C9" s="6"/>
      <c r="D9" s="8"/>
      <c r="E9" s="10"/>
      <c r="F9" s="10"/>
      <c r="G9" s="6"/>
      <c r="H9" s="6"/>
      <c r="I9" s="6"/>
      <c r="J9" s="6"/>
    </row>
    <row r="10" spans="1:10" x14ac:dyDescent="0.2">
      <c r="A10" s="6"/>
      <c r="B10" s="6"/>
      <c r="C10" s="6"/>
      <c r="D10" s="6"/>
      <c r="E10" s="10"/>
      <c r="F10" s="10"/>
      <c r="G10" s="6"/>
      <c r="H10" s="6"/>
      <c r="I10" s="6"/>
      <c r="J10" s="6"/>
    </row>
    <row r="11" spans="1:10" x14ac:dyDescent="0.2">
      <c r="A11" s="6"/>
      <c r="B11" s="6"/>
      <c r="C11" s="6"/>
      <c r="D11" s="6"/>
      <c r="E11" s="10"/>
      <c r="F11" s="10"/>
      <c r="G11" s="6"/>
      <c r="H11" s="6"/>
      <c r="I11" s="6"/>
      <c r="J11" s="6"/>
    </row>
    <row r="12" spans="1:10" x14ac:dyDescent="0.2">
      <c r="A12" s="6"/>
      <c r="B12" s="6"/>
      <c r="C12" s="6"/>
      <c r="D12" s="6"/>
      <c r="E12" s="10"/>
      <c r="F12" s="10"/>
      <c r="G12" s="6"/>
      <c r="H12" s="6"/>
      <c r="I12" s="6"/>
      <c r="J12" s="6"/>
    </row>
    <row r="13" spans="1:10" x14ac:dyDescent="0.2">
      <c r="A13" s="6"/>
      <c r="B13" s="6"/>
      <c r="C13" s="6"/>
      <c r="D13" s="6"/>
      <c r="E13" s="10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10"/>
      <c r="F15" s="10"/>
      <c r="G15" s="6"/>
      <c r="H15" s="6"/>
      <c r="I15" s="6"/>
      <c r="J15" s="6"/>
    </row>
    <row r="16" spans="1:10" x14ac:dyDescent="0.2">
      <c r="A16" s="6"/>
      <c r="B16" s="6"/>
      <c r="C16" s="6"/>
      <c r="D16" s="6"/>
      <c r="E16" s="10"/>
      <c r="F16" s="10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10"/>
      <c r="F19" s="10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6"/>
      <c r="F22" s="6"/>
      <c r="G22" s="6"/>
      <c r="H22" s="6"/>
      <c r="I22" s="6"/>
      <c r="J22" s="6"/>
    </row>
  </sheetData>
  <mergeCells count="1">
    <mergeCell ref="I3:I4"/>
  </mergeCells>
  <pageMargins left="0.7" right="0.7" top="0.75" bottom="0.75" header="0.3" footer="0.3"/>
  <pageSetup scale="91" fitToHeight="6" orientation="landscape" horizontalDpi="300" r:id="rId1"/>
  <headerFooter>
    <oddFooter>&amp;R&amp;D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D6FA7-D51B-4F40-AF54-5E29FDBD7C10}">
  <sheetPr>
    <tabColor theme="0" tint="-0.34998626667073579"/>
    <pageSetUpPr fitToPage="1"/>
  </sheetPr>
  <dimension ref="A1:J25"/>
  <sheetViews>
    <sheetView zoomScaleNormal="100" workbookViewId="0"/>
  </sheetViews>
  <sheetFormatPr defaultRowHeight="12.75" x14ac:dyDescent="0.2"/>
  <cols>
    <col min="1" max="1" width="14.42578125" style="107" customWidth="1"/>
    <col min="2" max="2" width="17.85546875" style="107" bestFit="1" customWidth="1"/>
    <col min="3" max="3" width="6.5703125" style="107" customWidth="1"/>
    <col min="4" max="4" width="22.140625" style="107" customWidth="1"/>
    <col min="5" max="5" width="12.5703125" style="107" customWidth="1"/>
    <col min="6" max="6" width="10.28515625" style="107" customWidth="1"/>
    <col min="7" max="7" width="10.85546875" style="107" customWidth="1"/>
    <col min="8" max="8" width="10.42578125" style="107" customWidth="1"/>
    <col min="9" max="9" width="13" style="107" customWidth="1"/>
    <col min="10" max="10" width="9.85546875" style="107" customWidth="1"/>
    <col min="11" max="16384" width="9.140625" style="107"/>
  </cols>
  <sheetData>
    <row r="1" spans="1:10" ht="15" x14ac:dyDescent="0.2">
      <c r="A1" s="121" t="str">
        <f ca="1">MID(CELL("filename",$A$1),FIND("]",CELL("filename",$A$1),1)+1,1024)</f>
        <v>AR FARMING &amp; LEASING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x14ac:dyDescent="0.2">
      <c r="A2" s="108"/>
      <c r="B2" s="108"/>
      <c r="C2" s="108"/>
      <c r="D2" s="108"/>
      <c r="E2" s="108"/>
      <c r="F2" s="108"/>
      <c r="G2" s="108"/>
      <c r="H2" s="108"/>
      <c r="I2" s="108"/>
      <c r="J2" s="108"/>
    </row>
    <row r="3" spans="1:10" x14ac:dyDescent="0.2">
      <c r="A3" s="108"/>
      <c r="B3" s="108"/>
      <c r="C3" s="108"/>
      <c r="D3" s="108"/>
      <c r="E3" s="108"/>
      <c r="F3" s="108"/>
      <c r="G3" s="108"/>
      <c r="H3" s="108"/>
      <c r="I3" s="165" t="s">
        <v>96</v>
      </c>
      <c r="J3" s="108"/>
    </row>
    <row r="4" spans="1:10" s="115" customFormat="1" ht="15" customHeight="1" x14ac:dyDescent="0.35">
      <c r="A4" s="117" t="s">
        <v>0</v>
      </c>
      <c r="B4" s="117" t="s">
        <v>100</v>
      </c>
      <c r="C4" s="117" t="s">
        <v>2</v>
      </c>
      <c r="D4" s="119" t="s">
        <v>3</v>
      </c>
      <c r="E4" s="118" t="s">
        <v>4</v>
      </c>
      <c r="F4" s="117" t="s">
        <v>5</v>
      </c>
      <c r="G4" s="116" t="s">
        <v>95</v>
      </c>
      <c r="H4" s="116" t="s">
        <v>92</v>
      </c>
      <c r="I4" s="165"/>
      <c r="J4" s="116" t="s">
        <v>94</v>
      </c>
    </row>
    <row r="5" spans="1:10" x14ac:dyDescent="0.2">
      <c r="A5" s="108" t="s">
        <v>684</v>
      </c>
      <c r="B5" s="108" t="s">
        <v>686</v>
      </c>
      <c r="C5" s="108">
        <v>1500</v>
      </c>
      <c r="D5" s="108" t="s">
        <v>682</v>
      </c>
      <c r="E5" s="109">
        <v>44253</v>
      </c>
      <c r="F5" s="109">
        <v>44312</v>
      </c>
      <c r="G5" s="108"/>
      <c r="H5" s="108"/>
      <c r="I5" s="108"/>
      <c r="J5" s="108"/>
    </row>
    <row r="6" spans="1:10" x14ac:dyDescent="0.2">
      <c r="A6" s="108" t="s">
        <v>685</v>
      </c>
      <c r="B6" s="108"/>
      <c r="C6" s="108">
        <v>35</v>
      </c>
      <c r="D6" s="108" t="s">
        <v>82</v>
      </c>
      <c r="E6" s="109">
        <v>44253</v>
      </c>
      <c r="F6" s="109">
        <v>44312</v>
      </c>
      <c r="G6" s="108"/>
      <c r="H6" s="108"/>
      <c r="I6" s="108"/>
      <c r="J6" s="108"/>
    </row>
    <row r="7" spans="1:10" x14ac:dyDescent="0.2">
      <c r="A7" s="108"/>
      <c r="B7" s="108"/>
      <c r="C7" s="108">
        <v>40</v>
      </c>
      <c r="D7" s="108" t="s">
        <v>71</v>
      </c>
      <c r="E7" s="109">
        <v>44253</v>
      </c>
      <c r="F7" s="109">
        <v>44312</v>
      </c>
      <c r="G7" s="108"/>
      <c r="H7" s="108"/>
      <c r="I7" s="108"/>
      <c r="J7" s="123"/>
    </row>
    <row r="8" spans="1:10" x14ac:dyDescent="0.2">
      <c r="A8" s="108"/>
      <c r="B8" s="108"/>
      <c r="C8" s="108">
        <v>40</v>
      </c>
      <c r="D8" s="108" t="s">
        <v>444</v>
      </c>
      <c r="E8" s="109">
        <v>44253</v>
      </c>
      <c r="F8" s="109">
        <v>44312</v>
      </c>
      <c r="G8" s="108"/>
      <c r="H8" s="108"/>
      <c r="I8" s="108"/>
      <c r="J8" s="108"/>
    </row>
    <row r="9" spans="1:10" x14ac:dyDescent="0.2">
      <c r="A9" s="110"/>
      <c r="B9" s="110"/>
      <c r="C9" s="110"/>
      <c r="D9" s="110"/>
      <c r="E9" s="111"/>
      <c r="F9" s="111"/>
      <c r="G9" s="110"/>
      <c r="H9" s="110"/>
      <c r="I9" s="110"/>
      <c r="J9" s="110"/>
    </row>
    <row r="10" spans="1:10" x14ac:dyDescent="0.2">
      <c r="A10" s="108" t="s">
        <v>795</v>
      </c>
      <c r="B10" s="108" t="s">
        <v>796</v>
      </c>
      <c r="C10" s="108">
        <v>60</v>
      </c>
      <c r="D10" s="108" t="s">
        <v>672</v>
      </c>
      <c r="E10" s="109">
        <v>44253</v>
      </c>
      <c r="F10" s="109">
        <v>44403</v>
      </c>
      <c r="G10" s="108"/>
      <c r="H10" s="108"/>
      <c r="I10" s="108"/>
      <c r="J10" s="108"/>
    </row>
    <row r="11" spans="1:10" x14ac:dyDescent="0.2">
      <c r="A11" s="108" t="s">
        <v>685</v>
      </c>
      <c r="B11" s="108"/>
      <c r="C11" s="108">
        <v>1</v>
      </c>
      <c r="D11" s="108" t="s">
        <v>10</v>
      </c>
      <c r="E11" s="109">
        <v>44253</v>
      </c>
      <c r="F11" s="109">
        <v>44403</v>
      </c>
      <c r="G11" s="108"/>
      <c r="H11" s="108"/>
      <c r="I11" s="108"/>
      <c r="J11" s="108"/>
    </row>
    <row r="12" spans="1:10" x14ac:dyDescent="0.2">
      <c r="A12" s="108"/>
      <c r="B12" s="108"/>
      <c r="C12" s="108">
        <v>5</v>
      </c>
      <c r="D12" s="108" t="s">
        <v>82</v>
      </c>
      <c r="E12" s="109">
        <v>44253</v>
      </c>
      <c r="F12" s="109">
        <v>44403</v>
      </c>
      <c r="G12" s="108"/>
      <c r="H12" s="108"/>
      <c r="I12" s="108"/>
      <c r="J12" s="108"/>
    </row>
    <row r="13" spans="1:10" x14ac:dyDescent="0.2">
      <c r="A13" s="108"/>
      <c r="B13" s="108"/>
      <c r="C13" s="108">
        <v>61</v>
      </c>
      <c r="D13" s="108" t="s">
        <v>89</v>
      </c>
      <c r="E13" s="109">
        <v>44253</v>
      </c>
      <c r="F13" s="109">
        <v>44403</v>
      </c>
      <c r="G13" s="108"/>
      <c r="H13" s="108"/>
      <c r="I13" s="108"/>
      <c r="J13" s="108"/>
    </row>
    <row r="14" spans="1:10" x14ac:dyDescent="0.2">
      <c r="A14" s="110"/>
      <c r="B14" s="110"/>
      <c r="C14" s="110"/>
      <c r="D14" s="110"/>
      <c r="E14" s="110"/>
      <c r="F14" s="110"/>
      <c r="G14" s="110"/>
      <c r="H14" s="110"/>
      <c r="I14" s="110"/>
      <c r="J14" s="110"/>
    </row>
    <row r="15" spans="1:10" x14ac:dyDescent="0.2">
      <c r="A15" s="108" t="s">
        <v>1210</v>
      </c>
      <c r="B15" s="108" t="s">
        <v>1211</v>
      </c>
      <c r="C15" s="108">
        <v>56</v>
      </c>
      <c r="D15" s="108" t="s">
        <v>1145</v>
      </c>
      <c r="E15" s="109">
        <v>44585</v>
      </c>
      <c r="F15" s="109">
        <v>44675</v>
      </c>
      <c r="G15" s="108"/>
      <c r="H15" s="108"/>
      <c r="I15" s="108"/>
      <c r="J15" s="108"/>
    </row>
    <row r="16" spans="1:10" x14ac:dyDescent="0.2">
      <c r="A16" s="108"/>
      <c r="B16" s="108"/>
      <c r="C16" s="108">
        <v>1</v>
      </c>
      <c r="D16" s="108" t="s">
        <v>115</v>
      </c>
      <c r="E16" s="109">
        <v>44585</v>
      </c>
      <c r="F16" s="109">
        <v>44675</v>
      </c>
      <c r="G16" s="108"/>
      <c r="H16" s="108"/>
      <c r="I16" s="108"/>
      <c r="J16" s="108"/>
    </row>
    <row r="17" spans="1:10" x14ac:dyDescent="0.2">
      <c r="A17" s="108"/>
      <c r="B17" s="108"/>
      <c r="C17" s="108">
        <v>36</v>
      </c>
      <c r="D17" s="108" t="s">
        <v>83</v>
      </c>
      <c r="E17" s="109">
        <v>44585</v>
      </c>
      <c r="F17" s="109">
        <v>44675</v>
      </c>
      <c r="G17" s="108"/>
      <c r="H17" s="108"/>
      <c r="I17" s="108"/>
      <c r="J17" s="108"/>
    </row>
    <row r="18" spans="1:10" x14ac:dyDescent="0.2">
      <c r="A18" s="108"/>
      <c r="B18" s="108"/>
      <c r="C18" s="108">
        <v>1</v>
      </c>
      <c r="D18" s="108" t="s">
        <v>415</v>
      </c>
      <c r="E18" s="109">
        <v>44585</v>
      </c>
      <c r="F18" s="109">
        <v>44675</v>
      </c>
      <c r="G18" s="108"/>
      <c r="H18" s="108"/>
      <c r="I18" s="108"/>
      <c r="J18" s="108"/>
    </row>
    <row r="19" spans="1:10" x14ac:dyDescent="0.2">
      <c r="A19" s="108"/>
      <c r="B19" s="108"/>
      <c r="C19" s="108">
        <v>21</v>
      </c>
      <c r="D19" s="108" t="s">
        <v>1204</v>
      </c>
      <c r="E19" s="109">
        <v>44585</v>
      </c>
      <c r="F19" s="109">
        <v>44675</v>
      </c>
      <c r="G19" s="108"/>
      <c r="H19" s="108"/>
      <c r="I19" s="108"/>
      <c r="J19" s="108"/>
    </row>
    <row r="20" spans="1:10" x14ac:dyDescent="0.2">
      <c r="A20" s="108"/>
      <c r="B20" s="108"/>
      <c r="C20" s="108">
        <v>2</v>
      </c>
      <c r="D20" s="108" t="s">
        <v>360</v>
      </c>
      <c r="E20" s="109">
        <v>44585</v>
      </c>
      <c r="F20" s="109">
        <v>44675</v>
      </c>
      <c r="G20" s="108"/>
      <c r="H20" s="108"/>
      <c r="I20" s="108"/>
      <c r="J20" s="108"/>
    </row>
    <row r="21" spans="1:10" x14ac:dyDescent="0.2">
      <c r="A21" s="108"/>
      <c r="B21" s="108"/>
      <c r="C21" s="108">
        <v>1</v>
      </c>
      <c r="D21" s="108" t="s">
        <v>45</v>
      </c>
      <c r="E21" s="109">
        <v>44585</v>
      </c>
      <c r="F21" s="109">
        <v>44675</v>
      </c>
      <c r="G21" s="108"/>
      <c r="H21" s="108"/>
      <c r="I21" s="108"/>
      <c r="J21" s="108"/>
    </row>
    <row r="22" spans="1:10" x14ac:dyDescent="0.2">
      <c r="A22" s="108"/>
      <c r="B22" s="108"/>
      <c r="C22" s="108">
        <v>2</v>
      </c>
      <c r="D22" s="108" t="s">
        <v>39</v>
      </c>
      <c r="E22" s="109">
        <v>44585</v>
      </c>
      <c r="F22" s="109">
        <v>44675</v>
      </c>
      <c r="G22" s="108"/>
      <c r="H22" s="108"/>
      <c r="I22" s="108"/>
      <c r="J22" s="108"/>
    </row>
    <row r="23" spans="1:10" x14ac:dyDescent="0.2">
      <c r="A23" s="108"/>
      <c r="B23" s="108"/>
      <c r="C23" s="108">
        <v>21</v>
      </c>
      <c r="D23" s="108" t="s">
        <v>82</v>
      </c>
      <c r="E23" s="109">
        <v>44585</v>
      </c>
      <c r="F23" s="109">
        <v>44675</v>
      </c>
      <c r="G23" s="108"/>
      <c r="H23" s="108"/>
      <c r="I23" s="108"/>
      <c r="J23" s="108"/>
    </row>
    <row r="24" spans="1:10" x14ac:dyDescent="0.2">
      <c r="A24" s="108"/>
      <c r="B24" s="108"/>
      <c r="C24" s="108">
        <v>83</v>
      </c>
      <c r="D24" s="108" t="s">
        <v>71</v>
      </c>
      <c r="E24" s="109">
        <v>44585</v>
      </c>
      <c r="F24" s="109">
        <v>44675</v>
      </c>
      <c r="G24" s="108"/>
      <c r="H24" s="108"/>
      <c r="I24" s="108"/>
      <c r="J24" s="108"/>
    </row>
    <row r="25" spans="1:10" x14ac:dyDescent="0.2">
      <c r="A25" s="108"/>
      <c r="B25" s="108"/>
      <c r="C25" s="108"/>
      <c r="D25" s="108"/>
      <c r="E25" s="108"/>
      <c r="F25" s="108"/>
      <c r="G25" s="108"/>
      <c r="H25" s="108"/>
      <c r="I25" s="108"/>
      <c r="J25" s="108"/>
    </row>
  </sheetData>
  <mergeCells count="1">
    <mergeCell ref="I3:I4"/>
  </mergeCells>
  <pageMargins left="0.7" right="0.7" top="0.75" bottom="0.75" header="0.3" footer="0.3"/>
  <pageSetup scale="91" fitToHeight="6" orientation="landscape" horizontalDpi="300" r:id="rId1"/>
  <headerFooter>
    <oddFooter>&amp;R&amp;D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34998626667073579"/>
    <pageSetUpPr fitToPage="1"/>
  </sheetPr>
  <dimension ref="A1:J51"/>
  <sheetViews>
    <sheetView workbookViewId="0"/>
  </sheetViews>
  <sheetFormatPr defaultRowHeight="12.75" x14ac:dyDescent="0.2"/>
  <cols>
    <col min="1" max="1" width="23" customWidth="1"/>
    <col min="2" max="2" width="12.7109375" customWidth="1"/>
    <col min="3" max="3" width="6.5703125" customWidth="1"/>
    <col min="4" max="4" width="24.85546875" customWidth="1"/>
    <col min="5" max="5" width="10.85546875" customWidth="1"/>
    <col min="6" max="6" width="11.5703125" customWidth="1"/>
    <col min="7" max="7" width="11" customWidth="1"/>
    <col min="8" max="8" width="10" customWidth="1"/>
    <col min="9" max="9" width="13" customWidth="1"/>
    <col min="10" max="10" width="11.7109375" customWidth="1"/>
  </cols>
  <sheetData>
    <row r="1" spans="1:10" ht="18" x14ac:dyDescent="0.25">
      <c r="A1" s="13" t="str">
        <f ca="1">MID(CELL("filename",$A$1),FIND("]",CELL("filename",$A$1),1)+1,1024)</f>
        <v>BOLTHOUSE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732</v>
      </c>
      <c r="B5" s="12" t="s">
        <v>733</v>
      </c>
      <c r="C5" s="6">
        <v>139</v>
      </c>
      <c r="D5" s="11" t="s">
        <v>419</v>
      </c>
      <c r="E5" s="10">
        <v>44253</v>
      </c>
      <c r="F5" s="10">
        <v>44434</v>
      </c>
      <c r="G5" s="6"/>
      <c r="H5" s="6"/>
      <c r="I5" s="6"/>
      <c r="J5" s="6"/>
    </row>
    <row r="6" spans="1:10" x14ac:dyDescent="0.2">
      <c r="A6" s="6" t="s">
        <v>734</v>
      </c>
      <c r="B6" s="12"/>
      <c r="C6" s="6">
        <v>17</v>
      </c>
      <c r="D6" s="11" t="s">
        <v>735</v>
      </c>
      <c r="E6" s="10">
        <v>44253</v>
      </c>
      <c r="F6" s="10">
        <v>44434</v>
      </c>
      <c r="G6" s="6"/>
      <c r="H6" s="6"/>
      <c r="I6" s="6"/>
      <c r="J6" s="6"/>
    </row>
    <row r="7" spans="1:10" x14ac:dyDescent="0.2">
      <c r="A7" s="6"/>
      <c r="B7" s="12"/>
      <c r="C7" s="6">
        <v>7</v>
      </c>
      <c r="D7" s="11" t="s">
        <v>736</v>
      </c>
      <c r="E7" s="10">
        <v>44253</v>
      </c>
      <c r="F7" s="10">
        <v>44434</v>
      </c>
      <c r="G7" s="6"/>
      <c r="H7" s="6"/>
      <c r="I7" s="6"/>
      <c r="J7" s="6"/>
    </row>
    <row r="8" spans="1:10" x14ac:dyDescent="0.2">
      <c r="A8" s="6"/>
      <c r="B8" s="12"/>
      <c r="C8" s="6">
        <v>10</v>
      </c>
      <c r="D8" s="11" t="s">
        <v>434</v>
      </c>
      <c r="E8" s="10">
        <v>44253</v>
      </c>
      <c r="F8" s="10">
        <v>44434</v>
      </c>
      <c r="G8" s="6"/>
      <c r="H8" s="6"/>
      <c r="I8" s="6"/>
      <c r="J8" s="6"/>
    </row>
    <row r="9" spans="1:10" x14ac:dyDescent="0.2">
      <c r="A9" s="6"/>
      <c r="B9" s="12"/>
      <c r="C9" s="6">
        <v>7</v>
      </c>
      <c r="D9" s="11" t="s">
        <v>483</v>
      </c>
      <c r="E9" s="10">
        <v>44253</v>
      </c>
      <c r="F9" s="10">
        <v>44434</v>
      </c>
      <c r="G9" s="6"/>
      <c r="H9" s="6"/>
      <c r="I9" s="6"/>
      <c r="J9" s="6"/>
    </row>
    <row r="10" spans="1:10" x14ac:dyDescent="0.2">
      <c r="A10" s="6"/>
      <c r="B10" s="12"/>
      <c r="C10" s="6">
        <v>14</v>
      </c>
      <c r="D10" s="11" t="s">
        <v>737</v>
      </c>
      <c r="E10" s="10">
        <v>44253</v>
      </c>
      <c r="F10" s="10">
        <v>44434</v>
      </c>
      <c r="G10" s="6"/>
      <c r="H10" s="6"/>
      <c r="I10" s="6"/>
      <c r="J10" s="6"/>
    </row>
    <row r="11" spans="1:10" x14ac:dyDescent="0.2">
      <c r="A11" s="8"/>
      <c r="B11" s="7"/>
      <c r="C11" s="6">
        <v>28</v>
      </c>
      <c r="D11" s="9" t="s">
        <v>453</v>
      </c>
      <c r="E11" s="10">
        <v>44253</v>
      </c>
      <c r="F11" s="10">
        <v>44434</v>
      </c>
      <c r="G11" s="6"/>
      <c r="H11" s="6"/>
      <c r="I11" s="6"/>
      <c r="J11" s="6"/>
    </row>
    <row r="12" spans="1:10" x14ac:dyDescent="0.2">
      <c r="A12" s="6"/>
      <c r="B12" s="7"/>
      <c r="C12" s="6">
        <v>14</v>
      </c>
      <c r="D12" s="9" t="s">
        <v>738</v>
      </c>
      <c r="E12" s="10">
        <v>44253</v>
      </c>
      <c r="F12" s="10">
        <v>44434</v>
      </c>
      <c r="G12" s="6"/>
      <c r="H12" s="6"/>
      <c r="I12" s="6"/>
      <c r="J12" s="6"/>
    </row>
    <row r="13" spans="1:10" x14ac:dyDescent="0.2">
      <c r="A13" s="19"/>
      <c r="B13" s="27"/>
      <c r="C13" s="19"/>
      <c r="D13" s="28"/>
      <c r="E13" s="24"/>
      <c r="F13" s="29"/>
      <c r="G13" s="19"/>
      <c r="H13" s="19"/>
      <c r="I13" s="19"/>
      <c r="J13" s="19"/>
    </row>
    <row r="14" spans="1:10" x14ac:dyDescent="0.2">
      <c r="A14" s="1" t="s">
        <v>824</v>
      </c>
      <c r="B14" s="7" t="s">
        <v>825</v>
      </c>
      <c r="C14" s="6">
        <v>101</v>
      </c>
      <c r="D14" s="9" t="s">
        <v>826</v>
      </c>
      <c r="E14" s="10">
        <v>44306</v>
      </c>
      <c r="F14" s="10">
        <v>44520</v>
      </c>
      <c r="G14" s="6"/>
      <c r="H14" s="6"/>
      <c r="I14" s="6"/>
      <c r="J14" s="6"/>
    </row>
    <row r="15" spans="1:10" x14ac:dyDescent="0.2">
      <c r="A15" s="6"/>
      <c r="B15" s="12"/>
      <c r="C15" s="6">
        <v>66</v>
      </c>
      <c r="D15" s="9" t="s">
        <v>136</v>
      </c>
      <c r="E15" s="10">
        <v>44306</v>
      </c>
      <c r="F15" s="10">
        <v>44520</v>
      </c>
      <c r="G15" s="6"/>
      <c r="H15" s="6"/>
      <c r="I15" s="6"/>
      <c r="J15" s="6"/>
    </row>
    <row r="16" spans="1:10" x14ac:dyDescent="0.2">
      <c r="A16" s="6"/>
      <c r="B16" s="12"/>
      <c r="C16" s="6">
        <v>47</v>
      </c>
      <c r="D16" s="9" t="s">
        <v>167</v>
      </c>
      <c r="E16" s="10">
        <v>44306</v>
      </c>
      <c r="F16" s="10">
        <v>44520</v>
      </c>
      <c r="G16" s="6"/>
      <c r="H16" s="6"/>
      <c r="I16" s="6"/>
      <c r="J16" s="6"/>
    </row>
    <row r="17" spans="1:10" x14ac:dyDescent="0.2">
      <c r="A17" s="6"/>
      <c r="B17" s="12"/>
      <c r="C17" s="6">
        <v>68</v>
      </c>
      <c r="D17" s="9" t="s">
        <v>827</v>
      </c>
      <c r="E17" s="10">
        <v>44306</v>
      </c>
      <c r="F17" s="10">
        <v>44520</v>
      </c>
      <c r="G17" s="6"/>
      <c r="H17" s="6"/>
      <c r="I17" s="6"/>
      <c r="J17" s="6"/>
    </row>
    <row r="18" spans="1:10" x14ac:dyDescent="0.2">
      <c r="A18" s="6"/>
      <c r="B18" s="12"/>
      <c r="C18" s="6">
        <v>106</v>
      </c>
      <c r="D18" s="9" t="s">
        <v>483</v>
      </c>
      <c r="E18" s="10">
        <v>44306</v>
      </c>
      <c r="F18" s="10">
        <v>44520</v>
      </c>
      <c r="G18" s="6"/>
      <c r="H18" s="6"/>
      <c r="I18" s="6"/>
      <c r="J18" s="6"/>
    </row>
    <row r="19" spans="1:10" x14ac:dyDescent="0.2">
      <c r="A19" s="6"/>
      <c r="B19" s="6"/>
      <c r="C19" s="6">
        <v>190</v>
      </c>
      <c r="D19" s="8" t="s">
        <v>828</v>
      </c>
      <c r="E19" s="10">
        <v>44306</v>
      </c>
      <c r="F19" s="10">
        <v>44520</v>
      </c>
      <c r="G19" s="6"/>
      <c r="H19" s="6"/>
      <c r="I19" s="6"/>
      <c r="J19" s="6"/>
    </row>
    <row r="20" spans="1:10" x14ac:dyDescent="0.2">
      <c r="A20" s="6"/>
      <c r="B20" s="6"/>
      <c r="C20" s="6">
        <v>190</v>
      </c>
      <c r="D20" s="8" t="s">
        <v>829</v>
      </c>
      <c r="E20" s="10">
        <v>44306</v>
      </c>
      <c r="F20" s="10">
        <v>44520</v>
      </c>
      <c r="G20" s="6"/>
      <c r="H20" s="6"/>
      <c r="I20" s="6"/>
      <c r="J20" s="6"/>
    </row>
    <row r="21" spans="1:10" x14ac:dyDescent="0.2">
      <c r="A21" s="6"/>
      <c r="B21" s="6"/>
      <c r="C21" s="6">
        <v>13100</v>
      </c>
      <c r="D21" s="8" t="s">
        <v>419</v>
      </c>
      <c r="E21" s="10">
        <v>44306</v>
      </c>
      <c r="F21" s="10">
        <v>44520</v>
      </c>
      <c r="G21" s="6"/>
      <c r="H21" s="6"/>
      <c r="I21" s="6"/>
      <c r="J21" s="6"/>
    </row>
    <row r="22" spans="1:10" x14ac:dyDescent="0.2">
      <c r="A22" s="6"/>
      <c r="B22" s="6"/>
      <c r="C22" s="6">
        <v>800</v>
      </c>
      <c r="D22" s="8" t="s">
        <v>16</v>
      </c>
      <c r="E22" s="10">
        <v>44306</v>
      </c>
      <c r="F22" s="10">
        <v>44520</v>
      </c>
      <c r="G22" s="6"/>
      <c r="H22" s="6"/>
      <c r="I22" s="6"/>
      <c r="J22" s="6"/>
    </row>
    <row r="23" spans="1:10" x14ac:dyDescent="0.2">
      <c r="A23" s="6"/>
      <c r="B23" s="6"/>
      <c r="C23" s="6">
        <v>5</v>
      </c>
      <c r="D23" s="8" t="s">
        <v>41</v>
      </c>
      <c r="E23" s="10">
        <v>44306</v>
      </c>
      <c r="F23" s="10">
        <v>44520</v>
      </c>
      <c r="G23" s="6"/>
      <c r="H23" s="6"/>
      <c r="I23" s="6"/>
      <c r="J23" s="6"/>
    </row>
    <row r="24" spans="1:10" x14ac:dyDescent="0.2">
      <c r="A24" s="6"/>
      <c r="B24" s="6"/>
      <c r="C24" s="6">
        <v>4</v>
      </c>
      <c r="D24" s="8" t="s">
        <v>443</v>
      </c>
      <c r="E24" s="10">
        <v>44306</v>
      </c>
      <c r="F24" s="10">
        <v>44520</v>
      </c>
      <c r="G24" s="6"/>
      <c r="H24" s="6"/>
      <c r="I24" s="6"/>
      <c r="J24" s="6"/>
    </row>
    <row r="25" spans="1:10" x14ac:dyDescent="0.2">
      <c r="A25" s="6"/>
      <c r="B25" s="6"/>
      <c r="C25" s="6">
        <v>1</v>
      </c>
      <c r="D25" s="8" t="s">
        <v>115</v>
      </c>
      <c r="E25" s="10">
        <v>44306</v>
      </c>
      <c r="F25" s="10">
        <v>44520</v>
      </c>
      <c r="G25" s="6"/>
      <c r="H25" s="6"/>
      <c r="I25" s="6"/>
      <c r="J25" s="6"/>
    </row>
    <row r="26" spans="1:10" x14ac:dyDescent="0.2">
      <c r="A26" s="6"/>
      <c r="B26" s="6"/>
      <c r="C26" s="6">
        <v>1</v>
      </c>
      <c r="D26" s="8" t="s">
        <v>40</v>
      </c>
      <c r="E26" s="10">
        <v>44306</v>
      </c>
      <c r="F26" s="10">
        <v>44520</v>
      </c>
      <c r="G26" s="6"/>
      <c r="H26" s="6"/>
      <c r="I26" s="6"/>
      <c r="J26" s="6"/>
    </row>
    <row r="27" spans="1:10" x14ac:dyDescent="0.2">
      <c r="A27" s="19"/>
      <c r="B27" s="19"/>
      <c r="C27" s="19"/>
      <c r="D27" s="19"/>
      <c r="E27" s="29"/>
      <c r="F27" s="29"/>
      <c r="G27" s="19"/>
      <c r="H27" s="19"/>
      <c r="I27" s="19"/>
      <c r="J27" s="19"/>
    </row>
    <row r="28" spans="1:10" x14ac:dyDescent="0.2">
      <c r="A28" s="8" t="s">
        <v>830</v>
      </c>
      <c r="B28" s="8" t="s">
        <v>831</v>
      </c>
      <c r="C28" s="6">
        <v>181</v>
      </c>
      <c r="D28" s="8" t="s">
        <v>676</v>
      </c>
      <c r="E28" s="10">
        <v>44342</v>
      </c>
      <c r="F28" s="10">
        <v>44465</v>
      </c>
      <c r="G28" s="6"/>
      <c r="H28" s="6"/>
      <c r="I28" s="6"/>
      <c r="J28" s="6"/>
    </row>
    <row r="29" spans="1:10" x14ac:dyDescent="0.2">
      <c r="A29" s="6"/>
      <c r="B29" s="6"/>
      <c r="C29" s="6">
        <v>181</v>
      </c>
      <c r="D29" s="8" t="s">
        <v>474</v>
      </c>
      <c r="E29" s="10">
        <v>44342</v>
      </c>
      <c r="F29" s="10">
        <v>44465</v>
      </c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10"/>
      <c r="F30" s="10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10"/>
      <c r="F31" s="10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10"/>
      <c r="F32" s="10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10"/>
      <c r="F33" s="10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10"/>
      <c r="F34" s="10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10"/>
      <c r="F35" s="10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10"/>
      <c r="F36" s="10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10"/>
      <c r="F37" s="10"/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10"/>
      <c r="F38" s="10"/>
      <c r="G38" s="6"/>
      <c r="H38" s="6"/>
      <c r="I38" s="6"/>
      <c r="J38" s="6"/>
    </row>
    <row r="39" spans="1:10" x14ac:dyDescent="0.2">
      <c r="A39" s="6"/>
      <c r="B39" s="6"/>
      <c r="C39" s="6"/>
      <c r="D39" s="6"/>
      <c r="E39" s="10"/>
      <c r="F39" s="10"/>
      <c r="G39" s="6"/>
      <c r="H39" s="6"/>
      <c r="I39" s="6"/>
      <c r="J39" s="6"/>
    </row>
    <row r="40" spans="1:10" x14ac:dyDescent="0.2">
      <c r="A40" s="6"/>
      <c r="B40" s="6"/>
      <c r="C40" s="6"/>
      <c r="D40" s="6"/>
      <c r="E40" s="10"/>
      <c r="F40" s="10"/>
      <c r="G40" s="6"/>
      <c r="H40" s="6"/>
      <c r="I40" s="6"/>
      <c r="J40" s="6"/>
    </row>
    <row r="41" spans="1:10" x14ac:dyDescent="0.2">
      <c r="A41" s="6"/>
      <c r="B41" s="6"/>
      <c r="C41" s="6"/>
      <c r="D41" s="6"/>
      <c r="E41" s="10"/>
      <c r="F41" s="10"/>
      <c r="G41" s="6"/>
      <c r="H41" s="6"/>
      <c r="I41" s="6"/>
      <c r="J41" s="6"/>
    </row>
    <row r="42" spans="1:10" x14ac:dyDescent="0.2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">
      <c r="A51" s="6"/>
      <c r="B51" s="6"/>
      <c r="C51" s="6"/>
      <c r="D51" s="6"/>
      <c r="E51" s="6"/>
      <c r="F51" s="6"/>
      <c r="G51" s="6"/>
      <c r="H51" s="6"/>
      <c r="I51" s="6"/>
      <c r="J51" s="6"/>
    </row>
  </sheetData>
  <mergeCells count="1">
    <mergeCell ref="I3:I4"/>
  </mergeCells>
  <pageMargins left="0.7" right="0.7" top="0.75" bottom="0.75" header="0.3" footer="0.3"/>
  <pageSetup scale="92" fitToHeight="6" orientation="landscape" horizontalDpi="300" r:id="rId1"/>
  <headerFooter>
    <oddFooter>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EB12-A566-44C6-B3D5-A67AC39F5F80}">
  <sheetPr>
    <tabColor theme="0" tint="-0.34998626667073579"/>
    <pageSetUpPr fitToPage="1"/>
  </sheetPr>
  <dimension ref="A1:J37"/>
  <sheetViews>
    <sheetView workbookViewId="0"/>
  </sheetViews>
  <sheetFormatPr defaultRowHeight="12.75" x14ac:dyDescent="0.2"/>
  <cols>
    <col min="1" max="1" width="18.7109375" customWidth="1"/>
    <col min="2" max="2" width="10" customWidth="1"/>
    <col min="3" max="3" width="6.5703125" customWidth="1"/>
    <col min="4" max="4" width="24" customWidth="1"/>
    <col min="5" max="5" width="13.85546875" customWidth="1"/>
    <col min="6" max="6" width="11.5703125" customWidth="1"/>
    <col min="7" max="7" width="12.28515625" customWidth="1"/>
    <col min="8" max="8" width="12" customWidth="1"/>
    <col min="9" max="9" width="14.5703125" customWidth="1"/>
    <col min="10" max="10" width="10.7109375" customWidth="1"/>
  </cols>
  <sheetData>
    <row r="1" spans="1:10" ht="15" x14ac:dyDescent="0.2">
      <c r="A1" s="5" t="str">
        <f ca="1">MID(CELL("filename",$A$1),FIND("]",CELL("filename",$A$1),1)+1,1024)</f>
        <v>BRITE CREEK FARM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323</v>
      </c>
      <c r="B5" s="12">
        <v>120898</v>
      </c>
      <c r="C5" s="6">
        <v>110</v>
      </c>
      <c r="D5" s="8" t="s">
        <v>68</v>
      </c>
      <c r="E5" s="10">
        <v>43647</v>
      </c>
      <c r="F5" s="10">
        <v>44012</v>
      </c>
      <c r="G5" s="6"/>
      <c r="H5" s="6"/>
      <c r="I5" s="6">
        <f t="shared" ref="I5:I13" si="0">C5-G5</f>
        <v>110</v>
      </c>
      <c r="J5" s="6" t="s">
        <v>345</v>
      </c>
    </row>
    <row r="6" spans="1:10" x14ac:dyDescent="0.2">
      <c r="A6" s="6" t="s">
        <v>388</v>
      </c>
      <c r="B6" s="6"/>
      <c r="C6" s="6">
        <v>4</v>
      </c>
      <c r="D6" s="6" t="s">
        <v>99</v>
      </c>
      <c r="E6" s="10">
        <v>43647</v>
      </c>
      <c r="F6" s="10">
        <v>44012</v>
      </c>
      <c r="G6" s="6"/>
      <c r="H6" s="6"/>
      <c r="I6" s="6">
        <f t="shared" si="0"/>
        <v>4</v>
      </c>
      <c r="J6" s="6" t="s">
        <v>452</v>
      </c>
    </row>
    <row r="7" spans="1:10" x14ac:dyDescent="0.2">
      <c r="A7" s="6"/>
      <c r="B7" s="6"/>
      <c r="C7" s="6">
        <v>2</v>
      </c>
      <c r="D7" s="6" t="s">
        <v>326</v>
      </c>
      <c r="E7" s="10">
        <v>43647</v>
      </c>
      <c r="F7" s="10">
        <v>44012</v>
      </c>
      <c r="G7" s="6"/>
      <c r="H7" s="6"/>
      <c r="I7" s="6">
        <f t="shared" si="0"/>
        <v>2</v>
      </c>
      <c r="J7" s="6"/>
    </row>
    <row r="8" spans="1:10" x14ac:dyDescent="0.2">
      <c r="A8" s="6"/>
      <c r="B8" s="12"/>
      <c r="C8" s="6">
        <v>4</v>
      </c>
      <c r="D8" s="8" t="s">
        <v>121</v>
      </c>
      <c r="E8" s="10">
        <v>43647</v>
      </c>
      <c r="F8" s="10">
        <v>44012</v>
      </c>
      <c r="G8" s="6"/>
      <c r="H8" s="6"/>
      <c r="I8" s="6">
        <f t="shared" si="0"/>
        <v>4</v>
      </c>
      <c r="J8" s="6"/>
    </row>
    <row r="9" spans="1:10" x14ac:dyDescent="0.2">
      <c r="A9" s="6"/>
      <c r="B9" s="6"/>
      <c r="C9" s="6">
        <v>12</v>
      </c>
      <c r="D9" s="6" t="s">
        <v>327</v>
      </c>
      <c r="E9" s="10">
        <v>43647</v>
      </c>
      <c r="F9" s="10">
        <v>44012</v>
      </c>
      <c r="G9" s="6"/>
      <c r="H9" s="6"/>
      <c r="I9" s="6">
        <f t="shared" si="0"/>
        <v>12</v>
      </c>
      <c r="J9" s="6"/>
    </row>
    <row r="10" spans="1:10" x14ac:dyDescent="0.2">
      <c r="A10" s="6"/>
      <c r="B10" s="6"/>
      <c r="C10" s="6">
        <v>4</v>
      </c>
      <c r="D10" s="6" t="s">
        <v>328</v>
      </c>
      <c r="E10" s="10">
        <v>43647</v>
      </c>
      <c r="F10" s="10">
        <v>44012</v>
      </c>
      <c r="G10" s="6"/>
      <c r="H10" s="6"/>
      <c r="I10" s="6">
        <f t="shared" si="0"/>
        <v>4</v>
      </c>
      <c r="J10" s="6"/>
    </row>
    <row r="11" spans="1:10" x14ac:dyDescent="0.2">
      <c r="A11" s="6"/>
      <c r="B11" s="6"/>
      <c r="C11" s="6">
        <v>3</v>
      </c>
      <c r="D11" s="6" t="s">
        <v>182</v>
      </c>
      <c r="E11" s="10">
        <v>43647</v>
      </c>
      <c r="F11" s="10">
        <v>44012</v>
      </c>
      <c r="G11" s="6"/>
      <c r="H11" s="6"/>
      <c r="I11" s="6">
        <f t="shared" si="0"/>
        <v>3</v>
      </c>
      <c r="J11" s="6"/>
    </row>
    <row r="12" spans="1:10" x14ac:dyDescent="0.2">
      <c r="A12" s="6"/>
      <c r="B12" s="12"/>
      <c r="C12" s="6">
        <v>4</v>
      </c>
      <c r="D12" s="8" t="s">
        <v>329</v>
      </c>
      <c r="E12" s="10">
        <v>43647</v>
      </c>
      <c r="F12" s="10">
        <v>44012</v>
      </c>
      <c r="G12" s="6"/>
      <c r="H12" s="6"/>
      <c r="I12" s="6">
        <f t="shared" si="0"/>
        <v>4</v>
      </c>
      <c r="J12" s="6"/>
    </row>
    <row r="13" spans="1:10" x14ac:dyDescent="0.2">
      <c r="A13" s="6"/>
      <c r="B13" s="12"/>
      <c r="C13" s="6">
        <v>12</v>
      </c>
      <c r="D13" s="8" t="s">
        <v>255</v>
      </c>
      <c r="E13" s="10">
        <v>43647</v>
      </c>
      <c r="F13" s="10">
        <v>44012</v>
      </c>
      <c r="G13" s="6"/>
      <c r="H13" s="6"/>
      <c r="I13" s="6">
        <f t="shared" si="0"/>
        <v>12</v>
      </c>
      <c r="J13" s="6"/>
    </row>
    <row r="14" spans="1:10" x14ac:dyDescent="0.2">
      <c r="A14" s="6"/>
      <c r="B14" s="6"/>
      <c r="C14" s="6"/>
      <c r="D14" s="6"/>
      <c r="E14" s="10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8"/>
      <c r="E15" s="10"/>
      <c r="F15" s="10"/>
      <c r="G15" s="6"/>
      <c r="H15" s="6"/>
      <c r="I15" s="6"/>
      <c r="J15" s="6"/>
    </row>
    <row r="16" spans="1:10" x14ac:dyDescent="0.2">
      <c r="A16" s="6"/>
      <c r="B16" s="12"/>
      <c r="C16" s="6"/>
      <c r="D16" s="8"/>
      <c r="E16" s="10"/>
      <c r="F16" s="10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10"/>
      <c r="F19" s="10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10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10"/>
      <c r="F30" s="10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10"/>
      <c r="F31" s="10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10"/>
      <c r="F32" s="10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10"/>
      <c r="F33" s="10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10"/>
      <c r="F34" s="10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</sheetData>
  <mergeCells count="1">
    <mergeCell ref="I3:I4"/>
  </mergeCells>
  <pageMargins left="0.7" right="0.7" top="0.75" bottom="0.75" header="0.3" footer="0.3"/>
  <pageSetup scale="87" fitToHeight="6" orientation="landscape" horizontalDpi="300" r:id="rId1"/>
  <headerFooter>
    <oddFooter>&amp;R&amp;D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A3FD1-5AF3-4257-AA74-6B5E2A12FC6B}">
  <sheetPr>
    <tabColor theme="0" tint="-0.34998626667073579"/>
    <pageSetUpPr fitToPage="1"/>
  </sheetPr>
  <dimension ref="A1:J37"/>
  <sheetViews>
    <sheetView workbookViewId="0"/>
  </sheetViews>
  <sheetFormatPr defaultRowHeight="12.75" x14ac:dyDescent="0.2"/>
  <cols>
    <col min="1" max="1" width="18.7109375" customWidth="1"/>
    <col min="2" max="2" width="10" customWidth="1"/>
    <col min="3" max="3" width="6.5703125" customWidth="1"/>
    <col min="4" max="4" width="24" customWidth="1"/>
    <col min="5" max="5" width="13.85546875" customWidth="1"/>
    <col min="6" max="6" width="11.5703125" customWidth="1"/>
    <col min="7" max="7" width="12.28515625" customWidth="1"/>
    <col min="8" max="8" width="12" customWidth="1"/>
    <col min="9" max="9" width="14.5703125" customWidth="1"/>
    <col min="10" max="10" width="10.7109375" customWidth="1"/>
  </cols>
  <sheetData>
    <row r="1" spans="1:10" ht="15" x14ac:dyDescent="0.2">
      <c r="A1" s="5" t="str">
        <f ca="1">MID(CELL("filename",$A$1),FIND("]",CELL("filename",$A$1),1)+1,1024)</f>
        <v>BROKEN WING FARMS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393</v>
      </c>
      <c r="B5" s="95" t="s">
        <v>403</v>
      </c>
      <c r="C5" s="6">
        <v>4580</v>
      </c>
      <c r="D5" s="8" t="s">
        <v>394</v>
      </c>
      <c r="E5" s="10">
        <v>43835</v>
      </c>
      <c r="F5" s="10">
        <v>43951</v>
      </c>
      <c r="G5" s="6"/>
      <c r="H5" s="6"/>
      <c r="I5" s="6"/>
      <c r="J5" s="6" t="s">
        <v>402</v>
      </c>
    </row>
    <row r="6" spans="1:10" x14ac:dyDescent="0.2">
      <c r="A6" s="6"/>
      <c r="B6" s="6"/>
      <c r="C6" s="6">
        <v>129</v>
      </c>
      <c r="D6" s="6" t="s">
        <v>395</v>
      </c>
      <c r="E6" s="10">
        <v>43835</v>
      </c>
      <c r="F6" s="10">
        <v>43951</v>
      </c>
      <c r="G6" s="6"/>
      <c r="H6" s="6"/>
      <c r="I6" s="6"/>
      <c r="J6" s="6"/>
    </row>
    <row r="7" spans="1:10" x14ac:dyDescent="0.2">
      <c r="A7" s="6"/>
      <c r="B7" s="6"/>
      <c r="C7" s="6">
        <v>129</v>
      </c>
      <c r="D7" s="6" t="s">
        <v>136</v>
      </c>
      <c r="E7" s="10">
        <v>43835</v>
      </c>
      <c r="F7" s="10">
        <v>43951</v>
      </c>
      <c r="G7" s="6"/>
      <c r="H7" s="6"/>
      <c r="I7" s="6"/>
      <c r="J7" s="6"/>
    </row>
    <row r="8" spans="1:10" x14ac:dyDescent="0.2">
      <c r="A8" s="6"/>
      <c r="B8" s="12"/>
      <c r="C8" s="6">
        <v>129</v>
      </c>
      <c r="D8" s="8" t="s">
        <v>396</v>
      </c>
      <c r="E8" s="10">
        <v>43835</v>
      </c>
      <c r="F8" s="10">
        <v>43951</v>
      </c>
      <c r="G8" s="6"/>
      <c r="H8" s="6"/>
      <c r="I8" s="6"/>
      <c r="J8" s="6"/>
    </row>
    <row r="9" spans="1:10" x14ac:dyDescent="0.2">
      <c r="A9" s="6"/>
      <c r="B9" s="6"/>
      <c r="C9" s="6">
        <v>129</v>
      </c>
      <c r="D9" s="6" t="s">
        <v>200</v>
      </c>
      <c r="E9" s="10">
        <v>43835</v>
      </c>
      <c r="F9" s="10">
        <v>43951</v>
      </c>
      <c r="G9" s="6"/>
      <c r="H9" s="6"/>
      <c r="I9" s="6"/>
      <c r="J9" s="6"/>
    </row>
    <row r="10" spans="1:10" x14ac:dyDescent="0.2">
      <c r="A10" s="6"/>
      <c r="B10" s="6"/>
      <c r="C10" s="6">
        <v>5</v>
      </c>
      <c r="D10" s="6" t="s">
        <v>397</v>
      </c>
      <c r="E10" s="10">
        <v>43835</v>
      </c>
      <c r="F10" s="10">
        <v>43951</v>
      </c>
      <c r="G10" s="6"/>
      <c r="H10" s="6"/>
      <c r="I10" s="6"/>
      <c r="J10" s="6"/>
    </row>
    <row r="11" spans="1:10" x14ac:dyDescent="0.2">
      <c r="A11" s="6"/>
      <c r="B11" s="6"/>
      <c r="C11" s="6">
        <v>1</v>
      </c>
      <c r="D11" s="6" t="s">
        <v>398</v>
      </c>
      <c r="E11" s="10">
        <v>43835</v>
      </c>
      <c r="F11" s="10">
        <v>43951</v>
      </c>
      <c r="G11" s="6"/>
      <c r="H11" s="6"/>
      <c r="I11" s="6"/>
      <c r="J11" s="6"/>
    </row>
    <row r="12" spans="1:10" x14ac:dyDescent="0.2">
      <c r="A12" s="6"/>
      <c r="B12" s="12"/>
      <c r="C12" s="6">
        <v>1</v>
      </c>
      <c r="D12" s="8" t="s">
        <v>348</v>
      </c>
      <c r="E12" s="10">
        <v>43835</v>
      </c>
      <c r="F12" s="10">
        <v>43951</v>
      </c>
      <c r="G12" s="6"/>
      <c r="H12" s="6"/>
      <c r="I12" s="6"/>
      <c r="J12" s="6"/>
    </row>
    <row r="13" spans="1:10" x14ac:dyDescent="0.2">
      <c r="A13" s="6"/>
      <c r="B13" s="12"/>
      <c r="C13" s="6"/>
      <c r="D13" s="8"/>
      <c r="E13" s="10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6"/>
      <c r="E14" s="10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8"/>
      <c r="E15" s="10"/>
      <c r="F15" s="10"/>
      <c r="G15" s="6"/>
      <c r="H15" s="6"/>
      <c r="I15" s="6"/>
      <c r="J15" s="6"/>
    </row>
    <row r="16" spans="1:10" x14ac:dyDescent="0.2">
      <c r="A16" s="6"/>
      <c r="B16" s="12"/>
      <c r="C16" s="6"/>
      <c r="D16" s="8"/>
      <c r="E16" s="10"/>
      <c r="F16" s="10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10"/>
      <c r="F19" s="10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10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10"/>
      <c r="F30" s="10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10"/>
      <c r="F31" s="10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10"/>
      <c r="F32" s="10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10"/>
      <c r="F33" s="10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10"/>
      <c r="F34" s="10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</sheetData>
  <mergeCells count="1">
    <mergeCell ref="I3:I4"/>
  </mergeCells>
  <pageMargins left="0.7" right="0.7" top="0.75" bottom="0.75" header="0.3" footer="0.3"/>
  <pageSetup scale="87" fitToHeight="6" orientation="landscape" horizontalDpi="300" r:id="rId1"/>
  <headerFooter>
    <oddFooter>&amp;R&amp;D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34998626667073579"/>
    <pageSetUpPr fitToPage="1"/>
  </sheetPr>
  <dimension ref="A1:J33"/>
  <sheetViews>
    <sheetView workbookViewId="0"/>
  </sheetViews>
  <sheetFormatPr defaultRowHeight="12.75" x14ac:dyDescent="0.2"/>
  <cols>
    <col min="1" max="1" width="15.5703125" bestFit="1" customWidth="1"/>
    <col min="2" max="2" width="14.7109375" bestFit="1" customWidth="1"/>
    <col min="3" max="3" width="6.5703125" customWidth="1"/>
    <col min="4" max="4" width="24" customWidth="1"/>
    <col min="5" max="5" width="13.85546875" customWidth="1"/>
    <col min="6" max="6" width="11.5703125" customWidth="1"/>
    <col min="9" max="9" width="12.28515625" customWidth="1"/>
  </cols>
  <sheetData>
    <row r="1" spans="1:10" ht="15" x14ac:dyDescent="0.2">
      <c r="A1" s="5" t="str">
        <f ca="1">MID(CELL("filename",$A$1),FIND("]",CELL("filename",$A$1),1)+1,1024)</f>
        <v>BUTTONWILLOW LAND &amp; CATTLE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/>
      <c r="B5" s="17"/>
      <c r="C5" s="6"/>
      <c r="D5" s="11"/>
      <c r="E5" s="10"/>
      <c r="F5" s="10"/>
      <c r="G5" s="6"/>
      <c r="H5" s="6"/>
      <c r="I5" s="6"/>
      <c r="J5" s="6"/>
    </row>
    <row r="6" spans="1:10" x14ac:dyDescent="0.2">
      <c r="A6" s="6"/>
      <c r="B6" s="17"/>
      <c r="C6" s="6"/>
      <c r="D6" s="11"/>
      <c r="E6" s="10"/>
      <c r="F6" s="10"/>
      <c r="G6" s="6"/>
      <c r="H6" s="6"/>
      <c r="I6" s="6"/>
      <c r="J6" s="6"/>
    </row>
    <row r="7" spans="1:10" x14ac:dyDescent="0.2">
      <c r="A7" s="6"/>
      <c r="B7" s="17"/>
      <c r="C7" s="6"/>
      <c r="D7" s="11"/>
      <c r="E7" s="10"/>
      <c r="F7" s="10"/>
      <c r="G7" s="6"/>
      <c r="H7" s="6"/>
      <c r="I7" s="6"/>
      <c r="J7" s="6"/>
    </row>
    <row r="8" spans="1:10" x14ac:dyDescent="0.2">
      <c r="A8" s="6"/>
      <c r="B8" s="17"/>
      <c r="C8" s="6"/>
      <c r="D8" s="11"/>
      <c r="E8" s="10"/>
      <c r="F8" s="10"/>
      <c r="G8" s="6"/>
      <c r="H8" s="6"/>
      <c r="I8" s="6"/>
      <c r="J8" s="6"/>
    </row>
    <row r="9" spans="1:10" x14ac:dyDescent="0.2">
      <c r="A9" s="6"/>
      <c r="B9" s="17"/>
      <c r="C9" s="6"/>
      <c r="D9" s="6"/>
      <c r="E9" s="10"/>
      <c r="F9" s="10"/>
      <c r="G9" s="6"/>
      <c r="H9" s="6"/>
      <c r="I9" s="6"/>
      <c r="J9" s="6"/>
    </row>
    <row r="10" spans="1:10" x14ac:dyDescent="0.2">
      <c r="A10" s="6"/>
      <c r="B10" s="17"/>
      <c r="C10" s="6"/>
      <c r="D10" s="6"/>
      <c r="E10" s="10"/>
      <c r="F10" s="10"/>
      <c r="G10" s="6"/>
      <c r="H10" s="6"/>
      <c r="I10" s="6"/>
      <c r="J10" s="6"/>
    </row>
    <row r="11" spans="1:10" x14ac:dyDescent="0.2">
      <c r="A11" s="6"/>
      <c r="B11" s="17"/>
      <c r="C11" s="6"/>
      <c r="D11" s="6"/>
      <c r="E11" s="10"/>
      <c r="F11" s="10"/>
      <c r="G11" s="6"/>
      <c r="H11" s="6"/>
      <c r="I11" s="6"/>
      <c r="J11" s="6"/>
    </row>
    <row r="12" spans="1:10" x14ac:dyDescent="0.2">
      <c r="A12" s="6"/>
      <c r="B12" s="17"/>
      <c r="C12" s="6"/>
      <c r="D12" s="6"/>
      <c r="E12" s="10"/>
      <c r="F12" s="10"/>
      <c r="G12" s="6"/>
      <c r="H12" s="6"/>
      <c r="I12" s="6"/>
      <c r="J12" s="6"/>
    </row>
    <row r="13" spans="1:10" x14ac:dyDescent="0.2">
      <c r="A13" s="6"/>
      <c r="B13" s="17"/>
      <c r="C13" s="6"/>
      <c r="D13" s="6"/>
      <c r="E13" s="10"/>
      <c r="F13" s="10"/>
      <c r="G13" s="6"/>
      <c r="H13" s="6"/>
      <c r="I13" s="6"/>
      <c r="J13" s="6"/>
    </row>
    <row r="14" spans="1:10" x14ac:dyDescent="0.2">
      <c r="A14" s="6"/>
      <c r="B14" s="17"/>
      <c r="C14" s="6"/>
      <c r="D14" s="6"/>
      <c r="E14" s="10"/>
      <c r="F14" s="10"/>
      <c r="G14" s="6"/>
      <c r="H14" s="6"/>
      <c r="I14" s="6"/>
      <c r="J14" s="6"/>
    </row>
    <row r="15" spans="1:10" x14ac:dyDescent="0.2">
      <c r="A15" s="6"/>
      <c r="B15" s="17"/>
      <c r="C15" s="6"/>
      <c r="D15" s="6"/>
      <c r="E15" s="10"/>
      <c r="F15" s="10"/>
      <c r="G15" s="6"/>
      <c r="H15" s="6"/>
      <c r="I15" s="6"/>
      <c r="J15" s="6"/>
    </row>
    <row r="16" spans="1:10" x14ac:dyDescent="0.2">
      <c r="A16" s="6"/>
      <c r="B16" s="17"/>
      <c r="C16" s="6"/>
      <c r="D16" s="6"/>
      <c r="E16" s="10"/>
      <c r="F16" s="10"/>
      <c r="G16" s="6"/>
      <c r="H16" s="6"/>
      <c r="I16" s="6"/>
      <c r="J16" s="6"/>
    </row>
    <row r="17" spans="1:10" x14ac:dyDescent="0.2">
      <c r="A17" s="6"/>
      <c r="B17" s="17"/>
      <c r="C17" s="6"/>
      <c r="D17" s="6"/>
      <c r="E17" s="10"/>
      <c r="F17" s="10"/>
      <c r="G17" s="6"/>
      <c r="H17" s="6"/>
      <c r="I17" s="6"/>
      <c r="J17" s="6"/>
    </row>
    <row r="18" spans="1:10" x14ac:dyDescent="0.2">
      <c r="A18" s="6"/>
      <c r="B18" s="17"/>
      <c r="C18" s="6"/>
      <c r="D18" s="6"/>
      <c r="E18" s="10"/>
      <c r="F18" s="10"/>
      <c r="G18" s="6"/>
      <c r="H18" s="6"/>
      <c r="I18" s="6"/>
      <c r="J18" s="6"/>
    </row>
    <row r="19" spans="1:10" x14ac:dyDescent="0.2">
      <c r="A19" s="19"/>
      <c r="B19" s="31"/>
      <c r="C19" s="19"/>
      <c r="D19" s="19"/>
      <c r="E19" s="19"/>
      <c r="F19" s="19"/>
      <c r="G19" s="19"/>
      <c r="H19" s="19"/>
      <c r="I19" s="19"/>
      <c r="J19" s="19"/>
    </row>
    <row r="20" spans="1:10" x14ac:dyDescent="0.2">
      <c r="A20" s="6"/>
      <c r="B20" s="17"/>
      <c r="C20" s="6"/>
      <c r="D20" s="6"/>
      <c r="E20" s="10"/>
      <c r="F20" s="10"/>
      <c r="G20" s="6"/>
      <c r="H20" s="6"/>
      <c r="I20" s="6"/>
      <c r="J20" s="6"/>
    </row>
    <row r="21" spans="1:10" x14ac:dyDescent="0.2">
      <c r="A21" s="6"/>
      <c r="B21" s="17"/>
      <c r="C21" s="6"/>
      <c r="D21" s="6"/>
      <c r="E21" s="10"/>
      <c r="F21" s="10"/>
      <c r="G21" s="6"/>
      <c r="H21" s="6"/>
      <c r="I21" s="6"/>
      <c r="J21" s="6"/>
    </row>
    <row r="22" spans="1:10" x14ac:dyDescent="0.2">
      <c r="A22" s="6"/>
      <c r="B22" s="17"/>
      <c r="C22" s="6"/>
      <c r="D22" s="6"/>
      <c r="E22" s="10"/>
      <c r="F22" s="10"/>
      <c r="G22" s="6"/>
      <c r="H22" s="6"/>
      <c r="I22" s="6"/>
      <c r="J22" s="6"/>
    </row>
    <row r="23" spans="1:10" x14ac:dyDescent="0.2">
      <c r="A23" s="6"/>
      <c r="B23" s="17"/>
      <c r="C23" s="6"/>
      <c r="D23" s="6"/>
      <c r="E23" s="10"/>
      <c r="F23" s="10"/>
      <c r="G23" s="6"/>
      <c r="H23" s="6"/>
      <c r="I23" s="6"/>
      <c r="J23" s="6"/>
    </row>
    <row r="24" spans="1:10" x14ac:dyDescent="0.2">
      <c r="A24" s="6"/>
      <c r="B24" s="17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17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17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17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17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17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17"/>
      <c r="C30" s="6"/>
      <c r="D30" s="6"/>
      <c r="E30" s="6"/>
      <c r="F30" s="6"/>
      <c r="G30" s="6"/>
      <c r="H30" s="6"/>
      <c r="I30" s="6"/>
      <c r="J30" s="6"/>
    </row>
    <row r="31" spans="1:10" x14ac:dyDescent="0.2">
      <c r="A31" s="6"/>
      <c r="B31" s="17"/>
      <c r="C31" s="6"/>
      <c r="D31" s="6"/>
      <c r="E31" s="6"/>
      <c r="F31" s="6"/>
      <c r="G31" s="6"/>
      <c r="H31" s="6"/>
      <c r="I31" s="6"/>
      <c r="J31" s="6"/>
    </row>
    <row r="32" spans="1:10" x14ac:dyDescent="0.2">
      <c r="A32" s="6"/>
      <c r="B32" s="17"/>
      <c r="C32" s="6"/>
      <c r="D32" s="6"/>
      <c r="E32" s="6"/>
      <c r="F32" s="6"/>
      <c r="G32" s="6"/>
      <c r="H32" s="6"/>
      <c r="I32" s="6"/>
      <c r="J32" s="6"/>
    </row>
    <row r="33" spans="1:10" x14ac:dyDescent="0.2">
      <c r="A33" s="6"/>
      <c r="B33" s="17"/>
      <c r="C33" s="6"/>
      <c r="D33" s="6"/>
      <c r="E33" s="6"/>
      <c r="F33" s="6"/>
      <c r="G33" s="6"/>
      <c r="H33" s="6"/>
      <c r="I33" s="6"/>
      <c r="J33" s="6"/>
    </row>
  </sheetData>
  <mergeCells count="1">
    <mergeCell ref="I3:I4"/>
  </mergeCells>
  <pageMargins left="0.7" right="0.7" top="0.75" bottom="0.75" header="0.3" footer="0.3"/>
  <pageSetup scale="92" fitToHeight="6" orientation="landscape" horizontalDpi="300" r:id="rId1"/>
  <headerFooter>
    <oddFooter>&amp;R&amp;D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34998626667073579"/>
    <pageSetUpPr fitToPage="1"/>
  </sheetPr>
  <dimension ref="A1:J178"/>
  <sheetViews>
    <sheetView workbookViewId="0">
      <pane ySplit="4" topLeftCell="A20" activePane="bottomLeft" state="frozen"/>
      <selection pane="bottomLeft"/>
    </sheetView>
  </sheetViews>
  <sheetFormatPr defaultRowHeight="12.75" x14ac:dyDescent="0.2"/>
  <cols>
    <col min="1" max="1" width="24.28515625" customWidth="1"/>
    <col min="2" max="2" width="14.140625" bestFit="1" customWidth="1"/>
    <col min="3" max="3" width="6.5703125" customWidth="1"/>
    <col min="4" max="4" width="26.85546875" bestFit="1" customWidth="1"/>
    <col min="5" max="5" width="12.42578125" customWidth="1"/>
    <col min="6" max="6" width="10.28515625" customWidth="1"/>
    <col min="7" max="7" width="11.7109375" customWidth="1"/>
    <col min="8" max="8" width="10.85546875" customWidth="1"/>
    <col min="9" max="9" width="13.7109375" customWidth="1"/>
  </cols>
  <sheetData>
    <row r="1" spans="1:10" ht="15" x14ac:dyDescent="0.2">
      <c r="A1" s="5" t="str">
        <f ca="1">MID(CELL("filename",$A$1),FIND("]",CELL("filename",$A$1),1)+1,1024)</f>
        <v>Cauzza Bros.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s="1" customFormat="1" x14ac:dyDescent="0.2">
      <c r="A5" s="7" t="s">
        <v>1164</v>
      </c>
      <c r="B5" s="25" t="s">
        <v>1166</v>
      </c>
      <c r="C5" s="25">
        <v>30</v>
      </c>
      <c r="D5" s="15" t="s">
        <v>424</v>
      </c>
      <c r="E5" s="57">
        <v>44545</v>
      </c>
      <c r="F5" s="57">
        <v>44696</v>
      </c>
      <c r="G5" s="7"/>
      <c r="H5" s="8"/>
      <c r="I5" s="46"/>
      <c r="J5" s="8"/>
    </row>
    <row r="6" spans="1:10" s="1" customFormat="1" x14ac:dyDescent="0.2">
      <c r="A6" s="7" t="s">
        <v>1165</v>
      </c>
      <c r="B6" s="25"/>
      <c r="C6" s="25">
        <v>1</v>
      </c>
      <c r="D6" s="15" t="s">
        <v>442</v>
      </c>
      <c r="E6" s="57">
        <v>44545</v>
      </c>
      <c r="F6" s="57">
        <v>44696</v>
      </c>
      <c r="G6" s="7"/>
      <c r="H6" s="8"/>
      <c r="I6" s="46"/>
      <c r="J6" s="8"/>
    </row>
    <row r="7" spans="1:10" s="1" customFormat="1" x14ac:dyDescent="0.2">
      <c r="A7" s="7"/>
      <c r="B7" s="25"/>
      <c r="C7" s="25">
        <v>1</v>
      </c>
      <c r="D7" s="15" t="s">
        <v>414</v>
      </c>
      <c r="E7" s="57">
        <v>44545</v>
      </c>
      <c r="F7" s="57">
        <v>44696</v>
      </c>
      <c r="G7" s="7"/>
      <c r="H7" s="8"/>
      <c r="I7" s="46"/>
      <c r="J7" s="8"/>
    </row>
    <row r="8" spans="1:10" s="1" customFormat="1" x14ac:dyDescent="0.2">
      <c r="A8" s="7"/>
      <c r="B8" s="25"/>
      <c r="C8" s="25">
        <v>1</v>
      </c>
      <c r="D8" s="15" t="s">
        <v>19</v>
      </c>
      <c r="E8" s="57">
        <v>44545</v>
      </c>
      <c r="F8" s="57">
        <v>44696</v>
      </c>
      <c r="G8" s="7"/>
      <c r="H8" s="8"/>
      <c r="I8" s="46"/>
      <c r="J8" s="8"/>
    </row>
    <row r="9" spans="1:10" s="1" customFormat="1" x14ac:dyDescent="0.2">
      <c r="A9" s="7"/>
      <c r="B9" s="25"/>
      <c r="C9" s="25">
        <v>63</v>
      </c>
      <c r="D9" s="15" t="s">
        <v>1145</v>
      </c>
      <c r="E9" s="57">
        <v>44545</v>
      </c>
      <c r="F9" s="57">
        <v>44696</v>
      </c>
      <c r="G9" s="7"/>
      <c r="H9" s="8"/>
      <c r="I9" s="46"/>
      <c r="J9" s="8"/>
    </row>
    <row r="10" spans="1:10" s="1" customFormat="1" x14ac:dyDescent="0.2">
      <c r="A10" s="7"/>
      <c r="B10" s="25"/>
      <c r="C10" s="25">
        <v>2</v>
      </c>
      <c r="D10" s="15" t="s">
        <v>10</v>
      </c>
      <c r="E10" s="57">
        <v>44545</v>
      </c>
      <c r="F10" s="57">
        <v>44696</v>
      </c>
      <c r="G10" s="7"/>
      <c r="H10" s="8"/>
      <c r="I10" s="46"/>
      <c r="J10" s="8"/>
    </row>
    <row r="11" spans="1:10" s="1" customFormat="1" x14ac:dyDescent="0.2">
      <c r="A11" s="7"/>
      <c r="B11" s="25"/>
      <c r="C11" s="25">
        <v>2</v>
      </c>
      <c r="D11" s="15" t="s">
        <v>443</v>
      </c>
      <c r="E11" s="57">
        <v>44545</v>
      </c>
      <c r="F11" s="57">
        <v>44696</v>
      </c>
      <c r="G11" s="7"/>
      <c r="H11" s="8"/>
      <c r="I11" s="46"/>
      <c r="J11" s="8"/>
    </row>
    <row r="12" spans="1:10" s="1" customFormat="1" x14ac:dyDescent="0.2">
      <c r="A12" s="7"/>
      <c r="B12" s="25"/>
      <c r="C12" s="25">
        <v>65</v>
      </c>
      <c r="D12" s="15" t="s">
        <v>82</v>
      </c>
      <c r="E12" s="57">
        <v>44545</v>
      </c>
      <c r="F12" s="57">
        <v>44696</v>
      </c>
      <c r="G12" s="7"/>
      <c r="H12" s="8"/>
      <c r="I12" s="46"/>
      <c r="J12" s="8"/>
    </row>
    <row r="13" spans="1:10" s="1" customFormat="1" x14ac:dyDescent="0.2">
      <c r="A13" s="7"/>
      <c r="B13" s="25"/>
      <c r="C13" s="25">
        <v>65</v>
      </c>
      <c r="D13" s="15" t="s">
        <v>71</v>
      </c>
      <c r="E13" s="57">
        <v>44545</v>
      </c>
      <c r="F13" s="57">
        <v>44696</v>
      </c>
      <c r="G13" s="7"/>
      <c r="H13" s="8"/>
      <c r="I13" s="46"/>
      <c r="J13" s="8"/>
    </row>
    <row r="14" spans="1:10" s="1" customFormat="1" x14ac:dyDescent="0.2">
      <c r="A14" s="7"/>
      <c r="B14" s="25"/>
      <c r="C14" s="25">
        <v>31</v>
      </c>
      <c r="D14" s="15" t="s">
        <v>474</v>
      </c>
      <c r="E14" s="57">
        <v>44545</v>
      </c>
      <c r="F14" s="57">
        <v>44696</v>
      </c>
      <c r="G14" s="7"/>
      <c r="H14" s="8"/>
      <c r="I14" s="46"/>
      <c r="J14" s="8"/>
    </row>
    <row r="15" spans="1:10" s="1" customFormat="1" x14ac:dyDescent="0.2">
      <c r="A15" s="7"/>
      <c r="B15" s="25"/>
      <c r="C15" s="25">
        <v>70</v>
      </c>
      <c r="D15" s="15" t="s">
        <v>89</v>
      </c>
      <c r="E15" s="57">
        <v>44545</v>
      </c>
      <c r="F15" s="57">
        <v>44696</v>
      </c>
      <c r="G15" s="7"/>
      <c r="H15" s="8"/>
      <c r="I15" s="46"/>
      <c r="J15" s="8"/>
    </row>
    <row r="16" spans="1:10" s="1" customFormat="1" x14ac:dyDescent="0.2">
      <c r="A16" s="7"/>
      <c r="B16" s="25"/>
      <c r="C16" s="25">
        <v>2800</v>
      </c>
      <c r="D16" s="15" t="s">
        <v>485</v>
      </c>
      <c r="E16" s="57">
        <v>44545</v>
      </c>
      <c r="F16" s="57">
        <v>44696</v>
      </c>
      <c r="G16" s="7"/>
      <c r="H16" s="8"/>
      <c r="I16" s="46"/>
      <c r="J16" s="8"/>
    </row>
    <row r="17" spans="1:10" s="1" customFormat="1" x14ac:dyDescent="0.2">
      <c r="A17" s="7"/>
      <c r="B17" s="25"/>
      <c r="C17" s="25">
        <v>130</v>
      </c>
      <c r="D17" s="15" t="s">
        <v>444</v>
      </c>
      <c r="E17" s="57">
        <v>44545</v>
      </c>
      <c r="F17" s="57">
        <v>44696</v>
      </c>
      <c r="G17" s="7"/>
      <c r="H17" s="8"/>
      <c r="I17" s="46"/>
      <c r="J17" s="8"/>
    </row>
    <row r="18" spans="1:10" s="1" customFormat="1" x14ac:dyDescent="0.2">
      <c r="A18" s="27"/>
      <c r="B18" s="47"/>
      <c r="C18" s="47"/>
      <c r="D18" s="48"/>
      <c r="E18" s="61"/>
      <c r="F18" s="61"/>
      <c r="G18" s="27"/>
      <c r="H18" s="30"/>
      <c r="I18" s="64"/>
      <c r="J18" s="30"/>
    </row>
    <row r="19" spans="1:10" s="1" customFormat="1" x14ac:dyDescent="0.2">
      <c r="A19" s="7" t="s">
        <v>1164</v>
      </c>
      <c r="B19" s="25" t="s">
        <v>1167</v>
      </c>
      <c r="C19" s="25">
        <v>1</v>
      </c>
      <c r="D19" s="15" t="s">
        <v>1168</v>
      </c>
      <c r="E19" s="57">
        <v>44545</v>
      </c>
      <c r="F19" s="57">
        <v>44696</v>
      </c>
      <c r="G19" s="7"/>
      <c r="H19" s="8"/>
      <c r="I19" s="46"/>
      <c r="J19" s="8"/>
    </row>
    <row r="20" spans="1:10" s="1" customFormat="1" x14ac:dyDescent="0.2">
      <c r="A20" s="7" t="s">
        <v>1165</v>
      </c>
      <c r="B20" s="25"/>
      <c r="C20" s="25">
        <v>1</v>
      </c>
      <c r="D20" s="15" t="s">
        <v>15</v>
      </c>
      <c r="E20" s="57">
        <v>44545</v>
      </c>
      <c r="F20" s="57">
        <v>44696</v>
      </c>
      <c r="G20" s="7"/>
      <c r="H20" s="8"/>
      <c r="I20" s="46"/>
      <c r="J20" s="8"/>
    </row>
    <row r="21" spans="1:10" s="1" customFormat="1" x14ac:dyDescent="0.2">
      <c r="A21" s="7"/>
      <c r="B21" s="25"/>
      <c r="C21" s="25">
        <v>2</v>
      </c>
      <c r="D21" s="15" t="s">
        <v>441</v>
      </c>
      <c r="E21" s="57">
        <v>44545</v>
      </c>
      <c r="F21" s="57">
        <v>44696</v>
      </c>
      <c r="G21" s="7"/>
      <c r="H21" s="8"/>
      <c r="I21" s="46"/>
      <c r="J21" s="8"/>
    </row>
    <row r="22" spans="1:10" s="1" customFormat="1" x14ac:dyDescent="0.2">
      <c r="A22" s="7"/>
      <c r="B22" s="25"/>
      <c r="C22" s="25">
        <v>1</v>
      </c>
      <c r="D22" s="15" t="s">
        <v>17</v>
      </c>
      <c r="E22" s="57">
        <v>44545</v>
      </c>
      <c r="F22" s="57">
        <v>44696</v>
      </c>
      <c r="G22" s="7"/>
      <c r="H22" s="8"/>
      <c r="I22" s="46"/>
      <c r="J22" s="8"/>
    </row>
    <row r="23" spans="1:10" s="1" customFormat="1" x14ac:dyDescent="0.2">
      <c r="A23" s="7"/>
      <c r="B23" s="25"/>
      <c r="C23" s="25">
        <v>1</v>
      </c>
      <c r="D23" s="15" t="s">
        <v>422</v>
      </c>
      <c r="E23" s="57">
        <v>44545</v>
      </c>
      <c r="F23" s="57">
        <v>44696</v>
      </c>
      <c r="G23" s="7"/>
      <c r="H23" s="8"/>
      <c r="I23" s="46"/>
      <c r="J23" s="8"/>
    </row>
    <row r="24" spans="1:10" s="1" customFormat="1" x14ac:dyDescent="0.2">
      <c r="A24" s="27"/>
      <c r="B24" s="47"/>
      <c r="C24" s="47"/>
      <c r="D24" s="48"/>
      <c r="E24" s="61"/>
      <c r="F24" s="61"/>
      <c r="G24" s="27"/>
      <c r="H24" s="30"/>
      <c r="I24" s="64"/>
      <c r="J24" s="30"/>
    </row>
    <row r="25" spans="1:10" s="1" customFormat="1" x14ac:dyDescent="0.2">
      <c r="A25" s="7" t="s">
        <v>1176</v>
      </c>
      <c r="B25" s="25" t="s">
        <v>1177</v>
      </c>
      <c r="C25" s="25">
        <v>54</v>
      </c>
      <c r="D25" s="15" t="s">
        <v>1145</v>
      </c>
      <c r="E25" s="57">
        <v>44545</v>
      </c>
      <c r="F25" s="57">
        <v>44576</v>
      </c>
      <c r="G25" s="7"/>
      <c r="H25" s="8"/>
      <c r="I25" s="46"/>
      <c r="J25" s="8"/>
    </row>
    <row r="26" spans="1:10" s="1" customFormat="1" x14ac:dyDescent="0.2">
      <c r="A26" s="7"/>
      <c r="B26" s="25"/>
      <c r="C26" s="25">
        <v>2</v>
      </c>
      <c r="D26" s="15" t="s">
        <v>120</v>
      </c>
      <c r="E26" s="57">
        <v>44545</v>
      </c>
      <c r="F26" s="57">
        <v>44576</v>
      </c>
      <c r="G26" s="7"/>
      <c r="H26" s="8"/>
      <c r="I26" s="46"/>
      <c r="J26" s="8"/>
    </row>
    <row r="27" spans="1:10" s="1" customFormat="1" x14ac:dyDescent="0.2">
      <c r="A27" s="7"/>
      <c r="B27" s="25"/>
      <c r="C27" s="25">
        <v>1</v>
      </c>
      <c r="D27" s="15" t="s">
        <v>10</v>
      </c>
      <c r="E27" s="57">
        <v>44545</v>
      </c>
      <c r="F27" s="57">
        <v>44576</v>
      </c>
      <c r="G27" s="7"/>
      <c r="H27" s="8"/>
      <c r="I27" s="46"/>
      <c r="J27" s="8"/>
    </row>
    <row r="28" spans="1:10" s="1" customFormat="1" x14ac:dyDescent="0.2">
      <c r="A28" s="7"/>
      <c r="B28" s="25"/>
      <c r="C28" s="25">
        <v>48</v>
      </c>
      <c r="D28" s="15" t="s">
        <v>82</v>
      </c>
      <c r="E28" s="57">
        <v>44545</v>
      </c>
      <c r="F28" s="57">
        <v>44576</v>
      </c>
      <c r="G28" s="7"/>
      <c r="H28" s="8"/>
      <c r="I28" s="46"/>
      <c r="J28" s="8"/>
    </row>
    <row r="29" spans="1:10" s="1" customFormat="1" x14ac:dyDescent="0.2">
      <c r="A29" s="7"/>
      <c r="B29" s="25"/>
      <c r="C29" s="25">
        <v>48</v>
      </c>
      <c r="D29" s="15" t="s">
        <v>71</v>
      </c>
      <c r="E29" s="57">
        <v>44545</v>
      </c>
      <c r="F29" s="57">
        <v>44576</v>
      </c>
      <c r="G29" s="7"/>
      <c r="H29" s="8"/>
      <c r="I29" s="46"/>
      <c r="J29" s="8"/>
    </row>
    <row r="30" spans="1:10" s="1" customFormat="1" x14ac:dyDescent="0.2">
      <c r="A30" s="7"/>
      <c r="B30" s="25"/>
      <c r="C30" s="25">
        <v>100</v>
      </c>
      <c r="D30" s="15" t="s">
        <v>444</v>
      </c>
      <c r="E30" s="57">
        <v>44545</v>
      </c>
      <c r="F30" s="57">
        <v>44576</v>
      </c>
      <c r="G30" s="7"/>
      <c r="H30" s="8"/>
      <c r="I30" s="46"/>
      <c r="J30" s="8"/>
    </row>
    <row r="31" spans="1:10" s="1" customFormat="1" x14ac:dyDescent="0.2">
      <c r="A31" s="7"/>
      <c r="B31" s="25"/>
      <c r="C31" s="25">
        <v>2100</v>
      </c>
      <c r="D31" s="15" t="s">
        <v>485</v>
      </c>
      <c r="E31" s="57">
        <v>44545</v>
      </c>
      <c r="F31" s="57">
        <v>44576</v>
      </c>
      <c r="G31" s="7"/>
      <c r="H31" s="8"/>
      <c r="I31" s="46"/>
      <c r="J31" s="8"/>
    </row>
    <row r="32" spans="1:10" s="1" customFormat="1" x14ac:dyDescent="0.2">
      <c r="A32" s="7"/>
      <c r="B32" s="25"/>
      <c r="C32" s="25">
        <v>58</v>
      </c>
      <c r="D32" s="15" t="s">
        <v>89</v>
      </c>
      <c r="E32" s="57">
        <v>44545</v>
      </c>
      <c r="F32" s="57">
        <v>44576</v>
      </c>
      <c r="G32" s="7"/>
      <c r="H32" s="8"/>
      <c r="I32" s="46"/>
      <c r="J32" s="8"/>
    </row>
    <row r="33" spans="1:10" s="1" customFormat="1" x14ac:dyDescent="0.2">
      <c r="A33" s="27"/>
      <c r="B33" s="47"/>
      <c r="C33" s="47"/>
      <c r="D33" s="48"/>
      <c r="E33" s="61"/>
      <c r="F33" s="61"/>
      <c r="G33" s="27"/>
      <c r="H33" s="30"/>
      <c r="I33" s="64"/>
      <c r="J33" s="30"/>
    </row>
    <row r="34" spans="1:10" s="1" customFormat="1" x14ac:dyDescent="0.2">
      <c r="A34" s="7" t="s">
        <v>1178</v>
      </c>
      <c r="B34" s="25" t="s">
        <v>1179</v>
      </c>
      <c r="C34" s="25">
        <v>1</v>
      </c>
      <c r="D34" s="15" t="s">
        <v>1168</v>
      </c>
      <c r="E34" s="57">
        <v>44545</v>
      </c>
      <c r="F34" s="57">
        <v>44696</v>
      </c>
      <c r="G34" s="7"/>
      <c r="H34" s="8"/>
      <c r="I34" s="46"/>
      <c r="J34" s="8"/>
    </row>
    <row r="35" spans="1:10" s="1" customFormat="1" x14ac:dyDescent="0.2">
      <c r="A35" s="7"/>
      <c r="B35" s="25"/>
      <c r="C35" s="25">
        <v>1</v>
      </c>
      <c r="D35" s="15" t="s">
        <v>420</v>
      </c>
      <c r="E35" s="57">
        <v>44545</v>
      </c>
      <c r="F35" s="57">
        <v>44696</v>
      </c>
      <c r="G35" s="7"/>
      <c r="H35" s="8"/>
      <c r="I35" s="46"/>
      <c r="J35" s="8"/>
    </row>
    <row r="36" spans="1:10" s="1" customFormat="1" x14ac:dyDescent="0.2">
      <c r="A36" s="7"/>
      <c r="B36" s="25"/>
      <c r="C36" s="25">
        <v>2</v>
      </c>
      <c r="D36" s="15" t="s">
        <v>441</v>
      </c>
      <c r="E36" s="57">
        <v>44545</v>
      </c>
      <c r="F36" s="57">
        <v>44696</v>
      </c>
      <c r="G36" s="7"/>
      <c r="H36" s="8"/>
      <c r="I36" s="46"/>
      <c r="J36" s="8"/>
    </row>
    <row r="37" spans="1:10" s="1" customFormat="1" x14ac:dyDescent="0.2">
      <c r="A37" s="7"/>
      <c r="B37" s="25"/>
      <c r="C37" s="25">
        <v>1</v>
      </c>
      <c r="D37" s="15" t="s">
        <v>17</v>
      </c>
      <c r="E37" s="57">
        <v>44545</v>
      </c>
      <c r="F37" s="57">
        <v>44696</v>
      </c>
      <c r="G37" s="7"/>
      <c r="H37" s="8"/>
      <c r="I37" s="46"/>
      <c r="J37" s="8"/>
    </row>
    <row r="38" spans="1:10" s="1" customFormat="1" x14ac:dyDescent="0.2">
      <c r="A38" s="7"/>
      <c r="B38" s="25"/>
      <c r="C38" s="25">
        <v>1</v>
      </c>
      <c r="D38" s="15" t="s">
        <v>422</v>
      </c>
      <c r="E38" s="57">
        <v>44545</v>
      </c>
      <c r="F38" s="57">
        <v>44696</v>
      </c>
      <c r="G38" s="7"/>
      <c r="H38" s="8"/>
      <c r="I38" s="46"/>
      <c r="J38" s="8"/>
    </row>
    <row r="39" spans="1:10" s="1" customFormat="1" x14ac:dyDescent="0.2">
      <c r="A39" s="27"/>
      <c r="B39" s="47"/>
      <c r="C39" s="47"/>
      <c r="D39" s="48"/>
      <c r="E39" s="61"/>
      <c r="F39" s="61"/>
      <c r="G39" s="27"/>
      <c r="H39" s="30"/>
      <c r="I39" s="64"/>
      <c r="J39" s="30"/>
    </row>
    <row r="40" spans="1:10" s="1" customFormat="1" x14ac:dyDescent="0.2">
      <c r="A40" s="7" t="s">
        <v>1212</v>
      </c>
      <c r="B40" s="25" t="s">
        <v>1214</v>
      </c>
      <c r="C40" s="25">
        <v>65</v>
      </c>
      <c r="D40" s="15" t="s">
        <v>1145</v>
      </c>
      <c r="E40" s="57">
        <v>44529</v>
      </c>
      <c r="F40" s="57">
        <v>44559</v>
      </c>
      <c r="G40" s="7"/>
      <c r="H40" s="8"/>
      <c r="I40" s="46"/>
      <c r="J40" s="8"/>
    </row>
    <row r="41" spans="1:10" s="1" customFormat="1" x14ac:dyDescent="0.2">
      <c r="A41" s="7" t="s">
        <v>1213</v>
      </c>
      <c r="B41" s="25"/>
      <c r="C41" s="25">
        <v>2</v>
      </c>
      <c r="D41" s="15" t="s">
        <v>443</v>
      </c>
      <c r="E41" s="57">
        <v>44529</v>
      </c>
      <c r="F41" s="57">
        <v>44559</v>
      </c>
      <c r="G41" s="7"/>
      <c r="H41" s="8"/>
      <c r="I41" s="46"/>
      <c r="J41" s="8"/>
    </row>
    <row r="42" spans="1:10" s="1" customFormat="1" x14ac:dyDescent="0.2">
      <c r="A42" s="7"/>
      <c r="B42" s="25"/>
      <c r="C42" s="25">
        <v>1</v>
      </c>
      <c r="D42" s="15" t="s">
        <v>19</v>
      </c>
      <c r="E42" s="57">
        <v>44529</v>
      </c>
      <c r="F42" s="57">
        <v>44559</v>
      </c>
      <c r="G42" s="7"/>
      <c r="H42" s="8"/>
      <c r="I42" s="46"/>
      <c r="J42" s="8"/>
    </row>
    <row r="43" spans="1:10" s="1" customFormat="1" x14ac:dyDescent="0.2">
      <c r="A43" s="7"/>
      <c r="B43" s="25"/>
      <c r="C43" s="25">
        <v>2</v>
      </c>
      <c r="D43" s="15" t="s">
        <v>115</v>
      </c>
      <c r="E43" s="57">
        <v>44529</v>
      </c>
      <c r="F43" s="57">
        <v>44559</v>
      </c>
      <c r="G43" s="7"/>
      <c r="H43" s="8"/>
      <c r="I43" s="46"/>
      <c r="J43" s="8"/>
    </row>
    <row r="44" spans="1:10" s="1" customFormat="1" x14ac:dyDescent="0.2">
      <c r="A44" s="7"/>
      <c r="B44" s="25"/>
      <c r="C44" s="25">
        <v>40</v>
      </c>
      <c r="D44" s="15" t="s">
        <v>82</v>
      </c>
      <c r="E44" s="57">
        <v>44529</v>
      </c>
      <c r="F44" s="57">
        <v>44559</v>
      </c>
      <c r="G44" s="7"/>
      <c r="H44" s="8"/>
      <c r="I44" s="46"/>
      <c r="J44" s="8"/>
    </row>
    <row r="45" spans="1:10" s="1" customFormat="1" x14ac:dyDescent="0.2">
      <c r="A45" s="7"/>
      <c r="B45" s="25"/>
      <c r="C45" s="25">
        <v>25</v>
      </c>
      <c r="D45" s="15" t="s">
        <v>83</v>
      </c>
      <c r="E45" s="57">
        <v>44529</v>
      </c>
      <c r="F45" s="57">
        <v>44559</v>
      </c>
      <c r="G45" s="7"/>
      <c r="H45" s="8"/>
      <c r="I45" s="46"/>
      <c r="J45" s="8"/>
    </row>
    <row r="46" spans="1:10" s="1" customFormat="1" x14ac:dyDescent="0.2">
      <c r="A46" s="7"/>
      <c r="B46" s="25"/>
      <c r="C46" s="25">
        <v>90</v>
      </c>
      <c r="D46" s="15" t="s">
        <v>71</v>
      </c>
      <c r="E46" s="57">
        <v>44529</v>
      </c>
      <c r="F46" s="57">
        <v>44559</v>
      </c>
      <c r="G46" s="7"/>
      <c r="H46" s="8"/>
      <c r="I46" s="46"/>
      <c r="J46" s="8"/>
    </row>
    <row r="47" spans="1:10" s="1" customFormat="1" x14ac:dyDescent="0.2">
      <c r="A47" s="7"/>
      <c r="B47" s="25"/>
      <c r="C47" s="25">
        <v>2700</v>
      </c>
      <c r="D47" s="15" t="s">
        <v>777</v>
      </c>
      <c r="E47" s="57">
        <v>44529</v>
      </c>
      <c r="F47" s="57">
        <v>44559</v>
      </c>
      <c r="G47" s="7"/>
      <c r="H47" s="8"/>
      <c r="I47" s="46"/>
      <c r="J47" s="8"/>
    </row>
    <row r="48" spans="1:10" s="1" customFormat="1" x14ac:dyDescent="0.2">
      <c r="A48" s="7"/>
      <c r="B48" s="25"/>
      <c r="C48" s="25">
        <v>130</v>
      </c>
      <c r="D48" s="15" t="s">
        <v>444</v>
      </c>
      <c r="E48" s="57">
        <v>44529</v>
      </c>
      <c r="F48" s="57">
        <v>44559</v>
      </c>
      <c r="G48" s="7"/>
      <c r="H48" s="8"/>
      <c r="I48" s="46"/>
      <c r="J48" s="8"/>
    </row>
    <row r="49" spans="1:10" s="1" customFormat="1" x14ac:dyDescent="0.2">
      <c r="A49" s="7"/>
      <c r="B49" s="25"/>
      <c r="C49" s="25">
        <v>2</v>
      </c>
      <c r="D49" s="15" t="s">
        <v>10</v>
      </c>
      <c r="E49" s="57">
        <v>44529</v>
      </c>
      <c r="F49" s="57">
        <v>44559</v>
      </c>
      <c r="G49" s="7"/>
      <c r="H49" s="8"/>
      <c r="I49" s="46"/>
      <c r="J49" s="8"/>
    </row>
    <row r="50" spans="1:10" s="1" customFormat="1" x14ac:dyDescent="0.2">
      <c r="A50" s="7"/>
      <c r="B50" s="25"/>
      <c r="C50" s="25">
        <v>70</v>
      </c>
      <c r="D50" s="15" t="s">
        <v>89</v>
      </c>
      <c r="E50" s="57">
        <v>44529</v>
      </c>
      <c r="F50" s="57">
        <v>44559</v>
      </c>
      <c r="G50" s="7"/>
      <c r="H50" s="8"/>
      <c r="I50" s="46"/>
      <c r="J50" s="8"/>
    </row>
    <row r="51" spans="1:10" s="1" customFormat="1" x14ac:dyDescent="0.2">
      <c r="A51" s="7"/>
      <c r="B51" s="25"/>
      <c r="C51" s="25">
        <v>1</v>
      </c>
      <c r="D51" s="15" t="s">
        <v>1168</v>
      </c>
      <c r="E51" s="57">
        <v>44529</v>
      </c>
      <c r="F51" s="57">
        <v>44559</v>
      </c>
      <c r="G51" s="7"/>
      <c r="H51" s="8"/>
      <c r="I51" s="46"/>
      <c r="J51" s="8"/>
    </row>
    <row r="52" spans="1:10" s="1" customFormat="1" x14ac:dyDescent="0.2">
      <c r="A52" s="7"/>
      <c r="B52" s="25"/>
      <c r="C52" s="25"/>
      <c r="D52" s="15"/>
      <c r="E52" s="57"/>
      <c r="F52" s="57"/>
      <c r="G52" s="7"/>
      <c r="H52" s="8"/>
      <c r="I52" s="46"/>
      <c r="J52" s="8"/>
    </row>
    <row r="53" spans="1:10" s="1" customFormat="1" x14ac:dyDescent="0.2">
      <c r="A53" s="7"/>
      <c r="B53" s="25"/>
      <c r="C53" s="25"/>
      <c r="D53" s="15"/>
      <c r="E53" s="57"/>
      <c r="F53" s="57"/>
      <c r="G53" s="7"/>
      <c r="H53" s="8"/>
      <c r="I53" s="46"/>
      <c r="J53" s="8"/>
    </row>
    <row r="54" spans="1:10" s="1" customFormat="1" x14ac:dyDescent="0.2">
      <c r="A54" s="7"/>
      <c r="B54" s="25"/>
      <c r="C54" s="25"/>
      <c r="D54" s="15"/>
      <c r="E54" s="57"/>
      <c r="F54" s="57"/>
      <c r="G54" s="7"/>
      <c r="H54" s="8"/>
      <c r="I54" s="46"/>
      <c r="J54" s="8"/>
    </row>
    <row r="55" spans="1:10" s="1" customFormat="1" x14ac:dyDescent="0.2">
      <c r="A55" s="7"/>
      <c r="B55" s="25"/>
      <c r="C55" s="25"/>
      <c r="D55" s="15"/>
      <c r="E55" s="57"/>
      <c r="F55" s="57"/>
      <c r="G55" s="7"/>
      <c r="H55" s="8"/>
      <c r="I55" s="46"/>
      <c r="J55" s="8"/>
    </row>
    <row r="56" spans="1:10" s="1" customFormat="1" x14ac:dyDescent="0.2">
      <c r="A56" s="7"/>
      <c r="B56" s="25"/>
      <c r="C56" s="25"/>
      <c r="D56" s="15"/>
      <c r="E56" s="57"/>
      <c r="F56" s="57"/>
      <c r="G56" s="7"/>
      <c r="H56" s="8"/>
      <c r="I56" s="46"/>
      <c r="J56" s="8"/>
    </row>
    <row r="57" spans="1:10" s="1" customFormat="1" x14ac:dyDescent="0.2">
      <c r="A57" s="7"/>
      <c r="B57" s="25"/>
      <c r="C57" s="25"/>
      <c r="D57" s="15"/>
      <c r="E57" s="57"/>
      <c r="F57" s="57"/>
      <c r="G57" s="7"/>
      <c r="H57" s="8"/>
      <c r="I57" s="46"/>
      <c r="J57" s="8"/>
    </row>
    <row r="58" spans="1:10" s="1" customFormat="1" x14ac:dyDescent="0.2">
      <c r="A58" s="7"/>
      <c r="B58" s="25"/>
      <c r="C58" s="25"/>
      <c r="D58" s="15"/>
      <c r="E58" s="57"/>
      <c r="F58" s="57"/>
      <c r="G58" s="7"/>
      <c r="H58" s="8"/>
      <c r="I58" s="46"/>
      <c r="J58" s="8"/>
    </row>
    <row r="59" spans="1:10" s="1" customFormat="1" x14ac:dyDescent="0.2">
      <c r="A59" s="7"/>
      <c r="B59" s="25"/>
      <c r="C59" s="25"/>
      <c r="D59" s="15"/>
      <c r="E59" s="57"/>
      <c r="F59" s="57"/>
      <c r="G59" s="7"/>
      <c r="H59" s="8"/>
      <c r="I59" s="46"/>
      <c r="J59" s="8"/>
    </row>
    <row r="60" spans="1:10" s="1" customFormat="1" x14ac:dyDescent="0.2">
      <c r="A60" s="7"/>
      <c r="B60" s="25"/>
      <c r="C60" s="25"/>
      <c r="D60" s="15"/>
      <c r="E60" s="57"/>
      <c r="F60" s="57"/>
      <c r="G60" s="7"/>
      <c r="H60" s="8"/>
      <c r="I60" s="46"/>
      <c r="J60" s="8"/>
    </row>
    <row r="61" spans="1:10" s="1" customFormat="1" x14ac:dyDescent="0.2">
      <c r="A61" s="7"/>
      <c r="B61" s="25"/>
      <c r="C61" s="25"/>
      <c r="D61" s="15"/>
      <c r="E61" s="57"/>
      <c r="F61" s="57"/>
      <c r="G61" s="7"/>
      <c r="H61" s="8"/>
      <c r="I61" s="46"/>
      <c r="J61" s="8"/>
    </row>
    <row r="62" spans="1:10" s="1" customFormat="1" x14ac:dyDescent="0.2">
      <c r="A62" s="7"/>
      <c r="B62" s="25"/>
      <c r="C62" s="25"/>
      <c r="D62" s="15"/>
      <c r="E62" s="57"/>
      <c r="F62" s="57"/>
      <c r="G62" s="7"/>
      <c r="H62" s="8"/>
      <c r="I62" s="46"/>
      <c r="J62" s="8"/>
    </row>
    <row r="63" spans="1:10" s="1" customFormat="1" x14ac:dyDescent="0.2">
      <c r="A63" s="7"/>
      <c r="B63" s="25"/>
      <c r="C63" s="25"/>
      <c r="D63" s="15"/>
      <c r="E63" s="57"/>
      <c r="F63" s="57"/>
      <c r="G63" s="7"/>
      <c r="H63" s="8"/>
      <c r="I63" s="46"/>
      <c r="J63" s="8"/>
    </row>
    <row r="64" spans="1:10" s="1" customFormat="1" x14ac:dyDescent="0.2">
      <c r="A64" s="7"/>
      <c r="B64" s="25"/>
      <c r="C64" s="25"/>
      <c r="D64" s="15"/>
      <c r="E64" s="57"/>
      <c r="F64" s="57"/>
      <c r="G64" s="7"/>
      <c r="H64" s="8"/>
      <c r="I64" s="46"/>
      <c r="J64" s="8"/>
    </row>
    <row r="65" spans="1:10" s="1" customFormat="1" x14ac:dyDescent="0.2">
      <c r="A65" s="7"/>
      <c r="B65" s="25"/>
      <c r="C65" s="25"/>
      <c r="D65" s="15"/>
      <c r="E65" s="57"/>
      <c r="F65" s="57"/>
      <c r="G65" s="7"/>
      <c r="H65" s="8"/>
      <c r="I65" s="46"/>
      <c r="J65" s="8"/>
    </row>
    <row r="66" spans="1:10" s="1" customFormat="1" x14ac:dyDescent="0.2">
      <c r="A66" s="7"/>
      <c r="B66" s="25"/>
      <c r="C66" s="25"/>
      <c r="D66" s="15"/>
      <c r="E66" s="57"/>
      <c r="F66" s="57"/>
      <c r="G66" s="7"/>
      <c r="H66" s="8"/>
      <c r="I66" s="46"/>
      <c r="J66" s="8"/>
    </row>
    <row r="67" spans="1:10" s="1" customFormat="1" x14ac:dyDescent="0.2">
      <c r="A67" s="7"/>
      <c r="B67" s="25"/>
      <c r="C67" s="25"/>
      <c r="D67" s="15"/>
      <c r="E67" s="57"/>
      <c r="F67" s="57"/>
      <c r="G67" s="7"/>
      <c r="H67" s="8"/>
      <c r="I67" s="46"/>
      <c r="J67" s="8"/>
    </row>
    <row r="68" spans="1:10" s="1" customFormat="1" x14ac:dyDescent="0.2">
      <c r="A68" s="7"/>
      <c r="B68" s="25"/>
      <c r="C68" s="25"/>
      <c r="D68" s="15"/>
      <c r="E68" s="57"/>
      <c r="F68" s="57"/>
      <c r="G68" s="7"/>
      <c r="H68" s="8"/>
      <c r="I68" s="46"/>
      <c r="J68" s="8"/>
    </row>
    <row r="69" spans="1:10" s="1" customFormat="1" x14ac:dyDescent="0.2">
      <c r="A69" s="7"/>
      <c r="B69" s="25"/>
      <c r="C69" s="25"/>
      <c r="D69" s="15"/>
      <c r="E69" s="57"/>
      <c r="F69" s="57"/>
      <c r="G69" s="7"/>
      <c r="H69" s="8"/>
      <c r="I69" s="46"/>
      <c r="J69" s="8"/>
    </row>
    <row r="70" spans="1:10" s="1" customFormat="1" x14ac:dyDescent="0.2">
      <c r="A70" s="7"/>
      <c r="B70" s="25"/>
      <c r="C70" s="25"/>
      <c r="D70" s="15"/>
      <c r="E70" s="57"/>
      <c r="F70" s="57"/>
      <c r="G70" s="7"/>
      <c r="H70" s="8"/>
      <c r="I70" s="46"/>
      <c r="J70" s="8"/>
    </row>
    <row r="71" spans="1:10" s="1" customFormat="1" x14ac:dyDescent="0.2">
      <c r="A71" s="7"/>
      <c r="B71" s="25"/>
      <c r="C71" s="25"/>
      <c r="D71" s="15"/>
      <c r="E71" s="57"/>
      <c r="F71" s="57"/>
      <c r="G71" s="7"/>
      <c r="H71" s="8"/>
      <c r="I71" s="46"/>
      <c r="J71" s="8"/>
    </row>
    <row r="72" spans="1:10" s="1" customFormat="1" x14ac:dyDescent="0.2">
      <c r="A72" s="7"/>
      <c r="B72" s="25"/>
      <c r="C72" s="25"/>
      <c r="D72" s="15"/>
      <c r="E72" s="57"/>
      <c r="F72" s="57"/>
      <c r="G72" s="7"/>
      <c r="H72" s="8"/>
      <c r="I72" s="46"/>
      <c r="J72" s="8"/>
    </row>
    <row r="73" spans="1:10" s="1" customFormat="1" x14ac:dyDescent="0.2">
      <c r="A73" s="7"/>
      <c r="B73" s="25"/>
      <c r="C73" s="25"/>
      <c r="D73" s="15"/>
      <c r="E73" s="57"/>
      <c r="F73" s="57"/>
      <c r="G73" s="7"/>
      <c r="H73" s="8"/>
      <c r="I73" s="46"/>
      <c r="J73" s="8"/>
    </row>
    <row r="74" spans="1:10" s="1" customFormat="1" x14ac:dyDescent="0.2">
      <c r="A74" s="7"/>
      <c r="B74" s="25"/>
      <c r="C74" s="25"/>
      <c r="D74" s="15"/>
      <c r="E74" s="57"/>
      <c r="F74" s="57"/>
      <c r="G74" s="7"/>
      <c r="H74" s="8"/>
      <c r="I74" s="46"/>
      <c r="J74" s="8"/>
    </row>
    <row r="75" spans="1:10" s="1" customFormat="1" x14ac:dyDescent="0.2">
      <c r="A75" s="7"/>
      <c r="B75" s="25"/>
      <c r="C75" s="25"/>
      <c r="D75" s="15"/>
      <c r="E75" s="57"/>
      <c r="F75" s="57"/>
      <c r="G75" s="7"/>
      <c r="H75" s="8"/>
      <c r="I75" s="46"/>
      <c r="J75" s="8"/>
    </row>
    <row r="76" spans="1:10" s="1" customFormat="1" x14ac:dyDescent="0.2">
      <c r="A76" s="7"/>
      <c r="B76" s="25"/>
      <c r="C76" s="25"/>
      <c r="D76" s="15"/>
      <c r="E76" s="57"/>
      <c r="F76" s="57"/>
      <c r="G76" s="7"/>
      <c r="H76" s="8"/>
      <c r="I76" s="46"/>
      <c r="J76" s="8"/>
    </row>
    <row r="77" spans="1:10" s="1" customFormat="1" x14ac:dyDescent="0.2">
      <c r="A77" s="144"/>
      <c r="B77" s="25"/>
      <c r="C77" s="25"/>
      <c r="D77" s="15"/>
      <c r="E77" s="57"/>
      <c r="F77" s="57"/>
      <c r="G77" s="7"/>
      <c r="H77" s="8"/>
      <c r="I77" s="46"/>
      <c r="J77" s="8"/>
    </row>
    <row r="78" spans="1:10" s="1" customFormat="1" x14ac:dyDescent="0.2">
      <c r="A78" s="144"/>
      <c r="B78" s="25"/>
      <c r="C78" s="25"/>
      <c r="D78" s="15"/>
      <c r="E78" s="57"/>
      <c r="F78" s="57"/>
      <c r="G78" s="7"/>
      <c r="H78" s="8"/>
      <c r="I78" s="46"/>
      <c r="J78" s="8"/>
    </row>
    <row r="79" spans="1:10" s="1" customFormat="1" x14ac:dyDescent="0.2">
      <c r="A79" s="144"/>
      <c r="B79" s="25"/>
      <c r="C79" s="25"/>
      <c r="D79" s="15"/>
      <c r="E79" s="57"/>
      <c r="F79" s="57"/>
      <c r="G79" s="7"/>
      <c r="H79" s="8"/>
      <c r="I79" s="46"/>
      <c r="J79" s="8"/>
    </row>
    <row r="80" spans="1:10" s="1" customFormat="1" x14ac:dyDescent="0.2">
      <c r="A80" s="7"/>
      <c r="B80" s="25"/>
      <c r="C80" s="25"/>
      <c r="D80" s="15"/>
      <c r="E80" s="57"/>
      <c r="F80" s="57"/>
      <c r="G80" s="7"/>
      <c r="H80" s="8"/>
      <c r="I80" s="46"/>
      <c r="J80" s="8"/>
    </row>
    <row r="81" spans="1:10" s="1" customFormat="1" x14ac:dyDescent="0.2">
      <c r="A81" s="7"/>
      <c r="B81" s="25"/>
      <c r="C81" s="25"/>
      <c r="D81" s="15"/>
      <c r="E81" s="57"/>
      <c r="F81" s="57"/>
      <c r="G81" s="7"/>
      <c r="H81" s="8"/>
      <c r="I81" s="46"/>
      <c r="J81" s="8"/>
    </row>
    <row r="82" spans="1:10" s="1" customFormat="1" x14ac:dyDescent="0.2">
      <c r="A82" s="7"/>
      <c r="B82" s="25"/>
      <c r="C82" s="25"/>
      <c r="D82" s="15"/>
      <c r="E82" s="57"/>
      <c r="F82" s="57"/>
      <c r="G82" s="7"/>
      <c r="H82" s="8"/>
      <c r="I82" s="46"/>
      <c r="J82" s="8"/>
    </row>
    <row r="83" spans="1:10" s="1" customFormat="1" x14ac:dyDescent="0.2">
      <c r="A83" s="7"/>
      <c r="B83" s="25"/>
      <c r="C83" s="25"/>
      <c r="D83" s="15"/>
      <c r="E83" s="57"/>
      <c r="F83" s="57"/>
      <c r="G83" s="7"/>
      <c r="H83" s="8"/>
      <c r="I83" s="46"/>
      <c r="J83" s="8"/>
    </row>
    <row r="84" spans="1:10" s="1" customFormat="1" x14ac:dyDescent="0.2">
      <c r="A84" s="7"/>
      <c r="B84" s="25"/>
      <c r="C84" s="25"/>
      <c r="D84" s="15"/>
      <c r="E84" s="57"/>
      <c r="F84" s="57"/>
      <c r="G84" s="7"/>
      <c r="H84" s="8"/>
      <c r="I84" s="46"/>
      <c r="J84" s="8"/>
    </row>
    <row r="85" spans="1:10" s="1" customFormat="1" x14ac:dyDescent="0.2">
      <c r="A85" s="7"/>
      <c r="B85" s="25"/>
      <c r="C85" s="25"/>
      <c r="D85" s="15"/>
      <c r="E85" s="57"/>
      <c r="F85" s="57"/>
      <c r="G85" s="7"/>
      <c r="H85" s="8"/>
      <c r="I85" s="46"/>
      <c r="J85" s="8"/>
    </row>
    <row r="86" spans="1:10" s="1" customFormat="1" x14ac:dyDescent="0.2">
      <c r="A86" s="7"/>
      <c r="B86" s="25"/>
      <c r="C86" s="25"/>
      <c r="D86" s="15"/>
      <c r="E86" s="57"/>
      <c r="F86" s="57"/>
      <c r="G86" s="7"/>
      <c r="H86" s="8"/>
      <c r="I86" s="46"/>
      <c r="J86" s="8"/>
    </row>
    <row r="87" spans="1:10" s="1" customFormat="1" x14ac:dyDescent="0.2">
      <c r="A87" s="7"/>
      <c r="B87" s="25"/>
      <c r="C87" s="25"/>
      <c r="D87" s="15"/>
      <c r="E87" s="57"/>
      <c r="F87" s="57"/>
      <c r="G87" s="7"/>
      <c r="H87" s="8"/>
      <c r="I87" s="46"/>
      <c r="J87" s="8"/>
    </row>
    <row r="88" spans="1:10" s="1" customFormat="1" x14ac:dyDescent="0.2">
      <c r="A88" s="7"/>
      <c r="B88" s="25"/>
      <c r="C88" s="25"/>
      <c r="D88" s="15"/>
      <c r="E88" s="57"/>
      <c r="F88" s="57"/>
      <c r="G88" s="7"/>
      <c r="H88" s="8"/>
      <c r="I88" s="46"/>
      <c r="J88" s="8"/>
    </row>
    <row r="89" spans="1:10" s="1" customFormat="1" x14ac:dyDescent="0.2">
      <c r="A89" s="7"/>
      <c r="B89" s="25"/>
      <c r="C89" s="25"/>
      <c r="D89" s="15"/>
      <c r="E89" s="57"/>
      <c r="F89" s="57"/>
      <c r="G89" s="7"/>
      <c r="H89" s="8"/>
      <c r="I89" s="46"/>
      <c r="J89" s="8"/>
    </row>
    <row r="90" spans="1:10" s="1" customFormat="1" x14ac:dyDescent="0.2">
      <c r="A90" s="7"/>
      <c r="B90" s="25"/>
      <c r="C90" s="25"/>
      <c r="D90" s="15"/>
      <c r="E90" s="57"/>
      <c r="F90" s="57"/>
      <c r="G90" s="7"/>
      <c r="H90" s="8"/>
      <c r="I90" s="46"/>
      <c r="J90" s="8"/>
    </row>
    <row r="91" spans="1:10" s="1" customFormat="1" x14ac:dyDescent="0.2">
      <c r="A91" s="144"/>
      <c r="B91" s="25"/>
      <c r="C91" s="25"/>
      <c r="D91" s="15"/>
      <c r="E91" s="57"/>
      <c r="F91" s="57"/>
      <c r="G91" s="7"/>
      <c r="H91" s="8"/>
      <c r="I91" s="46"/>
      <c r="J91" s="8"/>
    </row>
    <row r="92" spans="1:10" s="1" customFormat="1" x14ac:dyDescent="0.2">
      <c r="A92" s="144"/>
      <c r="B92" s="25"/>
      <c r="C92" s="25"/>
      <c r="D92" s="15"/>
      <c r="E92" s="57"/>
      <c r="F92" s="57"/>
      <c r="G92" s="7"/>
      <c r="H92" s="8"/>
      <c r="I92" s="46"/>
      <c r="J92" s="8"/>
    </row>
    <row r="93" spans="1:10" s="1" customFormat="1" x14ac:dyDescent="0.2">
      <c r="A93" s="144"/>
      <c r="B93" s="25"/>
      <c r="C93" s="25"/>
      <c r="D93" s="15"/>
      <c r="E93" s="57"/>
      <c r="F93" s="57"/>
      <c r="G93" s="7"/>
      <c r="H93" s="8"/>
      <c r="I93" s="46"/>
      <c r="J93" s="8"/>
    </row>
    <row r="94" spans="1:10" s="1" customFormat="1" x14ac:dyDescent="0.2">
      <c r="A94" s="144"/>
      <c r="B94" s="25"/>
      <c r="C94" s="25"/>
      <c r="D94" s="15"/>
      <c r="E94" s="57"/>
      <c r="F94" s="57"/>
      <c r="G94" s="7"/>
      <c r="H94" s="8"/>
      <c r="I94" s="46"/>
      <c r="J94" s="8"/>
    </row>
    <row r="95" spans="1:10" s="1" customFormat="1" x14ac:dyDescent="0.2">
      <c r="A95" s="7"/>
      <c r="B95" s="25"/>
      <c r="C95" s="25"/>
      <c r="D95" s="15"/>
      <c r="E95" s="57"/>
      <c r="F95" s="57"/>
      <c r="G95" s="7"/>
      <c r="H95" s="8"/>
      <c r="I95" s="46"/>
      <c r="J95" s="8"/>
    </row>
    <row r="96" spans="1:10" s="1" customFormat="1" x14ac:dyDescent="0.2">
      <c r="A96" s="7"/>
      <c r="B96" s="25"/>
      <c r="C96" s="25"/>
      <c r="D96" s="15"/>
      <c r="E96" s="57"/>
      <c r="F96" s="57"/>
      <c r="G96" s="7"/>
      <c r="H96" s="8"/>
      <c r="I96" s="46"/>
      <c r="J96" s="8"/>
    </row>
    <row r="97" spans="1:10" s="1" customFormat="1" x14ac:dyDescent="0.2">
      <c r="A97" s="7"/>
      <c r="B97" s="25"/>
      <c r="C97" s="25"/>
      <c r="D97" s="15"/>
      <c r="E97" s="57"/>
      <c r="F97" s="57"/>
      <c r="G97" s="7"/>
      <c r="H97" s="8"/>
      <c r="I97" s="46"/>
      <c r="J97" s="8"/>
    </row>
    <row r="98" spans="1:10" s="1" customFormat="1" x14ac:dyDescent="0.2">
      <c r="A98" s="7"/>
      <c r="B98" s="25"/>
      <c r="C98" s="25"/>
      <c r="D98" s="15"/>
      <c r="E98" s="57"/>
      <c r="F98" s="57"/>
      <c r="G98" s="7"/>
      <c r="H98" s="8"/>
      <c r="I98" s="46"/>
      <c r="J98" s="8"/>
    </row>
    <row r="99" spans="1:10" s="1" customFormat="1" x14ac:dyDescent="0.2">
      <c r="A99" s="7"/>
      <c r="B99" s="25"/>
      <c r="C99" s="25"/>
      <c r="D99" s="15"/>
      <c r="E99" s="57"/>
      <c r="F99" s="57"/>
      <c r="G99" s="7"/>
      <c r="H99" s="8"/>
      <c r="I99" s="46"/>
      <c r="J99" s="8"/>
    </row>
    <row r="100" spans="1:10" s="1" customFormat="1" x14ac:dyDescent="0.2">
      <c r="A100" s="7"/>
      <c r="B100" s="25"/>
      <c r="C100" s="25"/>
      <c r="D100" s="15"/>
      <c r="E100" s="57"/>
      <c r="F100" s="57"/>
      <c r="G100" s="7"/>
      <c r="H100" s="8"/>
      <c r="I100" s="46"/>
      <c r="J100" s="8"/>
    </row>
    <row r="101" spans="1:10" s="1" customFormat="1" x14ac:dyDescent="0.2">
      <c r="A101" s="7"/>
      <c r="B101" s="25"/>
      <c r="C101" s="25"/>
      <c r="D101" s="15"/>
      <c r="E101" s="57"/>
      <c r="F101" s="57"/>
      <c r="G101" s="7"/>
      <c r="H101" s="8"/>
      <c r="I101" s="46"/>
      <c r="J101" s="8"/>
    </row>
    <row r="102" spans="1:10" s="1" customFormat="1" x14ac:dyDescent="0.2">
      <c r="A102" s="7"/>
      <c r="B102" s="25"/>
      <c r="C102" s="25"/>
      <c r="D102" s="15"/>
      <c r="E102" s="57"/>
      <c r="F102" s="57"/>
      <c r="G102" s="7"/>
      <c r="H102" s="8"/>
      <c r="I102" s="46"/>
      <c r="J102" s="8"/>
    </row>
    <row r="103" spans="1:10" s="1" customFormat="1" x14ac:dyDescent="0.2">
      <c r="A103" s="7"/>
      <c r="B103" s="25"/>
      <c r="C103" s="25"/>
      <c r="D103" s="15"/>
      <c r="E103" s="57"/>
      <c r="F103" s="57"/>
      <c r="G103" s="7"/>
      <c r="H103" s="8"/>
      <c r="I103" s="46"/>
      <c r="J103" s="8"/>
    </row>
    <row r="104" spans="1:10" s="1" customFormat="1" x14ac:dyDescent="0.2">
      <c r="A104" s="7"/>
      <c r="B104" s="25"/>
      <c r="C104" s="25"/>
      <c r="D104" s="15"/>
      <c r="E104" s="57"/>
      <c r="F104" s="57"/>
      <c r="G104" s="7"/>
      <c r="H104" s="8"/>
      <c r="I104" s="46"/>
      <c r="J104" s="8"/>
    </row>
    <row r="105" spans="1:10" s="1" customFormat="1" x14ac:dyDescent="0.2">
      <c r="A105" s="7"/>
      <c r="B105" s="25"/>
      <c r="C105" s="25"/>
      <c r="D105" s="15"/>
      <c r="E105" s="57"/>
      <c r="F105" s="57"/>
      <c r="G105" s="7"/>
      <c r="H105" s="8"/>
      <c r="I105" s="46"/>
      <c r="J105" s="8"/>
    </row>
    <row r="106" spans="1:10" s="1" customFormat="1" x14ac:dyDescent="0.2">
      <c r="A106" s="7"/>
      <c r="B106" s="25"/>
      <c r="C106" s="25"/>
      <c r="D106" s="15"/>
      <c r="E106" s="57"/>
      <c r="F106" s="57"/>
      <c r="G106" s="7"/>
      <c r="H106" s="8"/>
      <c r="I106" s="46"/>
      <c r="J106" s="8"/>
    </row>
    <row r="107" spans="1:10" s="1" customFormat="1" x14ac:dyDescent="0.2">
      <c r="A107" s="7"/>
      <c r="B107" s="25"/>
      <c r="C107" s="25"/>
      <c r="D107" s="15"/>
      <c r="E107" s="57"/>
      <c r="F107" s="57"/>
      <c r="G107" s="7"/>
      <c r="H107" s="8"/>
      <c r="I107" s="46"/>
      <c r="J107" s="8"/>
    </row>
    <row r="108" spans="1:10" s="1" customFormat="1" x14ac:dyDescent="0.2">
      <c r="A108" s="7"/>
      <c r="B108" s="25"/>
      <c r="C108" s="25"/>
      <c r="D108" s="15"/>
      <c r="E108" s="57"/>
      <c r="F108" s="57"/>
      <c r="G108" s="7"/>
      <c r="H108" s="8"/>
      <c r="I108" s="46"/>
      <c r="J108" s="8"/>
    </row>
    <row r="109" spans="1:10" s="1" customFormat="1" x14ac:dyDescent="0.2">
      <c r="A109" s="7"/>
      <c r="B109" s="25"/>
      <c r="C109" s="25"/>
      <c r="D109" s="15"/>
      <c r="E109" s="57"/>
      <c r="F109" s="57"/>
      <c r="G109" s="7"/>
      <c r="H109" s="8"/>
      <c r="I109" s="46"/>
      <c r="J109" s="8"/>
    </row>
    <row r="110" spans="1:10" s="1" customFormat="1" x14ac:dyDescent="0.2">
      <c r="A110" s="7"/>
      <c r="B110" s="25"/>
      <c r="C110" s="25"/>
      <c r="D110" s="15"/>
      <c r="E110" s="57"/>
      <c r="F110" s="57"/>
      <c r="G110" s="7"/>
      <c r="H110" s="8"/>
      <c r="I110" s="46"/>
      <c r="J110" s="8"/>
    </row>
    <row r="111" spans="1:10" s="1" customFormat="1" x14ac:dyDescent="0.2">
      <c r="A111" s="7"/>
      <c r="B111" s="25"/>
      <c r="C111" s="25"/>
      <c r="D111" s="15"/>
      <c r="E111" s="57"/>
      <c r="F111" s="57"/>
      <c r="G111" s="7"/>
      <c r="H111" s="8"/>
      <c r="I111" s="46"/>
      <c r="J111" s="8"/>
    </row>
    <row r="112" spans="1:10" s="1" customFormat="1" x14ac:dyDescent="0.2">
      <c r="A112" s="7"/>
      <c r="B112" s="25"/>
      <c r="C112" s="25"/>
      <c r="D112" s="15"/>
      <c r="E112" s="57"/>
      <c r="F112" s="57"/>
      <c r="G112" s="7"/>
      <c r="H112" s="8"/>
      <c r="I112" s="46"/>
      <c r="J112" s="8"/>
    </row>
    <row r="113" spans="1:10" s="1" customFormat="1" x14ac:dyDescent="0.2">
      <c r="A113" s="7"/>
      <c r="B113" s="25"/>
      <c r="C113" s="25"/>
      <c r="D113" s="15"/>
      <c r="E113" s="57"/>
      <c r="F113" s="57"/>
      <c r="G113" s="7"/>
      <c r="H113" s="8"/>
      <c r="I113" s="46"/>
      <c r="J113" s="8"/>
    </row>
    <row r="114" spans="1:10" s="1" customFormat="1" x14ac:dyDescent="0.2">
      <c r="A114" s="7"/>
      <c r="B114" s="25"/>
      <c r="C114" s="25"/>
      <c r="D114" s="15"/>
      <c r="E114" s="57"/>
      <c r="F114" s="57"/>
      <c r="G114" s="7"/>
      <c r="H114" s="8"/>
      <c r="I114" s="46"/>
      <c r="J114" s="8"/>
    </row>
    <row r="115" spans="1:10" s="1" customFormat="1" x14ac:dyDescent="0.2">
      <c r="A115" s="7"/>
      <c r="B115" s="25"/>
      <c r="C115" s="25"/>
      <c r="D115" s="15"/>
      <c r="E115" s="57"/>
      <c r="F115" s="57"/>
      <c r="G115" s="7"/>
      <c r="H115" s="8"/>
      <c r="I115" s="46"/>
      <c r="J115" s="8"/>
    </row>
    <row r="116" spans="1:10" s="1" customFormat="1" x14ac:dyDescent="0.2">
      <c r="A116" s="7"/>
      <c r="B116" s="25"/>
      <c r="C116" s="25"/>
      <c r="D116" s="15"/>
      <c r="E116" s="57"/>
      <c r="F116" s="57"/>
      <c r="G116" s="7"/>
      <c r="H116" s="8"/>
      <c r="I116" s="46"/>
      <c r="J116" s="8"/>
    </row>
    <row r="117" spans="1:10" s="1" customFormat="1" x14ac:dyDescent="0.2">
      <c r="A117" s="7"/>
      <c r="B117" s="25"/>
      <c r="C117" s="25"/>
      <c r="D117" s="15"/>
      <c r="E117" s="57"/>
      <c r="F117" s="57"/>
      <c r="G117" s="7"/>
      <c r="H117" s="8"/>
      <c r="I117" s="46"/>
      <c r="J117" s="8"/>
    </row>
    <row r="118" spans="1:10" s="1" customFormat="1" x14ac:dyDescent="0.2">
      <c r="A118" s="7"/>
      <c r="B118" s="25"/>
      <c r="C118" s="25"/>
      <c r="D118" s="15"/>
      <c r="E118" s="57"/>
      <c r="F118" s="57"/>
      <c r="G118" s="7"/>
      <c r="H118" s="8"/>
      <c r="I118" s="46"/>
      <c r="J118" s="8"/>
    </row>
    <row r="119" spans="1:10" s="1" customFormat="1" x14ac:dyDescent="0.2">
      <c r="A119" s="7"/>
      <c r="B119" s="25"/>
      <c r="C119" s="25"/>
      <c r="D119" s="15"/>
      <c r="E119" s="57"/>
      <c r="F119" s="57"/>
      <c r="G119" s="7"/>
      <c r="H119" s="8"/>
      <c r="I119" s="46"/>
      <c r="J119" s="8"/>
    </row>
    <row r="120" spans="1:10" s="1" customFormat="1" x14ac:dyDescent="0.2">
      <c r="A120" s="7"/>
      <c r="B120" s="25"/>
      <c r="C120" s="25"/>
      <c r="D120" s="15"/>
      <c r="E120" s="57"/>
      <c r="F120" s="57"/>
      <c r="G120" s="7"/>
      <c r="H120" s="8"/>
      <c r="I120" s="46"/>
      <c r="J120" s="8"/>
    </row>
    <row r="121" spans="1:10" s="1" customFormat="1" x14ac:dyDescent="0.2">
      <c r="A121" s="7"/>
      <c r="B121" s="25"/>
      <c r="C121" s="25"/>
      <c r="D121" s="15"/>
      <c r="E121" s="57"/>
      <c r="F121" s="57"/>
      <c r="G121" s="7"/>
      <c r="H121" s="8"/>
      <c r="I121" s="46"/>
      <c r="J121" s="8"/>
    </row>
    <row r="122" spans="1:10" s="1" customFormat="1" x14ac:dyDescent="0.2">
      <c r="A122" s="7"/>
      <c r="B122" s="25"/>
      <c r="C122" s="25"/>
      <c r="D122" s="15"/>
      <c r="E122" s="57"/>
      <c r="F122" s="57"/>
      <c r="G122" s="7"/>
      <c r="H122" s="8"/>
      <c r="I122" s="46"/>
      <c r="J122" s="8"/>
    </row>
    <row r="123" spans="1:10" s="1" customFormat="1" x14ac:dyDescent="0.2">
      <c r="A123" s="7"/>
      <c r="B123" s="25"/>
      <c r="C123" s="25"/>
      <c r="D123" s="15"/>
      <c r="E123" s="57"/>
      <c r="F123" s="57"/>
      <c r="G123" s="7"/>
      <c r="H123" s="8"/>
      <c r="I123" s="46"/>
      <c r="J123" s="8"/>
    </row>
    <row r="124" spans="1:10" s="1" customFormat="1" x14ac:dyDescent="0.2">
      <c r="A124" s="7"/>
      <c r="B124" s="25"/>
      <c r="C124" s="25"/>
      <c r="D124" s="15"/>
      <c r="E124" s="57"/>
      <c r="F124" s="57"/>
      <c r="G124" s="7"/>
      <c r="H124" s="8"/>
      <c r="I124" s="46"/>
      <c r="J124" s="8"/>
    </row>
    <row r="125" spans="1:10" s="1" customFormat="1" x14ac:dyDescent="0.2">
      <c r="A125" s="7"/>
      <c r="B125" s="25"/>
      <c r="C125" s="25"/>
      <c r="D125" s="15"/>
      <c r="E125" s="57"/>
      <c r="F125" s="57"/>
      <c r="G125" s="7"/>
      <c r="H125" s="8"/>
      <c r="I125" s="46"/>
      <c r="J125" s="8"/>
    </row>
    <row r="126" spans="1:10" s="1" customFormat="1" x14ac:dyDescent="0.2">
      <c r="A126" s="7"/>
      <c r="B126" s="25"/>
      <c r="C126" s="25"/>
      <c r="D126" s="15"/>
      <c r="E126" s="57"/>
      <c r="F126" s="57"/>
      <c r="G126" s="7"/>
      <c r="H126" s="8"/>
      <c r="I126" s="46"/>
      <c r="J126" s="8"/>
    </row>
    <row r="127" spans="1:10" s="1" customFormat="1" x14ac:dyDescent="0.2">
      <c r="A127" s="7"/>
      <c r="B127" s="25"/>
      <c r="C127" s="25"/>
      <c r="D127" s="15"/>
      <c r="E127" s="57"/>
      <c r="F127" s="57"/>
      <c r="G127" s="7"/>
      <c r="H127" s="8"/>
      <c r="I127" s="46"/>
      <c r="J127" s="8"/>
    </row>
    <row r="128" spans="1:10" s="1" customFormat="1" x14ac:dyDescent="0.2">
      <c r="A128" s="7"/>
      <c r="B128" s="25"/>
      <c r="C128" s="25"/>
      <c r="D128" s="15"/>
      <c r="E128" s="57"/>
      <c r="F128" s="57"/>
      <c r="G128" s="7"/>
      <c r="H128" s="8"/>
      <c r="I128" s="46"/>
      <c r="J128" s="8"/>
    </row>
    <row r="129" spans="1:10" s="1" customFormat="1" x14ac:dyDescent="0.2">
      <c r="A129" s="7"/>
      <c r="B129" s="25"/>
      <c r="C129" s="25"/>
      <c r="D129" s="15"/>
      <c r="E129" s="57"/>
      <c r="F129" s="57"/>
      <c r="G129" s="7"/>
      <c r="H129" s="8"/>
      <c r="I129" s="46"/>
      <c r="J129" s="8"/>
    </row>
    <row r="130" spans="1:10" s="1" customFormat="1" x14ac:dyDescent="0.2">
      <c r="A130" s="7"/>
      <c r="B130" s="25"/>
      <c r="C130" s="25"/>
      <c r="D130" s="15"/>
      <c r="E130" s="57"/>
      <c r="F130" s="57"/>
      <c r="G130" s="7"/>
      <c r="H130" s="8"/>
      <c r="I130" s="46"/>
      <c r="J130" s="8"/>
    </row>
    <row r="131" spans="1:10" s="1" customFormat="1" x14ac:dyDescent="0.2">
      <c r="A131" s="7"/>
      <c r="B131" s="25"/>
      <c r="C131" s="25"/>
      <c r="D131" s="15"/>
      <c r="E131" s="57"/>
      <c r="F131" s="57"/>
      <c r="G131" s="7"/>
      <c r="H131" s="8"/>
      <c r="I131" s="46"/>
      <c r="J131" s="8"/>
    </row>
    <row r="132" spans="1:10" s="1" customFormat="1" x14ac:dyDescent="0.2">
      <c r="A132" s="7"/>
      <c r="B132" s="25"/>
      <c r="C132" s="25"/>
      <c r="D132" s="15"/>
      <c r="E132" s="57"/>
      <c r="F132" s="57"/>
      <c r="G132" s="7"/>
      <c r="H132" s="8"/>
      <c r="I132" s="46"/>
      <c r="J132" s="8"/>
    </row>
    <row r="133" spans="1:10" s="1" customFormat="1" x14ac:dyDescent="0.2">
      <c r="A133" s="7"/>
      <c r="B133" s="25"/>
      <c r="C133" s="25"/>
      <c r="D133" s="15"/>
      <c r="E133" s="57"/>
      <c r="F133" s="57"/>
      <c r="G133" s="7"/>
      <c r="H133" s="8"/>
      <c r="I133" s="46"/>
      <c r="J133" s="8"/>
    </row>
    <row r="134" spans="1:10" s="1" customFormat="1" x14ac:dyDescent="0.2">
      <c r="A134" s="7"/>
      <c r="B134" s="25"/>
      <c r="C134" s="25"/>
      <c r="D134" s="15"/>
      <c r="E134" s="57"/>
      <c r="F134" s="57"/>
      <c r="G134" s="7"/>
      <c r="H134" s="8"/>
      <c r="I134" s="46"/>
      <c r="J134" s="8"/>
    </row>
    <row r="135" spans="1:10" s="1" customFormat="1" x14ac:dyDescent="0.2">
      <c r="A135" s="7"/>
      <c r="B135" s="25"/>
      <c r="C135" s="25"/>
      <c r="D135" s="15"/>
      <c r="E135" s="57"/>
      <c r="F135" s="57"/>
      <c r="G135" s="7"/>
      <c r="H135" s="8"/>
      <c r="I135" s="46"/>
      <c r="J135" s="8"/>
    </row>
    <row r="136" spans="1:10" s="1" customFormat="1" x14ac:dyDescent="0.2">
      <c r="A136" s="7"/>
      <c r="B136" s="25"/>
      <c r="C136" s="25"/>
      <c r="D136" s="15"/>
      <c r="E136" s="57"/>
      <c r="F136" s="57"/>
      <c r="G136" s="7"/>
      <c r="H136" s="8"/>
      <c r="I136" s="46"/>
      <c r="J136" s="8"/>
    </row>
    <row r="137" spans="1:10" s="1" customFormat="1" x14ac:dyDescent="0.2">
      <c r="A137" s="7"/>
      <c r="B137" s="25"/>
      <c r="C137" s="25"/>
      <c r="D137" s="15"/>
      <c r="E137" s="57"/>
      <c r="F137" s="57"/>
      <c r="G137" s="7"/>
      <c r="H137" s="8"/>
      <c r="I137" s="46"/>
      <c r="J137" s="8"/>
    </row>
    <row r="138" spans="1:10" s="1" customFormat="1" x14ac:dyDescent="0.2">
      <c r="A138" s="7"/>
      <c r="B138" s="25"/>
      <c r="C138" s="25"/>
      <c r="D138" s="15"/>
      <c r="E138" s="57"/>
      <c r="F138" s="57"/>
      <c r="G138" s="7"/>
      <c r="H138" s="8"/>
      <c r="I138" s="46"/>
      <c r="J138" s="8"/>
    </row>
    <row r="139" spans="1:10" s="1" customFormat="1" x14ac:dyDescent="0.2">
      <c r="A139" s="7"/>
      <c r="B139" s="25"/>
      <c r="C139" s="25"/>
      <c r="D139" s="15"/>
      <c r="E139" s="57"/>
      <c r="F139" s="57"/>
      <c r="G139" s="7"/>
      <c r="H139" s="8"/>
      <c r="I139" s="46"/>
      <c r="J139" s="8"/>
    </row>
    <row r="140" spans="1:10" s="1" customFormat="1" x14ac:dyDescent="0.2">
      <c r="A140" s="7"/>
      <c r="B140" s="25"/>
      <c r="C140" s="25"/>
      <c r="D140" s="15"/>
      <c r="E140" s="57"/>
      <c r="F140" s="57"/>
      <c r="G140" s="7"/>
      <c r="H140" s="8"/>
      <c r="I140" s="46"/>
      <c r="J140" s="8"/>
    </row>
    <row r="141" spans="1:10" s="1" customFormat="1" x14ac:dyDescent="0.2">
      <c r="A141" s="7"/>
      <c r="B141" s="25"/>
      <c r="C141" s="25"/>
      <c r="D141" s="15"/>
      <c r="E141" s="92"/>
      <c r="F141" s="37"/>
      <c r="G141" s="7"/>
      <c r="H141" s="8"/>
      <c r="I141" s="46"/>
      <c r="J141" s="8"/>
    </row>
    <row r="142" spans="1:10" s="1" customFormat="1" x14ac:dyDescent="0.2">
      <c r="A142" s="7"/>
      <c r="B142" s="25"/>
      <c r="C142" s="25"/>
      <c r="D142" s="15"/>
      <c r="E142" s="92"/>
      <c r="F142" s="37"/>
      <c r="G142" s="7"/>
      <c r="H142" s="8"/>
      <c r="I142" s="46"/>
      <c r="J142" s="8"/>
    </row>
    <row r="143" spans="1:10" s="3" customFormat="1" x14ac:dyDescent="0.2">
      <c r="A143" s="8"/>
      <c r="B143" s="25"/>
      <c r="C143" s="25"/>
      <c r="D143" s="9"/>
      <c r="E143" s="94"/>
      <c r="F143" s="94"/>
      <c r="G143" s="25"/>
      <c r="H143" s="8"/>
      <c r="I143" s="46"/>
      <c r="J143" s="8"/>
    </row>
    <row r="144" spans="1:10" s="3" customFormat="1" x14ac:dyDescent="0.2">
      <c r="A144" s="7"/>
      <c r="B144" s="25"/>
      <c r="C144" s="25"/>
      <c r="D144" s="15"/>
      <c r="E144" s="94"/>
      <c r="F144" s="94"/>
      <c r="G144" s="25"/>
      <c r="H144" s="8"/>
      <c r="I144" s="46"/>
      <c r="J144" s="8"/>
    </row>
    <row r="145" spans="1:10" s="3" customFormat="1" x14ac:dyDescent="0.2">
      <c r="A145" s="7"/>
      <c r="B145" s="25"/>
      <c r="C145" s="25"/>
      <c r="D145" s="15"/>
      <c r="E145" s="10"/>
      <c r="F145" s="10"/>
      <c r="G145" s="17"/>
      <c r="H145" s="6"/>
      <c r="I145" s="46"/>
      <c r="J145" s="8"/>
    </row>
    <row r="146" spans="1:10" s="3" customFormat="1" x14ac:dyDescent="0.2">
      <c r="A146" s="7"/>
      <c r="B146" s="25"/>
      <c r="C146" s="25"/>
      <c r="D146" s="15"/>
      <c r="E146" s="26"/>
      <c r="F146" s="26"/>
      <c r="G146" s="25"/>
      <c r="H146" s="7"/>
      <c r="I146" s="46"/>
      <c r="J146" s="8"/>
    </row>
    <row r="147" spans="1:10" s="3" customFormat="1" x14ac:dyDescent="0.2">
      <c r="A147" s="7"/>
      <c r="B147" s="25"/>
      <c r="C147" s="6"/>
      <c r="D147" s="9"/>
      <c r="E147" s="26"/>
      <c r="F147" s="26"/>
      <c r="G147" s="25"/>
      <c r="H147" s="7"/>
      <c r="I147" s="46"/>
      <c r="J147" s="8"/>
    </row>
    <row r="148" spans="1:10" s="1" customFormat="1" x14ac:dyDescent="0.2">
      <c r="A148" s="7"/>
      <c r="B148" s="25"/>
      <c r="C148" s="25"/>
      <c r="D148" s="15"/>
      <c r="E148" s="57"/>
      <c r="F148" s="57"/>
      <c r="G148" s="7"/>
      <c r="H148" s="8"/>
      <c r="I148" s="46"/>
      <c r="J148" s="8"/>
    </row>
    <row r="149" spans="1:10" s="3" customFormat="1" x14ac:dyDescent="0.2">
      <c r="A149" s="7"/>
      <c r="B149" s="25"/>
      <c r="C149" s="25"/>
      <c r="D149" s="15"/>
      <c r="E149" s="94"/>
      <c r="F149" s="94"/>
      <c r="G149" s="25"/>
      <c r="H149" s="8"/>
      <c r="I149" s="46"/>
      <c r="J149" s="8"/>
    </row>
    <row r="150" spans="1:10" s="3" customFormat="1" x14ac:dyDescent="0.2">
      <c r="A150" s="7"/>
      <c r="B150" s="37"/>
      <c r="C150" s="25"/>
      <c r="D150" s="15"/>
      <c r="E150" s="94"/>
      <c r="F150" s="94"/>
      <c r="G150" s="25"/>
      <c r="H150" s="8"/>
      <c r="I150" s="46"/>
      <c r="J150" s="8"/>
    </row>
    <row r="151" spans="1:10" s="3" customFormat="1" x14ac:dyDescent="0.2">
      <c r="A151" s="7"/>
      <c r="B151" s="37"/>
      <c r="C151" s="25"/>
      <c r="D151" s="9"/>
      <c r="E151" s="10"/>
      <c r="F151" s="10"/>
      <c r="G151" s="17"/>
      <c r="H151" s="6"/>
      <c r="I151" s="46"/>
      <c r="J151" s="8"/>
    </row>
    <row r="152" spans="1:10" s="3" customFormat="1" x14ac:dyDescent="0.2">
      <c r="B152" s="25"/>
      <c r="C152" s="25"/>
      <c r="D152" s="15"/>
      <c r="E152" s="94"/>
      <c r="F152" s="94"/>
      <c r="G152" s="25"/>
      <c r="H152" s="7"/>
      <c r="I152" s="46"/>
      <c r="J152" s="8"/>
    </row>
    <row r="153" spans="1:10" s="3" customFormat="1" x14ac:dyDescent="0.2">
      <c r="A153" s="7"/>
      <c r="B153" s="25"/>
      <c r="C153" s="25"/>
      <c r="D153" s="15"/>
      <c r="E153" s="10"/>
      <c r="F153" s="10"/>
      <c r="G153" s="17"/>
      <c r="H153" s="6"/>
      <c r="I153" s="46"/>
      <c r="J153" s="8"/>
    </row>
    <row r="154" spans="1:10" s="3" customFormat="1" x14ac:dyDescent="0.2">
      <c r="A154" s="7"/>
      <c r="B154" s="25"/>
      <c r="C154" s="25"/>
      <c r="D154" s="15"/>
      <c r="E154" s="94"/>
      <c r="F154" s="94"/>
      <c r="G154" s="25"/>
      <c r="H154" s="8"/>
      <c r="I154" s="46"/>
      <c r="J154" s="8"/>
    </row>
    <row r="155" spans="1:10" s="3" customFormat="1" x14ac:dyDescent="0.2">
      <c r="A155" s="7"/>
      <c r="B155" s="25"/>
      <c r="C155" s="25"/>
      <c r="D155" s="15"/>
      <c r="E155" s="26"/>
      <c r="F155" s="26"/>
      <c r="G155" s="25"/>
      <c r="H155" s="7"/>
      <c r="I155" s="46"/>
      <c r="J155" s="8"/>
    </row>
    <row r="156" spans="1:10" s="3" customFormat="1" x14ac:dyDescent="0.2">
      <c r="A156" s="7"/>
      <c r="B156" s="25"/>
      <c r="C156" s="25"/>
      <c r="D156" s="15"/>
      <c r="E156" s="94"/>
      <c r="F156" s="94"/>
      <c r="G156" s="25"/>
      <c r="H156" s="8"/>
      <c r="I156" s="46"/>
      <c r="J156" s="8"/>
    </row>
    <row r="157" spans="1:10" s="3" customFormat="1" x14ac:dyDescent="0.2">
      <c r="A157" s="7"/>
      <c r="B157" s="25"/>
      <c r="C157" s="25"/>
      <c r="D157" s="9"/>
      <c r="E157" s="145"/>
      <c r="F157" s="7"/>
      <c r="G157" s="25"/>
      <c r="H157" s="8"/>
      <c r="I157" s="46"/>
      <c r="J157" s="8"/>
    </row>
    <row r="158" spans="1:10" x14ac:dyDescent="0.2">
      <c r="A158" s="7"/>
      <c r="B158" s="37"/>
      <c r="C158" s="25"/>
      <c r="D158" s="15"/>
      <c r="E158" s="57"/>
      <c r="F158" s="57"/>
      <c r="G158" s="7"/>
      <c r="H158" s="7"/>
      <c r="I158" s="46"/>
      <c r="J158" s="36"/>
    </row>
    <row r="159" spans="1:10" x14ac:dyDescent="0.2">
      <c r="A159" s="7"/>
      <c r="B159" s="37"/>
      <c r="C159" s="25"/>
      <c r="D159" s="15"/>
      <c r="E159" s="57"/>
      <c r="F159" s="57"/>
      <c r="G159" s="7"/>
      <c r="H159" s="7"/>
      <c r="I159" s="46"/>
      <c r="J159" s="36"/>
    </row>
    <row r="160" spans="1:10" x14ac:dyDescent="0.2">
      <c r="A160" s="7"/>
      <c r="B160" s="37"/>
      <c r="C160" s="25"/>
      <c r="D160" s="15"/>
      <c r="E160" s="57"/>
      <c r="F160" s="57"/>
      <c r="G160" s="7"/>
      <c r="H160" s="7"/>
      <c r="I160" s="46"/>
      <c r="J160" s="36"/>
    </row>
    <row r="161" spans="1:10" x14ac:dyDescent="0.2">
      <c r="A161" s="7"/>
      <c r="B161" s="37"/>
      <c r="C161" s="25"/>
      <c r="D161" s="15"/>
      <c r="E161" s="57"/>
      <c r="F161" s="57"/>
      <c r="G161" s="7"/>
      <c r="H161" s="7"/>
      <c r="I161" s="46"/>
      <c r="J161" s="36"/>
    </row>
    <row r="162" spans="1:10" x14ac:dyDescent="0.2">
      <c r="A162" s="7"/>
      <c r="B162" s="37"/>
      <c r="C162" s="6"/>
      <c r="D162" s="9"/>
      <c r="E162" s="57"/>
      <c r="F162" s="57"/>
      <c r="G162" s="7"/>
      <c r="H162" s="7"/>
      <c r="I162" s="46"/>
      <c r="J162" s="36"/>
    </row>
    <row r="163" spans="1:10" x14ac:dyDescent="0.2">
      <c r="A163" s="6"/>
      <c r="B163" s="6"/>
      <c r="C163" s="6"/>
      <c r="D163" s="9"/>
      <c r="E163" s="57"/>
      <c r="F163" s="57"/>
      <c r="G163" s="7"/>
      <c r="H163" s="7"/>
      <c r="I163" s="46"/>
      <c r="J163" s="6"/>
    </row>
    <row r="164" spans="1:10" x14ac:dyDescent="0.2">
      <c r="A164" s="6"/>
      <c r="B164" s="6"/>
      <c r="C164" s="25"/>
      <c r="D164" s="9"/>
      <c r="E164" s="57"/>
      <c r="F164" s="57"/>
      <c r="G164" s="7"/>
      <c r="H164" s="7"/>
      <c r="I164" s="46"/>
      <c r="J164" s="6"/>
    </row>
    <row r="165" spans="1:10" x14ac:dyDescent="0.2">
      <c r="A165" s="6"/>
      <c r="B165" s="6"/>
      <c r="C165" s="25"/>
      <c r="D165" s="9"/>
      <c r="E165" s="57"/>
      <c r="F165" s="57"/>
      <c r="G165" s="6"/>
      <c r="H165" s="6"/>
      <c r="I165" s="46"/>
      <c r="J165" s="6"/>
    </row>
    <row r="166" spans="1:10" x14ac:dyDescent="0.2">
      <c r="A166" s="6"/>
      <c r="B166" s="6"/>
      <c r="C166" s="25"/>
      <c r="D166" s="15"/>
      <c r="E166" s="57"/>
      <c r="F166" s="57"/>
      <c r="G166" s="6"/>
      <c r="H166" s="6"/>
      <c r="I166" s="46"/>
      <c r="J166" s="6"/>
    </row>
    <row r="167" spans="1:10" x14ac:dyDescent="0.2">
      <c r="A167" s="6"/>
      <c r="B167" s="6"/>
      <c r="C167" s="25"/>
      <c r="D167" s="15"/>
      <c r="E167" s="57"/>
      <c r="F167" s="57"/>
      <c r="G167" s="6"/>
      <c r="H167" s="6"/>
      <c r="I167" s="46"/>
      <c r="J167" s="6"/>
    </row>
    <row r="168" spans="1:10" x14ac:dyDescent="0.2">
      <c r="A168" s="6"/>
      <c r="B168" s="6"/>
      <c r="C168" s="6"/>
      <c r="D168" s="9"/>
      <c r="E168" s="57"/>
      <c r="F168" s="57"/>
      <c r="G168" s="6"/>
      <c r="H168" s="6"/>
      <c r="I168" s="46"/>
      <c r="J168" s="6"/>
    </row>
    <row r="169" spans="1:10" x14ac:dyDescent="0.2">
      <c r="A169" s="6"/>
      <c r="B169" s="6"/>
      <c r="C169" s="25"/>
      <c r="D169" s="9"/>
      <c r="E169" s="57"/>
      <c r="F169" s="57"/>
      <c r="G169" s="6"/>
      <c r="H169" s="6"/>
      <c r="I169" s="46"/>
      <c r="J169" s="6"/>
    </row>
    <row r="170" spans="1:10" x14ac:dyDescent="0.2">
      <c r="A170" s="6"/>
      <c r="B170" s="6"/>
      <c r="C170" s="25"/>
      <c r="D170" s="9"/>
      <c r="E170" s="57"/>
      <c r="F170" s="57"/>
      <c r="G170" s="6"/>
      <c r="H170" s="6"/>
      <c r="I170" s="46"/>
      <c r="J170" s="6"/>
    </row>
    <row r="171" spans="1:10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</row>
    <row r="172" spans="1:10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</row>
    <row r="173" spans="1:10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6"/>
    </row>
    <row r="174" spans="1:10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6"/>
    </row>
    <row r="175" spans="1:10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6"/>
    </row>
    <row r="176" spans="1:10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6"/>
    </row>
    <row r="177" spans="1:10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6"/>
    </row>
    <row r="178" spans="1:10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6"/>
    </row>
  </sheetData>
  <sortState xmlns:xlrd2="http://schemas.microsoft.com/office/spreadsheetml/2017/richdata2" ref="C144:D186">
    <sortCondition ref="D144:D186"/>
  </sortState>
  <mergeCells count="1">
    <mergeCell ref="I3:I4"/>
  </mergeCells>
  <pageMargins left="0.7" right="0.7" top="0.75" bottom="0.75" header="0.3" footer="0.3"/>
  <pageSetup scale="83" fitToHeight="6" orientation="landscape" horizontalDpi="300" r:id="rId1"/>
  <headerFooter>
    <oddFooter>&amp;R&amp;D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277D5-CC3E-40BA-BAD0-572BDF37A5DA}">
  <sheetPr>
    <tabColor theme="0" tint="-0.34998626667073579"/>
    <pageSetUpPr fitToPage="1"/>
  </sheetPr>
  <dimension ref="A1:J33"/>
  <sheetViews>
    <sheetView workbookViewId="0"/>
  </sheetViews>
  <sheetFormatPr defaultRowHeight="12.75" x14ac:dyDescent="0.2"/>
  <cols>
    <col min="1" max="1" width="15.5703125" bestFit="1" customWidth="1"/>
    <col min="2" max="2" width="14.7109375" bestFit="1" customWidth="1"/>
    <col min="3" max="3" width="6.5703125" customWidth="1"/>
    <col min="4" max="4" width="24" customWidth="1"/>
    <col min="5" max="5" width="13.85546875" customWidth="1"/>
    <col min="6" max="6" width="11.5703125" customWidth="1"/>
    <col min="9" max="9" width="12.28515625" customWidth="1"/>
  </cols>
  <sheetData>
    <row r="1" spans="1:10" ht="15" x14ac:dyDescent="0.2">
      <c r="A1" s="5" t="str">
        <f ca="1">MID(CELL("filename",$A$1),FIND("]",CELL("filename",$A$1),1)+1,1024)</f>
        <v>CBP PROPERTIES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s="3" customFormat="1" x14ac:dyDescent="0.2">
      <c r="A5" s="6"/>
      <c r="B5" s="17"/>
      <c r="C5" s="25"/>
      <c r="D5" s="15"/>
      <c r="E5" s="10"/>
      <c r="F5" s="10"/>
      <c r="G5" s="8"/>
      <c r="H5" s="8"/>
      <c r="I5" s="75"/>
      <c r="J5" s="8"/>
    </row>
    <row r="6" spans="1:10" x14ac:dyDescent="0.2">
      <c r="A6" s="6"/>
      <c r="B6" s="17"/>
      <c r="C6" s="6"/>
      <c r="D6" s="11"/>
      <c r="E6" s="10"/>
      <c r="F6" s="10"/>
      <c r="G6" s="6"/>
      <c r="H6" s="6"/>
      <c r="I6" s="6"/>
      <c r="J6" s="6"/>
    </row>
    <row r="7" spans="1:10" x14ac:dyDescent="0.2">
      <c r="A7" s="6"/>
      <c r="B7" s="6"/>
      <c r="C7" s="6"/>
      <c r="D7" s="11"/>
      <c r="E7" s="10"/>
      <c r="F7" s="10"/>
      <c r="G7" s="6"/>
      <c r="H7" s="6"/>
      <c r="I7" s="6"/>
      <c r="J7" s="6"/>
    </row>
    <row r="8" spans="1:10" x14ac:dyDescent="0.2">
      <c r="A8" s="6"/>
      <c r="B8" s="17"/>
      <c r="C8" s="6"/>
      <c r="D8" s="11"/>
      <c r="E8" s="10"/>
      <c r="F8" s="10"/>
      <c r="G8" s="6"/>
      <c r="H8" s="6"/>
      <c r="I8" s="6"/>
      <c r="J8" s="6"/>
    </row>
    <row r="9" spans="1:10" x14ac:dyDescent="0.2">
      <c r="A9" s="6"/>
      <c r="B9" s="17"/>
      <c r="C9" s="6"/>
      <c r="D9" s="11"/>
      <c r="E9" s="10"/>
      <c r="F9" s="10"/>
      <c r="G9" s="6"/>
      <c r="H9" s="6"/>
      <c r="I9" s="6"/>
      <c r="J9" s="6"/>
    </row>
    <row r="10" spans="1:10" x14ac:dyDescent="0.2">
      <c r="A10" s="6"/>
      <c r="B10" s="17"/>
      <c r="C10" s="6"/>
      <c r="D10" s="11"/>
      <c r="E10" s="10"/>
      <c r="F10" s="10"/>
      <c r="G10" s="6"/>
      <c r="H10" s="6"/>
      <c r="I10" s="6"/>
      <c r="J10" s="6"/>
    </row>
    <row r="11" spans="1:10" x14ac:dyDescent="0.2">
      <c r="A11" s="6"/>
      <c r="B11" s="17"/>
      <c r="C11" s="6"/>
      <c r="D11" s="6"/>
      <c r="E11" s="10"/>
      <c r="F11" s="10"/>
      <c r="G11" s="6"/>
      <c r="H11" s="6"/>
      <c r="I11" s="6"/>
      <c r="J11" s="6"/>
    </row>
    <row r="12" spans="1:10" x14ac:dyDescent="0.2">
      <c r="A12" s="6"/>
      <c r="B12" s="17"/>
      <c r="C12" s="6"/>
      <c r="D12" s="6"/>
      <c r="E12" s="10"/>
      <c r="F12" s="10"/>
      <c r="G12" s="6"/>
      <c r="H12" s="6"/>
      <c r="I12" s="6"/>
      <c r="J12" s="6"/>
    </row>
    <row r="13" spans="1:10" x14ac:dyDescent="0.2">
      <c r="A13" s="6"/>
      <c r="B13" s="17"/>
      <c r="C13" s="6"/>
      <c r="D13" s="6"/>
      <c r="E13" s="10"/>
      <c r="F13" s="10"/>
      <c r="G13" s="6"/>
      <c r="H13" s="6"/>
      <c r="I13" s="6"/>
      <c r="J13" s="6"/>
    </row>
    <row r="14" spans="1:10" x14ac:dyDescent="0.2">
      <c r="A14" s="6"/>
      <c r="B14" s="17"/>
      <c r="C14" s="6"/>
      <c r="D14" s="6"/>
      <c r="E14" s="10"/>
      <c r="F14" s="10"/>
      <c r="G14" s="6"/>
      <c r="H14" s="6"/>
      <c r="I14" s="6"/>
      <c r="J14" s="6"/>
    </row>
    <row r="15" spans="1:10" x14ac:dyDescent="0.2">
      <c r="A15" s="6"/>
      <c r="B15" s="17"/>
      <c r="C15" s="6"/>
      <c r="D15" s="6"/>
      <c r="E15" s="10"/>
      <c r="F15" s="10"/>
      <c r="G15" s="6"/>
      <c r="H15" s="6"/>
      <c r="I15" s="6"/>
      <c r="J15" s="6"/>
    </row>
    <row r="16" spans="1:10" x14ac:dyDescent="0.2">
      <c r="A16" s="6"/>
      <c r="B16" s="17"/>
      <c r="C16" s="6"/>
      <c r="D16" s="6"/>
      <c r="E16" s="10"/>
      <c r="F16" s="10"/>
      <c r="G16" s="6"/>
      <c r="H16" s="6"/>
      <c r="I16" s="6"/>
      <c r="J16" s="6"/>
    </row>
    <row r="17" spans="1:10" x14ac:dyDescent="0.2">
      <c r="A17" s="6"/>
      <c r="B17" s="17"/>
      <c r="C17" s="6"/>
      <c r="D17" s="6"/>
      <c r="E17" s="10"/>
      <c r="F17" s="10"/>
      <c r="G17" s="6"/>
      <c r="H17" s="6"/>
      <c r="I17" s="6"/>
      <c r="J17" s="6"/>
    </row>
    <row r="18" spans="1:10" x14ac:dyDescent="0.2">
      <c r="A18" s="6"/>
      <c r="B18" s="17"/>
      <c r="C18" s="6"/>
      <c r="D18" s="6"/>
      <c r="E18" s="10"/>
      <c r="F18" s="10"/>
      <c r="G18" s="6"/>
      <c r="H18" s="6"/>
      <c r="I18" s="6"/>
      <c r="J18" s="6"/>
    </row>
    <row r="19" spans="1:10" x14ac:dyDescent="0.2">
      <c r="A19" s="6"/>
      <c r="B19" s="17"/>
      <c r="C19" s="6"/>
      <c r="D19" s="6"/>
      <c r="E19" s="6"/>
      <c r="F19" s="6"/>
      <c r="G19" s="6"/>
      <c r="H19" s="6"/>
      <c r="I19" s="6"/>
      <c r="J19" s="6"/>
    </row>
    <row r="20" spans="1:10" x14ac:dyDescent="0.2">
      <c r="A20" s="6"/>
      <c r="B20" s="17"/>
      <c r="C20" s="6"/>
      <c r="D20" s="6"/>
      <c r="E20" s="10"/>
      <c r="F20" s="10"/>
      <c r="G20" s="6"/>
      <c r="H20" s="6"/>
      <c r="I20" s="6"/>
      <c r="J20" s="6"/>
    </row>
    <row r="21" spans="1:10" x14ac:dyDescent="0.2">
      <c r="A21" s="6"/>
      <c r="B21" s="17"/>
      <c r="C21" s="6"/>
      <c r="D21" s="6"/>
      <c r="E21" s="10"/>
      <c r="F21" s="10"/>
      <c r="G21" s="6"/>
      <c r="H21" s="6"/>
      <c r="I21" s="6"/>
      <c r="J21" s="6"/>
    </row>
    <row r="22" spans="1:10" x14ac:dyDescent="0.2">
      <c r="A22" s="6"/>
      <c r="B22" s="17"/>
      <c r="C22" s="6"/>
      <c r="D22" s="6"/>
      <c r="E22" s="10"/>
      <c r="F22" s="10"/>
      <c r="G22" s="6"/>
      <c r="H22" s="6"/>
      <c r="I22" s="6"/>
      <c r="J22" s="6"/>
    </row>
    <row r="23" spans="1:10" x14ac:dyDescent="0.2">
      <c r="A23" s="6"/>
      <c r="B23" s="17"/>
      <c r="C23" s="6"/>
      <c r="D23" s="6"/>
      <c r="E23" s="10"/>
      <c r="F23" s="10"/>
      <c r="G23" s="6"/>
      <c r="H23" s="6"/>
      <c r="I23" s="6"/>
      <c r="J23" s="6"/>
    </row>
    <row r="24" spans="1:10" x14ac:dyDescent="0.2">
      <c r="A24" s="6"/>
      <c r="B24" s="17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17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17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17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17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17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17"/>
      <c r="C30" s="6"/>
      <c r="D30" s="6"/>
      <c r="E30" s="6"/>
      <c r="F30" s="6"/>
      <c r="G30" s="6"/>
      <c r="H30" s="6"/>
      <c r="I30" s="6"/>
      <c r="J30" s="6"/>
    </row>
    <row r="31" spans="1:10" x14ac:dyDescent="0.2">
      <c r="A31" s="6"/>
      <c r="B31" s="17"/>
      <c r="C31" s="6"/>
      <c r="D31" s="6"/>
      <c r="E31" s="6"/>
      <c r="F31" s="6"/>
      <c r="G31" s="6"/>
      <c r="H31" s="6"/>
      <c r="I31" s="6"/>
      <c r="J31" s="6"/>
    </row>
    <row r="32" spans="1:10" x14ac:dyDescent="0.2">
      <c r="A32" s="6"/>
      <c r="B32" s="17"/>
      <c r="C32" s="6"/>
      <c r="D32" s="6"/>
      <c r="E32" s="6"/>
      <c r="F32" s="6"/>
      <c r="G32" s="6"/>
      <c r="H32" s="6"/>
      <c r="I32" s="6"/>
      <c r="J32" s="6"/>
    </row>
    <row r="33" spans="1:10" x14ac:dyDescent="0.2">
      <c r="A33" s="6"/>
      <c r="B33" s="17"/>
      <c r="C33" s="6"/>
      <c r="D33" s="6"/>
      <c r="E33" s="6"/>
      <c r="F33" s="6"/>
      <c r="G33" s="6"/>
      <c r="H33" s="6"/>
      <c r="I33" s="6"/>
      <c r="J33" s="6"/>
    </row>
  </sheetData>
  <mergeCells count="1">
    <mergeCell ref="I3:I4"/>
  </mergeCells>
  <pageMargins left="0.7" right="0.7" top="0.75" bottom="0.75" header="0.3" footer="0.3"/>
  <pageSetup scale="92" fitToHeight="6" orientation="landscape" horizontalDpi="300" r:id="rId1"/>
  <headerFooter>
    <oddFooter>&amp;R&amp;D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B001-4409-4A32-8F45-9956B14EC6BE}">
  <sheetPr>
    <tabColor theme="0" tint="-0.34998626667073579"/>
  </sheetPr>
  <dimension ref="A1:J24"/>
  <sheetViews>
    <sheetView workbookViewId="0"/>
  </sheetViews>
  <sheetFormatPr defaultRowHeight="12.75" x14ac:dyDescent="0.2"/>
  <cols>
    <col min="1" max="1" width="19" style="107" customWidth="1"/>
    <col min="2" max="2" width="10.140625" style="107" customWidth="1"/>
    <col min="3" max="3" width="6.5703125" style="107" customWidth="1"/>
    <col min="4" max="4" width="27.5703125" style="107" customWidth="1"/>
    <col min="5" max="5" width="11" style="107" customWidth="1"/>
    <col min="6" max="6" width="11.5703125" style="107" customWidth="1"/>
    <col min="7" max="7" width="11" style="107" customWidth="1"/>
    <col min="8" max="8" width="9.140625" style="107"/>
    <col min="9" max="9" width="12.28515625" style="107" customWidth="1"/>
    <col min="10" max="10" width="12" style="107" customWidth="1"/>
    <col min="11" max="16384" width="9.140625" style="107"/>
  </cols>
  <sheetData>
    <row r="1" spans="1:10" ht="15" x14ac:dyDescent="0.2">
      <c r="A1" s="121" t="str">
        <f ca="1">MID(CELL("filename",$A$1),FIND("]",CELL("filename",$A$1),1)+1,1024)</f>
        <v>COSTA AG COMPANY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x14ac:dyDescent="0.2">
      <c r="A2" s="108"/>
      <c r="B2" s="108"/>
      <c r="C2" s="108"/>
      <c r="D2" s="108"/>
      <c r="E2" s="108"/>
      <c r="F2" s="108"/>
      <c r="G2" s="108"/>
      <c r="H2" s="108"/>
      <c r="I2" s="108"/>
      <c r="J2" s="108"/>
    </row>
    <row r="3" spans="1:10" x14ac:dyDescent="0.2">
      <c r="A3" s="108"/>
      <c r="B3" s="108"/>
      <c r="C3" s="108"/>
      <c r="D3" s="108"/>
      <c r="E3" s="108"/>
      <c r="F3" s="108"/>
      <c r="G3" s="108"/>
      <c r="H3" s="108"/>
      <c r="I3" s="165" t="s">
        <v>96</v>
      </c>
      <c r="J3" s="108"/>
    </row>
    <row r="4" spans="1:10" s="115" customFormat="1" ht="15" x14ac:dyDescent="0.35">
      <c r="A4" s="117" t="s">
        <v>0</v>
      </c>
      <c r="B4" s="117" t="s">
        <v>101</v>
      </c>
      <c r="C4" s="117" t="s">
        <v>2</v>
      </c>
      <c r="D4" s="119" t="s">
        <v>3</v>
      </c>
      <c r="E4" s="118" t="s">
        <v>4</v>
      </c>
      <c r="F4" s="117" t="s">
        <v>5</v>
      </c>
      <c r="G4" s="116" t="s">
        <v>95</v>
      </c>
      <c r="H4" s="116" t="s">
        <v>92</v>
      </c>
      <c r="I4" s="165"/>
      <c r="J4" s="116" t="s">
        <v>94</v>
      </c>
    </row>
    <row r="5" spans="1:10" x14ac:dyDescent="0.2">
      <c r="A5" s="110"/>
      <c r="B5" s="120"/>
      <c r="C5" s="110"/>
      <c r="D5" s="110"/>
      <c r="E5" s="111"/>
      <c r="F5" s="111"/>
      <c r="G5" s="110"/>
      <c r="H5" s="110"/>
      <c r="I5" s="110"/>
      <c r="J5" s="110"/>
    </row>
    <row r="6" spans="1:10" x14ac:dyDescent="0.2">
      <c r="A6" s="108" t="s">
        <v>213</v>
      </c>
      <c r="B6" s="114">
        <v>120900</v>
      </c>
      <c r="C6" s="108">
        <v>192</v>
      </c>
      <c r="D6" s="108" t="s">
        <v>159</v>
      </c>
      <c r="E6" s="109">
        <v>43657</v>
      </c>
      <c r="F6" s="109">
        <v>43780</v>
      </c>
      <c r="G6" s="108">
        <v>128</v>
      </c>
      <c r="H6" s="108"/>
      <c r="I6" s="108">
        <f>C6-G6</f>
        <v>64</v>
      </c>
      <c r="J6" s="108" t="s">
        <v>400</v>
      </c>
    </row>
    <row r="7" spans="1:10" x14ac:dyDescent="0.2">
      <c r="A7" s="108"/>
      <c r="B7" s="114"/>
      <c r="C7" s="108">
        <v>88</v>
      </c>
      <c r="D7" s="108" t="s">
        <v>136</v>
      </c>
      <c r="E7" s="109">
        <v>43657</v>
      </c>
      <c r="F7" s="109">
        <v>43780</v>
      </c>
      <c r="G7" s="108">
        <v>38</v>
      </c>
      <c r="H7" s="108"/>
      <c r="I7" s="108">
        <f t="shared" ref="I7:I16" si="0">C7-G7</f>
        <v>50</v>
      </c>
      <c r="J7" s="108"/>
    </row>
    <row r="8" spans="1:10" x14ac:dyDescent="0.2">
      <c r="A8" s="108"/>
      <c r="B8" s="114"/>
      <c r="C8" s="108">
        <v>133</v>
      </c>
      <c r="D8" s="108" t="s">
        <v>167</v>
      </c>
      <c r="E8" s="109">
        <v>43657</v>
      </c>
      <c r="F8" s="109">
        <v>43780</v>
      </c>
      <c r="G8" s="108">
        <v>90</v>
      </c>
      <c r="H8" s="108"/>
      <c r="I8" s="108">
        <f t="shared" si="0"/>
        <v>43</v>
      </c>
      <c r="J8" s="108"/>
    </row>
    <row r="9" spans="1:10" x14ac:dyDescent="0.2">
      <c r="A9" s="108"/>
      <c r="B9" s="114"/>
      <c r="C9" s="108">
        <v>7</v>
      </c>
      <c r="D9" s="108" t="s">
        <v>115</v>
      </c>
      <c r="E9" s="109">
        <v>43657</v>
      </c>
      <c r="F9" s="109">
        <v>43780</v>
      </c>
      <c r="G9" s="108"/>
      <c r="H9" s="108"/>
      <c r="I9" s="108">
        <f t="shared" si="0"/>
        <v>7</v>
      </c>
      <c r="J9" s="108"/>
    </row>
    <row r="10" spans="1:10" x14ac:dyDescent="0.2">
      <c r="A10" s="108"/>
      <c r="B10" s="114"/>
      <c r="C10" s="108">
        <v>7</v>
      </c>
      <c r="D10" s="108" t="s">
        <v>519</v>
      </c>
      <c r="E10" s="109">
        <v>43657</v>
      </c>
      <c r="F10" s="109">
        <v>43780</v>
      </c>
      <c r="G10" s="108"/>
      <c r="H10" s="108"/>
      <c r="I10" s="108">
        <f t="shared" si="0"/>
        <v>7</v>
      </c>
      <c r="J10" s="108"/>
    </row>
    <row r="11" spans="1:10" x14ac:dyDescent="0.2">
      <c r="A11" s="108"/>
      <c r="B11" s="114"/>
      <c r="C11" s="108">
        <v>2</v>
      </c>
      <c r="D11" s="108" t="s">
        <v>97</v>
      </c>
      <c r="E11" s="109">
        <v>43657</v>
      </c>
      <c r="F11" s="109">
        <v>43780</v>
      </c>
      <c r="G11" s="108"/>
      <c r="H11" s="108"/>
      <c r="I11" s="108">
        <f t="shared" si="0"/>
        <v>2</v>
      </c>
      <c r="J11" s="108"/>
    </row>
    <row r="12" spans="1:10" x14ac:dyDescent="0.2">
      <c r="A12" s="108"/>
      <c r="B12" s="114"/>
      <c r="C12" s="108">
        <v>184</v>
      </c>
      <c r="D12" s="108" t="s">
        <v>518</v>
      </c>
      <c r="E12" s="109">
        <v>43657</v>
      </c>
      <c r="F12" s="109">
        <v>43780</v>
      </c>
      <c r="G12" s="108"/>
      <c r="H12" s="108"/>
      <c r="I12" s="108">
        <f t="shared" si="0"/>
        <v>184</v>
      </c>
      <c r="J12" s="108"/>
    </row>
    <row r="13" spans="1:10" x14ac:dyDescent="0.2">
      <c r="A13" s="108"/>
      <c r="B13" s="114"/>
      <c r="C13" s="108">
        <v>184</v>
      </c>
      <c r="D13" s="108" t="s">
        <v>517</v>
      </c>
      <c r="E13" s="109">
        <v>43657</v>
      </c>
      <c r="F13" s="109">
        <v>43780</v>
      </c>
      <c r="G13" s="108"/>
      <c r="H13" s="108"/>
      <c r="I13" s="108">
        <f t="shared" si="0"/>
        <v>184</v>
      </c>
      <c r="J13" s="108"/>
    </row>
    <row r="14" spans="1:10" x14ac:dyDescent="0.2">
      <c r="A14" s="108"/>
      <c r="B14" s="114"/>
      <c r="C14" s="108">
        <v>1</v>
      </c>
      <c r="D14" s="108" t="s">
        <v>516</v>
      </c>
      <c r="E14" s="109">
        <v>43657</v>
      </c>
      <c r="F14" s="109">
        <v>43780</v>
      </c>
      <c r="G14" s="108"/>
      <c r="H14" s="108"/>
      <c r="I14" s="108">
        <f t="shared" si="0"/>
        <v>1</v>
      </c>
      <c r="J14" s="108"/>
    </row>
    <row r="15" spans="1:10" x14ac:dyDescent="0.2">
      <c r="A15" s="108"/>
      <c r="B15" s="114"/>
      <c r="C15" s="108">
        <v>100</v>
      </c>
      <c r="D15" s="108" t="s">
        <v>377</v>
      </c>
      <c r="E15" s="109">
        <v>43657</v>
      </c>
      <c r="F15" s="109">
        <v>43780</v>
      </c>
      <c r="G15" s="108">
        <v>23</v>
      </c>
      <c r="H15" s="108"/>
      <c r="I15" s="108">
        <f t="shared" si="0"/>
        <v>77</v>
      </c>
      <c r="J15" s="108"/>
    </row>
    <row r="16" spans="1:10" x14ac:dyDescent="0.2">
      <c r="A16" s="108"/>
      <c r="B16" s="114"/>
      <c r="C16" s="108">
        <v>67</v>
      </c>
      <c r="D16" s="108" t="s">
        <v>515</v>
      </c>
      <c r="E16" s="109">
        <v>43657</v>
      </c>
      <c r="F16" s="109">
        <v>43780</v>
      </c>
      <c r="G16" s="108"/>
      <c r="H16" s="108"/>
      <c r="I16" s="108">
        <f t="shared" si="0"/>
        <v>67</v>
      </c>
      <c r="J16" s="108"/>
    </row>
    <row r="17" spans="1:10" x14ac:dyDescent="0.2">
      <c r="A17" s="108"/>
      <c r="B17" s="114"/>
      <c r="C17" s="108"/>
      <c r="D17" s="108"/>
      <c r="E17" s="109"/>
      <c r="F17" s="109"/>
      <c r="G17" s="108"/>
      <c r="H17" s="108"/>
      <c r="I17" s="108"/>
      <c r="J17" s="108"/>
    </row>
    <row r="18" spans="1:10" x14ac:dyDescent="0.2">
      <c r="A18" s="108"/>
      <c r="B18" s="114"/>
      <c r="C18" s="108"/>
      <c r="D18" s="108"/>
      <c r="E18" s="109"/>
      <c r="F18" s="109"/>
      <c r="G18" s="108"/>
      <c r="H18" s="108"/>
      <c r="I18" s="108"/>
      <c r="J18" s="108"/>
    </row>
    <row r="19" spans="1:10" x14ac:dyDescent="0.2">
      <c r="A19" s="108"/>
      <c r="B19" s="114"/>
      <c r="C19" s="108"/>
      <c r="D19" s="108"/>
      <c r="E19" s="109"/>
      <c r="F19" s="109"/>
      <c r="G19" s="108"/>
      <c r="H19" s="108"/>
      <c r="I19" s="108"/>
      <c r="J19" s="108"/>
    </row>
    <row r="20" spans="1:10" x14ac:dyDescent="0.2">
      <c r="A20" s="108"/>
      <c r="B20" s="114"/>
      <c r="C20" s="108"/>
      <c r="D20" s="108"/>
      <c r="E20" s="109"/>
      <c r="F20" s="109"/>
      <c r="G20" s="108"/>
      <c r="H20" s="108"/>
      <c r="I20" s="108"/>
      <c r="J20" s="108"/>
    </row>
    <row r="21" spans="1:10" x14ac:dyDescent="0.2">
      <c r="A21" s="108"/>
      <c r="B21" s="114"/>
      <c r="C21" s="108"/>
      <c r="D21" s="108"/>
      <c r="E21" s="108"/>
      <c r="F21" s="108"/>
      <c r="G21" s="108"/>
      <c r="H21" s="108"/>
      <c r="I21" s="108"/>
      <c r="J21" s="108"/>
    </row>
    <row r="22" spans="1:10" x14ac:dyDescent="0.2">
      <c r="A22" s="108"/>
      <c r="B22" s="114"/>
      <c r="C22" s="108"/>
      <c r="D22" s="108"/>
      <c r="E22" s="108"/>
      <c r="F22" s="108"/>
      <c r="G22" s="108"/>
      <c r="H22" s="108"/>
      <c r="I22" s="108"/>
      <c r="J22" s="108"/>
    </row>
    <row r="23" spans="1:10" x14ac:dyDescent="0.2">
      <c r="A23" s="108"/>
      <c r="B23" s="114"/>
      <c r="C23" s="108"/>
      <c r="D23" s="108"/>
      <c r="E23" s="108"/>
      <c r="F23" s="108"/>
      <c r="G23" s="108"/>
      <c r="H23" s="108"/>
      <c r="I23" s="108"/>
      <c r="J23" s="108"/>
    </row>
    <row r="24" spans="1:10" x14ac:dyDescent="0.2">
      <c r="A24" s="108"/>
      <c r="B24" s="114"/>
      <c r="C24" s="108"/>
      <c r="D24" s="108"/>
      <c r="E24" s="108"/>
      <c r="F24" s="108"/>
      <c r="G24" s="108"/>
      <c r="H24" s="108"/>
      <c r="I24" s="108"/>
      <c r="J24" s="108"/>
    </row>
  </sheetData>
  <mergeCells count="1">
    <mergeCell ref="I3:I4"/>
  </mergeCells>
  <pageMargins left="0.7" right="0.7" top="0.75" bottom="0.75" header="0.3" footer="0.3"/>
  <pageSetup scale="95" orientation="landscape" horizontalDpi="300" r:id="rId1"/>
  <headerFooter>
    <oddFooter>&amp;R&amp;D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4BDE-720C-4C59-822D-7B5524780FDD}">
  <sheetPr>
    <tabColor theme="0" tint="-0.34998626667073579"/>
    <pageSetUpPr fitToPage="1"/>
  </sheetPr>
  <dimension ref="A1:J33"/>
  <sheetViews>
    <sheetView workbookViewId="0"/>
  </sheetViews>
  <sheetFormatPr defaultRowHeight="12.75" x14ac:dyDescent="0.2"/>
  <cols>
    <col min="1" max="1" width="15.5703125" style="107" bestFit="1" customWidth="1"/>
    <col min="2" max="2" width="14.7109375" style="107" bestFit="1" customWidth="1"/>
    <col min="3" max="3" width="6.5703125" style="107" customWidth="1"/>
    <col min="4" max="4" width="24" style="107" customWidth="1"/>
    <col min="5" max="5" width="13.85546875" style="107" customWidth="1"/>
    <col min="6" max="6" width="11.5703125" style="107" customWidth="1"/>
    <col min="7" max="8" width="9.140625" style="107"/>
    <col min="9" max="9" width="12.28515625" style="107" customWidth="1"/>
    <col min="10" max="16384" width="9.140625" style="107"/>
  </cols>
  <sheetData>
    <row r="1" spans="1:10" ht="15" x14ac:dyDescent="0.2">
      <c r="A1" s="121" t="str">
        <f ca="1">MID(CELL("filename",$A$1),FIND("]",CELL("filename",$A$1),1)+1,1024)</f>
        <v>CORE AGRICULTURE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x14ac:dyDescent="0.2">
      <c r="A2" s="108"/>
      <c r="B2" s="108"/>
      <c r="C2" s="108"/>
      <c r="D2" s="108"/>
      <c r="E2" s="108"/>
      <c r="F2" s="108"/>
      <c r="G2" s="108"/>
      <c r="H2" s="108"/>
      <c r="I2" s="108"/>
      <c r="J2" s="108"/>
    </row>
    <row r="3" spans="1:10" x14ac:dyDescent="0.2">
      <c r="A3" s="108"/>
      <c r="B3" s="108"/>
      <c r="C3" s="108"/>
      <c r="D3" s="108"/>
      <c r="E3" s="108"/>
      <c r="F3" s="108"/>
      <c r="G3" s="108"/>
      <c r="H3" s="108"/>
      <c r="I3" s="165" t="s">
        <v>96</v>
      </c>
      <c r="J3" s="108"/>
    </row>
    <row r="4" spans="1:10" s="115" customFormat="1" ht="15" x14ac:dyDescent="0.35">
      <c r="A4" s="117" t="s">
        <v>0</v>
      </c>
      <c r="B4" s="117" t="s">
        <v>101</v>
      </c>
      <c r="C4" s="117" t="s">
        <v>2</v>
      </c>
      <c r="D4" s="119" t="s">
        <v>3</v>
      </c>
      <c r="E4" s="118" t="s">
        <v>4</v>
      </c>
      <c r="F4" s="117" t="s">
        <v>5</v>
      </c>
      <c r="G4" s="116" t="s">
        <v>95</v>
      </c>
      <c r="H4" s="116" t="s">
        <v>92</v>
      </c>
      <c r="I4" s="165"/>
      <c r="J4" s="116" t="s">
        <v>94</v>
      </c>
    </row>
    <row r="5" spans="1:10" s="115" customFormat="1" x14ac:dyDescent="0.2">
      <c r="A5" s="108"/>
      <c r="B5" s="114"/>
      <c r="C5" s="114"/>
      <c r="D5" s="128"/>
      <c r="E5" s="109"/>
      <c r="F5" s="109"/>
      <c r="G5" s="108"/>
      <c r="H5" s="108"/>
      <c r="I5" s="129"/>
      <c r="J5" s="108"/>
    </row>
    <row r="6" spans="1:10" x14ac:dyDescent="0.2">
      <c r="A6" s="108"/>
      <c r="B6" s="114"/>
      <c r="C6" s="108"/>
      <c r="D6" s="113"/>
      <c r="E6" s="109"/>
      <c r="F6" s="109"/>
      <c r="G6" s="108"/>
      <c r="H6" s="108"/>
      <c r="I6" s="108"/>
      <c r="J6" s="108"/>
    </row>
    <row r="7" spans="1:10" x14ac:dyDescent="0.2">
      <c r="A7" s="108"/>
      <c r="B7" s="108"/>
      <c r="C7" s="108"/>
      <c r="D7" s="113"/>
      <c r="E7" s="109"/>
      <c r="F7" s="109"/>
      <c r="G7" s="108"/>
      <c r="H7" s="108"/>
      <c r="I7" s="108"/>
      <c r="J7" s="108"/>
    </row>
    <row r="8" spans="1:10" x14ac:dyDescent="0.2">
      <c r="A8" s="108"/>
      <c r="B8" s="114"/>
      <c r="C8" s="108"/>
      <c r="D8" s="113"/>
      <c r="E8" s="109"/>
      <c r="F8" s="109"/>
      <c r="G8" s="108"/>
      <c r="H8" s="108"/>
      <c r="I8" s="108"/>
      <c r="J8" s="108"/>
    </row>
    <row r="9" spans="1:10" x14ac:dyDescent="0.2">
      <c r="A9" s="108"/>
      <c r="B9" s="114"/>
      <c r="C9" s="108"/>
      <c r="D9" s="113"/>
      <c r="E9" s="109"/>
      <c r="F9" s="109"/>
      <c r="G9" s="108"/>
      <c r="H9" s="108"/>
      <c r="I9" s="108"/>
      <c r="J9" s="108"/>
    </row>
    <row r="10" spans="1:10" x14ac:dyDescent="0.2">
      <c r="A10" s="108"/>
      <c r="B10" s="114"/>
      <c r="C10" s="108"/>
      <c r="D10" s="113"/>
      <c r="E10" s="109"/>
      <c r="F10" s="109"/>
      <c r="G10" s="108"/>
      <c r="H10" s="108"/>
      <c r="I10" s="108"/>
      <c r="J10" s="108"/>
    </row>
    <row r="11" spans="1:10" x14ac:dyDescent="0.2">
      <c r="A11" s="108"/>
      <c r="B11" s="114"/>
      <c r="C11" s="108"/>
      <c r="D11" s="108"/>
      <c r="E11" s="109"/>
      <c r="F11" s="109"/>
      <c r="G11" s="108"/>
      <c r="H11" s="108"/>
      <c r="I11" s="108"/>
      <c r="J11" s="108"/>
    </row>
    <row r="12" spans="1:10" x14ac:dyDescent="0.2">
      <c r="A12" s="108"/>
      <c r="B12" s="114"/>
      <c r="C12" s="108"/>
      <c r="D12" s="108"/>
      <c r="E12" s="109"/>
      <c r="F12" s="109"/>
      <c r="G12" s="108"/>
      <c r="H12" s="108"/>
      <c r="I12" s="108"/>
      <c r="J12" s="108"/>
    </row>
    <row r="13" spans="1:10" x14ac:dyDescent="0.2">
      <c r="A13" s="108"/>
      <c r="B13" s="114"/>
      <c r="C13" s="108"/>
      <c r="D13" s="108"/>
      <c r="E13" s="109"/>
      <c r="F13" s="109"/>
      <c r="G13" s="108"/>
      <c r="H13" s="108"/>
      <c r="I13" s="108"/>
      <c r="J13" s="108"/>
    </row>
    <row r="14" spans="1:10" x14ac:dyDescent="0.2">
      <c r="A14" s="108"/>
      <c r="B14" s="114"/>
      <c r="C14" s="108"/>
      <c r="D14" s="108"/>
      <c r="E14" s="109"/>
      <c r="F14" s="109"/>
      <c r="G14" s="108"/>
      <c r="H14" s="108"/>
      <c r="I14" s="108"/>
      <c r="J14" s="108"/>
    </row>
    <row r="15" spans="1:10" x14ac:dyDescent="0.2">
      <c r="A15" s="108"/>
      <c r="B15" s="114"/>
      <c r="C15" s="108"/>
      <c r="D15" s="108"/>
      <c r="E15" s="109"/>
      <c r="F15" s="109"/>
      <c r="G15" s="108"/>
      <c r="H15" s="108"/>
      <c r="I15" s="108"/>
      <c r="J15" s="108"/>
    </row>
    <row r="16" spans="1:10" x14ac:dyDescent="0.2">
      <c r="A16" s="108"/>
      <c r="B16" s="114"/>
      <c r="C16" s="108"/>
      <c r="D16" s="108"/>
      <c r="E16" s="109"/>
      <c r="F16" s="109"/>
      <c r="G16" s="108"/>
      <c r="H16" s="108"/>
      <c r="I16" s="108"/>
      <c r="J16" s="108"/>
    </row>
    <row r="17" spans="1:10" x14ac:dyDescent="0.2">
      <c r="A17" s="108"/>
      <c r="B17" s="114"/>
      <c r="C17" s="108"/>
      <c r="D17" s="108"/>
      <c r="E17" s="109"/>
      <c r="F17" s="109"/>
      <c r="G17" s="108"/>
      <c r="H17" s="108"/>
      <c r="I17" s="108"/>
      <c r="J17" s="108"/>
    </row>
    <row r="18" spans="1:10" x14ac:dyDescent="0.2">
      <c r="A18" s="108"/>
      <c r="B18" s="114"/>
      <c r="C18" s="108"/>
      <c r="D18" s="108"/>
      <c r="E18" s="109"/>
      <c r="F18" s="109"/>
      <c r="G18" s="108"/>
      <c r="H18" s="108"/>
      <c r="I18" s="108"/>
      <c r="J18" s="108"/>
    </row>
    <row r="19" spans="1:10" x14ac:dyDescent="0.2">
      <c r="A19" s="108"/>
      <c r="B19" s="114"/>
      <c r="C19" s="108"/>
      <c r="D19" s="108"/>
      <c r="E19" s="108"/>
      <c r="F19" s="108"/>
      <c r="G19" s="108"/>
      <c r="H19" s="108"/>
      <c r="I19" s="108"/>
      <c r="J19" s="108"/>
    </row>
    <row r="20" spans="1:10" x14ac:dyDescent="0.2">
      <c r="A20" s="108"/>
      <c r="B20" s="114"/>
      <c r="C20" s="108"/>
      <c r="D20" s="108"/>
      <c r="E20" s="109"/>
      <c r="F20" s="109"/>
      <c r="G20" s="108"/>
      <c r="H20" s="108"/>
      <c r="I20" s="108"/>
      <c r="J20" s="108"/>
    </row>
    <row r="21" spans="1:10" x14ac:dyDescent="0.2">
      <c r="A21" s="108"/>
      <c r="B21" s="114"/>
      <c r="C21" s="108"/>
      <c r="D21" s="108"/>
      <c r="E21" s="109"/>
      <c r="F21" s="109"/>
      <c r="G21" s="108"/>
      <c r="H21" s="108"/>
      <c r="I21" s="108"/>
      <c r="J21" s="108"/>
    </row>
    <row r="22" spans="1:10" x14ac:dyDescent="0.2">
      <c r="A22" s="108"/>
      <c r="B22" s="114"/>
      <c r="C22" s="108"/>
      <c r="D22" s="108"/>
      <c r="E22" s="109"/>
      <c r="F22" s="109"/>
      <c r="G22" s="108"/>
      <c r="H22" s="108"/>
      <c r="I22" s="108"/>
      <c r="J22" s="108"/>
    </row>
    <row r="23" spans="1:10" x14ac:dyDescent="0.2">
      <c r="A23" s="108"/>
      <c r="B23" s="114"/>
      <c r="C23" s="108"/>
      <c r="D23" s="108"/>
      <c r="E23" s="109"/>
      <c r="F23" s="109"/>
      <c r="G23" s="108"/>
      <c r="H23" s="108"/>
      <c r="I23" s="108"/>
      <c r="J23" s="108"/>
    </row>
    <row r="24" spans="1:10" x14ac:dyDescent="0.2">
      <c r="A24" s="108"/>
      <c r="B24" s="114"/>
      <c r="C24" s="108"/>
      <c r="D24" s="108"/>
      <c r="E24" s="109"/>
      <c r="F24" s="109"/>
      <c r="G24" s="108"/>
      <c r="H24" s="108"/>
      <c r="I24" s="108"/>
      <c r="J24" s="108"/>
    </row>
    <row r="25" spans="1:10" x14ac:dyDescent="0.2">
      <c r="A25" s="108"/>
      <c r="B25" s="114"/>
      <c r="C25" s="108"/>
      <c r="D25" s="108"/>
      <c r="E25" s="109"/>
      <c r="F25" s="109"/>
      <c r="G25" s="108"/>
      <c r="H25" s="108"/>
      <c r="I25" s="108"/>
      <c r="J25" s="108"/>
    </row>
    <row r="26" spans="1:10" x14ac:dyDescent="0.2">
      <c r="A26" s="108"/>
      <c r="B26" s="114"/>
      <c r="C26" s="108"/>
      <c r="D26" s="108"/>
      <c r="E26" s="109"/>
      <c r="F26" s="109"/>
      <c r="G26" s="108"/>
      <c r="H26" s="108"/>
      <c r="I26" s="108"/>
      <c r="J26" s="108"/>
    </row>
    <row r="27" spans="1:10" x14ac:dyDescent="0.2">
      <c r="A27" s="108"/>
      <c r="B27" s="114"/>
      <c r="C27" s="108"/>
      <c r="D27" s="108"/>
      <c r="E27" s="109"/>
      <c r="F27" s="109"/>
      <c r="G27" s="108"/>
      <c r="H27" s="108"/>
      <c r="I27" s="108"/>
      <c r="J27" s="108"/>
    </row>
    <row r="28" spans="1:10" x14ac:dyDescent="0.2">
      <c r="A28" s="108"/>
      <c r="B28" s="114"/>
      <c r="C28" s="108"/>
      <c r="D28" s="108"/>
      <c r="E28" s="109"/>
      <c r="F28" s="109"/>
      <c r="G28" s="108"/>
      <c r="H28" s="108"/>
      <c r="I28" s="108"/>
      <c r="J28" s="108"/>
    </row>
    <row r="29" spans="1:10" x14ac:dyDescent="0.2">
      <c r="A29" s="108"/>
      <c r="B29" s="114"/>
      <c r="C29" s="108"/>
      <c r="D29" s="108"/>
      <c r="E29" s="109"/>
      <c r="F29" s="109"/>
      <c r="G29" s="108"/>
      <c r="H29" s="108"/>
      <c r="I29" s="108"/>
      <c r="J29" s="108"/>
    </row>
    <row r="30" spans="1:10" x14ac:dyDescent="0.2">
      <c r="A30" s="108"/>
      <c r="B30" s="114"/>
      <c r="C30" s="108"/>
      <c r="D30" s="108"/>
      <c r="E30" s="108"/>
      <c r="F30" s="108"/>
      <c r="G30" s="108"/>
      <c r="H30" s="108"/>
      <c r="I30" s="108"/>
      <c r="J30" s="108"/>
    </row>
    <row r="31" spans="1:10" x14ac:dyDescent="0.2">
      <c r="A31" s="108"/>
      <c r="B31" s="114"/>
      <c r="C31" s="108"/>
      <c r="D31" s="108"/>
      <c r="E31" s="108"/>
      <c r="F31" s="108"/>
      <c r="G31" s="108"/>
      <c r="H31" s="108"/>
      <c r="I31" s="108"/>
      <c r="J31" s="108"/>
    </row>
    <row r="32" spans="1:10" x14ac:dyDescent="0.2">
      <c r="A32" s="108"/>
      <c r="B32" s="114"/>
      <c r="C32" s="108"/>
      <c r="D32" s="108"/>
      <c r="E32" s="108"/>
      <c r="F32" s="108"/>
      <c r="G32" s="108"/>
      <c r="H32" s="108"/>
      <c r="I32" s="108"/>
      <c r="J32" s="108"/>
    </row>
    <row r="33" spans="1:10" x14ac:dyDescent="0.2">
      <c r="A33" s="108"/>
      <c r="B33" s="114"/>
      <c r="C33" s="108"/>
      <c r="D33" s="108"/>
      <c r="E33" s="108"/>
      <c r="F33" s="108"/>
      <c r="G33" s="108"/>
      <c r="H33" s="108"/>
      <c r="I33" s="108"/>
      <c r="J33" s="108"/>
    </row>
  </sheetData>
  <mergeCells count="1">
    <mergeCell ref="I3:I4"/>
  </mergeCells>
  <pageMargins left="0.7" right="0.7" top="0.75" bottom="0.75" header="0.3" footer="0.3"/>
  <pageSetup scale="92" fitToHeight="6" orientation="landscape" horizontalDpi="300" r:id="rId1"/>
  <headerFooter>
    <oddFooter>&amp;R&amp;D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4BEA2-0F23-40F0-AF34-A203D593565E}">
  <sheetPr>
    <tabColor theme="0" tint="-0.34998626667073579"/>
  </sheetPr>
  <dimension ref="A1:J35"/>
  <sheetViews>
    <sheetView workbookViewId="0"/>
  </sheetViews>
  <sheetFormatPr defaultRowHeight="12.75" x14ac:dyDescent="0.2"/>
  <cols>
    <col min="1" max="1" width="15.5703125" style="107" bestFit="1" customWidth="1"/>
    <col min="2" max="2" width="10.140625" style="107" customWidth="1"/>
    <col min="3" max="3" width="6.5703125" style="107" customWidth="1"/>
    <col min="4" max="4" width="22.85546875" style="107" customWidth="1"/>
    <col min="5" max="5" width="11" style="107" customWidth="1"/>
    <col min="6" max="6" width="11.5703125" style="107" customWidth="1"/>
    <col min="7" max="7" width="11" style="107" customWidth="1"/>
    <col min="8" max="8" width="9.140625" style="107"/>
    <col min="9" max="9" width="12.28515625" style="107" customWidth="1"/>
    <col min="10" max="10" width="12" style="107" customWidth="1"/>
    <col min="11" max="16384" width="9.140625" style="107"/>
  </cols>
  <sheetData>
    <row r="1" spans="1:10" ht="15" x14ac:dyDescent="0.2">
      <c r="A1" s="121" t="str">
        <f ca="1">MID(CELL("filename",$A$1),FIND("]",CELL("filename",$A$1),1)+1,1024)</f>
        <v>DALE CREIGHTON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x14ac:dyDescent="0.2">
      <c r="A2" s="108"/>
      <c r="B2" s="108"/>
      <c r="C2" s="108"/>
      <c r="D2" s="108"/>
      <c r="E2" s="108"/>
      <c r="F2" s="108"/>
      <c r="G2" s="108"/>
      <c r="H2" s="108"/>
      <c r="I2" s="108"/>
      <c r="J2" s="108"/>
    </row>
    <row r="3" spans="1:10" x14ac:dyDescent="0.2">
      <c r="A3" s="108"/>
      <c r="B3" s="108"/>
      <c r="C3" s="108"/>
      <c r="D3" s="108"/>
      <c r="E3" s="108"/>
      <c r="F3" s="108"/>
      <c r="G3" s="108"/>
      <c r="H3" s="108"/>
      <c r="I3" s="165" t="s">
        <v>96</v>
      </c>
      <c r="J3" s="108"/>
    </row>
    <row r="4" spans="1:10" s="115" customFormat="1" ht="15" x14ac:dyDescent="0.35">
      <c r="A4" s="117" t="s">
        <v>0</v>
      </c>
      <c r="B4" s="117" t="s">
        <v>101</v>
      </c>
      <c r="C4" s="117" t="s">
        <v>2</v>
      </c>
      <c r="D4" s="119" t="s">
        <v>3</v>
      </c>
      <c r="E4" s="118" t="s">
        <v>4</v>
      </c>
      <c r="F4" s="117" t="s">
        <v>5</v>
      </c>
      <c r="G4" s="116" t="s">
        <v>95</v>
      </c>
      <c r="H4" s="116" t="s">
        <v>92</v>
      </c>
      <c r="I4" s="165"/>
      <c r="J4" s="116" t="s">
        <v>94</v>
      </c>
    </row>
    <row r="5" spans="1:10" x14ac:dyDescent="0.2">
      <c r="A5" s="108" t="s">
        <v>221</v>
      </c>
      <c r="B5" s="114">
        <v>1845</v>
      </c>
      <c r="C5" s="108">
        <v>5</v>
      </c>
      <c r="D5" s="113" t="s">
        <v>30</v>
      </c>
      <c r="E5" s="109">
        <v>43374</v>
      </c>
      <c r="F5" s="109">
        <v>43555</v>
      </c>
      <c r="G5" s="108"/>
      <c r="H5" s="108"/>
      <c r="I5" s="108"/>
      <c r="J5" s="108"/>
    </row>
    <row r="6" spans="1:10" x14ac:dyDescent="0.2">
      <c r="A6" s="108"/>
      <c r="B6" s="114"/>
      <c r="C6" s="108">
        <v>3</v>
      </c>
      <c r="D6" s="113" t="s">
        <v>38</v>
      </c>
      <c r="E6" s="109">
        <v>43374</v>
      </c>
      <c r="F6" s="109">
        <v>43555</v>
      </c>
      <c r="G6" s="108"/>
      <c r="H6" s="108"/>
      <c r="I6" s="108"/>
      <c r="J6" s="108"/>
    </row>
    <row r="7" spans="1:10" x14ac:dyDescent="0.2">
      <c r="A7" s="108"/>
      <c r="B7" s="114"/>
      <c r="C7" s="108">
        <v>1</v>
      </c>
      <c r="D7" s="113" t="s">
        <v>50</v>
      </c>
      <c r="E7" s="109">
        <v>43374</v>
      </c>
      <c r="F7" s="109">
        <v>43555</v>
      </c>
      <c r="G7" s="108"/>
      <c r="H7" s="108"/>
      <c r="I7" s="108"/>
      <c r="J7" s="108"/>
    </row>
    <row r="8" spans="1:10" x14ac:dyDescent="0.2">
      <c r="A8" s="108"/>
      <c r="B8" s="114"/>
      <c r="C8" s="108">
        <v>2</v>
      </c>
      <c r="D8" s="113" t="s">
        <v>56</v>
      </c>
      <c r="E8" s="109">
        <v>43374</v>
      </c>
      <c r="F8" s="109">
        <v>43555</v>
      </c>
      <c r="G8" s="108"/>
      <c r="H8" s="108"/>
      <c r="I8" s="108"/>
      <c r="J8" s="108"/>
    </row>
    <row r="9" spans="1:10" x14ac:dyDescent="0.2">
      <c r="A9" s="108"/>
      <c r="B9" s="114"/>
      <c r="C9" s="108">
        <v>16</v>
      </c>
      <c r="D9" s="113" t="s">
        <v>70</v>
      </c>
      <c r="E9" s="109">
        <v>43374</v>
      </c>
      <c r="F9" s="109">
        <v>43555</v>
      </c>
      <c r="G9" s="108"/>
      <c r="H9" s="108"/>
      <c r="I9" s="108"/>
      <c r="J9" s="108"/>
    </row>
    <row r="10" spans="1:10" x14ac:dyDescent="0.2">
      <c r="A10" s="110"/>
      <c r="B10" s="120"/>
      <c r="C10" s="110"/>
      <c r="D10" s="112"/>
      <c r="E10" s="111"/>
      <c r="F10" s="111"/>
      <c r="G10" s="110"/>
      <c r="H10" s="110"/>
      <c r="I10" s="110"/>
      <c r="J10" s="110"/>
    </row>
    <row r="11" spans="1:10" x14ac:dyDescent="0.2">
      <c r="A11" s="108" t="s">
        <v>489</v>
      </c>
      <c r="B11" s="114">
        <v>1792</v>
      </c>
      <c r="C11" s="108">
        <v>23</v>
      </c>
      <c r="D11" s="113" t="s">
        <v>30</v>
      </c>
      <c r="E11" s="109">
        <v>43344</v>
      </c>
      <c r="F11" s="109">
        <v>43556</v>
      </c>
      <c r="G11" s="108"/>
      <c r="H11" s="108"/>
      <c r="I11" s="108"/>
      <c r="J11" s="108"/>
    </row>
    <row r="12" spans="1:10" x14ac:dyDescent="0.2">
      <c r="A12" s="108"/>
      <c r="B12" s="114"/>
      <c r="C12" s="108">
        <v>11</v>
      </c>
      <c r="D12" s="108" t="s">
        <v>25</v>
      </c>
      <c r="E12" s="109">
        <v>43344</v>
      </c>
      <c r="F12" s="109">
        <v>43556</v>
      </c>
      <c r="G12" s="108"/>
      <c r="H12" s="108"/>
      <c r="I12" s="108"/>
      <c r="J12" s="108"/>
    </row>
    <row r="13" spans="1:10" x14ac:dyDescent="0.2">
      <c r="A13" s="108"/>
      <c r="B13" s="114"/>
      <c r="C13" s="108">
        <v>4</v>
      </c>
      <c r="D13" s="108" t="s">
        <v>114</v>
      </c>
      <c r="E13" s="109">
        <v>43344</v>
      </c>
      <c r="F13" s="109">
        <v>43556</v>
      </c>
      <c r="G13" s="108"/>
      <c r="H13" s="108"/>
      <c r="I13" s="108"/>
      <c r="J13" s="108"/>
    </row>
    <row r="14" spans="1:10" x14ac:dyDescent="0.2">
      <c r="A14" s="108"/>
      <c r="B14" s="114"/>
      <c r="C14" s="108">
        <v>44</v>
      </c>
      <c r="D14" s="108" t="s">
        <v>70</v>
      </c>
      <c r="E14" s="109">
        <v>43344</v>
      </c>
      <c r="F14" s="109">
        <v>43556</v>
      </c>
      <c r="G14" s="108"/>
      <c r="H14" s="108"/>
      <c r="I14" s="108"/>
      <c r="J14" s="108"/>
    </row>
    <row r="15" spans="1:10" x14ac:dyDescent="0.2">
      <c r="A15" s="110"/>
      <c r="B15" s="120"/>
      <c r="C15" s="110"/>
      <c r="D15" s="110"/>
      <c r="E15" s="111"/>
      <c r="F15" s="111"/>
      <c r="G15" s="110"/>
      <c r="H15" s="110"/>
      <c r="I15" s="110"/>
      <c r="J15" s="110"/>
    </row>
    <row r="16" spans="1:10" x14ac:dyDescent="0.2">
      <c r="A16" s="108" t="s">
        <v>221</v>
      </c>
      <c r="B16" s="114">
        <v>1841</v>
      </c>
      <c r="C16" s="108">
        <v>511</v>
      </c>
      <c r="D16" s="108" t="s">
        <v>488</v>
      </c>
      <c r="E16" s="109">
        <v>43399</v>
      </c>
      <c r="F16" s="109">
        <v>43581</v>
      </c>
      <c r="G16" s="108"/>
      <c r="H16" s="108"/>
      <c r="I16" s="108"/>
      <c r="J16" s="108"/>
    </row>
    <row r="17" spans="1:10" x14ac:dyDescent="0.2">
      <c r="A17" s="110"/>
      <c r="B17" s="120"/>
      <c r="C17" s="110"/>
      <c r="D17" s="110"/>
      <c r="E17" s="111"/>
      <c r="F17" s="111"/>
      <c r="G17" s="110"/>
      <c r="H17" s="110"/>
      <c r="I17" s="110"/>
      <c r="J17" s="110"/>
    </row>
    <row r="18" spans="1:10" x14ac:dyDescent="0.2">
      <c r="A18" s="108" t="s">
        <v>221</v>
      </c>
      <c r="B18" s="114">
        <v>1843</v>
      </c>
      <c r="C18" s="108">
        <v>2100</v>
      </c>
      <c r="D18" s="108" t="s">
        <v>68</v>
      </c>
      <c r="E18" s="109">
        <v>43384</v>
      </c>
      <c r="F18" s="109">
        <v>43566</v>
      </c>
      <c r="G18" s="108"/>
      <c r="H18" s="108"/>
      <c r="I18" s="108"/>
      <c r="J18" s="108"/>
    </row>
    <row r="19" spans="1:10" x14ac:dyDescent="0.2">
      <c r="A19" s="108"/>
      <c r="B19" s="114"/>
      <c r="C19" s="108">
        <v>118</v>
      </c>
      <c r="D19" s="108" t="s">
        <v>487</v>
      </c>
      <c r="E19" s="109">
        <v>43384</v>
      </c>
      <c r="F19" s="109">
        <v>43566</v>
      </c>
      <c r="G19" s="108"/>
      <c r="H19" s="108"/>
      <c r="I19" s="108"/>
      <c r="J19" s="108"/>
    </row>
    <row r="20" spans="1:10" x14ac:dyDescent="0.2">
      <c r="A20" s="110"/>
      <c r="B20" s="120"/>
      <c r="C20" s="110"/>
      <c r="D20" s="110"/>
      <c r="E20" s="111"/>
      <c r="F20" s="111"/>
      <c r="G20" s="110"/>
      <c r="H20" s="110"/>
      <c r="I20" s="110"/>
      <c r="J20" s="110"/>
    </row>
    <row r="21" spans="1:10" x14ac:dyDescent="0.2">
      <c r="A21" s="108" t="s">
        <v>221</v>
      </c>
      <c r="B21" s="114" t="s">
        <v>769</v>
      </c>
      <c r="C21" s="108">
        <v>1825</v>
      </c>
      <c r="D21" s="108" t="s">
        <v>491</v>
      </c>
      <c r="E21" s="109">
        <v>44232</v>
      </c>
      <c r="F21" s="109">
        <v>44413</v>
      </c>
      <c r="G21" s="108"/>
      <c r="H21" s="108"/>
      <c r="I21" s="108"/>
      <c r="J21" s="108"/>
    </row>
    <row r="22" spans="1:10" x14ac:dyDescent="0.2">
      <c r="A22" s="108" t="s">
        <v>490</v>
      </c>
      <c r="B22" s="114"/>
      <c r="C22" s="108">
        <v>56</v>
      </c>
      <c r="D22" s="108" t="s">
        <v>71</v>
      </c>
      <c r="E22" s="109">
        <v>44232</v>
      </c>
      <c r="F22" s="109">
        <v>44413</v>
      </c>
      <c r="G22" s="108"/>
      <c r="H22" s="108"/>
      <c r="I22" s="108"/>
      <c r="J22" s="108"/>
    </row>
    <row r="23" spans="1:10" x14ac:dyDescent="0.2">
      <c r="A23" s="108"/>
      <c r="B23" s="114"/>
      <c r="C23" s="108"/>
      <c r="D23" s="108"/>
      <c r="E23" s="109"/>
      <c r="F23" s="109"/>
      <c r="G23" s="108"/>
      <c r="H23" s="108"/>
      <c r="I23" s="108"/>
      <c r="J23" s="108"/>
    </row>
    <row r="24" spans="1:10" x14ac:dyDescent="0.2">
      <c r="A24" s="108"/>
      <c r="C24" s="108"/>
      <c r="D24" s="108"/>
      <c r="E24" s="109"/>
      <c r="F24" s="109"/>
      <c r="G24" s="108"/>
      <c r="H24" s="108"/>
      <c r="I24" s="108"/>
      <c r="J24" s="108"/>
    </row>
    <row r="25" spans="1:10" x14ac:dyDescent="0.2">
      <c r="A25" s="108"/>
      <c r="B25" s="114"/>
      <c r="C25" s="108"/>
      <c r="D25" s="108"/>
      <c r="E25" s="109"/>
      <c r="F25" s="109"/>
      <c r="G25" s="108"/>
      <c r="H25" s="108"/>
      <c r="I25" s="108"/>
      <c r="J25" s="108"/>
    </row>
    <row r="26" spans="1:10" x14ac:dyDescent="0.2">
      <c r="A26" s="108"/>
      <c r="B26" s="114"/>
      <c r="C26" s="108"/>
      <c r="D26" s="114"/>
      <c r="E26" s="109"/>
      <c r="F26" s="109"/>
      <c r="G26" s="108"/>
      <c r="H26" s="108"/>
      <c r="I26" s="108"/>
      <c r="J26" s="108"/>
    </row>
    <row r="27" spans="1:10" x14ac:dyDescent="0.2">
      <c r="A27" s="108"/>
      <c r="B27" s="114"/>
      <c r="C27" s="108"/>
      <c r="D27" s="108"/>
      <c r="E27" s="109"/>
      <c r="F27" s="109"/>
      <c r="G27" s="108"/>
      <c r="H27" s="108"/>
      <c r="I27" s="108"/>
      <c r="J27" s="108"/>
    </row>
    <row r="28" spans="1:10" x14ac:dyDescent="0.2">
      <c r="A28" s="108"/>
      <c r="B28" s="114"/>
      <c r="C28" s="108"/>
      <c r="D28" s="108"/>
      <c r="E28" s="109"/>
      <c r="F28" s="109"/>
      <c r="G28" s="108"/>
      <c r="H28" s="108"/>
      <c r="I28" s="108"/>
      <c r="J28" s="108"/>
    </row>
    <row r="29" spans="1:10" x14ac:dyDescent="0.2">
      <c r="A29" s="108"/>
      <c r="B29" s="114"/>
      <c r="C29" s="108"/>
      <c r="D29" s="108"/>
      <c r="E29" s="109"/>
      <c r="F29" s="109"/>
      <c r="G29" s="108"/>
      <c r="H29" s="108"/>
      <c r="I29" s="108"/>
      <c r="J29" s="108"/>
    </row>
    <row r="30" spans="1:10" x14ac:dyDescent="0.2">
      <c r="A30" s="108"/>
      <c r="B30" s="114"/>
      <c r="C30" s="108"/>
      <c r="D30" s="108"/>
      <c r="E30" s="109"/>
      <c r="F30" s="109"/>
      <c r="G30" s="108"/>
      <c r="H30" s="108"/>
      <c r="I30" s="108"/>
      <c r="J30" s="108"/>
    </row>
    <row r="31" spans="1:10" x14ac:dyDescent="0.2">
      <c r="A31" s="108"/>
      <c r="B31" s="114"/>
      <c r="C31" s="108"/>
      <c r="D31" s="108"/>
      <c r="E31" s="109"/>
      <c r="F31" s="109"/>
      <c r="G31" s="108"/>
      <c r="H31" s="108"/>
      <c r="I31" s="108"/>
      <c r="J31" s="108"/>
    </row>
    <row r="32" spans="1:10" x14ac:dyDescent="0.2">
      <c r="A32" s="108"/>
      <c r="B32" s="114"/>
      <c r="C32" s="108"/>
      <c r="D32" s="108"/>
      <c r="E32" s="108"/>
      <c r="F32" s="108"/>
      <c r="G32" s="108"/>
      <c r="H32" s="108"/>
      <c r="I32" s="108"/>
      <c r="J32" s="108"/>
    </row>
    <row r="33" spans="1:10" x14ac:dyDescent="0.2">
      <c r="A33" s="108"/>
      <c r="B33" s="114"/>
      <c r="C33" s="108"/>
      <c r="D33" s="108"/>
      <c r="E33" s="108"/>
      <c r="F33" s="108"/>
      <c r="G33" s="108"/>
      <c r="H33" s="108"/>
      <c r="I33" s="108"/>
      <c r="J33" s="108"/>
    </row>
    <row r="34" spans="1:10" x14ac:dyDescent="0.2">
      <c r="A34" s="108"/>
      <c r="B34" s="114"/>
      <c r="C34" s="108"/>
      <c r="D34" s="108"/>
      <c r="E34" s="108"/>
      <c r="F34" s="108"/>
      <c r="G34" s="108"/>
      <c r="H34" s="108"/>
      <c r="I34" s="108"/>
      <c r="J34" s="108"/>
    </row>
    <row r="35" spans="1:10" x14ac:dyDescent="0.2">
      <c r="A35" s="108"/>
      <c r="B35" s="114"/>
      <c r="C35" s="108"/>
      <c r="D35" s="108"/>
      <c r="E35" s="108"/>
      <c r="F35" s="108"/>
      <c r="G35" s="108"/>
      <c r="H35" s="108"/>
      <c r="I35" s="108"/>
      <c r="J35" s="108"/>
    </row>
  </sheetData>
  <mergeCells count="1">
    <mergeCell ref="I3:I4"/>
  </mergeCells>
  <pageMargins left="0.7" right="0.7" top="0.75" bottom="0.75" header="0.3" footer="0.3"/>
  <pageSetup scale="95" orientation="landscape" horizontalDpi="300" r:id="rId1"/>
  <headerFooter>
    <oddFooter>&amp;R&amp;D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EC019-58C9-4CD4-9010-713E2CE9EF4E}">
  <sheetPr>
    <tabColor theme="0" tint="-0.34998626667073579"/>
    <pageSetUpPr fitToPage="1"/>
  </sheetPr>
  <dimension ref="A1:J43"/>
  <sheetViews>
    <sheetView workbookViewId="0"/>
  </sheetViews>
  <sheetFormatPr defaultRowHeight="12.75" x14ac:dyDescent="0.2"/>
  <cols>
    <col min="1" max="1" width="24.5703125" customWidth="1"/>
    <col min="2" max="2" width="13" customWidth="1"/>
    <col min="3" max="3" width="6.5703125" customWidth="1"/>
    <col min="4" max="4" width="26.140625" customWidth="1"/>
    <col min="5" max="5" width="11.7109375" customWidth="1"/>
    <col min="6" max="6" width="10.140625" customWidth="1"/>
    <col min="7" max="7" width="11" customWidth="1"/>
    <col min="8" max="8" width="10.28515625" customWidth="1"/>
    <col min="9" max="9" width="13" customWidth="1"/>
    <col min="10" max="10" width="10" customWidth="1"/>
  </cols>
  <sheetData>
    <row r="1" spans="1:10" ht="15" x14ac:dyDescent="0.2">
      <c r="A1" s="5" t="str">
        <f ca="1">MID(CELL("filename",$A$1),FIND("]",CELL("filename",$A$1),1)+1,1024)</f>
        <v>DANIEL FARMS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429</v>
      </c>
      <c r="B5" s="6" t="s">
        <v>729</v>
      </c>
      <c r="C5" s="6">
        <v>1</v>
      </c>
      <c r="D5" s="6" t="s">
        <v>430</v>
      </c>
      <c r="E5" s="10">
        <v>43709</v>
      </c>
      <c r="F5" s="10">
        <v>43769</v>
      </c>
      <c r="G5" s="6"/>
      <c r="H5" s="6"/>
      <c r="I5" s="6">
        <f>C5-G5</f>
        <v>1</v>
      </c>
      <c r="J5" s="6"/>
    </row>
    <row r="6" spans="1:10" x14ac:dyDescent="0.2">
      <c r="A6" s="6"/>
      <c r="B6" s="6"/>
      <c r="C6" s="6">
        <v>35</v>
      </c>
      <c r="D6" s="6" t="s">
        <v>431</v>
      </c>
      <c r="E6" s="10">
        <v>43709</v>
      </c>
      <c r="F6" s="10">
        <v>43769</v>
      </c>
      <c r="G6" s="6"/>
      <c r="H6" s="6"/>
      <c r="I6" s="6">
        <f t="shared" ref="I6:I12" si="0">C6-G6</f>
        <v>35</v>
      </c>
      <c r="J6" s="6"/>
    </row>
    <row r="7" spans="1:10" x14ac:dyDescent="0.2">
      <c r="A7" s="6"/>
      <c r="B7" s="6"/>
      <c r="C7" s="6">
        <v>1</v>
      </c>
      <c r="D7" s="6" t="s">
        <v>432</v>
      </c>
      <c r="E7" s="10">
        <v>43709</v>
      </c>
      <c r="F7" s="10">
        <v>43769</v>
      </c>
      <c r="G7" s="6"/>
      <c r="H7" s="6"/>
      <c r="I7" s="6">
        <f t="shared" si="0"/>
        <v>1</v>
      </c>
      <c r="J7" s="6"/>
    </row>
    <row r="8" spans="1:10" x14ac:dyDescent="0.2">
      <c r="A8" s="6"/>
      <c r="B8" s="6"/>
      <c r="C8" s="6">
        <v>1</v>
      </c>
      <c r="D8" s="6" t="s">
        <v>433</v>
      </c>
      <c r="E8" s="10">
        <v>43709</v>
      </c>
      <c r="F8" s="10">
        <v>43769</v>
      </c>
      <c r="G8" s="6"/>
      <c r="H8" s="6"/>
      <c r="I8" s="6">
        <f t="shared" si="0"/>
        <v>1</v>
      </c>
      <c r="J8" s="6"/>
    </row>
    <row r="9" spans="1:10" x14ac:dyDescent="0.2">
      <c r="A9" s="6"/>
      <c r="B9" s="6"/>
      <c r="C9" s="6">
        <v>3</v>
      </c>
      <c r="D9" s="6" t="s">
        <v>325</v>
      </c>
      <c r="E9" s="10">
        <v>43709</v>
      </c>
      <c r="F9" s="10">
        <v>43769</v>
      </c>
      <c r="G9" s="6"/>
      <c r="H9" s="6"/>
      <c r="I9" s="6">
        <f t="shared" si="0"/>
        <v>3</v>
      </c>
      <c r="J9" s="6"/>
    </row>
    <row r="10" spans="1:10" x14ac:dyDescent="0.2">
      <c r="A10" s="6"/>
      <c r="B10" s="6"/>
      <c r="C10" s="6">
        <v>33</v>
      </c>
      <c r="D10" s="6" t="s">
        <v>198</v>
      </c>
      <c r="E10" s="10">
        <v>43709</v>
      </c>
      <c r="F10" s="10">
        <v>43769</v>
      </c>
      <c r="G10" s="6"/>
      <c r="H10" s="6"/>
      <c r="I10" s="6">
        <f t="shared" si="0"/>
        <v>33</v>
      </c>
      <c r="J10" s="6"/>
    </row>
    <row r="11" spans="1:10" x14ac:dyDescent="0.2">
      <c r="A11" s="6"/>
      <c r="B11" s="6"/>
      <c r="C11" s="6">
        <v>1</v>
      </c>
      <c r="D11" s="6" t="s">
        <v>434</v>
      </c>
      <c r="E11" s="10">
        <v>43709</v>
      </c>
      <c r="F11" s="10">
        <v>43769</v>
      </c>
      <c r="G11" s="6"/>
      <c r="H11" s="6"/>
      <c r="I11" s="6">
        <f t="shared" si="0"/>
        <v>1</v>
      </c>
      <c r="J11" s="6"/>
    </row>
    <row r="12" spans="1:10" x14ac:dyDescent="0.2">
      <c r="A12" s="6"/>
      <c r="B12" s="6"/>
      <c r="C12" s="6">
        <v>1</v>
      </c>
      <c r="D12" s="6" t="s">
        <v>435</v>
      </c>
      <c r="E12" s="10">
        <v>43709</v>
      </c>
      <c r="F12" s="10">
        <v>43769</v>
      </c>
      <c r="G12" s="6"/>
      <c r="H12" s="6"/>
      <c r="I12" s="6">
        <f t="shared" si="0"/>
        <v>1</v>
      </c>
      <c r="J12" s="6"/>
    </row>
    <row r="13" spans="1:10" x14ac:dyDescent="0.2">
      <c r="A13" s="6"/>
      <c r="B13" s="6"/>
      <c r="C13" s="6"/>
      <c r="D13" s="6"/>
      <c r="E13" s="10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6"/>
      <c r="E14" s="10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10"/>
      <c r="F15" s="10"/>
      <c r="G15" s="6"/>
      <c r="H15" s="6"/>
      <c r="I15" s="6"/>
      <c r="J15" s="6"/>
    </row>
    <row r="16" spans="1:10" x14ac:dyDescent="0.2">
      <c r="A16" s="6"/>
      <c r="B16" s="6"/>
      <c r="C16" s="6"/>
      <c r="D16" s="6"/>
      <c r="E16" s="10"/>
      <c r="F16" s="10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10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10"/>
      <c r="F30" s="10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10"/>
      <c r="F31" s="10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2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2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">
      <c r="A43" s="6"/>
      <c r="B43" s="6"/>
      <c r="C43" s="6"/>
      <c r="D43" s="6"/>
      <c r="E43" s="6"/>
      <c r="F43" s="6"/>
      <c r="G43" s="6"/>
      <c r="H43" s="6"/>
      <c r="I43" s="6"/>
      <c r="J43" s="6"/>
    </row>
  </sheetData>
  <mergeCells count="1">
    <mergeCell ref="I3:I4"/>
  </mergeCells>
  <pageMargins left="0.7" right="0.7" top="0.75" bottom="0.75" header="0.3" footer="0.3"/>
  <pageSetup scale="85" fitToHeight="6" orientation="landscape" horizontalDpi="300" r:id="rId1"/>
  <headerFooter>
    <oddFooter>&amp;R&amp;D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26AF-3B44-42E5-9C8D-B2E1FADBB447}">
  <sheetPr>
    <tabColor theme="0" tint="-0.34998626667073579"/>
    <pageSetUpPr fitToPage="1"/>
  </sheetPr>
  <dimension ref="A1:J44"/>
  <sheetViews>
    <sheetView workbookViewId="0"/>
  </sheetViews>
  <sheetFormatPr defaultRowHeight="12.75" x14ac:dyDescent="0.2"/>
  <cols>
    <col min="1" max="1" width="24.5703125" customWidth="1"/>
    <col min="2" max="2" width="13" customWidth="1"/>
    <col min="3" max="3" width="6.5703125" customWidth="1"/>
    <col min="4" max="4" width="26.140625" customWidth="1"/>
    <col min="5" max="5" width="11.7109375" customWidth="1"/>
    <col min="6" max="6" width="10.140625" customWidth="1"/>
    <col min="7" max="7" width="11" customWidth="1"/>
    <col min="8" max="8" width="10.28515625" customWidth="1"/>
    <col min="9" max="9" width="13" customWidth="1"/>
    <col min="10" max="10" width="10" customWidth="1"/>
  </cols>
  <sheetData>
    <row r="1" spans="1:10" ht="15" x14ac:dyDescent="0.2">
      <c r="A1" s="5" t="str">
        <f ca="1">MID(CELL("filename",$A$1),FIND("]",CELL("filename",$A$1),1)+1,1024)</f>
        <v>DEL MAR FARMS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/>
      <c r="B5" s="6"/>
      <c r="C5" s="6"/>
      <c r="D5" s="6"/>
      <c r="E5" s="10"/>
      <c r="F5" s="10"/>
      <c r="G5" s="6"/>
      <c r="H5" s="6"/>
      <c r="I5" s="6"/>
      <c r="J5" s="6"/>
    </row>
    <row r="6" spans="1:10" x14ac:dyDescent="0.2">
      <c r="A6" s="6"/>
      <c r="B6" s="6"/>
      <c r="C6" s="6"/>
      <c r="D6" s="6"/>
      <c r="E6" s="10"/>
      <c r="F6" s="10"/>
      <c r="G6" s="6"/>
      <c r="H6" s="6"/>
      <c r="I6" s="6"/>
      <c r="J6" s="6"/>
    </row>
    <row r="7" spans="1:10" x14ac:dyDescent="0.2">
      <c r="A7" s="6"/>
      <c r="B7" s="6"/>
      <c r="C7" s="6"/>
      <c r="D7" s="6"/>
      <c r="E7" s="10"/>
      <c r="F7" s="10"/>
      <c r="G7" s="6"/>
      <c r="H7" s="6"/>
      <c r="I7" s="6"/>
      <c r="J7" s="6"/>
    </row>
    <row r="8" spans="1:10" x14ac:dyDescent="0.2">
      <c r="A8" s="6"/>
      <c r="B8" s="6"/>
      <c r="C8" s="6"/>
      <c r="D8" s="6"/>
      <c r="E8" s="10"/>
      <c r="F8" s="10"/>
      <c r="G8" s="6"/>
      <c r="H8" s="6"/>
      <c r="I8" s="6"/>
      <c r="J8" s="6"/>
    </row>
    <row r="9" spans="1:10" x14ac:dyDescent="0.2">
      <c r="A9" s="6"/>
      <c r="B9" s="6"/>
      <c r="C9" s="6"/>
      <c r="D9" s="6"/>
      <c r="E9" s="10"/>
      <c r="F9" s="10"/>
      <c r="G9" s="6"/>
      <c r="H9" s="6"/>
      <c r="I9" s="6"/>
      <c r="J9" s="6"/>
    </row>
    <row r="10" spans="1:10" x14ac:dyDescent="0.2">
      <c r="A10" s="6"/>
      <c r="B10" s="6"/>
      <c r="C10" s="6"/>
      <c r="D10" s="6"/>
      <c r="E10" s="10"/>
      <c r="F10" s="10"/>
      <c r="G10" s="6"/>
      <c r="H10" s="6"/>
      <c r="I10" s="6"/>
      <c r="J10" s="6"/>
    </row>
    <row r="11" spans="1:10" x14ac:dyDescent="0.2">
      <c r="A11" s="6"/>
      <c r="B11" s="6"/>
      <c r="C11" s="6"/>
      <c r="D11" s="6"/>
      <c r="E11" s="10"/>
      <c r="F11" s="10"/>
      <c r="G11" s="6"/>
      <c r="H11" s="6"/>
      <c r="I11" s="6"/>
      <c r="J11" s="6"/>
    </row>
    <row r="12" spans="1:10" x14ac:dyDescent="0.2">
      <c r="A12" s="6"/>
      <c r="B12" s="6"/>
      <c r="C12" s="6"/>
      <c r="D12" s="6"/>
      <c r="E12" s="10"/>
      <c r="F12" s="10"/>
      <c r="G12" s="6"/>
      <c r="H12" s="6"/>
      <c r="I12" s="6"/>
      <c r="J12" s="6"/>
    </row>
    <row r="13" spans="1:10" x14ac:dyDescent="0.2">
      <c r="A13" s="6"/>
      <c r="B13" s="6"/>
      <c r="C13" s="6"/>
      <c r="D13" s="6"/>
      <c r="E13" s="10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6"/>
      <c r="E14" s="10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10"/>
      <c r="F15" s="10"/>
      <c r="G15" s="6"/>
      <c r="H15" s="6"/>
      <c r="I15" s="6"/>
      <c r="J15" s="6"/>
    </row>
    <row r="16" spans="1:10" x14ac:dyDescent="0.2">
      <c r="A16" s="6"/>
      <c r="B16" s="6"/>
      <c r="C16" s="6"/>
      <c r="D16" s="6"/>
      <c r="E16" s="10"/>
      <c r="F16" s="10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10"/>
      <c r="F19" s="10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10"/>
      <c r="F30" s="10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10"/>
      <c r="F31" s="10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10"/>
      <c r="F32" s="10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2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2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">
      <c r="A44" s="6"/>
      <c r="B44" s="6"/>
      <c r="C44" s="6"/>
      <c r="D44" s="6"/>
      <c r="E44" s="6"/>
      <c r="F44" s="6"/>
      <c r="G44" s="6"/>
      <c r="H44" s="6"/>
      <c r="I44" s="6"/>
      <c r="J44" s="6"/>
    </row>
  </sheetData>
  <mergeCells count="1">
    <mergeCell ref="I3:I4"/>
  </mergeCells>
  <pageMargins left="0.7" right="0.7" top="0.75" bottom="0.75" header="0.3" footer="0.3"/>
  <pageSetup scale="85" fitToHeight="6" orientation="landscape" horizontalDpi="300" r:id="rId1"/>
  <headerFooter>
    <oddFooter>&amp;R&amp;D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191C0-1D25-4E30-929F-B41FC9EF024A}">
  <sheetPr>
    <tabColor theme="0" tint="-0.34998626667073579"/>
    <pageSetUpPr fitToPage="1"/>
  </sheetPr>
  <dimension ref="A1:J35"/>
  <sheetViews>
    <sheetView workbookViewId="0"/>
  </sheetViews>
  <sheetFormatPr defaultRowHeight="12.75" x14ac:dyDescent="0.2"/>
  <cols>
    <col min="1" max="1" width="24.5703125" customWidth="1"/>
    <col min="2" max="2" width="13" customWidth="1"/>
    <col min="3" max="3" width="6.5703125" customWidth="1"/>
    <col min="4" max="4" width="26.140625" customWidth="1"/>
    <col min="5" max="5" width="11.7109375" customWidth="1"/>
    <col min="6" max="6" width="10.140625" customWidth="1"/>
    <col min="7" max="7" width="11" customWidth="1"/>
    <col min="8" max="8" width="10.28515625" customWidth="1"/>
    <col min="9" max="9" width="13" customWidth="1"/>
    <col min="10" max="10" width="10" customWidth="1"/>
  </cols>
  <sheetData>
    <row r="1" spans="1:10" ht="15" x14ac:dyDescent="0.2">
      <c r="A1" s="5" t="str">
        <f ca="1">MID(CELL("filename",$A$1),FIND("]",CELL("filename",$A$1),1)+1,1024)</f>
        <v>DENNY RANCH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8" t="s">
        <v>425</v>
      </c>
      <c r="B5" s="6">
        <v>122671</v>
      </c>
      <c r="C5" s="6">
        <v>1</v>
      </c>
      <c r="D5" s="8" t="s">
        <v>426</v>
      </c>
      <c r="E5" s="10">
        <v>43709</v>
      </c>
      <c r="F5" s="10">
        <v>43738</v>
      </c>
      <c r="G5" s="6"/>
      <c r="H5" s="6"/>
      <c r="I5" s="6"/>
      <c r="J5" s="6"/>
    </row>
    <row r="6" spans="1:10" x14ac:dyDescent="0.2">
      <c r="A6" s="19"/>
      <c r="B6" s="19"/>
      <c r="C6" s="19"/>
      <c r="D6" s="30"/>
      <c r="E6" s="29"/>
      <c r="F6" s="29"/>
      <c r="G6" s="19"/>
      <c r="H6" s="19"/>
      <c r="I6" s="19"/>
      <c r="J6" s="19"/>
    </row>
    <row r="7" spans="1:10" x14ac:dyDescent="0.2">
      <c r="A7" s="6" t="s">
        <v>425</v>
      </c>
      <c r="B7" s="6">
        <v>122668</v>
      </c>
      <c r="C7" s="6">
        <v>36</v>
      </c>
      <c r="D7" s="8" t="s">
        <v>21</v>
      </c>
      <c r="E7" s="10">
        <v>43709</v>
      </c>
      <c r="F7" s="10">
        <v>43738</v>
      </c>
      <c r="G7" s="6"/>
      <c r="H7" s="6"/>
      <c r="I7" s="6">
        <f>C7-G7</f>
        <v>36</v>
      </c>
      <c r="J7" s="6"/>
    </row>
    <row r="8" spans="1:10" x14ac:dyDescent="0.2">
      <c r="A8" s="6"/>
      <c r="B8" s="6"/>
      <c r="C8" s="6">
        <v>760</v>
      </c>
      <c r="D8" s="8" t="s">
        <v>421</v>
      </c>
      <c r="E8" s="10">
        <v>43709</v>
      </c>
      <c r="F8" s="10">
        <v>43738</v>
      </c>
      <c r="G8" s="6"/>
      <c r="H8" s="6"/>
      <c r="I8" s="6">
        <f>C8-G8</f>
        <v>760</v>
      </c>
      <c r="J8" s="6"/>
    </row>
    <row r="9" spans="1:10" x14ac:dyDescent="0.2">
      <c r="A9" s="6"/>
      <c r="B9" s="6"/>
      <c r="C9" s="6">
        <v>1</v>
      </c>
      <c r="D9" s="8" t="s">
        <v>427</v>
      </c>
      <c r="E9" s="10">
        <v>43709</v>
      </c>
      <c r="F9" s="10">
        <v>43738</v>
      </c>
      <c r="G9" s="6"/>
      <c r="H9" s="6"/>
      <c r="I9" s="6">
        <f>C9-G9</f>
        <v>1</v>
      </c>
      <c r="J9" s="6"/>
    </row>
    <row r="10" spans="1:10" x14ac:dyDescent="0.2">
      <c r="A10" s="6"/>
      <c r="B10" s="6"/>
      <c r="C10" s="6">
        <v>24</v>
      </c>
      <c r="D10" s="8" t="s">
        <v>428</v>
      </c>
      <c r="E10" s="10">
        <v>43709</v>
      </c>
      <c r="F10" s="10">
        <v>43738</v>
      </c>
      <c r="G10" s="6"/>
      <c r="H10" s="6"/>
      <c r="I10" s="6">
        <f>C10-G10</f>
        <v>24</v>
      </c>
      <c r="J10" s="6"/>
    </row>
    <row r="11" spans="1:10" x14ac:dyDescent="0.2">
      <c r="A11" s="19"/>
      <c r="B11" s="19"/>
      <c r="C11" s="19"/>
      <c r="D11" s="30"/>
      <c r="E11" s="29"/>
      <c r="F11" s="29"/>
      <c r="G11" s="19"/>
      <c r="H11" s="19"/>
      <c r="I11" s="19"/>
      <c r="J11" s="19"/>
    </row>
    <row r="12" spans="1:10" x14ac:dyDescent="0.2">
      <c r="A12" s="6"/>
      <c r="B12" s="6"/>
      <c r="C12" s="6"/>
      <c r="D12" s="8"/>
      <c r="E12" s="10"/>
      <c r="F12" s="10"/>
      <c r="G12" s="6"/>
      <c r="H12" s="6"/>
      <c r="I12" s="6"/>
      <c r="J12" s="6"/>
    </row>
    <row r="13" spans="1:10" x14ac:dyDescent="0.2">
      <c r="A13" s="6"/>
      <c r="B13" s="6"/>
      <c r="C13" s="6"/>
      <c r="D13" s="6"/>
      <c r="E13" s="10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6"/>
      <c r="E14" s="10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10"/>
      <c r="F15" s="10"/>
      <c r="G15" s="6"/>
      <c r="H15" s="6"/>
      <c r="I15" s="6"/>
      <c r="J15" s="6"/>
    </row>
    <row r="16" spans="1:10" x14ac:dyDescent="0.2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10"/>
      <c r="F19" s="10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10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10"/>
      <c r="F32" s="10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10"/>
      <c r="F33" s="10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6"/>
      <c r="F35" s="6"/>
      <c r="G35" s="6"/>
      <c r="H35" s="6"/>
      <c r="I35" s="6"/>
      <c r="J35" s="6"/>
    </row>
  </sheetData>
  <mergeCells count="1">
    <mergeCell ref="I3:I4"/>
  </mergeCells>
  <pageMargins left="0.7" right="0.7" top="0.75" bottom="0.75" header="0.3" footer="0.3"/>
  <pageSetup scale="85" fitToHeight="6" orientation="landscape" horizontalDpi="300" r:id="rId1"/>
  <headerFooter>
    <oddFooter>&amp;R&amp;D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E434-6328-44F8-A980-4A432EE49AC1}">
  <sheetPr>
    <tabColor theme="0" tint="-0.34998626667073579"/>
    <pageSetUpPr fitToPage="1"/>
  </sheetPr>
  <dimension ref="A1:J41"/>
  <sheetViews>
    <sheetView workbookViewId="0"/>
  </sheetViews>
  <sheetFormatPr defaultRowHeight="12.75" x14ac:dyDescent="0.2"/>
  <cols>
    <col min="1" max="1" width="21.42578125" customWidth="1"/>
    <col min="2" max="2" width="12" bestFit="1" customWidth="1"/>
    <col min="3" max="3" width="5.7109375" customWidth="1"/>
    <col min="4" max="4" width="29.5703125" customWidth="1"/>
    <col min="5" max="5" width="11" customWidth="1"/>
    <col min="6" max="6" width="10.5703125" customWidth="1"/>
    <col min="7" max="7" width="11.140625" customWidth="1"/>
    <col min="8" max="8" width="10.85546875" customWidth="1"/>
    <col min="9" max="9" width="14.140625" customWidth="1"/>
  </cols>
  <sheetData>
    <row r="1" spans="1:10" ht="18" x14ac:dyDescent="0.25">
      <c r="A1" s="13" t="str">
        <f ca="1">MID(CELL("filename",$A$1),FIND("]",CELL("filename",$A$1),1)+1,1024)</f>
        <v>DESERT RANCH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456</v>
      </c>
      <c r="B5" s="6">
        <v>124534</v>
      </c>
      <c r="C5" s="6">
        <v>68</v>
      </c>
      <c r="D5" s="6" t="s">
        <v>457</v>
      </c>
      <c r="E5" s="10">
        <v>43801</v>
      </c>
      <c r="F5" s="10">
        <v>43984</v>
      </c>
      <c r="G5" s="6"/>
      <c r="H5" s="6"/>
      <c r="I5" s="6"/>
      <c r="J5" s="6"/>
    </row>
    <row r="6" spans="1:10" x14ac:dyDescent="0.2">
      <c r="A6" s="6"/>
      <c r="B6" s="6"/>
      <c r="C6" s="6">
        <v>2546</v>
      </c>
      <c r="D6" s="6" t="s">
        <v>419</v>
      </c>
      <c r="E6" s="10">
        <v>43801</v>
      </c>
      <c r="F6" s="10">
        <v>43984</v>
      </c>
      <c r="G6" s="6"/>
      <c r="H6" s="6"/>
      <c r="I6" s="6"/>
      <c r="J6" s="6"/>
    </row>
    <row r="7" spans="1:10" x14ac:dyDescent="0.2">
      <c r="A7" s="6"/>
      <c r="B7" s="6"/>
      <c r="C7" s="6">
        <v>28</v>
      </c>
      <c r="D7" s="6" t="s">
        <v>458</v>
      </c>
      <c r="E7" s="10">
        <v>43801</v>
      </c>
      <c r="F7" s="10">
        <v>43984</v>
      </c>
      <c r="G7" s="6"/>
      <c r="H7" s="6"/>
      <c r="I7" s="6"/>
      <c r="J7" s="6"/>
    </row>
    <row r="8" spans="1:10" x14ac:dyDescent="0.2">
      <c r="A8" s="6"/>
      <c r="B8" s="6"/>
      <c r="C8" s="6">
        <v>56</v>
      </c>
      <c r="D8" s="6" t="s">
        <v>459</v>
      </c>
      <c r="E8" s="10">
        <v>43801</v>
      </c>
      <c r="F8" s="10">
        <v>43984</v>
      </c>
      <c r="G8" s="6"/>
      <c r="H8" s="6"/>
      <c r="I8" s="6"/>
      <c r="J8" s="6"/>
    </row>
    <row r="9" spans="1:10" x14ac:dyDescent="0.2">
      <c r="A9" s="6"/>
      <c r="B9" s="6"/>
      <c r="C9" s="6">
        <v>56</v>
      </c>
      <c r="D9" s="6" t="s">
        <v>201</v>
      </c>
      <c r="E9" s="10">
        <v>43801</v>
      </c>
      <c r="F9" s="10">
        <v>43984</v>
      </c>
      <c r="G9" s="6"/>
      <c r="H9" s="6"/>
      <c r="I9" s="6"/>
      <c r="J9" s="6"/>
    </row>
    <row r="10" spans="1:10" x14ac:dyDescent="0.2">
      <c r="A10" s="6"/>
      <c r="B10" s="6"/>
      <c r="C10" s="6">
        <v>112</v>
      </c>
      <c r="D10" s="6" t="s">
        <v>460</v>
      </c>
      <c r="E10" s="10">
        <v>43801</v>
      </c>
      <c r="F10" s="10">
        <v>43984</v>
      </c>
      <c r="G10" s="6"/>
      <c r="H10" s="6"/>
      <c r="I10" s="6"/>
      <c r="J10" s="6"/>
    </row>
    <row r="11" spans="1:10" x14ac:dyDescent="0.2">
      <c r="A11" s="6"/>
      <c r="B11" s="6"/>
      <c r="C11" s="6">
        <v>56</v>
      </c>
      <c r="D11" s="6" t="s">
        <v>461</v>
      </c>
      <c r="E11" s="10">
        <v>43801</v>
      </c>
      <c r="F11" s="10">
        <v>43984</v>
      </c>
      <c r="G11" s="6"/>
      <c r="H11" s="6"/>
      <c r="I11" s="6"/>
      <c r="J11" s="6"/>
    </row>
    <row r="12" spans="1:10" x14ac:dyDescent="0.2">
      <c r="A12" s="6"/>
      <c r="B12" s="6"/>
      <c r="C12" s="6">
        <v>1</v>
      </c>
      <c r="D12" s="8" t="s">
        <v>97</v>
      </c>
      <c r="E12" s="10">
        <v>43801</v>
      </c>
      <c r="F12" s="10">
        <v>43984</v>
      </c>
      <c r="G12" s="6"/>
      <c r="H12" s="6"/>
      <c r="I12" s="6"/>
      <c r="J12" s="6"/>
    </row>
    <row r="13" spans="1:10" x14ac:dyDescent="0.2">
      <c r="A13" s="6"/>
      <c r="B13" s="6"/>
      <c r="C13" s="6">
        <v>1</v>
      </c>
      <c r="D13" s="6" t="s">
        <v>462</v>
      </c>
      <c r="E13" s="10">
        <v>43801</v>
      </c>
      <c r="F13" s="10">
        <v>43984</v>
      </c>
      <c r="G13" s="6"/>
      <c r="H13" s="6"/>
      <c r="I13" s="6"/>
      <c r="J13" s="6"/>
    </row>
    <row r="14" spans="1:10" x14ac:dyDescent="0.2">
      <c r="A14" s="8"/>
      <c r="B14" s="6"/>
      <c r="C14" s="6"/>
      <c r="D14" s="6"/>
      <c r="E14" s="10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10"/>
      <c r="F15" s="10"/>
      <c r="G15" s="6"/>
      <c r="H15" s="6"/>
      <c r="I15" s="6"/>
      <c r="J15" s="6"/>
    </row>
    <row r="16" spans="1:10" x14ac:dyDescent="0.2">
      <c r="A16" s="6"/>
      <c r="B16" s="6"/>
      <c r="C16" s="6"/>
      <c r="D16" s="6"/>
      <c r="E16" s="10"/>
      <c r="F16" s="10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10"/>
      <c r="F19" s="10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10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2">
      <c r="A41" s="6"/>
      <c r="B41" s="6"/>
      <c r="C41" s="6"/>
      <c r="D41" s="6"/>
      <c r="E41" s="6"/>
      <c r="F41" s="6"/>
      <c r="G41" s="6"/>
      <c r="H41" s="6"/>
      <c r="I41" s="6"/>
      <c r="J41" s="6"/>
    </row>
  </sheetData>
  <mergeCells count="1">
    <mergeCell ref="I3:I4"/>
  </mergeCells>
  <pageMargins left="0.7" right="0.7" top="0.75" bottom="0.75" header="0.3" footer="0.3"/>
  <pageSetup scale="86" fitToHeight="6" orientation="landscape" horizontalDpi="300" r:id="rId1"/>
  <headerFooter>
    <oddFooter>&amp;R&amp;D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090E0-801E-4416-9CA5-CC58086223CF}">
  <sheetPr>
    <tabColor theme="0" tint="-0.34998626667073579"/>
    <pageSetUpPr fitToPage="1"/>
  </sheetPr>
  <dimension ref="A1:K26"/>
  <sheetViews>
    <sheetView zoomScaleNormal="100" workbookViewId="0"/>
  </sheetViews>
  <sheetFormatPr defaultRowHeight="12.75" x14ac:dyDescent="0.2"/>
  <cols>
    <col min="1" max="1" width="24.5703125" style="107" customWidth="1"/>
    <col min="2" max="2" width="16.140625" style="107" bestFit="1" customWidth="1"/>
    <col min="3" max="3" width="6.5703125" style="107" customWidth="1"/>
    <col min="4" max="4" width="26.140625" style="107" customWidth="1"/>
    <col min="5" max="5" width="9.5703125" style="124" hidden="1" customWidth="1"/>
    <col min="6" max="6" width="11.7109375" style="107" customWidth="1"/>
    <col min="7" max="7" width="10.140625" style="107" customWidth="1"/>
    <col min="8" max="8" width="11" style="107" customWidth="1"/>
    <col min="9" max="9" width="10.28515625" style="107" customWidth="1"/>
    <col min="10" max="10" width="13" style="107" customWidth="1"/>
    <col min="11" max="11" width="10" style="107" customWidth="1"/>
    <col min="12" max="16384" width="9.140625" style="107"/>
  </cols>
  <sheetData>
    <row r="1" spans="1:11" ht="15" x14ac:dyDescent="0.2">
      <c r="A1" s="121" t="str">
        <f ca="1">MID(CELL("filename",$A$1),FIND("]",CELL("filename",$A$1),1)+1,1024)</f>
        <v>DM CAMP</v>
      </c>
      <c r="B1" s="108"/>
      <c r="C1" s="108"/>
      <c r="D1" s="108"/>
      <c r="E1" s="125"/>
      <c r="F1" s="108"/>
      <c r="G1" s="108"/>
      <c r="H1" s="108"/>
      <c r="I1" s="108"/>
      <c r="J1" s="108"/>
      <c r="K1" s="108"/>
    </row>
    <row r="2" spans="1:11" x14ac:dyDescent="0.2">
      <c r="A2" s="108"/>
      <c r="B2" s="108"/>
      <c r="C2" s="108"/>
      <c r="D2" s="108"/>
      <c r="E2" s="125"/>
      <c r="F2" s="108"/>
      <c r="G2" s="108"/>
      <c r="H2" s="108"/>
      <c r="I2" s="108"/>
      <c r="J2" s="108"/>
      <c r="K2" s="108"/>
    </row>
    <row r="3" spans="1:11" x14ac:dyDescent="0.2">
      <c r="A3" s="108"/>
      <c r="B3" s="108"/>
      <c r="C3" s="108"/>
      <c r="D3" s="108"/>
      <c r="E3" s="125"/>
      <c r="F3" s="108"/>
      <c r="G3" s="108"/>
      <c r="H3" s="108"/>
      <c r="I3" s="108"/>
      <c r="J3" s="165" t="s">
        <v>96</v>
      </c>
      <c r="K3" s="108"/>
    </row>
    <row r="4" spans="1:11" s="115" customFormat="1" ht="15" x14ac:dyDescent="0.35">
      <c r="A4" s="117" t="s">
        <v>0</v>
      </c>
      <c r="B4" s="117" t="s">
        <v>101</v>
      </c>
      <c r="C4" s="117" t="s">
        <v>2</v>
      </c>
      <c r="D4" s="119" t="s">
        <v>3</v>
      </c>
      <c r="E4" s="127" t="s">
        <v>349</v>
      </c>
      <c r="F4" s="118" t="s">
        <v>4</v>
      </c>
      <c r="G4" s="117" t="s">
        <v>5</v>
      </c>
      <c r="H4" s="116" t="s">
        <v>95</v>
      </c>
      <c r="I4" s="116" t="s">
        <v>92</v>
      </c>
      <c r="J4" s="165"/>
      <c r="K4" s="116" t="s">
        <v>94</v>
      </c>
    </row>
    <row r="5" spans="1:11" x14ac:dyDescent="0.2">
      <c r="A5" s="108"/>
      <c r="B5" s="108"/>
      <c r="C5" s="108"/>
      <c r="D5" s="108"/>
      <c r="E5" s="125"/>
      <c r="F5" s="109"/>
      <c r="G5" s="109"/>
      <c r="H5" s="108"/>
      <c r="I5" s="108"/>
      <c r="J5" s="108"/>
      <c r="K5" s="108"/>
    </row>
    <row r="6" spans="1:11" x14ac:dyDescent="0.2">
      <c r="A6" s="108"/>
      <c r="B6" s="108"/>
      <c r="C6" s="108"/>
      <c r="D6" s="108"/>
      <c r="E6" s="125"/>
      <c r="F6" s="109"/>
      <c r="G6" s="109"/>
      <c r="H6" s="108"/>
      <c r="I6" s="108"/>
      <c r="J6" s="108"/>
      <c r="K6" s="108"/>
    </row>
    <row r="7" spans="1:11" x14ac:dyDescent="0.2">
      <c r="A7" s="110"/>
      <c r="B7" s="110"/>
      <c r="C7" s="110"/>
      <c r="D7" s="110"/>
      <c r="E7" s="126"/>
      <c r="F7" s="111"/>
      <c r="G7" s="111"/>
      <c r="H7" s="110"/>
      <c r="I7" s="110"/>
      <c r="J7" s="110"/>
      <c r="K7" s="110"/>
    </row>
    <row r="8" spans="1:11" x14ac:dyDescent="0.2">
      <c r="A8" s="108" t="s">
        <v>151</v>
      </c>
      <c r="B8" s="108" t="s">
        <v>1209</v>
      </c>
      <c r="C8" s="108">
        <v>2800</v>
      </c>
      <c r="D8" s="108" t="s">
        <v>419</v>
      </c>
      <c r="E8" s="125"/>
      <c r="F8" s="109">
        <v>44585</v>
      </c>
      <c r="G8" s="109">
        <v>44736</v>
      </c>
      <c r="H8" s="108"/>
      <c r="I8" s="108"/>
      <c r="J8" s="108"/>
      <c r="K8" s="108"/>
    </row>
    <row r="9" spans="1:11" x14ac:dyDescent="0.2">
      <c r="A9" s="108"/>
      <c r="B9" s="108"/>
      <c r="C9" s="108">
        <v>132</v>
      </c>
      <c r="D9" s="108" t="s">
        <v>8</v>
      </c>
      <c r="E9" s="125"/>
      <c r="F9" s="109">
        <v>44585</v>
      </c>
      <c r="G9" s="109">
        <v>44736</v>
      </c>
      <c r="H9" s="108"/>
      <c r="I9" s="108"/>
      <c r="J9" s="108"/>
      <c r="K9" s="108"/>
    </row>
    <row r="10" spans="1:11" x14ac:dyDescent="0.2">
      <c r="A10" s="110"/>
      <c r="B10" s="110"/>
      <c r="C10" s="110"/>
      <c r="D10" s="110"/>
      <c r="E10" s="126"/>
      <c r="F10" s="111"/>
      <c r="G10" s="111"/>
      <c r="H10" s="110"/>
      <c r="I10" s="110"/>
      <c r="J10" s="110"/>
      <c r="K10" s="110"/>
    </row>
    <row r="11" spans="1:11" x14ac:dyDescent="0.2">
      <c r="A11" s="108" t="s">
        <v>151</v>
      </c>
      <c r="B11" s="108" t="s">
        <v>480</v>
      </c>
      <c r="C11" s="108">
        <v>2737</v>
      </c>
      <c r="D11" s="108" t="s">
        <v>419</v>
      </c>
      <c r="E11" s="125"/>
      <c r="F11" s="109">
        <v>43857</v>
      </c>
      <c r="G11" s="109">
        <v>44009</v>
      </c>
      <c r="H11" s="108"/>
      <c r="I11" s="108"/>
      <c r="J11" s="108"/>
      <c r="K11" s="108"/>
    </row>
    <row r="12" spans="1:11" x14ac:dyDescent="0.2">
      <c r="A12" s="108"/>
      <c r="B12" s="108"/>
      <c r="C12" s="108">
        <v>28</v>
      </c>
      <c r="D12" s="108" t="s">
        <v>481</v>
      </c>
      <c r="E12" s="125"/>
      <c r="F12" s="109">
        <v>43857</v>
      </c>
      <c r="G12" s="109">
        <v>44009</v>
      </c>
      <c r="H12" s="108"/>
      <c r="I12" s="108"/>
      <c r="J12" s="108"/>
      <c r="K12" s="108"/>
    </row>
    <row r="13" spans="1:11" x14ac:dyDescent="0.2">
      <c r="A13" s="108"/>
      <c r="B13" s="108"/>
      <c r="C13" s="108">
        <v>17</v>
      </c>
      <c r="D13" s="108" t="s">
        <v>482</v>
      </c>
      <c r="E13" s="125"/>
      <c r="F13" s="109">
        <v>43857</v>
      </c>
      <c r="G13" s="109">
        <v>44009</v>
      </c>
      <c r="H13" s="108"/>
      <c r="I13" s="108"/>
      <c r="J13" s="108"/>
      <c r="K13" s="108"/>
    </row>
    <row r="14" spans="1:11" x14ac:dyDescent="0.2">
      <c r="A14" s="108"/>
      <c r="B14" s="108"/>
      <c r="C14" s="108">
        <v>17</v>
      </c>
      <c r="D14" s="108" t="s">
        <v>483</v>
      </c>
      <c r="E14" s="125"/>
      <c r="F14" s="109">
        <v>43857</v>
      </c>
      <c r="G14" s="109">
        <v>44009</v>
      </c>
      <c r="H14" s="108"/>
      <c r="I14" s="108"/>
      <c r="J14" s="108"/>
      <c r="K14" s="108"/>
    </row>
    <row r="15" spans="1:11" x14ac:dyDescent="0.2">
      <c r="A15" s="108"/>
      <c r="B15" s="108"/>
      <c r="C15" s="108">
        <v>35</v>
      </c>
      <c r="D15" s="108" t="s">
        <v>85</v>
      </c>
      <c r="E15" s="125"/>
      <c r="F15" s="109">
        <v>43857</v>
      </c>
      <c r="G15" s="109">
        <v>44009</v>
      </c>
      <c r="H15" s="108"/>
      <c r="I15" s="108"/>
      <c r="J15" s="108"/>
      <c r="K15" s="108"/>
    </row>
    <row r="16" spans="1:11" x14ac:dyDescent="0.2">
      <c r="A16" s="108"/>
      <c r="B16" s="108"/>
      <c r="C16" s="108">
        <v>34</v>
      </c>
      <c r="D16" s="108" t="s">
        <v>484</v>
      </c>
      <c r="E16" s="125"/>
      <c r="F16" s="109">
        <v>43857</v>
      </c>
      <c r="G16" s="109">
        <v>44009</v>
      </c>
      <c r="H16" s="108"/>
      <c r="I16" s="108"/>
      <c r="J16" s="108"/>
      <c r="K16" s="108"/>
    </row>
    <row r="17" spans="1:11" x14ac:dyDescent="0.2">
      <c r="A17" s="108"/>
      <c r="B17" s="108"/>
      <c r="C17" s="108">
        <v>38</v>
      </c>
      <c r="D17" s="108" t="s">
        <v>453</v>
      </c>
      <c r="E17" s="125"/>
      <c r="F17" s="109">
        <v>43857</v>
      </c>
      <c r="G17" s="109">
        <v>44009</v>
      </c>
      <c r="H17" s="108"/>
      <c r="I17" s="108"/>
      <c r="J17" s="108"/>
      <c r="K17" s="108"/>
    </row>
    <row r="18" spans="1:11" x14ac:dyDescent="0.2">
      <c r="A18" s="110"/>
      <c r="B18" s="110"/>
      <c r="C18" s="110"/>
      <c r="D18" s="110"/>
      <c r="E18" s="126"/>
      <c r="F18" s="111"/>
      <c r="G18" s="111"/>
      <c r="H18" s="110"/>
      <c r="I18" s="110"/>
      <c r="J18" s="110"/>
      <c r="K18" s="110"/>
    </row>
    <row r="19" spans="1:11" x14ac:dyDescent="0.2">
      <c r="A19" s="108" t="s">
        <v>770</v>
      </c>
      <c r="B19" s="108" t="s">
        <v>771</v>
      </c>
      <c r="C19" s="108">
        <v>2310</v>
      </c>
      <c r="D19" s="108" t="s">
        <v>419</v>
      </c>
      <c r="E19" s="125"/>
      <c r="F19" s="109">
        <v>44241</v>
      </c>
      <c r="G19" s="109">
        <v>44422</v>
      </c>
      <c r="H19" s="108"/>
      <c r="I19" s="108"/>
      <c r="J19" s="108"/>
      <c r="K19" s="108"/>
    </row>
    <row r="20" spans="1:11" x14ac:dyDescent="0.2">
      <c r="A20" s="108"/>
      <c r="B20" s="108"/>
      <c r="C20" s="108">
        <v>56</v>
      </c>
      <c r="D20" s="108" t="s">
        <v>71</v>
      </c>
      <c r="E20" s="125"/>
      <c r="F20" s="109">
        <v>44241</v>
      </c>
      <c r="G20" s="109">
        <v>44422</v>
      </c>
      <c r="H20" s="108"/>
      <c r="I20" s="108"/>
      <c r="J20" s="108"/>
      <c r="K20" s="108"/>
    </row>
    <row r="21" spans="1:11" x14ac:dyDescent="0.2">
      <c r="A21" s="108"/>
      <c r="B21" s="108"/>
      <c r="C21" s="108">
        <v>56</v>
      </c>
      <c r="D21" s="108" t="s">
        <v>772</v>
      </c>
      <c r="E21" s="125"/>
      <c r="F21" s="109">
        <v>44241</v>
      </c>
      <c r="G21" s="109">
        <v>44422</v>
      </c>
      <c r="H21" s="108"/>
      <c r="I21" s="108"/>
      <c r="J21" s="108"/>
      <c r="K21" s="108"/>
    </row>
    <row r="22" spans="1:11" x14ac:dyDescent="0.2">
      <c r="A22" s="110"/>
      <c r="B22" s="110"/>
      <c r="C22" s="110"/>
      <c r="D22" s="110"/>
      <c r="E22" s="126"/>
      <c r="F22" s="110"/>
      <c r="G22" s="110"/>
      <c r="H22" s="110"/>
      <c r="I22" s="110"/>
      <c r="J22" s="110"/>
      <c r="K22" s="110"/>
    </row>
    <row r="23" spans="1:11" x14ac:dyDescent="0.2">
      <c r="A23" s="108" t="s">
        <v>1182</v>
      </c>
      <c r="B23" s="108" t="s">
        <v>1184</v>
      </c>
      <c r="C23" s="108">
        <v>1500</v>
      </c>
      <c r="D23" s="108" t="s">
        <v>419</v>
      </c>
      <c r="E23" s="125"/>
      <c r="F23" s="109">
        <v>44573</v>
      </c>
      <c r="G23" s="109">
        <v>44724</v>
      </c>
      <c r="H23" s="108"/>
      <c r="I23" s="108"/>
      <c r="J23" s="108"/>
      <c r="K23" s="108"/>
    </row>
    <row r="24" spans="1:11" x14ac:dyDescent="0.2">
      <c r="A24" s="108" t="s">
        <v>1183</v>
      </c>
      <c r="B24" s="108"/>
      <c r="C24" s="108">
        <v>36</v>
      </c>
      <c r="D24" s="108" t="s">
        <v>453</v>
      </c>
      <c r="E24" s="125"/>
      <c r="F24" s="109">
        <v>44573</v>
      </c>
      <c r="G24" s="109">
        <v>44724</v>
      </c>
      <c r="H24" s="108"/>
      <c r="I24" s="108"/>
      <c r="J24" s="108"/>
      <c r="K24" s="108"/>
    </row>
    <row r="25" spans="1:11" x14ac:dyDescent="0.2">
      <c r="A25" s="108"/>
      <c r="B25" s="108"/>
      <c r="C25" s="108"/>
      <c r="D25" s="108"/>
      <c r="E25" s="125"/>
      <c r="F25" s="108"/>
      <c r="G25" s="108"/>
      <c r="H25" s="108"/>
      <c r="I25" s="108"/>
      <c r="J25" s="108"/>
      <c r="K25" s="108"/>
    </row>
    <row r="26" spans="1:11" x14ac:dyDescent="0.2">
      <c r="A26" s="108"/>
      <c r="B26" s="108"/>
      <c r="C26" s="108"/>
      <c r="D26" s="108"/>
      <c r="E26" s="125"/>
      <c r="F26" s="108"/>
      <c r="G26" s="108"/>
      <c r="H26" s="108"/>
      <c r="I26" s="108"/>
      <c r="J26" s="108"/>
      <c r="K26" s="108"/>
    </row>
  </sheetData>
  <mergeCells count="1">
    <mergeCell ref="J3:J4"/>
  </mergeCells>
  <pageMargins left="0.7" right="0.7" top="0.75" bottom="0.75" header="0.3" footer="0.3"/>
  <pageSetup scale="84" fitToHeight="6" orientation="landscape" horizontalDpi="300" r:id="rId1"/>
  <headerFooter>
    <oddFooter>&amp;R&amp;D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  <pageSetUpPr fitToPage="1"/>
  </sheetPr>
  <dimension ref="A1:J38"/>
  <sheetViews>
    <sheetView workbookViewId="0"/>
  </sheetViews>
  <sheetFormatPr defaultRowHeight="12.75" x14ac:dyDescent="0.2"/>
  <cols>
    <col min="1" max="1" width="24.5703125" customWidth="1"/>
    <col min="2" max="2" width="13" customWidth="1"/>
    <col min="3" max="3" width="6.5703125" customWidth="1"/>
    <col min="4" max="4" width="26.140625" customWidth="1"/>
    <col min="5" max="5" width="11.7109375" customWidth="1"/>
    <col min="6" max="6" width="10.140625" customWidth="1"/>
    <col min="7" max="7" width="11" customWidth="1"/>
    <col min="8" max="8" width="10.28515625" customWidth="1"/>
    <col min="9" max="9" width="13" customWidth="1"/>
    <col min="10" max="10" width="10" customWidth="1"/>
  </cols>
  <sheetData>
    <row r="1" spans="1:10" ht="15" x14ac:dyDescent="0.2">
      <c r="A1" s="5" t="str">
        <f ca="1">MID(CELL("filename",$A$1),FIND("]",CELL("filename",$A$1),1)+1,1024)</f>
        <v>DOUGLAS RANCHES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8"/>
      <c r="B5" s="6"/>
      <c r="C5" s="6"/>
      <c r="D5" s="8"/>
      <c r="E5" s="10"/>
      <c r="F5" s="10"/>
      <c r="G5" s="6"/>
      <c r="H5" s="6"/>
      <c r="I5" s="6"/>
      <c r="J5" s="6"/>
    </row>
    <row r="6" spans="1:10" x14ac:dyDescent="0.2">
      <c r="A6" s="6"/>
      <c r="B6" s="6"/>
      <c r="C6" s="6"/>
      <c r="D6" s="8"/>
      <c r="E6" s="10"/>
      <c r="F6" s="10"/>
      <c r="G6" s="6"/>
      <c r="H6" s="6"/>
      <c r="I6" s="6"/>
      <c r="J6" s="6"/>
    </row>
    <row r="7" spans="1:10" x14ac:dyDescent="0.2">
      <c r="A7" s="6"/>
      <c r="B7" s="6"/>
      <c r="C7" s="6"/>
      <c r="D7" s="8"/>
      <c r="E7" s="10"/>
      <c r="F7" s="10"/>
      <c r="G7" s="6"/>
      <c r="H7" s="6"/>
      <c r="I7" s="6"/>
      <c r="J7" s="6"/>
    </row>
    <row r="8" spans="1:10" x14ac:dyDescent="0.2">
      <c r="A8" s="6"/>
      <c r="B8" s="6"/>
      <c r="C8" s="6"/>
      <c r="D8" s="8"/>
      <c r="E8" s="10"/>
      <c r="F8" s="10"/>
      <c r="G8" s="6"/>
      <c r="H8" s="6"/>
      <c r="I8" s="6"/>
      <c r="J8" s="6"/>
    </row>
    <row r="9" spans="1:10" x14ac:dyDescent="0.2">
      <c r="A9" s="6"/>
      <c r="B9" s="6"/>
      <c r="C9" s="6"/>
      <c r="D9" s="8"/>
      <c r="E9" s="10"/>
      <c r="F9" s="10"/>
      <c r="G9" s="6"/>
      <c r="H9" s="6"/>
      <c r="I9" s="6"/>
      <c r="J9" s="6"/>
    </row>
    <row r="10" spans="1:10" x14ac:dyDescent="0.2">
      <c r="A10" s="6"/>
      <c r="B10" s="6"/>
      <c r="C10" s="6"/>
      <c r="D10" s="8"/>
      <c r="E10" s="10"/>
      <c r="F10" s="10"/>
      <c r="G10" s="6"/>
      <c r="H10" s="6"/>
      <c r="I10" s="6"/>
      <c r="J10" s="6"/>
    </row>
    <row r="11" spans="1:10" x14ac:dyDescent="0.2">
      <c r="A11" s="6"/>
      <c r="B11" s="6"/>
      <c r="C11" s="6"/>
      <c r="D11" s="8"/>
      <c r="E11" s="10"/>
      <c r="F11" s="10"/>
      <c r="G11" s="6"/>
      <c r="H11" s="6"/>
      <c r="I11" s="6"/>
      <c r="J11" s="6"/>
    </row>
    <row r="12" spans="1:10" x14ac:dyDescent="0.2">
      <c r="A12" s="6"/>
      <c r="B12" s="6"/>
      <c r="C12" s="6"/>
      <c r="D12" s="8"/>
      <c r="E12" s="10"/>
      <c r="F12" s="10"/>
      <c r="G12" s="6"/>
      <c r="H12" s="6"/>
      <c r="I12" s="6"/>
      <c r="J12" s="6"/>
    </row>
    <row r="13" spans="1:10" x14ac:dyDescent="0.2">
      <c r="A13" s="6"/>
      <c r="B13" s="6"/>
      <c r="C13" s="6"/>
      <c r="D13" s="8"/>
      <c r="E13" s="10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8"/>
      <c r="E14" s="10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8"/>
      <c r="E15" s="10"/>
      <c r="F15" s="10"/>
      <c r="G15" s="6"/>
      <c r="H15" s="6"/>
      <c r="I15" s="6"/>
      <c r="J15" s="6"/>
    </row>
    <row r="16" spans="1:10" x14ac:dyDescent="0.2">
      <c r="A16" s="6"/>
      <c r="B16" s="6"/>
      <c r="C16" s="6"/>
      <c r="D16" s="6"/>
      <c r="E16" s="10"/>
      <c r="F16" s="10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10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10"/>
      <c r="F30" s="10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10"/>
      <c r="F31" s="10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10"/>
      <c r="F32" s="10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10"/>
      <c r="F35" s="10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10"/>
      <c r="F36" s="10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6"/>
      <c r="F38" s="6"/>
      <c r="G38" s="6"/>
      <c r="H38" s="6"/>
      <c r="I38" s="6"/>
      <c r="J38" s="6"/>
    </row>
  </sheetData>
  <mergeCells count="1">
    <mergeCell ref="I3:I4"/>
  </mergeCells>
  <pageMargins left="0.7" right="0.7" top="0.75" bottom="0.75" header="0.3" footer="0.3"/>
  <pageSetup scale="85" fitToHeight="6" orientation="landscape" horizontalDpi="300" r:id="rId1"/>
  <headerFooter>
    <oddFooter>&amp;R&amp;D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34998626667073579"/>
    <pageSetUpPr fitToPage="1"/>
  </sheetPr>
  <dimension ref="A1:J25"/>
  <sheetViews>
    <sheetView workbookViewId="0"/>
  </sheetViews>
  <sheetFormatPr defaultRowHeight="12.75" x14ac:dyDescent="0.2"/>
  <cols>
    <col min="1" max="2" width="13" customWidth="1"/>
    <col min="3" max="3" width="7" customWidth="1"/>
    <col min="4" max="4" width="29.5703125" customWidth="1"/>
    <col min="5" max="5" width="11.42578125" customWidth="1"/>
    <col min="6" max="9" width="13" customWidth="1"/>
    <col min="10" max="10" width="10" customWidth="1"/>
  </cols>
  <sheetData>
    <row r="1" spans="1:10" ht="15" x14ac:dyDescent="0.2">
      <c r="A1" s="5" t="str">
        <f ca="1">MID(CELL("filename",$A$1),FIND("]",CELL("filename",$A$1),1)+1,1024)</f>
        <v>DUNCAN FAMILY FARMS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238</v>
      </c>
      <c r="B5" s="6"/>
      <c r="C5" s="6">
        <v>3300</v>
      </c>
      <c r="D5" s="6" t="s">
        <v>243</v>
      </c>
      <c r="E5" s="62" t="s">
        <v>7</v>
      </c>
      <c r="F5" s="10"/>
      <c r="G5" s="6">
        <v>350</v>
      </c>
      <c r="H5" s="6"/>
      <c r="I5" s="6"/>
      <c r="J5" s="6"/>
    </row>
    <row r="6" spans="1:10" x14ac:dyDescent="0.2">
      <c r="A6" s="6" t="s">
        <v>239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2">
      <c r="A7" s="6" t="s">
        <v>240</v>
      </c>
      <c r="B7" s="6"/>
      <c r="C7" s="6"/>
      <c r="D7" s="6"/>
      <c r="E7" s="6"/>
      <c r="F7" s="6"/>
      <c r="G7" s="6"/>
      <c r="H7" s="6"/>
      <c r="I7" s="6"/>
      <c r="J7" s="6"/>
    </row>
    <row r="8" spans="1:10" x14ac:dyDescent="0.2">
      <c r="A8" s="6" t="s">
        <v>241</v>
      </c>
      <c r="B8" s="6"/>
      <c r="C8" s="6"/>
      <c r="D8" s="6"/>
      <c r="E8" s="6"/>
      <c r="F8" s="6"/>
      <c r="G8" s="6"/>
      <c r="H8" s="6"/>
      <c r="I8" s="6"/>
      <c r="J8" s="6"/>
    </row>
    <row r="9" spans="1:10" x14ac:dyDescent="0.2">
      <c r="A9" s="8" t="s">
        <v>242</v>
      </c>
      <c r="B9" s="6"/>
      <c r="C9" s="6"/>
      <c r="D9" s="8"/>
      <c r="E9" s="10"/>
      <c r="F9" s="10"/>
      <c r="G9" s="6"/>
      <c r="H9" s="6"/>
      <c r="I9" s="6"/>
      <c r="J9" s="6"/>
    </row>
    <row r="10" spans="1:10" x14ac:dyDescent="0.2">
      <c r="A10" s="8" t="s">
        <v>244</v>
      </c>
      <c r="B10" s="25"/>
      <c r="C10" s="6"/>
      <c r="D10" s="8"/>
      <c r="E10" s="10"/>
      <c r="F10" s="10"/>
      <c r="G10" s="6"/>
      <c r="H10" s="6"/>
      <c r="I10" s="6"/>
      <c r="J10" s="6"/>
    </row>
    <row r="11" spans="1:10" x14ac:dyDescent="0.2">
      <c r="A11" s="6" t="s">
        <v>639</v>
      </c>
      <c r="B11" s="6"/>
      <c r="C11" s="6"/>
      <c r="D11" s="8"/>
      <c r="E11" s="10"/>
      <c r="F11" s="10"/>
      <c r="G11" s="6"/>
      <c r="H11" s="6"/>
      <c r="I11" s="6"/>
      <c r="J11" s="6"/>
    </row>
    <row r="12" spans="1:10" x14ac:dyDescent="0.2">
      <c r="A12" s="6"/>
      <c r="B12" s="6"/>
      <c r="C12" s="6"/>
      <c r="D12" s="8"/>
      <c r="E12" s="10"/>
      <c r="F12" s="10"/>
      <c r="G12" s="6"/>
      <c r="H12" s="6"/>
      <c r="I12" s="6"/>
      <c r="J12" s="6"/>
    </row>
    <row r="13" spans="1:10" x14ac:dyDescent="0.2">
      <c r="A13" s="6"/>
      <c r="B13" s="6"/>
      <c r="C13" s="6"/>
      <c r="D13" s="8"/>
      <c r="E13" s="10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8"/>
      <c r="E14" s="10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6"/>
      <c r="F25" s="6"/>
      <c r="G25" s="6"/>
      <c r="H25" s="6"/>
      <c r="I25" s="6"/>
      <c r="J25" s="6"/>
    </row>
  </sheetData>
  <mergeCells count="1">
    <mergeCell ref="I3:I4"/>
  </mergeCells>
  <pageMargins left="0.7" right="0.7" top="0.75" bottom="0.75" header="0.3" footer="0.3"/>
  <pageSetup scale="86" fitToHeight="6" orientation="landscape" horizontalDpi="300" r:id="rId1"/>
  <headerFooter>
    <oddFooter>&amp;R&amp;D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9">
    <tabColor theme="0" tint="-0.34998626667073579"/>
    <pageSetUpPr fitToPage="1"/>
  </sheetPr>
  <dimension ref="A1:J35"/>
  <sheetViews>
    <sheetView workbookViewId="0"/>
  </sheetViews>
  <sheetFormatPr defaultRowHeight="12.75" x14ac:dyDescent="0.2"/>
  <cols>
    <col min="1" max="1" width="21.42578125" customWidth="1"/>
    <col min="2" max="2" width="12" bestFit="1" customWidth="1"/>
    <col min="3" max="3" width="5.7109375" customWidth="1"/>
    <col min="4" max="4" width="29.5703125" customWidth="1"/>
    <col min="5" max="5" width="11" customWidth="1"/>
    <col min="6" max="6" width="10.5703125" customWidth="1"/>
    <col min="7" max="7" width="11.140625" customWidth="1"/>
    <col min="8" max="8" width="10.85546875" customWidth="1"/>
    <col min="9" max="9" width="14.140625" customWidth="1"/>
  </cols>
  <sheetData>
    <row r="1" spans="1:10" ht="18" x14ac:dyDescent="0.25">
      <c r="A1" s="13" t="str">
        <f ca="1">MID(CELL("filename",$A$1),FIND("]",CELL("filename",$A$1),1)+1,1024)</f>
        <v>ELK GROVE RANCH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463</v>
      </c>
      <c r="B5" s="6">
        <v>124535</v>
      </c>
      <c r="C5" s="6">
        <v>58</v>
      </c>
      <c r="D5" s="6" t="s">
        <v>234</v>
      </c>
      <c r="E5" s="10">
        <v>44523</v>
      </c>
      <c r="F5" s="10">
        <v>44704</v>
      </c>
      <c r="G5" s="6"/>
      <c r="H5" s="6"/>
      <c r="I5" s="6"/>
      <c r="J5" s="6"/>
    </row>
    <row r="6" spans="1:10" x14ac:dyDescent="0.2">
      <c r="A6" s="6"/>
      <c r="B6" s="6"/>
      <c r="C6" s="6"/>
      <c r="D6" s="6" t="s">
        <v>220</v>
      </c>
      <c r="E6" s="10">
        <v>44523</v>
      </c>
      <c r="F6" s="10">
        <v>44704</v>
      </c>
      <c r="G6" s="6"/>
      <c r="H6" s="6"/>
      <c r="I6" s="6"/>
      <c r="J6" s="6"/>
    </row>
    <row r="7" spans="1:10" x14ac:dyDescent="0.2">
      <c r="A7" s="6"/>
      <c r="B7" s="6"/>
      <c r="C7" s="6"/>
      <c r="D7" s="6" t="s">
        <v>167</v>
      </c>
      <c r="E7" s="10">
        <v>44523</v>
      </c>
      <c r="F7" s="10">
        <v>44704</v>
      </c>
      <c r="G7" s="6"/>
      <c r="H7" s="6"/>
      <c r="I7" s="6"/>
      <c r="J7" s="6"/>
    </row>
    <row r="8" spans="1:10" x14ac:dyDescent="0.2">
      <c r="A8" s="30"/>
      <c r="B8" s="19"/>
      <c r="C8" s="19"/>
      <c r="D8" s="19"/>
      <c r="E8" s="29"/>
      <c r="F8" s="29"/>
      <c r="G8" s="19"/>
      <c r="H8" s="19"/>
      <c r="I8" s="19"/>
      <c r="J8" s="19"/>
    </row>
    <row r="9" spans="1:10" x14ac:dyDescent="0.2">
      <c r="A9" s="6" t="s">
        <v>465</v>
      </c>
      <c r="B9" s="6">
        <v>124536</v>
      </c>
      <c r="C9" s="6">
        <v>264</v>
      </c>
      <c r="D9" s="6" t="s">
        <v>466</v>
      </c>
      <c r="E9" s="10">
        <v>43801</v>
      </c>
      <c r="F9" s="10">
        <v>43984</v>
      </c>
      <c r="G9" s="6"/>
      <c r="H9" s="6"/>
      <c r="I9" s="6"/>
      <c r="J9" s="6"/>
    </row>
    <row r="10" spans="1:10" x14ac:dyDescent="0.2">
      <c r="A10" s="6"/>
      <c r="B10" s="6"/>
      <c r="C10" s="6">
        <v>1</v>
      </c>
      <c r="D10" s="6" t="s">
        <v>467</v>
      </c>
      <c r="E10" s="10">
        <v>43801</v>
      </c>
      <c r="F10" s="10">
        <v>43984</v>
      </c>
      <c r="G10" s="6"/>
      <c r="H10" s="6"/>
      <c r="I10" s="6"/>
      <c r="J10" s="6"/>
    </row>
    <row r="11" spans="1:10" x14ac:dyDescent="0.2">
      <c r="A11" s="6"/>
      <c r="B11" s="6"/>
      <c r="C11" s="6">
        <v>3</v>
      </c>
      <c r="D11" s="6" t="s">
        <v>468</v>
      </c>
      <c r="E11" s="10">
        <v>43801</v>
      </c>
      <c r="F11" s="10">
        <v>43984</v>
      </c>
      <c r="G11" s="6"/>
      <c r="H11" s="6"/>
      <c r="I11" s="6"/>
      <c r="J11" s="6"/>
    </row>
    <row r="12" spans="1:10" x14ac:dyDescent="0.2">
      <c r="A12" s="6"/>
      <c r="B12" s="6"/>
      <c r="C12" s="6">
        <v>1</v>
      </c>
      <c r="D12" s="6" t="s">
        <v>469</v>
      </c>
      <c r="E12" s="10">
        <v>43801</v>
      </c>
      <c r="F12" s="10">
        <v>43984</v>
      </c>
      <c r="G12" s="6"/>
      <c r="H12" s="6"/>
      <c r="I12" s="6"/>
      <c r="J12" s="6"/>
    </row>
    <row r="13" spans="1:10" x14ac:dyDescent="0.2">
      <c r="A13" s="6"/>
      <c r="B13" s="6"/>
      <c r="C13" s="6">
        <v>2</v>
      </c>
      <c r="D13" s="6" t="s">
        <v>470</v>
      </c>
      <c r="E13" s="10">
        <v>43801</v>
      </c>
      <c r="F13" s="10">
        <v>43984</v>
      </c>
      <c r="G13" s="6"/>
      <c r="H13" s="6"/>
      <c r="I13" s="6"/>
      <c r="J13" s="6"/>
    </row>
    <row r="14" spans="1:10" x14ac:dyDescent="0.2">
      <c r="A14" s="6"/>
      <c r="B14" s="6"/>
      <c r="C14" s="6">
        <v>2</v>
      </c>
      <c r="D14" s="6" t="s">
        <v>471</v>
      </c>
      <c r="E14" s="10">
        <v>43801</v>
      </c>
      <c r="F14" s="10">
        <v>43984</v>
      </c>
      <c r="G14" s="6"/>
      <c r="H14" s="6"/>
      <c r="I14" s="6"/>
      <c r="J14" s="6"/>
    </row>
    <row r="15" spans="1:10" x14ac:dyDescent="0.2">
      <c r="A15" s="6"/>
      <c r="B15" s="6"/>
      <c r="C15" s="6">
        <v>230</v>
      </c>
      <c r="D15" s="6" t="s">
        <v>423</v>
      </c>
      <c r="E15" s="10">
        <v>43801</v>
      </c>
      <c r="F15" s="10">
        <v>43984</v>
      </c>
      <c r="G15" s="6"/>
      <c r="H15" s="6"/>
      <c r="I15" s="6"/>
      <c r="J15" s="6"/>
    </row>
    <row r="16" spans="1:10" x14ac:dyDescent="0.2">
      <c r="A16" s="6"/>
      <c r="B16" s="6"/>
      <c r="C16" s="6">
        <v>35</v>
      </c>
      <c r="D16" s="6" t="s">
        <v>472</v>
      </c>
      <c r="E16" s="10">
        <v>43801</v>
      </c>
      <c r="F16" s="10">
        <v>43984</v>
      </c>
      <c r="G16" s="6"/>
      <c r="H16" s="6"/>
      <c r="I16" s="6"/>
      <c r="J16" s="6"/>
    </row>
    <row r="17" spans="1:10" x14ac:dyDescent="0.2">
      <c r="A17" s="6"/>
      <c r="B17" s="6"/>
      <c r="C17" s="6">
        <v>1</v>
      </c>
      <c r="D17" s="6" t="s">
        <v>473</v>
      </c>
      <c r="E17" s="10">
        <v>43801</v>
      </c>
      <c r="F17" s="10">
        <v>43984</v>
      </c>
      <c r="G17" s="6"/>
      <c r="H17" s="6"/>
      <c r="I17" s="6"/>
      <c r="J17" s="6"/>
    </row>
    <row r="18" spans="1:10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</row>
    <row r="19" spans="1:10" x14ac:dyDescent="0.2">
      <c r="A19" s="6" t="s">
        <v>1172</v>
      </c>
      <c r="B19" s="6" t="s">
        <v>1173</v>
      </c>
      <c r="C19" s="6">
        <v>66</v>
      </c>
      <c r="D19" s="6" t="s">
        <v>1174</v>
      </c>
      <c r="E19" s="10">
        <v>44556</v>
      </c>
      <c r="F19" s="10">
        <v>44707</v>
      </c>
      <c r="G19" s="6"/>
      <c r="H19" s="6"/>
      <c r="I19" s="6"/>
      <c r="J19" s="6"/>
    </row>
    <row r="20" spans="1:10" x14ac:dyDescent="0.2">
      <c r="A20" s="6"/>
      <c r="B20" s="6"/>
      <c r="C20" s="6">
        <v>65</v>
      </c>
      <c r="D20" s="6" t="s">
        <v>423</v>
      </c>
      <c r="E20" s="10">
        <v>44556</v>
      </c>
      <c r="F20" s="10">
        <v>44707</v>
      </c>
      <c r="G20" s="6"/>
      <c r="H20" s="6"/>
      <c r="I20" s="6"/>
      <c r="J20" s="6"/>
    </row>
    <row r="21" spans="1:10" x14ac:dyDescent="0.2">
      <c r="A21" s="6"/>
      <c r="B21" s="6"/>
      <c r="C21" s="6">
        <v>1</v>
      </c>
      <c r="D21" s="6" t="s">
        <v>472</v>
      </c>
      <c r="E21" s="10">
        <v>44556</v>
      </c>
      <c r="F21" s="10">
        <v>44707</v>
      </c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6"/>
      <c r="F35" s="6"/>
      <c r="G35" s="6"/>
      <c r="H35" s="6"/>
      <c r="I35" s="6"/>
      <c r="J35" s="6"/>
    </row>
  </sheetData>
  <mergeCells count="1">
    <mergeCell ref="I3:I4"/>
  </mergeCells>
  <pageMargins left="0.7" right="0.7" top="0.75" bottom="0.75" header="0.3" footer="0.3"/>
  <pageSetup scale="86" fitToHeight="6" orientation="landscape" horizontalDpi="300" r:id="rId1"/>
  <headerFooter>
    <oddFooter>&amp;R&amp;D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0">
    <tabColor theme="0" tint="-0.34998626667073579"/>
    <pageSetUpPr fitToPage="1"/>
  </sheetPr>
  <dimension ref="A1:J39"/>
  <sheetViews>
    <sheetView workbookViewId="0"/>
  </sheetViews>
  <sheetFormatPr defaultRowHeight="12.75" x14ac:dyDescent="0.2"/>
  <cols>
    <col min="1" max="1" width="18.7109375" bestFit="1" customWidth="1"/>
    <col min="2" max="2" width="13.28515625" customWidth="1"/>
    <col min="3" max="3" width="6.5703125" customWidth="1"/>
    <col min="4" max="4" width="20.140625" customWidth="1"/>
    <col min="5" max="5" width="12.7109375" customWidth="1"/>
    <col min="6" max="6" width="11.5703125" customWidth="1"/>
    <col min="7" max="7" width="11.42578125" customWidth="1"/>
    <col min="8" max="8" width="11.140625" customWidth="1"/>
    <col min="9" max="9" width="12.5703125" customWidth="1"/>
    <col min="10" max="10" width="11.42578125" customWidth="1"/>
  </cols>
  <sheetData>
    <row r="1" spans="1:10" ht="15" x14ac:dyDescent="0.2">
      <c r="A1" s="5" t="str">
        <f ca="1">MID(CELL("filename",$A$1),FIND("]",CELL("filename",$A$1),1)+1,1024)</f>
        <v>Enza Zaden USA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65</v>
      </c>
      <c r="B5" s="25" t="s">
        <v>811</v>
      </c>
      <c r="C5" s="6">
        <v>500</v>
      </c>
      <c r="D5" s="9" t="s">
        <v>36</v>
      </c>
      <c r="E5" s="10">
        <v>44084</v>
      </c>
      <c r="F5" s="10">
        <v>44449</v>
      </c>
      <c r="G5" s="6"/>
      <c r="H5" s="6"/>
      <c r="I5" s="6"/>
      <c r="J5" s="6"/>
    </row>
    <row r="6" spans="1:10" x14ac:dyDescent="0.2">
      <c r="A6" s="6" t="s">
        <v>66</v>
      </c>
      <c r="B6" s="7"/>
      <c r="C6" s="6">
        <v>26</v>
      </c>
      <c r="D6" s="9" t="s">
        <v>29</v>
      </c>
      <c r="E6" s="10">
        <v>44084</v>
      </c>
      <c r="F6" s="10">
        <v>44449</v>
      </c>
      <c r="G6" s="6"/>
      <c r="H6" s="6"/>
      <c r="I6" s="6"/>
      <c r="J6" s="6"/>
    </row>
    <row r="7" spans="1:10" x14ac:dyDescent="0.2">
      <c r="A7" s="6"/>
      <c r="B7" s="7"/>
      <c r="C7" s="6">
        <v>26</v>
      </c>
      <c r="D7" s="9" t="s">
        <v>8</v>
      </c>
      <c r="E7" s="10">
        <v>44084</v>
      </c>
      <c r="F7" s="10">
        <v>44449</v>
      </c>
      <c r="G7" s="6"/>
      <c r="H7" s="6"/>
      <c r="I7" s="6"/>
      <c r="J7" s="6"/>
    </row>
    <row r="8" spans="1:10" x14ac:dyDescent="0.2">
      <c r="A8" s="6"/>
      <c r="B8" s="7"/>
      <c r="C8" s="6">
        <v>1</v>
      </c>
      <c r="D8" s="9" t="s">
        <v>14</v>
      </c>
      <c r="E8" s="10">
        <v>44084</v>
      </c>
      <c r="F8" s="10">
        <v>44449</v>
      </c>
      <c r="G8" s="6"/>
      <c r="H8" s="6"/>
      <c r="I8" s="6"/>
      <c r="J8" s="6"/>
    </row>
    <row r="9" spans="1:10" x14ac:dyDescent="0.2">
      <c r="A9" s="6"/>
      <c r="B9" s="7"/>
      <c r="C9" s="6">
        <v>1</v>
      </c>
      <c r="D9" s="9" t="s">
        <v>53</v>
      </c>
      <c r="E9" s="10">
        <v>44084</v>
      </c>
      <c r="F9" s="10">
        <v>44449</v>
      </c>
      <c r="G9" s="6"/>
      <c r="H9" s="6"/>
      <c r="I9" s="6"/>
      <c r="J9" s="6"/>
    </row>
    <row r="10" spans="1:10" x14ac:dyDescent="0.2">
      <c r="A10" s="6"/>
      <c r="B10" s="7"/>
      <c r="C10" s="6">
        <v>36</v>
      </c>
      <c r="D10" s="9" t="s">
        <v>23</v>
      </c>
      <c r="E10" s="10">
        <v>44084</v>
      </c>
      <c r="F10" s="10">
        <v>44449</v>
      </c>
      <c r="G10" s="6"/>
      <c r="H10" s="6"/>
      <c r="I10" s="6"/>
      <c r="J10" s="6"/>
    </row>
    <row r="11" spans="1:10" x14ac:dyDescent="0.2">
      <c r="A11" s="6"/>
      <c r="B11" s="7"/>
      <c r="C11" s="6">
        <v>20</v>
      </c>
      <c r="D11" s="9" t="s">
        <v>26</v>
      </c>
      <c r="E11" s="10">
        <v>44084</v>
      </c>
      <c r="F11" s="10">
        <v>44449</v>
      </c>
      <c r="G11" s="6"/>
      <c r="H11" s="6"/>
      <c r="I11" s="6"/>
      <c r="J11" s="6"/>
    </row>
    <row r="12" spans="1:10" x14ac:dyDescent="0.2">
      <c r="A12" s="6"/>
      <c r="B12" s="7"/>
      <c r="C12" s="6">
        <v>3</v>
      </c>
      <c r="D12" s="9" t="s">
        <v>44</v>
      </c>
      <c r="E12" s="10">
        <v>44084</v>
      </c>
      <c r="F12" s="10">
        <v>44449</v>
      </c>
      <c r="G12" s="6"/>
      <c r="H12" s="6"/>
      <c r="I12" s="6"/>
      <c r="J12" s="6"/>
    </row>
    <row r="13" spans="1:10" x14ac:dyDescent="0.2">
      <c r="A13" s="6"/>
      <c r="B13" s="7"/>
      <c r="C13" s="6">
        <v>2</v>
      </c>
      <c r="D13" s="9" t="s">
        <v>31</v>
      </c>
      <c r="E13" s="10">
        <v>44084</v>
      </c>
      <c r="F13" s="10">
        <v>44449</v>
      </c>
      <c r="G13" s="6"/>
      <c r="H13" s="6"/>
      <c r="I13" s="6"/>
      <c r="J13" s="6"/>
    </row>
    <row r="14" spans="1:10" x14ac:dyDescent="0.2">
      <c r="A14" s="6"/>
      <c r="B14" s="7"/>
      <c r="C14" s="6">
        <v>2</v>
      </c>
      <c r="D14" s="9" t="s">
        <v>42</v>
      </c>
      <c r="E14" s="10">
        <v>44084</v>
      </c>
      <c r="F14" s="10">
        <v>44449</v>
      </c>
      <c r="G14" s="6"/>
      <c r="H14" s="6"/>
      <c r="I14" s="6"/>
      <c r="J14" s="6"/>
    </row>
    <row r="15" spans="1:10" x14ac:dyDescent="0.2">
      <c r="A15" s="6"/>
      <c r="B15" s="7"/>
      <c r="C15" s="6">
        <v>64</v>
      </c>
      <c r="D15" s="9" t="s">
        <v>55</v>
      </c>
      <c r="E15" s="10">
        <v>44084</v>
      </c>
      <c r="F15" s="10">
        <v>44449</v>
      </c>
      <c r="G15" s="6"/>
      <c r="H15" s="6"/>
      <c r="I15" s="6"/>
      <c r="J15" s="6"/>
    </row>
    <row r="16" spans="1:10" x14ac:dyDescent="0.2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">
      <c r="A39" s="6"/>
      <c r="B39" s="6"/>
      <c r="C39" s="6"/>
      <c r="D39" s="6"/>
      <c r="E39" s="6"/>
      <c r="F39" s="6"/>
      <c r="G39" s="6"/>
      <c r="H39" s="6"/>
      <c r="I39" s="6"/>
      <c r="J39" s="6"/>
    </row>
  </sheetData>
  <mergeCells count="1">
    <mergeCell ref="I3:I4"/>
  </mergeCells>
  <pageMargins left="0.7" right="0.7" top="0.75" bottom="0.75" header="0.3" footer="0.3"/>
  <pageSetup scale="96" fitToHeight="6" orientation="landscape" horizontalDpi="300" r:id="rId1"/>
  <headerFooter>
    <oddFooter>&amp;R&amp;D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2">
    <tabColor theme="0" tint="-0.34998626667073579"/>
    <pageSetUpPr fitToPage="1"/>
  </sheetPr>
  <dimension ref="A1:J79"/>
  <sheetViews>
    <sheetView workbookViewId="0"/>
  </sheetViews>
  <sheetFormatPr defaultRowHeight="12.75" x14ac:dyDescent="0.2"/>
  <cols>
    <col min="1" max="1" width="21.42578125" customWidth="1"/>
    <col min="2" max="2" width="18" style="38" customWidth="1"/>
    <col min="3" max="3" width="6.5703125" customWidth="1"/>
    <col min="4" max="4" width="27" bestFit="1" customWidth="1"/>
    <col min="5" max="5" width="11.42578125" customWidth="1"/>
    <col min="6" max="6" width="10.140625" customWidth="1"/>
    <col min="7" max="7" width="11.42578125" customWidth="1"/>
    <col min="8" max="8" width="11.28515625" customWidth="1"/>
    <col min="9" max="9" width="12.7109375" customWidth="1"/>
  </cols>
  <sheetData>
    <row r="1" spans="1:10" ht="18" x14ac:dyDescent="0.25">
      <c r="A1" s="13" t="str">
        <f ca="1">MID(CELL("filename",$A$1),FIND("]",CELL("filename",$A$1),1)+1,1024)</f>
        <v>EYRAUD PIPE RENTAL</v>
      </c>
      <c r="B1" s="17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17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17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670</v>
      </c>
      <c r="B5" s="17" t="s">
        <v>671</v>
      </c>
      <c r="C5" s="6">
        <v>76</v>
      </c>
      <c r="D5" s="6" t="s">
        <v>672</v>
      </c>
      <c r="E5" s="10">
        <v>44126</v>
      </c>
      <c r="F5" s="10">
        <v>44308</v>
      </c>
      <c r="G5" s="6"/>
      <c r="H5" s="6"/>
      <c r="I5" s="6"/>
      <c r="J5" s="6"/>
    </row>
    <row r="6" spans="1:10" x14ac:dyDescent="0.2">
      <c r="A6" s="6"/>
      <c r="B6" s="17"/>
      <c r="C6" s="6">
        <v>1</v>
      </c>
      <c r="D6" s="6" t="s">
        <v>415</v>
      </c>
      <c r="E6" s="10">
        <v>44126</v>
      </c>
      <c r="F6" s="10">
        <v>44308</v>
      </c>
      <c r="G6" s="6"/>
      <c r="H6" s="6"/>
      <c r="I6" s="6"/>
      <c r="J6" s="6"/>
    </row>
    <row r="7" spans="1:10" x14ac:dyDescent="0.2">
      <c r="A7" s="6"/>
      <c r="B7" s="17"/>
      <c r="C7" s="6">
        <v>1</v>
      </c>
      <c r="D7" s="6" t="s">
        <v>673</v>
      </c>
      <c r="E7" s="10">
        <v>44126</v>
      </c>
      <c r="F7" s="10">
        <v>44308</v>
      </c>
      <c r="G7" s="6"/>
      <c r="H7" s="6"/>
      <c r="I7" s="6"/>
      <c r="J7" s="6"/>
    </row>
    <row r="8" spans="1:10" x14ac:dyDescent="0.2">
      <c r="A8" s="6"/>
      <c r="B8" s="17"/>
      <c r="C8" s="6">
        <v>2</v>
      </c>
      <c r="D8" s="6" t="s">
        <v>248</v>
      </c>
      <c r="E8" s="10">
        <v>44126</v>
      </c>
      <c r="F8" s="10">
        <v>44308</v>
      </c>
      <c r="G8" s="6"/>
      <c r="H8" s="6"/>
      <c r="I8" s="6"/>
      <c r="J8" s="6"/>
    </row>
    <row r="9" spans="1:10" x14ac:dyDescent="0.2">
      <c r="A9" s="6"/>
      <c r="B9" s="17"/>
      <c r="C9" s="6">
        <v>3</v>
      </c>
      <c r="D9" s="6" t="s">
        <v>115</v>
      </c>
      <c r="E9" s="10">
        <v>44126</v>
      </c>
      <c r="F9" s="10">
        <v>44308</v>
      </c>
      <c r="G9" s="6"/>
      <c r="H9" s="6"/>
      <c r="I9" s="6"/>
      <c r="J9" s="6"/>
    </row>
    <row r="10" spans="1:10" x14ac:dyDescent="0.2">
      <c r="A10" s="6"/>
      <c r="B10" s="17"/>
      <c r="C10" s="6">
        <v>1</v>
      </c>
      <c r="D10" s="6" t="s">
        <v>120</v>
      </c>
      <c r="E10" s="10">
        <v>44126</v>
      </c>
      <c r="F10" s="10">
        <v>44308</v>
      </c>
      <c r="G10" s="6"/>
      <c r="H10" s="6"/>
      <c r="I10" s="6"/>
      <c r="J10" s="6"/>
    </row>
    <row r="11" spans="1:10" x14ac:dyDescent="0.2">
      <c r="A11" s="6"/>
      <c r="B11" s="17"/>
      <c r="C11" s="6">
        <v>25</v>
      </c>
      <c r="D11" s="6" t="s">
        <v>674</v>
      </c>
      <c r="E11" s="10">
        <v>44126</v>
      </c>
      <c r="F11" s="10">
        <v>44308</v>
      </c>
      <c r="G11" s="6"/>
      <c r="H11" s="6"/>
      <c r="I11" s="6"/>
      <c r="J11" s="6"/>
    </row>
    <row r="12" spans="1:10" x14ac:dyDescent="0.2">
      <c r="A12" s="6"/>
      <c r="B12" s="17"/>
      <c r="C12" s="6">
        <v>1</v>
      </c>
      <c r="D12" s="6" t="s">
        <v>39</v>
      </c>
      <c r="E12" s="10">
        <v>44126</v>
      </c>
      <c r="F12" s="10">
        <v>44308</v>
      </c>
      <c r="G12" s="6"/>
      <c r="H12" s="6"/>
      <c r="I12" s="6"/>
      <c r="J12" s="6"/>
    </row>
    <row r="13" spans="1:10" x14ac:dyDescent="0.2">
      <c r="A13" s="6"/>
      <c r="B13" s="17"/>
      <c r="C13" s="6">
        <v>84</v>
      </c>
      <c r="D13" s="6" t="s">
        <v>89</v>
      </c>
      <c r="E13" s="10">
        <v>44126</v>
      </c>
      <c r="F13" s="10">
        <v>44308</v>
      </c>
      <c r="G13" s="6"/>
      <c r="H13" s="6"/>
      <c r="I13" s="6"/>
      <c r="J13" s="6"/>
    </row>
    <row r="14" spans="1:10" x14ac:dyDescent="0.2">
      <c r="A14" s="6"/>
      <c r="B14" s="17"/>
      <c r="C14" s="6">
        <v>26</v>
      </c>
      <c r="D14" s="6" t="s">
        <v>111</v>
      </c>
      <c r="E14" s="10">
        <v>44126</v>
      </c>
      <c r="F14" s="10">
        <v>44308</v>
      </c>
      <c r="G14" s="6"/>
      <c r="H14" s="6"/>
      <c r="I14" s="6"/>
      <c r="J14" s="6"/>
    </row>
    <row r="15" spans="1:10" x14ac:dyDescent="0.2">
      <c r="A15" s="6"/>
      <c r="B15" s="17"/>
      <c r="C15" s="6">
        <v>66</v>
      </c>
      <c r="D15" s="6" t="s">
        <v>83</v>
      </c>
      <c r="E15" s="10">
        <v>44126</v>
      </c>
      <c r="F15" s="10">
        <v>44308</v>
      </c>
      <c r="G15" s="6"/>
      <c r="H15" s="6"/>
      <c r="I15" s="6"/>
      <c r="J15" s="6"/>
    </row>
    <row r="16" spans="1:10" x14ac:dyDescent="0.2">
      <c r="A16" s="6"/>
      <c r="B16" s="17"/>
      <c r="C16" s="6">
        <v>132</v>
      </c>
      <c r="D16" s="6" t="s">
        <v>71</v>
      </c>
      <c r="E16" s="10">
        <v>44126</v>
      </c>
      <c r="F16" s="10">
        <v>44308</v>
      </c>
      <c r="G16" s="6"/>
      <c r="H16" s="6"/>
      <c r="I16" s="6"/>
      <c r="J16" s="6"/>
    </row>
    <row r="17" spans="1:10" x14ac:dyDescent="0.2">
      <c r="A17" s="19"/>
      <c r="B17" s="31"/>
      <c r="C17" s="19"/>
      <c r="D17" s="19"/>
      <c r="E17" s="29"/>
      <c r="F17" s="29"/>
      <c r="G17" s="19"/>
      <c r="H17" s="19"/>
      <c r="I17" s="19"/>
      <c r="J17" s="19"/>
    </row>
    <row r="18" spans="1:10" x14ac:dyDescent="0.2">
      <c r="A18" s="6"/>
      <c r="B18" s="17" t="s">
        <v>749</v>
      </c>
      <c r="C18" s="6">
        <v>60</v>
      </c>
      <c r="D18" s="6" t="s">
        <v>750</v>
      </c>
      <c r="E18" s="10">
        <v>44202</v>
      </c>
      <c r="F18" s="10">
        <v>44233</v>
      </c>
      <c r="G18" s="6"/>
      <c r="H18" s="6"/>
      <c r="I18" s="6"/>
      <c r="J18" s="6"/>
    </row>
    <row r="19" spans="1:10" x14ac:dyDescent="0.2">
      <c r="A19" s="6"/>
      <c r="B19" s="17"/>
      <c r="C19" s="6">
        <v>60</v>
      </c>
      <c r="D19" s="6" t="s">
        <v>89</v>
      </c>
      <c r="E19" s="10">
        <v>44202</v>
      </c>
      <c r="F19" s="10">
        <v>44233</v>
      </c>
      <c r="G19" s="6"/>
      <c r="H19" s="6"/>
      <c r="I19" s="6"/>
      <c r="J19" s="6"/>
    </row>
    <row r="20" spans="1:10" x14ac:dyDescent="0.2">
      <c r="A20" s="19"/>
      <c r="B20" s="31"/>
      <c r="C20" s="19"/>
      <c r="D20" s="19"/>
      <c r="E20" s="29"/>
      <c r="F20" s="29"/>
      <c r="G20" s="19"/>
      <c r="H20" s="19"/>
      <c r="I20" s="19"/>
      <c r="J20" s="19"/>
    </row>
    <row r="21" spans="1:10" x14ac:dyDescent="0.2">
      <c r="A21" s="8" t="s">
        <v>797</v>
      </c>
      <c r="B21" s="25" t="s">
        <v>803</v>
      </c>
      <c r="C21" s="6">
        <v>1</v>
      </c>
      <c r="D21" s="8" t="s">
        <v>804</v>
      </c>
      <c r="E21" s="10">
        <v>44242</v>
      </c>
      <c r="F21" s="10">
        <v>44392</v>
      </c>
      <c r="G21" s="6"/>
      <c r="H21" s="6"/>
      <c r="I21" s="6"/>
      <c r="J21" s="6"/>
    </row>
    <row r="22" spans="1:10" x14ac:dyDescent="0.2">
      <c r="A22" s="6"/>
      <c r="B22" s="17"/>
      <c r="C22" s="6"/>
      <c r="D22" s="6"/>
      <c r="E22" s="10"/>
      <c r="F22" s="10"/>
      <c r="G22" s="6"/>
      <c r="H22" s="6"/>
      <c r="I22" s="6"/>
      <c r="J22" s="6"/>
    </row>
    <row r="23" spans="1:10" x14ac:dyDescent="0.2">
      <c r="A23" s="6"/>
      <c r="B23" s="17"/>
      <c r="C23" s="6"/>
      <c r="D23" s="6"/>
      <c r="E23" s="10"/>
      <c r="F23" s="10"/>
      <c r="G23" s="6"/>
      <c r="H23" s="6"/>
      <c r="I23" s="6"/>
      <c r="J23" s="6"/>
    </row>
    <row r="24" spans="1:10" x14ac:dyDescent="0.2">
      <c r="A24" s="6"/>
      <c r="B24" s="17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17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17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17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17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17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17"/>
      <c r="C30" s="6"/>
      <c r="D30" s="6"/>
      <c r="E30" s="10"/>
      <c r="F30" s="10"/>
      <c r="G30" s="6"/>
      <c r="H30" s="6"/>
      <c r="I30" s="6"/>
      <c r="J30" s="6"/>
    </row>
    <row r="31" spans="1:10" x14ac:dyDescent="0.2">
      <c r="A31" s="6"/>
      <c r="B31" s="17"/>
      <c r="C31" s="6"/>
      <c r="D31" s="6"/>
      <c r="E31" s="10"/>
      <c r="F31" s="10"/>
      <c r="G31" s="6"/>
      <c r="H31" s="6"/>
      <c r="I31" s="6"/>
      <c r="J31" s="6"/>
    </row>
    <row r="32" spans="1:10" x14ac:dyDescent="0.2">
      <c r="A32" s="6"/>
      <c r="B32" s="17"/>
      <c r="C32" s="6"/>
      <c r="D32" s="6"/>
      <c r="E32" s="10"/>
      <c r="F32" s="10"/>
      <c r="G32" s="6"/>
      <c r="H32" s="6"/>
      <c r="I32" s="6"/>
      <c r="J32" s="6"/>
    </row>
    <row r="33" spans="1:10" x14ac:dyDescent="0.2">
      <c r="A33" s="6"/>
      <c r="B33" s="17"/>
      <c r="C33" s="6"/>
      <c r="D33" s="6"/>
      <c r="E33" s="10"/>
      <c r="F33" s="10"/>
      <c r="G33" s="6"/>
      <c r="H33" s="6"/>
      <c r="I33" s="6"/>
      <c r="J33" s="6"/>
    </row>
    <row r="34" spans="1:10" x14ac:dyDescent="0.2">
      <c r="A34" s="6"/>
      <c r="B34" s="17"/>
      <c r="C34" s="6"/>
      <c r="D34" s="6"/>
      <c r="E34" s="10"/>
      <c r="F34" s="10"/>
      <c r="G34" s="6"/>
      <c r="H34" s="6"/>
      <c r="I34" s="6"/>
      <c r="J34" s="6"/>
    </row>
    <row r="35" spans="1:10" x14ac:dyDescent="0.2">
      <c r="A35" s="19"/>
      <c r="B35" s="31"/>
      <c r="C35" s="19"/>
      <c r="D35" s="19"/>
      <c r="E35" s="19"/>
      <c r="F35" s="19"/>
      <c r="G35" s="19"/>
      <c r="H35" s="19"/>
      <c r="I35" s="19"/>
      <c r="J35" s="19"/>
    </row>
    <row r="36" spans="1:10" x14ac:dyDescent="0.2">
      <c r="A36" s="6"/>
      <c r="B36" s="17"/>
      <c r="C36" s="6"/>
      <c r="D36" s="6"/>
      <c r="E36" s="10"/>
      <c r="F36" s="10"/>
      <c r="G36" s="6"/>
      <c r="H36" s="6"/>
      <c r="I36" s="6"/>
      <c r="J36" s="6"/>
    </row>
    <row r="37" spans="1:10" x14ac:dyDescent="0.2">
      <c r="A37" s="6"/>
      <c r="B37" s="17"/>
      <c r="C37" s="6"/>
      <c r="D37" s="6"/>
      <c r="E37" s="10"/>
      <c r="F37" s="10"/>
      <c r="G37" s="6"/>
      <c r="H37" s="6"/>
      <c r="I37" s="6"/>
      <c r="J37" s="6"/>
    </row>
    <row r="38" spans="1:10" x14ac:dyDescent="0.2">
      <c r="A38" s="6"/>
      <c r="B38" s="17"/>
      <c r="C38" s="6"/>
      <c r="D38" s="6"/>
      <c r="E38" s="10"/>
      <c r="F38" s="10"/>
      <c r="G38" s="6"/>
      <c r="H38" s="6"/>
      <c r="I38" s="6"/>
      <c r="J38" s="6"/>
    </row>
    <row r="39" spans="1:10" x14ac:dyDescent="0.2">
      <c r="A39" s="6"/>
      <c r="B39" s="17"/>
      <c r="C39" s="6"/>
      <c r="D39" s="6"/>
      <c r="E39" s="10"/>
      <c r="F39" s="10"/>
      <c r="G39" s="6"/>
      <c r="H39" s="6"/>
      <c r="I39" s="6"/>
      <c r="J39" s="6"/>
    </row>
    <row r="40" spans="1:10" x14ac:dyDescent="0.2">
      <c r="A40" s="6"/>
      <c r="B40" s="17"/>
      <c r="C40" s="6"/>
      <c r="D40" s="6"/>
      <c r="E40" s="10"/>
      <c r="F40" s="10"/>
      <c r="G40" s="6"/>
      <c r="H40" s="6"/>
      <c r="I40" s="6"/>
      <c r="J40" s="6"/>
    </row>
    <row r="41" spans="1:10" x14ac:dyDescent="0.2">
      <c r="A41" s="6"/>
      <c r="B41" s="17"/>
      <c r="C41" s="6"/>
      <c r="D41" s="6"/>
      <c r="E41" s="10"/>
      <c r="F41" s="10"/>
      <c r="G41" s="6"/>
      <c r="H41" s="6"/>
      <c r="I41" s="6"/>
      <c r="J41" s="6"/>
    </row>
    <row r="42" spans="1:10" x14ac:dyDescent="0.2">
      <c r="A42" s="6"/>
      <c r="B42" s="17"/>
      <c r="C42" s="6"/>
      <c r="D42" s="6"/>
      <c r="E42" s="10"/>
      <c r="F42" s="10"/>
      <c r="G42" s="6"/>
      <c r="H42" s="6"/>
      <c r="I42" s="6"/>
      <c r="J42" s="6"/>
    </row>
    <row r="43" spans="1:10" x14ac:dyDescent="0.2">
      <c r="A43" s="6"/>
      <c r="B43" s="17"/>
      <c r="C43" s="6"/>
      <c r="D43" s="6"/>
      <c r="E43" s="10"/>
      <c r="F43" s="10"/>
      <c r="G43" s="6"/>
      <c r="H43" s="6"/>
      <c r="I43" s="6"/>
      <c r="J43" s="6"/>
    </row>
    <row r="44" spans="1:10" x14ac:dyDescent="0.2">
      <c r="A44" s="6"/>
      <c r="B44" s="17"/>
      <c r="C44" s="6"/>
      <c r="D44" s="6"/>
      <c r="E44" s="10"/>
      <c r="F44" s="10"/>
      <c r="G44" s="6"/>
      <c r="H44" s="6"/>
      <c r="I44" s="6"/>
      <c r="J44" s="6"/>
    </row>
    <row r="45" spans="1:10" x14ac:dyDescent="0.2">
      <c r="A45" s="6"/>
      <c r="B45" s="17"/>
      <c r="C45" s="6"/>
      <c r="D45" s="6"/>
      <c r="E45" s="10"/>
      <c r="F45" s="10"/>
      <c r="G45" s="6"/>
      <c r="H45" s="6"/>
      <c r="I45" s="6"/>
      <c r="J45" s="6"/>
    </row>
    <row r="46" spans="1:10" x14ac:dyDescent="0.2">
      <c r="A46" s="6"/>
      <c r="B46" s="17"/>
      <c r="C46" s="6"/>
      <c r="D46" s="6"/>
      <c r="E46" s="10"/>
      <c r="F46" s="10"/>
      <c r="G46" s="6"/>
      <c r="H46" s="6"/>
      <c r="I46" s="6"/>
      <c r="J46" s="6"/>
    </row>
    <row r="47" spans="1:10" x14ac:dyDescent="0.2">
      <c r="A47" s="6"/>
      <c r="B47" s="17"/>
      <c r="C47" s="6"/>
      <c r="D47" s="6"/>
      <c r="E47" s="10"/>
      <c r="F47" s="10"/>
      <c r="G47" s="6"/>
      <c r="H47" s="6"/>
      <c r="I47" s="6"/>
      <c r="J47" s="6"/>
    </row>
    <row r="48" spans="1:10" x14ac:dyDescent="0.2">
      <c r="A48" s="6"/>
      <c r="B48" s="17"/>
      <c r="C48" s="6"/>
      <c r="D48" s="6"/>
      <c r="E48" s="10"/>
      <c r="F48" s="10"/>
      <c r="G48" s="6"/>
      <c r="H48" s="6"/>
      <c r="I48" s="6"/>
      <c r="J48" s="6"/>
    </row>
    <row r="49" spans="1:10" x14ac:dyDescent="0.2">
      <c r="A49" s="19"/>
      <c r="B49" s="31"/>
      <c r="C49" s="19"/>
      <c r="D49" s="19"/>
      <c r="E49" s="19"/>
      <c r="F49" s="19"/>
      <c r="G49" s="19"/>
      <c r="H49" s="19"/>
      <c r="I49" s="19"/>
      <c r="J49" s="19"/>
    </row>
    <row r="50" spans="1:10" x14ac:dyDescent="0.2">
      <c r="A50" s="6"/>
      <c r="B50" s="17"/>
      <c r="C50" s="6"/>
      <c r="D50" s="6"/>
      <c r="E50" s="10"/>
      <c r="F50" s="10"/>
      <c r="G50" s="6"/>
      <c r="H50" s="6"/>
      <c r="I50" s="6"/>
      <c r="J50" s="6"/>
    </row>
    <row r="51" spans="1:10" x14ac:dyDescent="0.2">
      <c r="A51" s="6"/>
      <c r="B51" s="17"/>
      <c r="C51" s="6"/>
      <c r="D51" s="6"/>
      <c r="E51" s="10"/>
      <c r="F51" s="10"/>
      <c r="G51" s="6"/>
      <c r="H51" s="6"/>
      <c r="I51" s="6"/>
      <c r="J51" s="6"/>
    </row>
    <row r="52" spans="1:10" x14ac:dyDescent="0.2">
      <c r="A52" s="6"/>
      <c r="B52" s="17"/>
      <c r="C52" s="6"/>
      <c r="D52" s="6"/>
      <c r="E52" s="10"/>
      <c r="F52" s="10"/>
      <c r="G52" s="6"/>
      <c r="H52" s="6"/>
      <c r="I52" s="6"/>
      <c r="J52" s="6"/>
    </row>
    <row r="53" spans="1:10" x14ac:dyDescent="0.2">
      <c r="A53" s="6"/>
      <c r="B53" s="17"/>
      <c r="C53" s="6"/>
      <c r="D53" s="6"/>
      <c r="E53" s="10"/>
      <c r="F53" s="10"/>
      <c r="G53" s="6"/>
      <c r="H53" s="6"/>
      <c r="I53" s="6"/>
      <c r="J53" s="6"/>
    </row>
    <row r="54" spans="1:10" x14ac:dyDescent="0.2">
      <c r="A54" s="6"/>
      <c r="B54" s="17"/>
      <c r="C54" s="6"/>
      <c r="D54" s="6"/>
      <c r="E54" s="10"/>
      <c r="F54" s="10"/>
      <c r="G54" s="6"/>
      <c r="H54" s="6"/>
      <c r="I54" s="6"/>
      <c r="J54" s="6"/>
    </row>
    <row r="55" spans="1:10" x14ac:dyDescent="0.2">
      <c r="A55" s="6"/>
      <c r="B55" s="17"/>
      <c r="C55" s="6"/>
      <c r="D55" s="6"/>
      <c r="E55" s="10"/>
      <c r="F55" s="10"/>
      <c r="G55" s="6"/>
      <c r="H55" s="6"/>
      <c r="I55" s="6"/>
      <c r="J55" s="6"/>
    </row>
    <row r="56" spans="1:10" x14ac:dyDescent="0.2">
      <c r="A56" s="6"/>
      <c r="B56" s="17"/>
      <c r="C56" s="6"/>
      <c r="D56" s="6"/>
      <c r="E56" s="10"/>
      <c r="F56" s="10"/>
      <c r="G56" s="6"/>
      <c r="H56" s="6"/>
      <c r="I56" s="6"/>
      <c r="J56" s="6"/>
    </row>
    <row r="57" spans="1:10" x14ac:dyDescent="0.2">
      <c r="A57" s="6"/>
      <c r="B57" s="17"/>
      <c r="C57" s="6"/>
      <c r="D57" s="6"/>
      <c r="E57" s="10"/>
      <c r="F57" s="10"/>
      <c r="G57" s="6"/>
      <c r="H57" s="6"/>
      <c r="I57" s="6"/>
      <c r="J57" s="6"/>
    </row>
    <row r="58" spans="1:10" x14ac:dyDescent="0.2">
      <c r="A58" s="6"/>
      <c r="B58" s="17"/>
      <c r="C58" s="6"/>
      <c r="D58" s="6"/>
      <c r="E58" s="10"/>
      <c r="F58" s="10"/>
      <c r="G58" s="6"/>
      <c r="H58" s="6"/>
      <c r="I58" s="6"/>
      <c r="J58" s="6"/>
    </row>
    <row r="59" spans="1:10" x14ac:dyDescent="0.2">
      <c r="A59" s="6"/>
      <c r="B59" s="17"/>
      <c r="C59" s="6"/>
      <c r="D59" s="6"/>
      <c r="E59" s="10"/>
      <c r="F59" s="10"/>
      <c r="G59" s="6"/>
      <c r="H59" s="6"/>
      <c r="I59" s="6"/>
      <c r="J59" s="6"/>
    </row>
    <row r="60" spans="1:10" x14ac:dyDescent="0.2">
      <c r="A60" s="6"/>
      <c r="B60" s="17"/>
      <c r="C60" s="6"/>
      <c r="D60" s="6"/>
      <c r="E60" s="10"/>
      <c r="F60" s="10"/>
      <c r="G60" s="6"/>
      <c r="H60" s="6"/>
      <c r="I60" s="6"/>
      <c r="J60" s="6"/>
    </row>
    <row r="61" spans="1:10" x14ac:dyDescent="0.2">
      <c r="A61" s="6"/>
      <c r="B61" s="17"/>
      <c r="C61" s="6"/>
      <c r="D61" s="6"/>
      <c r="E61" s="10"/>
      <c r="F61" s="10"/>
      <c r="G61" s="6"/>
      <c r="H61" s="6"/>
      <c r="I61" s="6"/>
      <c r="J61" s="6"/>
    </row>
    <row r="62" spans="1:10" x14ac:dyDescent="0.2">
      <c r="A62" s="6"/>
      <c r="B62" s="17"/>
      <c r="C62" s="6"/>
      <c r="D62" s="6"/>
      <c r="E62" s="10"/>
      <c r="F62" s="10"/>
      <c r="G62" s="6"/>
      <c r="H62" s="6"/>
      <c r="I62" s="6"/>
      <c r="J62" s="6"/>
    </row>
    <row r="63" spans="1:10" x14ac:dyDescent="0.2">
      <c r="A63" s="19"/>
      <c r="B63" s="31"/>
      <c r="C63" s="19"/>
      <c r="D63" s="19"/>
      <c r="E63" s="19"/>
      <c r="F63" s="19"/>
      <c r="G63" s="19"/>
      <c r="H63" s="19"/>
      <c r="I63" s="19"/>
      <c r="J63" s="19"/>
    </row>
    <row r="64" spans="1:10" x14ac:dyDescent="0.2">
      <c r="A64" s="6"/>
      <c r="B64" s="17"/>
      <c r="C64" s="6"/>
      <c r="D64" s="6"/>
      <c r="E64" s="10"/>
      <c r="F64" s="10"/>
      <c r="G64" s="6"/>
      <c r="H64" s="6"/>
      <c r="I64" s="6"/>
      <c r="J64" s="6"/>
    </row>
    <row r="65" spans="1:10" x14ac:dyDescent="0.2">
      <c r="A65" s="6"/>
      <c r="B65" s="17"/>
      <c r="C65" s="6"/>
      <c r="D65" s="6"/>
      <c r="E65" s="10"/>
      <c r="F65" s="10"/>
      <c r="G65" s="6"/>
      <c r="H65" s="6"/>
      <c r="I65" s="6"/>
      <c r="J65" s="6"/>
    </row>
    <row r="66" spans="1:10" x14ac:dyDescent="0.2">
      <c r="A66" s="19"/>
      <c r="B66" s="31"/>
      <c r="C66" s="19"/>
      <c r="D66" s="19"/>
      <c r="E66" s="19"/>
      <c r="F66" s="19"/>
      <c r="G66" s="19"/>
      <c r="H66" s="19"/>
      <c r="I66" s="19"/>
      <c r="J66" s="19"/>
    </row>
    <row r="67" spans="1:10" x14ac:dyDescent="0.2">
      <c r="A67" s="6"/>
      <c r="B67" s="17"/>
      <c r="C67" s="6"/>
      <c r="D67" s="6"/>
      <c r="E67" s="10"/>
      <c r="F67" s="10"/>
      <c r="G67" s="6"/>
      <c r="H67" s="6"/>
      <c r="I67" s="6"/>
      <c r="J67" s="6"/>
    </row>
    <row r="68" spans="1:10" x14ac:dyDescent="0.2">
      <c r="A68" s="6"/>
      <c r="B68" s="17"/>
      <c r="C68" s="6"/>
      <c r="D68" s="6"/>
      <c r="E68" s="10"/>
      <c r="F68" s="10"/>
      <c r="G68" s="6"/>
      <c r="H68" s="6"/>
      <c r="I68" s="6"/>
      <c r="J68" s="6"/>
    </row>
    <row r="69" spans="1:10" x14ac:dyDescent="0.2">
      <c r="A69" s="6"/>
      <c r="B69" s="17"/>
      <c r="C69" s="6"/>
      <c r="D69" s="6"/>
      <c r="E69" s="10"/>
      <c r="F69" s="10"/>
      <c r="G69" s="6"/>
      <c r="H69" s="6"/>
      <c r="I69" s="6"/>
      <c r="J69" s="6"/>
    </row>
    <row r="70" spans="1:10" x14ac:dyDescent="0.2">
      <c r="A70" s="6"/>
      <c r="B70" s="17"/>
      <c r="C70" s="6"/>
      <c r="D70" s="6"/>
      <c r="E70" s="10"/>
      <c r="F70" s="10"/>
      <c r="G70" s="6"/>
      <c r="H70" s="6"/>
      <c r="I70" s="6"/>
      <c r="J70" s="6"/>
    </row>
    <row r="71" spans="1:10" x14ac:dyDescent="0.2">
      <c r="A71" s="6"/>
      <c r="B71" s="17"/>
      <c r="C71" s="6"/>
      <c r="D71" s="6"/>
      <c r="E71" s="10"/>
      <c r="F71" s="10"/>
      <c r="G71" s="6"/>
      <c r="H71" s="6"/>
      <c r="I71" s="6"/>
      <c r="J71" s="6"/>
    </row>
    <row r="72" spans="1:10" x14ac:dyDescent="0.2">
      <c r="A72" s="6"/>
      <c r="B72" s="17"/>
      <c r="C72" s="6"/>
      <c r="D72" s="6"/>
      <c r="E72" s="10"/>
      <c r="F72" s="10"/>
      <c r="G72" s="6"/>
      <c r="H72" s="6"/>
      <c r="I72" s="6"/>
      <c r="J72" s="6"/>
    </row>
    <row r="73" spans="1:10" x14ac:dyDescent="0.2">
      <c r="A73" s="6"/>
      <c r="B73" s="17"/>
      <c r="C73" s="6"/>
      <c r="D73" s="6"/>
      <c r="E73" s="10"/>
      <c r="F73" s="10"/>
      <c r="G73" s="6"/>
      <c r="H73" s="6"/>
      <c r="I73" s="6"/>
      <c r="J73" s="6"/>
    </row>
    <row r="74" spans="1:10" x14ac:dyDescent="0.2">
      <c r="A74" s="6"/>
      <c r="B74" s="17"/>
      <c r="C74" s="6"/>
      <c r="D74" s="6"/>
      <c r="E74" s="10"/>
      <c r="F74" s="10"/>
      <c r="G74" s="6"/>
      <c r="H74" s="6"/>
      <c r="I74" s="6"/>
      <c r="J74" s="6"/>
    </row>
    <row r="75" spans="1:10" x14ac:dyDescent="0.2">
      <c r="A75" s="6"/>
      <c r="B75" s="17"/>
      <c r="C75" s="6"/>
      <c r="D75" s="6"/>
      <c r="E75" s="10"/>
      <c r="F75" s="10"/>
      <c r="G75" s="6"/>
      <c r="H75" s="6"/>
      <c r="I75" s="6"/>
      <c r="J75" s="6"/>
    </row>
    <row r="76" spans="1:10" x14ac:dyDescent="0.2">
      <c r="A76" s="6"/>
      <c r="B76" s="17"/>
      <c r="C76" s="6"/>
      <c r="D76" s="6"/>
      <c r="E76" s="10"/>
      <c r="F76" s="10"/>
      <c r="G76" s="6"/>
      <c r="H76" s="6"/>
      <c r="I76" s="6"/>
      <c r="J76" s="6"/>
    </row>
    <row r="77" spans="1:10" x14ac:dyDescent="0.2">
      <c r="A77" s="6"/>
      <c r="B77" s="17"/>
      <c r="C77" s="6"/>
      <c r="D77" s="6"/>
      <c r="E77" s="10"/>
      <c r="F77" s="10"/>
      <c r="G77" s="6"/>
      <c r="H77" s="6"/>
      <c r="I77" s="6"/>
      <c r="J77" s="6"/>
    </row>
    <row r="78" spans="1:10" x14ac:dyDescent="0.2">
      <c r="A78" s="6"/>
      <c r="B78" s="17"/>
      <c r="C78" s="6"/>
      <c r="D78" s="6"/>
      <c r="E78" s="10"/>
      <c r="F78" s="10"/>
      <c r="G78" s="6"/>
      <c r="H78" s="6"/>
      <c r="I78" s="6"/>
      <c r="J78" s="6"/>
    </row>
    <row r="79" spans="1:10" x14ac:dyDescent="0.2">
      <c r="A79" s="6"/>
      <c r="B79" s="17"/>
      <c r="C79" s="6"/>
      <c r="D79" s="6"/>
      <c r="E79" s="10"/>
      <c r="F79" s="10"/>
      <c r="G79" s="6"/>
      <c r="H79" s="6"/>
      <c r="I79" s="6"/>
      <c r="J79" s="6"/>
    </row>
  </sheetData>
  <sortState xmlns:xlrd2="http://schemas.microsoft.com/office/spreadsheetml/2017/richdata2" ref="A5:I23">
    <sortCondition ref="D5:D23"/>
  </sortState>
  <mergeCells count="1">
    <mergeCell ref="I3:I4"/>
  </mergeCells>
  <pageMargins left="0.7" right="0.7" top="0.75" bottom="0.75" header="0.3" footer="0.3"/>
  <pageSetup scale="84" fitToHeight="6" orientation="landscape" horizontalDpi="300" r:id="rId1"/>
  <headerFooter>
    <oddFooter>&amp;R&amp;D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79847-21ED-4E5E-BFE7-861C5FFAD753}">
  <sheetPr>
    <tabColor theme="0" tint="-0.34998626667073579"/>
    <pageSetUpPr fitToPage="1"/>
  </sheetPr>
  <dimension ref="A1:J139"/>
  <sheetViews>
    <sheetView workbookViewId="0"/>
  </sheetViews>
  <sheetFormatPr defaultRowHeight="12.75" x14ac:dyDescent="0.2"/>
  <cols>
    <col min="1" max="1" width="18.7109375" customWidth="1"/>
    <col min="2" max="2" width="13.7109375" customWidth="1"/>
    <col min="3" max="3" width="6.5703125" customWidth="1"/>
    <col min="4" max="4" width="24" customWidth="1"/>
    <col min="5" max="5" width="13.85546875" customWidth="1"/>
    <col min="6" max="6" width="11.5703125" customWidth="1"/>
    <col min="7" max="7" width="12.28515625" customWidth="1"/>
    <col min="8" max="8" width="12" customWidth="1"/>
    <col min="9" max="9" width="14.5703125" customWidth="1"/>
    <col min="10" max="10" width="10.7109375" customWidth="1"/>
  </cols>
  <sheetData>
    <row r="1" spans="1:10" ht="15" x14ac:dyDescent="0.2">
      <c r="A1" s="5" t="str">
        <f ca="1">MID(CELL("filename",$A$1),FIND("]",CELL("filename",$A$1),1)+1,1024)</f>
        <v>FAIRWAY FARMS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730</v>
      </c>
      <c r="B5" s="12" t="s">
        <v>1198</v>
      </c>
      <c r="C5" s="6">
        <v>12</v>
      </c>
      <c r="D5" s="8" t="s">
        <v>705</v>
      </c>
      <c r="E5" s="10">
        <v>44609</v>
      </c>
      <c r="F5" s="10">
        <v>44790</v>
      </c>
      <c r="G5" s="6"/>
      <c r="H5" s="6"/>
      <c r="I5" s="6"/>
      <c r="J5" s="6"/>
    </row>
    <row r="6" spans="1:10" x14ac:dyDescent="0.2">
      <c r="A6" s="6"/>
      <c r="B6" s="6"/>
      <c r="C6" s="6">
        <v>1</v>
      </c>
      <c r="D6" s="6" t="s">
        <v>19</v>
      </c>
      <c r="E6" s="10">
        <v>44609</v>
      </c>
      <c r="F6" s="10">
        <v>44790</v>
      </c>
      <c r="G6" s="6"/>
      <c r="H6" s="6"/>
      <c r="I6" s="6"/>
      <c r="J6" s="6"/>
    </row>
    <row r="7" spans="1:10" x14ac:dyDescent="0.2">
      <c r="A7" s="6"/>
      <c r="B7" s="12"/>
      <c r="C7" s="6">
        <v>1</v>
      </c>
      <c r="D7" s="8" t="s">
        <v>731</v>
      </c>
      <c r="E7" s="10">
        <v>44609</v>
      </c>
      <c r="F7" s="10">
        <v>44790</v>
      </c>
      <c r="G7" s="6"/>
      <c r="H7" s="6"/>
      <c r="I7" s="6"/>
      <c r="J7" s="6"/>
    </row>
    <row r="8" spans="1:10" x14ac:dyDescent="0.2">
      <c r="A8" s="6"/>
      <c r="B8" s="6"/>
      <c r="C8" s="6">
        <v>1</v>
      </c>
      <c r="D8" s="6" t="s">
        <v>422</v>
      </c>
      <c r="E8" s="10">
        <v>44609</v>
      </c>
      <c r="F8" s="10">
        <v>44790</v>
      </c>
      <c r="G8" s="6"/>
      <c r="H8" s="6"/>
      <c r="I8" s="6"/>
      <c r="J8" s="6"/>
    </row>
    <row r="9" spans="1:10" x14ac:dyDescent="0.2">
      <c r="A9" s="6"/>
      <c r="B9" s="6"/>
      <c r="C9" s="6">
        <v>20</v>
      </c>
      <c r="D9" s="6" t="s">
        <v>486</v>
      </c>
      <c r="E9" s="10">
        <v>44609</v>
      </c>
      <c r="F9" s="10">
        <v>44790</v>
      </c>
      <c r="G9" s="6"/>
      <c r="H9" s="6"/>
      <c r="I9" s="6"/>
      <c r="J9" s="6"/>
    </row>
    <row r="10" spans="1:10" x14ac:dyDescent="0.2">
      <c r="A10" s="6"/>
      <c r="B10" s="12"/>
      <c r="C10" s="6">
        <v>1</v>
      </c>
      <c r="D10" s="8" t="s">
        <v>10</v>
      </c>
      <c r="E10" s="10">
        <v>44609</v>
      </c>
      <c r="F10" s="10">
        <v>44790</v>
      </c>
      <c r="G10" s="6"/>
      <c r="H10" s="6"/>
      <c r="I10" s="6"/>
      <c r="J10" s="6"/>
    </row>
    <row r="11" spans="1:10" x14ac:dyDescent="0.2">
      <c r="A11" s="6"/>
      <c r="B11" s="12"/>
      <c r="C11" s="6">
        <v>1</v>
      </c>
      <c r="D11" s="8" t="s">
        <v>443</v>
      </c>
      <c r="E11" s="10">
        <v>44609</v>
      </c>
      <c r="F11" s="10">
        <v>44790</v>
      </c>
      <c r="G11" s="6"/>
      <c r="H11" s="6"/>
      <c r="I11" s="6"/>
      <c r="J11" s="6"/>
    </row>
    <row r="12" spans="1:10" x14ac:dyDescent="0.2">
      <c r="A12" s="6"/>
      <c r="B12" s="6"/>
      <c r="C12" s="6">
        <v>1</v>
      </c>
      <c r="D12" s="6" t="s">
        <v>427</v>
      </c>
      <c r="E12" s="10">
        <v>44609</v>
      </c>
      <c r="F12" s="10">
        <v>44790</v>
      </c>
      <c r="G12" s="6"/>
      <c r="H12" s="6"/>
      <c r="I12" s="6"/>
      <c r="J12" s="6"/>
    </row>
    <row r="13" spans="1:10" x14ac:dyDescent="0.2">
      <c r="A13" s="6"/>
      <c r="B13" s="12"/>
      <c r="C13" s="6">
        <v>1</v>
      </c>
      <c r="D13" s="8" t="s">
        <v>415</v>
      </c>
      <c r="E13" s="10">
        <v>44609</v>
      </c>
      <c r="F13" s="10">
        <v>44790</v>
      </c>
      <c r="G13" s="6"/>
      <c r="H13" s="6"/>
      <c r="I13" s="6"/>
      <c r="J13" s="6"/>
    </row>
    <row r="14" spans="1:10" x14ac:dyDescent="0.2">
      <c r="A14" s="6"/>
      <c r="B14" s="6"/>
      <c r="C14" s="6">
        <v>32</v>
      </c>
      <c r="D14" s="6" t="s">
        <v>82</v>
      </c>
      <c r="E14" s="10">
        <v>44609</v>
      </c>
      <c r="F14" s="10">
        <v>44790</v>
      </c>
      <c r="G14" s="6"/>
      <c r="H14" s="6"/>
      <c r="I14" s="6"/>
      <c r="J14" s="6"/>
    </row>
    <row r="15" spans="1:10" x14ac:dyDescent="0.2">
      <c r="A15" s="6"/>
      <c r="B15" s="6"/>
      <c r="C15" s="6">
        <v>32</v>
      </c>
      <c r="D15" s="6" t="s">
        <v>71</v>
      </c>
      <c r="E15" s="10">
        <v>44609</v>
      </c>
      <c r="F15" s="10">
        <v>44790</v>
      </c>
      <c r="G15" s="6"/>
      <c r="H15" s="6"/>
      <c r="I15" s="6"/>
      <c r="J15" s="6"/>
    </row>
    <row r="16" spans="1:10" x14ac:dyDescent="0.2">
      <c r="A16" s="6"/>
      <c r="B16" s="6"/>
      <c r="C16" s="6">
        <v>21</v>
      </c>
      <c r="D16" s="6" t="s">
        <v>111</v>
      </c>
      <c r="E16" s="10">
        <v>44609</v>
      </c>
      <c r="F16" s="10">
        <v>44790</v>
      </c>
      <c r="G16" s="6"/>
      <c r="H16" s="6"/>
      <c r="I16" s="6"/>
      <c r="J16" s="6"/>
    </row>
    <row r="17" spans="1:10" x14ac:dyDescent="0.2">
      <c r="A17" s="6"/>
      <c r="B17" s="6"/>
      <c r="C17" s="6">
        <v>18</v>
      </c>
      <c r="D17" s="6" t="s">
        <v>89</v>
      </c>
      <c r="E17" s="10">
        <v>44609</v>
      </c>
      <c r="F17" s="10">
        <v>44790</v>
      </c>
      <c r="G17" s="6"/>
      <c r="H17" s="6"/>
      <c r="I17" s="6"/>
      <c r="J17" s="6"/>
    </row>
    <row r="18" spans="1:10" x14ac:dyDescent="0.2">
      <c r="A18" s="6"/>
      <c r="B18" s="6"/>
      <c r="C18" s="6">
        <v>1400</v>
      </c>
      <c r="D18" s="6" t="s">
        <v>682</v>
      </c>
      <c r="E18" s="10">
        <v>44609</v>
      </c>
      <c r="F18" s="10">
        <v>44790</v>
      </c>
      <c r="G18" s="6"/>
      <c r="H18" s="6"/>
      <c r="I18" s="6"/>
      <c r="J18" s="6"/>
    </row>
    <row r="19" spans="1:10" x14ac:dyDescent="0.2">
      <c r="A19" s="19"/>
      <c r="B19" s="19"/>
      <c r="C19" s="19"/>
      <c r="D19" s="19"/>
      <c r="E19" s="19"/>
      <c r="F19" s="19"/>
      <c r="G19" s="19"/>
      <c r="H19" s="19"/>
      <c r="I19" s="19"/>
      <c r="J19" s="19"/>
    </row>
    <row r="20" spans="1:10" x14ac:dyDescent="0.2">
      <c r="A20" s="8" t="s">
        <v>730</v>
      </c>
      <c r="B20" s="8" t="s">
        <v>1208</v>
      </c>
      <c r="C20" s="6">
        <v>1400</v>
      </c>
      <c r="D20" s="8" t="s">
        <v>485</v>
      </c>
      <c r="E20" s="10">
        <v>44617</v>
      </c>
      <c r="F20" s="10">
        <v>44798</v>
      </c>
      <c r="G20" s="6"/>
      <c r="H20" s="6"/>
      <c r="I20" s="6"/>
      <c r="J20" s="6"/>
    </row>
    <row r="21" spans="1:10" x14ac:dyDescent="0.2">
      <c r="A21" s="6"/>
      <c r="B21" s="6"/>
      <c r="C21" s="6">
        <v>3</v>
      </c>
      <c r="D21" s="8" t="s">
        <v>83</v>
      </c>
      <c r="E21" s="10">
        <v>44617</v>
      </c>
      <c r="F21" s="10">
        <v>44798</v>
      </c>
      <c r="G21" s="6"/>
      <c r="H21" s="6"/>
      <c r="I21" s="6"/>
      <c r="J21" s="6"/>
    </row>
    <row r="22" spans="1:10" x14ac:dyDescent="0.2">
      <c r="A22" s="6"/>
      <c r="B22" s="6"/>
      <c r="C22" s="6">
        <v>3</v>
      </c>
      <c r="D22" s="8" t="s">
        <v>71</v>
      </c>
      <c r="E22" s="10">
        <v>44617</v>
      </c>
      <c r="F22" s="10">
        <v>44798</v>
      </c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10"/>
      <c r="F30" s="10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10"/>
      <c r="F31" s="10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10"/>
      <c r="F32" s="10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10"/>
      <c r="F33" s="10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10"/>
      <c r="F34" s="10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10"/>
      <c r="F36" s="10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10"/>
      <c r="F37" s="10"/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10"/>
      <c r="F38" s="10"/>
      <c r="G38" s="6"/>
      <c r="H38" s="6"/>
      <c r="I38" s="6"/>
      <c r="J38" s="6"/>
    </row>
    <row r="39" spans="1:10" x14ac:dyDescent="0.2">
      <c r="A39" s="6"/>
      <c r="B39" s="6"/>
      <c r="C39" s="6"/>
      <c r="D39" s="6"/>
      <c r="E39" s="10"/>
      <c r="F39" s="10"/>
      <c r="G39" s="6"/>
      <c r="H39" s="6"/>
      <c r="I39" s="6"/>
      <c r="J39" s="6"/>
    </row>
    <row r="40" spans="1:10" x14ac:dyDescent="0.2">
      <c r="A40" s="6"/>
      <c r="B40" s="6"/>
      <c r="C40" s="6"/>
      <c r="D40" s="6"/>
      <c r="E40" s="10"/>
      <c r="F40" s="10"/>
      <c r="G40" s="6"/>
      <c r="H40" s="6"/>
      <c r="I40" s="6"/>
      <c r="J40" s="6"/>
    </row>
    <row r="41" spans="1:10" x14ac:dyDescent="0.2">
      <c r="A41" s="6"/>
      <c r="B41" s="6"/>
      <c r="C41" s="6"/>
      <c r="D41" s="6"/>
      <c r="E41" s="10"/>
      <c r="F41" s="10"/>
      <c r="G41" s="6"/>
      <c r="H41" s="6"/>
      <c r="I41" s="6"/>
      <c r="J41" s="6"/>
    </row>
    <row r="42" spans="1:10" x14ac:dyDescent="0.2">
      <c r="A42" s="6"/>
      <c r="B42" s="6"/>
      <c r="C42" s="6"/>
      <c r="D42" s="6"/>
      <c r="E42" s="10"/>
      <c r="F42" s="10"/>
      <c r="G42" s="6"/>
      <c r="H42" s="6"/>
      <c r="I42" s="6"/>
      <c r="J42" s="6"/>
    </row>
    <row r="43" spans="1:10" x14ac:dyDescent="0.2">
      <c r="A43" s="6"/>
      <c r="B43" s="6"/>
      <c r="C43" s="6"/>
      <c r="D43" s="6"/>
      <c r="E43" s="10"/>
      <c r="F43" s="10"/>
      <c r="G43" s="6"/>
      <c r="H43" s="6"/>
      <c r="I43" s="6"/>
      <c r="J43" s="6"/>
    </row>
    <row r="44" spans="1:10" x14ac:dyDescent="0.2">
      <c r="A44" s="6"/>
      <c r="B44" s="6"/>
      <c r="C44" s="6"/>
      <c r="D44" s="6"/>
      <c r="E44" s="10"/>
      <c r="F44" s="10"/>
      <c r="G44" s="6"/>
      <c r="H44" s="6"/>
      <c r="I44" s="6"/>
      <c r="J44" s="6"/>
    </row>
    <row r="45" spans="1:10" x14ac:dyDescent="0.2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">
      <c r="A46" s="6"/>
      <c r="B46" s="6"/>
      <c r="C46" s="6"/>
      <c r="D46" s="6"/>
      <c r="E46" s="10"/>
      <c r="F46" s="10"/>
      <c r="G46" s="6"/>
      <c r="H46" s="6"/>
      <c r="I46" s="6"/>
      <c r="J46" s="6"/>
    </row>
    <row r="47" spans="1:10" x14ac:dyDescent="0.2">
      <c r="A47" s="6"/>
      <c r="B47" s="6"/>
      <c r="C47" s="6"/>
      <c r="D47" s="6"/>
      <c r="E47" s="10"/>
      <c r="F47" s="10"/>
      <c r="G47" s="6"/>
      <c r="H47" s="6"/>
      <c r="I47" s="6"/>
      <c r="J47" s="6"/>
    </row>
    <row r="48" spans="1:10" x14ac:dyDescent="0.2">
      <c r="A48" s="6"/>
      <c r="B48" s="6"/>
      <c r="C48" s="6"/>
      <c r="D48" s="6"/>
      <c r="E48" s="10"/>
      <c r="F48" s="10"/>
      <c r="G48" s="6"/>
      <c r="H48" s="6"/>
      <c r="I48" s="6"/>
      <c r="J48" s="6"/>
    </row>
    <row r="49" spans="1:10" x14ac:dyDescent="0.2">
      <c r="A49" s="6"/>
      <c r="B49" s="6"/>
      <c r="C49" s="6"/>
      <c r="D49" s="6"/>
      <c r="E49" s="10"/>
      <c r="F49" s="10"/>
      <c r="G49" s="6"/>
      <c r="H49" s="6"/>
      <c r="I49" s="6"/>
      <c r="J49" s="6"/>
    </row>
    <row r="50" spans="1:10" x14ac:dyDescent="0.2">
      <c r="A50" s="6"/>
      <c r="B50" s="6"/>
      <c r="C50" s="6"/>
      <c r="D50" s="6"/>
      <c r="E50" s="10"/>
      <c r="F50" s="10"/>
      <c r="G50" s="6"/>
      <c r="H50" s="6"/>
      <c r="I50" s="6"/>
      <c r="J50" s="6"/>
    </row>
    <row r="51" spans="1:10" x14ac:dyDescent="0.2">
      <c r="A51" s="6"/>
      <c r="B51" s="6"/>
      <c r="C51" s="6"/>
      <c r="D51" s="6"/>
      <c r="E51" s="10"/>
      <c r="F51" s="10"/>
      <c r="G51" s="6"/>
      <c r="H51" s="6"/>
      <c r="I51" s="6"/>
      <c r="J51" s="6"/>
    </row>
    <row r="52" spans="1:10" x14ac:dyDescent="0.2">
      <c r="A52" s="6"/>
      <c r="B52" s="6"/>
      <c r="C52" s="6"/>
      <c r="D52" s="6"/>
      <c r="E52" s="10"/>
      <c r="F52" s="10"/>
      <c r="G52" s="6"/>
      <c r="H52" s="6"/>
      <c r="I52" s="6"/>
      <c r="J52" s="6"/>
    </row>
    <row r="53" spans="1:10" x14ac:dyDescent="0.2">
      <c r="A53" s="6"/>
      <c r="B53" s="6"/>
      <c r="C53" s="6"/>
      <c r="D53" s="6"/>
      <c r="E53" s="10"/>
      <c r="F53" s="10"/>
      <c r="G53" s="6"/>
      <c r="H53" s="6"/>
      <c r="I53" s="6"/>
      <c r="J53" s="6"/>
    </row>
    <row r="54" spans="1:10" x14ac:dyDescent="0.2">
      <c r="A54" s="6"/>
      <c r="B54" s="6"/>
      <c r="C54" s="6"/>
      <c r="D54" s="6"/>
      <c r="E54" s="10"/>
      <c r="F54" s="10"/>
      <c r="G54" s="6"/>
      <c r="H54" s="6"/>
      <c r="I54" s="6"/>
      <c r="J54" s="6"/>
    </row>
    <row r="55" spans="1:10" x14ac:dyDescent="0.2">
      <c r="A55" s="6"/>
      <c r="B55" s="6"/>
      <c r="C55" s="6"/>
      <c r="D55" s="6"/>
      <c r="E55" s="10"/>
      <c r="F55" s="10"/>
      <c r="G55" s="6"/>
      <c r="H55" s="6"/>
      <c r="I55" s="6"/>
      <c r="J55" s="6"/>
    </row>
    <row r="56" spans="1:10" x14ac:dyDescent="0.2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x14ac:dyDescent="0.2">
      <c r="A57" s="6"/>
      <c r="B57" s="6"/>
      <c r="C57" s="6"/>
      <c r="D57" s="6"/>
      <c r="E57" s="10"/>
      <c r="F57" s="10"/>
      <c r="G57" s="6"/>
      <c r="H57" s="6"/>
      <c r="I57" s="6"/>
      <c r="J57" s="6"/>
    </row>
    <row r="58" spans="1:10" x14ac:dyDescent="0.2">
      <c r="A58" s="6"/>
      <c r="B58" s="6"/>
      <c r="C58" s="6"/>
      <c r="D58" s="6"/>
      <c r="E58" s="10"/>
      <c r="F58" s="10"/>
      <c r="G58" s="6"/>
      <c r="H58" s="6"/>
      <c r="I58" s="6"/>
      <c r="J58" s="6"/>
    </row>
    <row r="59" spans="1:10" x14ac:dyDescent="0.2">
      <c r="A59" s="6"/>
      <c r="B59" s="6"/>
      <c r="C59" s="6"/>
      <c r="D59" s="6"/>
      <c r="E59" s="10"/>
      <c r="F59" s="10"/>
      <c r="G59" s="6"/>
      <c r="H59" s="6"/>
      <c r="I59" s="6"/>
      <c r="J59" s="6"/>
    </row>
    <row r="60" spans="1:10" x14ac:dyDescent="0.2">
      <c r="A60" s="6"/>
      <c r="B60" s="6"/>
      <c r="C60" s="6"/>
      <c r="D60" s="6"/>
      <c r="E60" s="10"/>
      <c r="F60" s="10"/>
      <c r="G60" s="6"/>
      <c r="H60" s="6"/>
      <c r="I60" s="6"/>
      <c r="J60" s="6"/>
    </row>
    <row r="61" spans="1:10" x14ac:dyDescent="0.2">
      <c r="A61" s="6"/>
      <c r="B61" s="6"/>
      <c r="C61" s="6"/>
      <c r="D61" s="6"/>
      <c r="E61" s="10"/>
      <c r="F61" s="10"/>
      <c r="G61" s="6"/>
      <c r="H61" s="6"/>
      <c r="I61" s="6"/>
      <c r="J61" s="6"/>
    </row>
    <row r="62" spans="1:10" x14ac:dyDescent="0.2">
      <c r="A62" s="6"/>
      <c r="B62" s="6"/>
      <c r="C62" s="6"/>
      <c r="D62" s="6"/>
      <c r="E62" s="10"/>
      <c r="F62" s="10"/>
      <c r="G62" s="6"/>
      <c r="H62" s="6"/>
      <c r="I62" s="6"/>
      <c r="J62" s="6"/>
    </row>
    <row r="63" spans="1:10" x14ac:dyDescent="0.2">
      <c r="A63" s="6"/>
      <c r="B63" s="6"/>
      <c r="C63" s="6"/>
      <c r="D63" s="6"/>
      <c r="E63" s="10"/>
      <c r="F63" s="10"/>
      <c r="G63" s="6"/>
      <c r="H63" s="6"/>
      <c r="I63" s="6"/>
      <c r="J63" s="6"/>
    </row>
    <row r="64" spans="1:10" x14ac:dyDescent="0.2">
      <c r="A64" s="6"/>
      <c r="B64" s="6"/>
      <c r="C64" s="6"/>
      <c r="D64" s="6"/>
      <c r="E64" s="10"/>
      <c r="F64" s="10"/>
      <c r="G64" s="6"/>
      <c r="H64" s="6"/>
      <c r="I64" s="6"/>
      <c r="J64" s="6"/>
    </row>
    <row r="65" spans="1:10" x14ac:dyDescent="0.2">
      <c r="A65" s="6"/>
      <c r="B65" s="6"/>
      <c r="C65" s="6"/>
      <c r="D65" s="6"/>
      <c r="E65" s="10"/>
      <c r="F65" s="10"/>
      <c r="G65" s="6"/>
      <c r="H65" s="6"/>
      <c r="I65" s="6"/>
      <c r="J65" s="6"/>
    </row>
    <row r="66" spans="1:10" x14ac:dyDescent="0.2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x14ac:dyDescent="0.2">
      <c r="A67" s="6"/>
      <c r="B67" s="6"/>
      <c r="C67" s="6"/>
      <c r="D67" s="6"/>
      <c r="E67" s="10"/>
      <c r="F67" s="10"/>
      <c r="G67" s="6"/>
      <c r="H67" s="6"/>
      <c r="I67" s="6"/>
      <c r="J67" s="6"/>
    </row>
    <row r="68" spans="1:10" x14ac:dyDescent="0.2">
      <c r="A68" s="6"/>
      <c r="B68" s="6"/>
      <c r="C68" s="6"/>
      <c r="D68" s="6"/>
      <c r="E68" s="10"/>
      <c r="F68" s="10"/>
      <c r="G68" s="6"/>
      <c r="H68" s="6"/>
      <c r="I68" s="6"/>
      <c r="J68" s="6"/>
    </row>
    <row r="69" spans="1:10" x14ac:dyDescent="0.2">
      <c r="A69" s="6"/>
      <c r="B69" s="6"/>
      <c r="C69" s="6"/>
      <c r="D69" s="8"/>
      <c r="E69" s="10"/>
      <c r="F69" s="10"/>
      <c r="G69" s="6"/>
      <c r="H69" s="6"/>
      <c r="I69" s="6"/>
      <c r="J69" s="6"/>
    </row>
    <row r="70" spans="1:10" x14ac:dyDescent="0.2">
      <c r="A70" s="6"/>
      <c r="B70" s="6"/>
      <c r="C70" s="6"/>
      <c r="D70" s="8"/>
      <c r="E70" s="10"/>
      <c r="F70" s="10"/>
      <c r="G70" s="6"/>
      <c r="H70" s="6"/>
      <c r="I70" s="6"/>
      <c r="J70" s="6"/>
    </row>
    <row r="71" spans="1:10" x14ac:dyDescent="0.2">
      <c r="A71" s="6"/>
      <c r="B71" s="6"/>
      <c r="C71" s="6"/>
      <c r="D71" s="6"/>
      <c r="E71" s="10"/>
      <c r="F71" s="10"/>
      <c r="G71" s="6"/>
      <c r="H71" s="6"/>
      <c r="I71" s="6"/>
      <c r="J71" s="6"/>
    </row>
    <row r="72" spans="1:10" x14ac:dyDescent="0.2">
      <c r="A72" s="6"/>
      <c r="B72" s="6"/>
      <c r="C72" s="6"/>
      <c r="D72" s="6"/>
      <c r="E72" s="10"/>
      <c r="F72" s="10"/>
      <c r="G72" s="6"/>
      <c r="H72" s="6"/>
      <c r="I72" s="6"/>
      <c r="J72" s="6"/>
    </row>
    <row r="73" spans="1:10" x14ac:dyDescent="0.2">
      <c r="A73" s="6"/>
      <c r="B73" s="6"/>
      <c r="C73" s="6"/>
      <c r="D73" s="6"/>
      <c r="E73" s="10"/>
      <c r="F73" s="10"/>
      <c r="G73" s="6"/>
      <c r="H73" s="6"/>
      <c r="I73" s="6"/>
      <c r="J73" s="6"/>
    </row>
    <row r="74" spans="1:10" x14ac:dyDescent="0.2">
      <c r="A74" s="6"/>
      <c r="B74" s="6"/>
      <c r="C74" s="6"/>
      <c r="D74" s="6"/>
      <c r="E74" s="10"/>
      <c r="F74" s="10"/>
      <c r="G74" s="6"/>
      <c r="H74" s="6"/>
      <c r="I74" s="6"/>
      <c r="J74" s="6"/>
    </row>
    <row r="75" spans="1:10" x14ac:dyDescent="0.2">
      <c r="A75" s="6"/>
      <c r="B75" s="6"/>
      <c r="C75" s="6"/>
      <c r="D75" s="6"/>
      <c r="E75" s="10"/>
      <c r="F75" s="10"/>
      <c r="G75" s="6"/>
      <c r="H75" s="6"/>
      <c r="I75" s="6"/>
      <c r="J75" s="6"/>
    </row>
    <row r="76" spans="1:10" x14ac:dyDescent="0.2">
      <c r="A76" s="6"/>
      <c r="B76" s="6"/>
      <c r="C76" s="6"/>
      <c r="D76" s="6"/>
      <c r="E76" s="10"/>
      <c r="F76" s="10"/>
      <c r="G76" s="6"/>
      <c r="H76" s="6"/>
      <c r="I76" s="6"/>
      <c r="J76" s="6"/>
    </row>
    <row r="77" spans="1:10" x14ac:dyDescent="0.2">
      <c r="A77" s="6"/>
      <c r="B77" s="6"/>
      <c r="C77" s="6"/>
      <c r="D77" s="8"/>
      <c r="E77" s="10"/>
      <c r="F77" s="10"/>
      <c r="G77" s="6"/>
      <c r="H77" s="6"/>
      <c r="I77" s="6"/>
      <c r="J77" s="6"/>
    </row>
    <row r="78" spans="1:10" x14ac:dyDescent="0.2">
      <c r="A78" s="6"/>
      <c r="B78" s="6"/>
      <c r="C78" s="6"/>
      <c r="D78" s="6"/>
      <c r="E78" s="10"/>
      <c r="F78" s="10"/>
      <c r="G78" s="6"/>
      <c r="H78" s="6"/>
      <c r="I78" s="6"/>
      <c r="J78" s="6"/>
    </row>
    <row r="79" spans="1:10" x14ac:dyDescent="0.2">
      <c r="A79" s="6"/>
      <c r="B79" s="6"/>
      <c r="C79" s="6"/>
      <c r="D79" s="6"/>
      <c r="E79" s="10"/>
      <c r="F79" s="10"/>
      <c r="G79" s="6"/>
      <c r="H79" s="6"/>
      <c r="I79" s="6"/>
      <c r="J79" s="6"/>
    </row>
    <row r="80" spans="1:10" x14ac:dyDescent="0.2">
      <c r="A80" s="6"/>
      <c r="B80" s="6"/>
      <c r="C80" s="6"/>
      <c r="D80" s="8"/>
      <c r="E80" s="10"/>
      <c r="F80" s="10"/>
      <c r="G80" s="6"/>
      <c r="H80" s="6"/>
      <c r="I80" s="6"/>
      <c r="J80" s="6"/>
    </row>
    <row r="81" spans="1:10" x14ac:dyDescent="0.2">
      <c r="A81" s="6"/>
      <c r="B81" s="6"/>
      <c r="C81" s="6"/>
      <c r="D81" s="6"/>
      <c r="E81" s="10"/>
      <c r="F81" s="10"/>
      <c r="G81" s="6"/>
      <c r="H81" s="6"/>
      <c r="I81" s="6"/>
      <c r="J81" s="6"/>
    </row>
    <row r="82" spans="1:10" x14ac:dyDescent="0.2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x14ac:dyDescent="0.2">
      <c r="A83" s="6"/>
      <c r="B83" s="6"/>
      <c r="C83" s="6"/>
      <c r="D83" s="6"/>
      <c r="E83" s="10"/>
      <c r="F83" s="10"/>
      <c r="G83" s="6"/>
      <c r="H83" s="6"/>
      <c r="I83" s="6"/>
      <c r="J83" s="6"/>
    </row>
    <row r="84" spans="1:10" x14ac:dyDescent="0.2">
      <c r="A84" s="6"/>
      <c r="B84" s="6"/>
      <c r="C84" s="6"/>
      <c r="D84" s="6"/>
      <c r="E84" s="10"/>
      <c r="F84" s="10"/>
      <c r="G84" s="6"/>
      <c r="H84" s="6"/>
      <c r="I84" s="6"/>
      <c r="J84" s="6"/>
    </row>
    <row r="85" spans="1:10" x14ac:dyDescent="0.2">
      <c r="A85" s="6"/>
      <c r="B85" s="6"/>
      <c r="C85" s="6"/>
      <c r="D85" s="6"/>
      <c r="E85" s="10"/>
      <c r="F85" s="10"/>
      <c r="G85" s="6"/>
      <c r="H85" s="6"/>
      <c r="I85" s="6"/>
      <c r="J85" s="6"/>
    </row>
    <row r="86" spans="1:10" x14ac:dyDescent="0.2">
      <c r="A86" s="6"/>
      <c r="B86" s="6"/>
      <c r="C86" s="6"/>
      <c r="D86" s="6"/>
      <c r="E86" s="10"/>
      <c r="F86" s="10"/>
      <c r="G86" s="6"/>
      <c r="H86" s="6"/>
      <c r="I86" s="6"/>
      <c r="J86" s="6"/>
    </row>
    <row r="87" spans="1:10" x14ac:dyDescent="0.2">
      <c r="A87" s="6"/>
      <c r="B87" s="6"/>
      <c r="C87" s="6"/>
      <c r="D87" s="6"/>
      <c r="E87" s="10"/>
      <c r="F87" s="10"/>
      <c r="G87" s="6"/>
      <c r="H87" s="6"/>
      <c r="I87" s="6"/>
      <c r="J87" s="6"/>
    </row>
    <row r="88" spans="1:10" x14ac:dyDescent="0.2">
      <c r="A88" s="6"/>
      <c r="B88" s="6"/>
      <c r="C88" s="6"/>
      <c r="D88" s="6"/>
      <c r="E88" s="10"/>
      <c r="F88" s="10"/>
      <c r="G88" s="6"/>
      <c r="H88" s="6"/>
      <c r="I88" s="6"/>
      <c r="J88" s="6"/>
    </row>
    <row r="89" spans="1:10" x14ac:dyDescent="0.2">
      <c r="A89" s="6"/>
      <c r="B89" s="6"/>
      <c r="C89" s="6"/>
      <c r="D89" s="6"/>
      <c r="E89" s="10"/>
      <c r="F89" s="10"/>
      <c r="G89" s="6"/>
      <c r="H89" s="6"/>
      <c r="I89" s="6"/>
      <c r="J89" s="6"/>
    </row>
    <row r="90" spans="1:10" x14ac:dyDescent="0.2">
      <c r="A90" s="6"/>
      <c r="B90" s="6"/>
      <c r="C90" s="6"/>
      <c r="D90" s="6"/>
      <c r="E90" s="10"/>
      <c r="F90" s="10"/>
      <c r="G90" s="6"/>
      <c r="H90" s="6"/>
      <c r="I90" s="6"/>
      <c r="J90" s="6"/>
    </row>
    <row r="91" spans="1:10" x14ac:dyDescent="0.2">
      <c r="A91" s="6"/>
      <c r="B91" s="6"/>
      <c r="C91" s="6"/>
      <c r="D91" s="6"/>
      <c r="E91" s="10"/>
      <c r="F91" s="10"/>
      <c r="G91" s="6"/>
      <c r="H91" s="6"/>
      <c r="I91" s="6"/>
      <c r="J91" s="6"/>
    </row>
    <row r="92" spans="1:10" x14ac:dyDescent="0.2">
      <c r="A92" s="6"/>
      <c r="B92" s="6"/>
      <c r="C92" s="6"/>
      <c r="D92" s="6"/>
      <c r="E92" s="10"/>
      <c r="F92" s="10"/>
      <c r="G92" s="6"/>
      <c r="H92" s="6"/>
      <c r="I92" s="6"/>
      <c r="J92" s="6"/>
    </row>
    <row r="93" spans="1:10" x14ac:dyDescent="0.2">
      <c r="A93" s="6"/>
      <c r="B93" s="6"/>
      <c r="C93" s="6"/>
      <c r="D93" s="6"/>
      <c r="E93" s="10"/>
      <c r="F93" s="10"/>
      <c r="G93" s="6"/>
      <c r="H93" s="6"/>
      <c r="I93" s="6"/>
      <c r="J93" s="6"/>
    </row>
    <row r="94" spans="1:10" x14ac:dyDescent="0.2">
      <c r="A94" s="6"/>
      <c r="B94" s="6"/>
      <c r="C94" s="6"/>
      <c r="D94" s="6"/>
      <c r="E94" s="10"/>
      <c r="F94" s="10"/>
      <c r="G94" s="6"/>
      <c r="H94" s="6"/>
      <c r="I94" s="6"/>
      <c r="J94" s="6"/>
    </row>
    <row r="95" spans="1:10" x14ac:dyDescent="0.2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x14ac:dyDescent="0.2">
      <c r="A96" s="6"/>
      <c r="B96" s="6"/>
      <c r="C96" s="6"/>
      <c r="D96" s="6"/>
      <c r="E96" s="10"/>
      <c r="F96" s="10"/>
      <c r="G96" s="6"/>
      <c r="H96" s="6"/>
      <c r="I96" s="6"/>
      <c r="J96" s="6"/>
    </row>
    <row r="97" spans="1:10" x14ac:dyDescent="0.2">
      <c r="A97" s="6"/>
      <c r="B97" s="6"/>
      <c r="C97" s="6"/>
      <c r="D97" s="6"/>
      <c r="E97" s="10"/>
      <c r="F97" s="10"/>
      <c r="G97" s="6"/>
      <c r="H97" s="6"/>
      <c r="I97" s="6"/>
      <c r="J97" s="6"/>
    </row>
    <row r="98" spans="1:10" x14ac:dyDescent="0.2">
      <c r="A98" s="6"/>
      <c r="B98" s="6"/>
      <c r="C98" s="6"/>
      <c r="D98" s="6"/>
      <c r="E98" s="10"/>
      <c r="F98" s="10"/>
      <c r="G98" s="6"/>
      <c r="H98" s="6"/>
      <c r="I98" s="6"/>
      <c r="J98" s="6"/>
    </row>
    <row r="99" spans="1:10" x14ac:dyDescent="0.2">
      <c r="A99" s="6"/>
      <c r="B99" s="6"/>
      <c r="C99" s="6"/>
      <c r="D99" s="6"/>
      <c r="E99" s="10"/>
      <c r="F99" s="10"/>
      <c r="G99" s="6"/>
      <c r="H99" s="6"/>
      <c r="I99" s="6"/>
      <c r="J99" s="6"/>
    </row>
    <row r="100" spans="1:10" x14ac:dyDescent="0.2">
      <c r="A100" s="6"/>
      <c r="B100" s="6"/>
      <c r="C100" s="6"/>
      <c r="D100" s="6"/>
      <c r="E100" s="10"/>
      <c r="F100" s="10"/>
      <c r="G100" s="6"/>
      <c r="H100" s="6"/>
      <c r="I100" s="6"/>
      <c r="J100" s="6"/>
    </row>
    <row r="101" spans="1:10" x14ac:dyDescent="0.2">
      <c r="A101" s="6"/>
      <c r="B101" s="6"/>
      <c r="C101" s="6"/>
      <c r="D101" s="6"/>
      <c r="E101" s="10"/>
      <c r="F101" s="10"/>
      <c r="G101" s="6"/>
      <c r="H101" s="6"/>
      <c r="I101" s="6"/>
      <c r="J101" s="6"/>
    </row>
    <row r="102" spans="1:10" x14ac:dyDescent="0.2">
      <c r="A102" s="6"/>
      <c r="B102" s="6"/>
      <c r="C102" s="6"/>
      <c r="D102" s="6"/>
      <c r="E102" s="10"/>
      <c r="F102" s="10"/>
      <c r="G102" s="6"/>
      <c r="H102" s="6"/>
      <c r="I102" s="6"/>
      <c r="J102" s="6"/>
    </row>
    <row r="103" spans="1:10" x14ac:dyDescent="0.2">
      <c r="A103" s="6"/>
      <c r="B103" s="6"/>
      <c r="C103" s="6"/>
      <c r="D103" s="6"/>
      <c r="E103" s="10"/>
      <c r="F103" s="10"/>
      <c r="G103" s="6"/>
      <c r="H103" s="6"/>
      <c r="I103" s="6"/>
      <c r="J103" s="6"/>
    </row>
    <row r="104" spans="1:10" x14ac:dyDescent="0.2">
      <c r="A104" s="6"/>
      <c r="B104" s="6"/>
      <c r="C104" s="6"/>
      <c r="D104" s="6"/>
      <c r="E104" s="10"/>
      <c r="F104" s="10"/>
      <c r="G104" s="6"/>
      <c r="H104" s="6"/>
      <c r="I104" s="6"/>
      <c r="J104" s="6"/>
    </row>
    <row r="105" spans="1:10" x14ac:dyDescent="0.2">
      <c r="A105" s="6"/>
      <c r="B105" s="6"/>
      <c r="C105" s="6"/>
      <c r="D105" s="6"/>
      <c r="E105" s="10"/>
      <c r="F105" s="10"/>
      <c r="G105" s="6"/>
      <c r="H105" s="6"/>
      <c r="I105" s="6"/>
      <c r="J105" s="6"/>
    </row>
    <row r="106" spans="1:10" x14ac:dyDescent="0.2">
      <c r="A106" s="6"/>
      <c r="B106" s="6"/>
      <c r="C106" s="6"/>
      <c r="D106" s="6"/>
      <c r="E106" s="10"/>
      <c r="F106" s="10"/>
      <c r="G106" s="6"/>
      <c r="H106" s="6"/>
      <c r="I106" s="6"/>
      <c r="J106" s="6"/>
    </row>
    <row r="107" spans="1:10" x14ac:dyDescent="0.2">
      <c r="A107" s="6"/>
      <c r="B107" s="6"/>
      <c r="C107" s="6"/>
      <c r="D107" s="6"/>
      <c r="E107" s="10"/>
      <c r="F107" s="10"/>
      <c r="G107" s="6"/>
      <c r="H107" s="6"/>
      <c r="I107" s="6"/>
      <c r="J107" s="6"/>
    </row>
    <row r="108" spans="1:10" x14ac:dyDescent="0.2">
      <c r="A108" s="6"/>
      <c r="B108" s="6"/>
      <c r="C108" s="6"/>
      <c r="D108" s="6"/>
      <c r="E108" s="10"/>
      <c r="F108" s="10"/>
      <c r="G108" s="6"/>
      <c r="H108" s="6"/>
      <c r="I108" s="6"/>
      <c r="J108" s="6"/>
    </row>
    <row r="109" spans="1:10" x14ac:dyDescent="0.2">
      <c r="A109" s="6"/>
      <c r="B109" s="6"/>
      <c r="C109" s="6"/>
      <c r="D109" s="6"/>
      <c r="E109" s="10"/>
      <c r="F109" s="10"/>
      <c r="G109" s="6"/>
      <c r="H109" s="6"/>
      <c r="I109" s="6"/>
      <c r="J109" s="6"/>
    </row>
    <row r="110" spans="1:10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 spans="1:10" x14ac:dyDescent="0.2">
      <c r="A111" s="6"/>
      <c r="B111" s="6"/>
      <c r="C111" s="6"/>
      <c r="D111" s="6"/>
      <c r="E111" s="10"/>
      <c r="F111" s="10"/>
      <c r="G111" s="6"/>
      <c r="H111" s="6"/>
      <c r="I111" s="6"/>
      <c r="J111" s="6"/>
    </row>
    <row r="112" spans="1:10" x14ac:dyDescent="0.2">
      <c r="A112" s="6"/>
      <c r="B112" s="6"/>
      <c r="C112" s="6"/>
      <c r="D112" s="6"/>
      <c r="E112" s="10"/>
      <c r="F112" s="10"/>
      <c r="G112" s="6"/>
      <c r="H112" s="6"/>
      <c r="I112" s="6"/>
      <c r="J112" s="6"/>
    </row>
    <row r="113" spans="1:10" x14ac:dyDescent="0.2">
      <c r="A113" s="6"/>
      <c r="B113" s="6"/>
      <c r="C113" s="6"/>
      <c r="D113" s="6"/>
      <c r="E113" s="10"/>
      <c r="F113" s="10"/>
      <c r="G113" s="6"/>
      <c r="H113" s="6"/>
      <c r="I113" s="6"/>
      <c r="J113" s="6"/>
    </row>
    <row r="114" spans="1:10" x14ac:dyDescent="0.2">
      <c r="A114" s="6"/>
      <c r="B114" s="6"/>
      <c r="C114" s="6"/>
      <c r="D114" s="6"/>
      <c r="E114" s="10"/>
      <c r="F114" s="10"/>
      <c r="G114" s="6"/>
      <c r="H114" s="6"/>
      <c r="I114" s="6"/>
      <c r="J114" s="6"/>
    </row>
    <row r="115" spans="1:10" x14ac:dyDescent="0.2">
      <c r="A115" s="6"/>
      <c r="B115" s="6"/>
      <c r="C115" s="6"/>
      <c r="D115" s="6"/>
      <c r="E115" s="10"/>
      <c r="F115" s="10"/>
      <c r="G115" s="6"/>
      <c r="H115" s="6"/>
      <c r="I115" s="6"/>
      <c r="J115" s="6"/>
    </row>
    <row r="116" spans="1:10" x14ac:dyDescent="0.2">
      <c r="A116" s="6"/>
      <c r="B116" s="6"/>
      <c r="C116" s="6"/>
      <c r="D116" s="6"/>
      <c r="E116" s="10"/>
      <c r="F116" s="10"/>
      <c r="G116" s="6"/>
      <c r="H116" s="6"/>
      <c r="I116" s="6"/>
      <c r="J116" s="6"/>
    </row>
    <row r="117" spans="1:10" x14ac:dyDescent="0.2">
      <c r="A117" s="6"/>
      <c r="B117" s="6"/>
      <c r="C117" s="6"/>
      <c r="D117" s="6"/>
      <c r="E117" s="10"/>
      <c r="F117" s="10"/>
      <c r="G117" s="6"/>
      <c r="H117" s="6"/>
      <c r="I117" s="6"/>
      <c r="J117" s="6"/>
    </row>
    <row r="118" spans="1:10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 spans="1:10" x14ac:dyDescent="0.2">
      <c r="A119" s="6"/>
      <c r="B119" s="6"/>
      <c r="C119" s="6"/>
      <c r="D119" s="6"/>
      <c r="E119" s="10"/>
      <c r="F119" s="10"/>
      <c r="G119" s="6"/>
      <c r="H119" s="6"/>
      <c r="I119" s="6"/>
      <c r="J119" s="6"/>
    </row>
    <row r="120" spans="1:10" x14ac:dyDescent="0.2">
      <c r="A120" s="6"/>
      <c r="B120" s="6"/>
      <c r="C120" s="6"/>
      <c r="D120" s="6"/>
      <c r="E120" s="10"/>
      <c r="F120" s="10"/>
      <c r="G120" s="6"/>
      <c r="H120" s="6"/>
      <c r="I120" s="6"/>
      <c r="J120" s="6"/>
    </row>
    <row r="121" spans="1:10" x14ac:dyDescent="0.2">
      <c r="A121" s="6"/>
      <c r="B121" s="6"/>
      <c r="C121" s="6"/>
      <c r="D121" s="6"/>
      <c r="E121" s="10"/>
      <c r="F121" s="10"/>
      <c r="G121" s="6"/>
      <c r="H121" s="6"/>
      <c r="I121" s="6"/>
      <c r="J121" s="6"/>
    </row>
    <row r="122" spans="1:10" x14ac:dyDescent="0.2">
      <c r="A122" s="6"/>
      <c r="B122" s="6"/>
      <c r="C122" s="6"/>
      <c r="D122" s="6"/>
      <c r="E122" s="10"/>
      <c r="F122" s="10"/>
      <c r="G122" s="6"/>
      <c r="H122" s="6"/>
      <c r="I122" s="6"/>
      <c r="J122" s="6"/>
    </row>
    <row r="123" spans="1:10" x14ac:dyDescent="0.2">
      <c r="A123" s="6"/>
      <c r="B123" s="6"/>
      <c r="C123" s="6"/>
      <c r="D123" s="6"/>
      <c r="E123" s="10"/>
      <c r="F123" s="10"/>
      <c r="G123" s="6"/>
      <c r="H123" s="6"/>
      <c r="I123" s="6"/>
      <c r="J123" s="6"/>
    </row>
    <row r="124" spans="1:10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 spans="1:10" x14ac:dyDescent="0.2">
      <c r="A125" s="6"/>
      <c r="B125" s="6"/>
      <c r="C125" s="6"/>
      <c r="D125" s="6"/>
      <c r="E125" s="10"/>
      <c r="F125" s="10"/>
      <c r="G125" s="6"/>
      <c r="H125" s="6"/>
      <c r="I125" s="6"/>
      <c r="J125" s="6"/>
    </row>
    <row r="126" spans="1:10" x14ac:dyDescent="0.2">
      <c r="A126" s="6"/>
      <c r="B126" s="6"/>
      <c r="C126" s="6"/>
      <c r="D126" s="6"/>
      <c r="E126" s="10"/>
      <c r="F126" s="10"/>
      <c r="G126" s="6"/>
      <c r="H126" s="6"/>
      <c r="I126" s="6"/>
      <c r="J126" s="6"/>
    </row>
    <row r="127" spans="1:10" x14ac:dyDescent="0.2">
      <c r="A127" s="6"/>
      <c r="B127" s="6"/>
      <c r="C127" s="6"/>
      <c r="D127" s="6"/>
      <c r="E127" s="10"/>
      <c r="F127" s="10"/>
      <c r="G127" s="6"/>
      <c r="H127" s="6"/>
      <c r="I127" s="6"/>
      <c r="J127" s="6"/>
    </row>
    <row r="128" spans="1:10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 spans="1:10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 spans="1:10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 spans="1:10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 spans="1:10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 spans="1:10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pans="1:10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pans="1:10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 spans="1:10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 spans="1:10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 spans="1:10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 spans="1:10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</row>
  </sheetData>
  <mergeCells count="1">
    <mergeCell ref="I3:I4"/>
  </mergeCells>
  <pageMargins left="0.7" right="0.7" top="0.75" bottom="0.75" header="0.3" footer="0.3"/>
  <pageSetup scale="84" fitToHeight="6" orientation="landscape" horizontalDpi="300" r:id="rId1"/>
  <headerFooter>
    <oddFooter>&amp;R&amp;D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06CE2-0EDD-44EB-86A5-CD27B0A3DD83}">
  <sheetPr>
    <tabColor theme="0" tint="-0.34998626667073579"/>
    <pageSetUpPr fitToPage="1"/>
  </sheetPr>
  <dimension ref="A1:J139"/>
  <sheetViews>
    <sheetView workbookViewId="0"/>
  </sheetViews>
  <sheetFormatPr defaultRowHeight="12.75" x14ac:dyDescent="0.2"/>
  <cols>
    <col min="1" max="1" width="18.7109375" customWidth="1"/>
    <col min="2" max="2" width="13.7109375" bestFit="1" customWidth="1"/>
    <col min="3" max="3" width="6.5703125" customWidth="1"/>
    <col min="4" max="4" width="24" customWidth="1"/>
    <col min="5" max="5" width="13.85546875" customWidth="1"/>
    <col min="6" max="6" width="11.5703125" customWidth="1"/>
    <col min="7" max="7" width="12.28515625" customWidth="1"/>
    <col min="8" max="8" width="12" customWidth="1"/>
    <col min="9" max="9" width="14.5703125" customWidth="1"/>
    <col min="10" max="10" width="10.7109375" customWidth="1"/>
  </cols>
  <sheetData>
    <row r="1" spans="1:10" ht="15" x14ac:dyDescent="0.2">
      <c r="A1" s="5" t="str">
        <f ca="1">MID(CELL("filename",$A$1),FIND("]",CELL("filename",$A$1),1)+1,1024)</f>
        <v>Freedom Farms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8" t="s">
        <v>840</v>
      </c>
      <c r="B5" s="7" t="s">
        <v>841</v>
      </c>
      <c r="C5" s="6">
        <v>113</v>
      </c>
      <c r="D5" s="8" t="s">
        <v>676</v>
      </c>
      <c r="E5" s="10">
        <v>44328</v>
      </c>
      <c r="F5" s="10">
        <v>44389</v>
      </c>
      <c r="G5" s="6"/>
      <c r="H5" s="6"/>
      <c r="I5" s="6"/>
      <c r="J5" s="6"/>
    </row>
    <row r="6" spans="1:10" x14ac:dyDescent="0.2">
      <c r="A6" s="6"/>
      <c r="B6" s="6"/>
      <c r="C6" s="6">
        <v>2</v>
      </c>
      <c r="D6" s="8" t="s">
        <v>114</v>
      </c>
      <c r="E6" s="10">
        <v>44328</v>
      </c>
      <c r="F6" s="10">
        <v>44389</v>
      </c>
      <c r="G6" s="6"/>
      <c r="H6" s="6"/>
      <c r="I6" s="6"/>
      <c r="J6" s="6"/>
    </row>
    <row r="7" spans="1:10" x14ac:dyDescent="0.2">
      <c r="A7" s="6"/>
      <c r="B7" s="12"/>
      <c r="C7" s="6">
        <v>119</v>
      </c>
      <c r="D7" s="8" t="s">
        <v>842</v>
      </c>
      <c r="E7" s="10">
        <v>44328</v>
      </c>
      <c r="F7" s="10">
        <v>44389</v>
      </c>
      <c r="G7" s="6"/>
      <c r="H7" s="6"/>
      <c r="I7" s="6"/>
      <c r="J7" s="6"/>
    </row>
    <row r="8" spans="1:10" x14ac:dyDescent="0.2">
      <c r="A8" s="6"/>
      <c r="B8" s="6"/>
      <c r="C8" s="6">
        <v>1</v>
      </c>
      <c r="D8" s="8" t="s">
        <v>447</v>
      </c>
      <c r="E8" s="10">
        <v>44328</v>
      </c>
      <c r="F8" s="10">
        <v>44389</v>
      </c>
      <c r="G8" s="6"/>
      <c r="H8" s="6"/>
      <c r="I8" s="6"/>
      <c r="J8" s="6"/>
    </row>
    <row r="9" spans="1:10" x14ac:dyDescent="0.2">
      <c r="A9" s="6"/>
      <c r="B9" s="6"/>
      <c r="C9" s="6">
        <v>3</v>
      </c>
      <c r="D9" s="8" t="s">
        <v>844</v>
      </c>
      <c r="E9" s="10">
        <v>44328</v>
      </c>
      <c r="F9" s="10">
        <v>44389</v>
      </c>
      <c r="G9" s="6"/>
      <c r="H9" s="6"/>
      <c r="I9" s="6"/>
      <c r="J9" s="6"/>
    </row>
    <row r="10" spans="1:10" x14ac:dyDescent="0.2">
      <c r="A10" s="6"/>
      <c r="B10" s="12"/>
      <c r="C10" s="6">
        <v>1</v>
      </c>
      <c r="D10" s="8" t="s">
        <v>843</v>
      </c>
      <c r="E10" s="10">
        <v>44328</v>
      </c>
      <c r="F10" s="10">
        <v>44389</v>
      </c>
      <c r="G10" s="6"/>
      <c r="H10" s="6"/>
      <c r="I10" s="6"/>
      <c r="J10" s="6"/>
    </row>
    <row r="11" spans="1:10" x14ac:dyDescent="0.2">
      <c r="A11" s="6"/>
      <c r="B11" s="12"/>
      <c r="C11" s="6">
        <v>2</v>
      </c>
      <c r="D11" s="8" t="s">
        <v>845</v>
      </c>
      <c r="E11" s="10">
        <v>44328</v>
      </c>
      <c r="F11" s="10">
        <v>44389</v>
      </c>
      <c r="G11" s="6"/>
      <c r="H11" s="6"/>
      <c r="I11" s="6"/>
      <c r="J11" s="6"/>
    </row>
    <row r="12" spans="1:10" x14ac:dyDescent="0.2">
      <c r="A12" s="6"/>
      <c r="B12" s="6"/>
      <c r="C12" s="6">
        <v>2</v>
      </c>
      <c r="D12" s="8" t="s">
        <v>846</v>
      </c>
      <c r="E12" s="10">
        <v>44328</v>
      </c>
      <c r="F12" s="10">
        <v>44389</v>
      </c>
      <c r="G12" s="6"/>
      <c r="H12" s="6"/>
      <c r="I12" s="6"/>
      <c r="J12" s="6"/>
    </row>
    <row r="13" spans="1:10" x14ac:dyDescent="0.2">
      <c r="A13" s="6"/>
      <c r="B13" s="12"/>
      <c r="C13" s="6"/>
      <c r="D13" s="8"/>
      <c r="E13" s="10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6"/>
      <c r="E14" s="10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10"/>
      <c r="F15" s="10"/>
      <c r="G15" s="6"/>
      <c r="H15" s="6"/>
      <c r="I15" s="6"/>
      <c r="J15" s="6"/>
    </row>
    <row r="16" spans="1:10" x14ac:dyDescent="0.2">
      <c r="A16" s="6"/>
      <c r="B16" s="6"/>
      <c r="C16" s="6"/>
      <c r="D16" s="6"/>
      <c r="E16" s="10"/>
      <c r="F16" s="10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10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10"/>
      <c r="F30" s="10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10"/>
      <c r="F31" s="10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10"/>
      <c r="F32" s="10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10"/>
      <c r="F33" s="10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10"/>
      <c r="F34" s="10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10"/>
      <c r="F36" s="10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10"/>
      <c r="F37" s="10"/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10"/>
      <c r="F38" s="10"/>
      <c r="G38" s="6"/>
      <c r="H38" s="6"/>
      <c r="I38" s="6"/>
      <c r="J38" s="6"/>
    </row>
    <row r="39" spans="1:10" x14ac:dyDescent="0.2">
      <c r="A39" s="6"/>
      <c r="B39" s="6"/>
      <c r="C39" s="6"/>
      <c r="D39" s="6"/>
      <c r="E39" s="10"/>
      <c r="F39" s="10"/>
      <c r="G39" s="6"/>
      <c r="H39" s="6"/>
      <c r="I39" s="6"/>
      <c r="J39" s="6"/>
    </row>
    <row r="40" spans="1:10" x14ac:dyDescent="0.2">
      <c r="A40" s="6"/>
      <c r="B40" s="6"/>
      <c r="C40" s="6"/>
      <c r="D40" s="6"/>
      <c r="E40" s="10"/>
      <c r="F40" s="10"/>
      <c r="G40" s="6"/>
      <c r="H40" s="6"/>
      <c r="I40" s="6"/>
      <c r="J40" s="6"/>
    </row>
    <row r="41" spans="1:10" x14ac:dyDescent="0.2">
      <c r="A41" s="6"/>
      <c r="B41" s="6"/>
      <c r="C41" s="6"/>
      <c r="D41" s="6"/>
      <c r="E41" s="10"/>
      <c r="F41" s="10"/>
      <c r="G41" s="6"/>
      <c r="H41" s="6"/>
      <c r="I41" s="6"/>
      <c r="J41" s="6"/>
    </row>
    <row r="42" spans="1:10" x14ac:dyDescent="0.2">
      <c r="A42" s="6"/>
      <c r="B42" s="6"/>
      <c r="C42" s="6"/>
      <c r="D42" s="6"/>
      <c r="E42" s="10"/>
      <c r="F42" s="10"/>
      <c r="G42" s="6"/>
      <c r="H42" s="6"/>
      <c r="I42" s="6"/>
      <c r="J42" s="6"/>
    </row>
    <row r="43" spans="1:10" x14ac:dyDescent="0.2">
      <c r="A43" s="6"/>
      <c r="B43" s="6"/>
      <c r="C43" s="6"/>
      <c r="D43" s="6"/>
      <c r="E43" s="10"/>
      <c r="F43" s="10"/>
      <c r="G43" s="6"/>
      <c r="H43" s="6"/>
      <c r="I43" s="6"/>
      <c r="J43" s="6"/>
    </row>
    <row r="44" spans="1:10" x14ac:dyDescent="0.2">
      <c r="A44" s="6"/>
      <c r="B44" s="6"/>
      <c r="C44" s="6"/>
      <c r="D44" s="6"/>
      <c r="E44" s="10"/>
      <c r="F44" s="10"/>
      <c r="G44" s="6"/>
      <c r="H44" s="6"/>
      <c r="I44" s="6"/>
      <c r="J44" s="6"/>
    </row>
    <row r="45" spans="1:10" x14ac:dyDescent="0.2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">
      <c r="A46" s="6"/>
      <c r="B46" s="6"/>
      <c r="C46" s="6"/>
      <c r="D46" s="6"/>
      <c r="E46" s="10"/>
      <c r="F46" s="10"/>
      <c r="G46" s="6"/>
      <c r="H46" s="6"/>
      <c r="I46" s="6"/>
      <c r="J46" s="6"/>
    </row>
    <row r="47" spans="1:10" x14ac:dyDescent="0.2">
      <c r="A47" s="6"/>
      <c r="B47" s="6"/>
      <c r="C47" s="6"/>
      <c r="D47" s="6"/>
      <c r="E47" s="10"/>
      <c r="F47" s="10"/>
      <c r="G47" s="6"/>
      <c r="H47" s="6"/>
      <c r="I47" s="6"/>
      <c r="J47" s="6"/>
    </row>
    <row r="48" spans="1:10" x14ac:dyDescent="0.2">
      <c r="A48" s="6"/>
      <c r="B48" s="6"/>
      <c r="C48" s="6"/>
      <c r="D48" s="6"/>
      <c r="E48" s="10"/>
      <c r="F48" s="10"/>
      <c r="G48" s="6"/>
      <c r="H48" s="6"/>
      <c r="I48" s="6"/>
      <c r="J48" s="6"/>
    </row>
    <row r="49" spans="1:10" x14ac:dyDescent="0.2">
      <c r="A49" s="6"/>
      <c r="B49" s="6"/>
      <c r="C49" s="6"/>
      <c r="D49" s="6"/>
      <c r="E49" s="10"/>
      <c r="F49" s="10"/>
      <c r="G49" s="6"/>
      <c r="H49" s="6"/>
      <c r="I49" s="6"/>
      <c r="J49" s="6"/>
    </row>
    <row r="50" spans="1:10" x14ac:dyDescent="0.2">
      <c r="A50" s="6"/>
      <c r="B50" s="6"/>
      <c r="C50" s="6"/>
      <c r="D50" s="6"/>
      <c r="E50" s="10"/>
      <c r="F50" s="10"/>
      <c r="G50" s="6"/>
      <c r="H50" s="6"/>
      <c r="I50" s="6"/>
      <c r="J50" s="6"/>
    </row>
    <row r="51" spans="1:10" x14ac:dyDescent="0.2">
      <c r="A51" s="6"/>
      <c r="B51" s="6"/>
      <c r="C51" s="6"/>
      <c r="D51" s="6"/>
      <c r="E51" s="10"/>
      <c r="F51" s="10"/>
      <c r="G51" s="6"/>
      <c r="H51" s="6"/>
      <c r="I51" s="6"/>
      <c r="J51" s="6"/>
    </row>
    <row r="52" spans="1:10" x14ac:dyDescent="0.2">
      <c r="A52" s="6"/>
      <c r="B52" s="6"/>
      <c r="C52" s="6"/>
      <c r="D52" s="6"/>
      <c r="E52" s="10"/>
      <c r="F52" s="10"/>
      <c r="G52" s="6"/>
      <c r="H52" s="6"/>
      <c r="I52" s="6"/>
      <c r="J52" s="6"/>
    </row>
    <row r="53" spans="1:10" x14ac:dyDescent="0.2">
      <c r="A53" s="6"/>
      <c r="B53" s="6"/>
      <c r="C53" s="6"/>
      <c r="D53" s="6"/>
      <c r="E53" s="10"/>
      <c r="F53" s="10"/>
      <c r="G53" s="6"/>
      <c r="H53" s="6"/>
      <c r="I53" s="6"/>
      <c r="J53" s="6"/>
    </row>
    <row r="54" spans="1:10" x14ac:dyDescent="0.2">
      <c r="A54" s="6"/>
      <c r="B54" s="6"/>
      <c r="C54" s="6"/>
      <c r="D54" s="6"/>
      <c r="E54" s="10"/>
      <c r="F54" s="10"/>
      <c r="G54" s="6"/>
      <c r="H54" s="6"/>
      <c r="I54" s="6"/>
      <c r="J54" s="6"/>
    </row>
    <row r="55" spans="1:10" x14ac:dyDescent="0.2">
      <c r="A55" s="6"/>
      <c r="B55" s="6"/>
      <c r="C55" s="6"/>
      <c r="D55" s="6"/>
      <c r="E55" s="10"/>
      <c r="F55" s="10"/>
      <c r="G55" s="6"/>
      <c r="H55" s="6"/>
      <c r="I55" s="6"/>
      <c r="J55" s="6"/>
    </row>
    <row r="56" spans="1:10" x14ac:dyDescent="0.2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x14ac:dyDescent="0.2">
      <c r="A57" s="6"/>
      <c r="B57" s="6"/>
      <c r="C57" s="6"/>
      <c r="D57" s="6"/>
      <c r="E57" s="10"/>
      <c r="F57" s="10"/>
      <c r="G57" s="6"/>
      <c r="H57" s="6"/>
      <c r="I57" s="6"/>
      <c r="J57" s="6"/>
    </row>
    <row r="58" spans="1:10" x14ac:dyDescent="0.2">
      <c r="A58" s="6"/>
      <c r="B58" s="6"/>
      <c r="C58" s="6"/>
      <c r="D58" s="6"/>
      <c r="E58" s="10"/>
      <c r="F58" s="10"/>
      <c r="G58" s="6"/>
      <c r="H58" s="6"/>
      <c r="I58" s="6"/>
      <c r="J58" s="6"/>
    </row>
    <row r="59" spans="1:10" x14ac:dyDescent="0.2">
      <c r="A59" s="6"/>
      <c r="B59" s="6"/>
      <c r="C59" s="6"/>
      <c r="D59" s="6"/>
      <c r="E59" s="10"/>
      <c r="F59" s="10"/>
      <c r="G59" s="6"/>
      <c r="H59" s="6"/>
      <c r="I59" s="6"/>
      <c r="J59" s="6"/>
    </row>
    <row r="60" spans="1:10" x14ac:dyDescent="0.2">
      <c r="A60" s="6"/>
      <c r="B60" s="6"/>
      <c r="C60" s="6"/>
      <c r="D60" s="6"/>
      <c r="E60" s="10"/>
      <c r="F60" s="10"/>
      <c r="G60" s="6"/>
      <c r="H60" s="6"/>
      <c r="I60" s="6"/>
      <c r="J60" s="6"/>
    </row>
    <row r="61" spans="1:10" x14ac:dyDescent="0.2">
      <c r="A61" s="6"/>
      <c r="B61" s="6"/>
      <c r="C61" s="6"/>
      <c r="D61" s="6"/>
      <c r="E61" s="10"/>
      <c r="F61" s="10"/>
      <c r="G61" s="6"/>
      <c r="H61" s="6"/>
      <c r="I61" s="6"/>
      <c r="J61" s="6"/>
    </row>
    <row r="62" spans="1:10" x14ac:dyDescent="0.2">
      <c r="A62" s="6"/>
      <c r="B62" s="6"/>
      <c r="C62" s="6"/>
      <c r="D62" s="6"/>
      <c r="E62" s="10"/>
      <c r="F62" s="10"/>
      <c r="G62" s="6"/>
      <c r="H62" s="6"/>
      <c r="I62" s="6"/>
      <c r="J62" s="6"/>
    </row>
    <row r="63" spans="1:10" x14ac:dyDescent="0.2">
      <c r="A63" s="6"/>
      <c r="B63" s="6"/>
      <c r="C63" s="6"/>
      <c r="D63" s="6"/>
      <c r="E63" s="10"/>
      <c r="F63" s="10"/>
      <c r="G63" s="6"/>
      <c r="H63" s="6"/>
      <c r="I63" s="6"/>
      <c r="J63" s="6"/>
    </row>
    <row r="64" spans="1:10" x14ac:dyDescent="0.2">
      <c r="A64" s="6"/>
      <c r="B64" s="6"/>
      <c r="C64" s="6"/>
      <c r="D64" s="6"/>
      <c r="E64" s="10"/>
      <c r="F64" s="10"/>
      <c r="G64" s="6"/>
      <c r="H64" s="6"/>
      <c r="I64" s="6"/>
      <c r="J64" s="6"/>
    </row>
    <row r="65" spans="1:10" x14ac:dyDescent="0.2">
      <c r="A65" s="6"/>
      <c r="B65" s="6"/>
      <c r="C65" s="6"/>
      <c r="D65" s="6"/>
      <c r="E65" s="10"/>
      <c r="F65" s="10"/>
      <c r="G65" s="6"/>
      <c r="H65" s="6"/>
      <c r="I65" s="6"/>
      <c r="J65" s="6"/>
    </row>
    <row r="66" spans="1:10" x14ac:dyDescent="0.2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x14ac:dyDescent="0.2">
      <c r="A67" s="6"/>
      <c r="B67" s="6"/>
      <c r="C67" s="6"/>
      <c r="D67" s="6"/>
      <c r="E67" s="10"/>
      <c r="F67" s="10"/>
      <c r="G67" s="6"/>
      <c r="H67" s="6"/>
      <c r="I67" s="6"/>
      <c r="J67" s="6"/>
    </row>
    <row r="68" spans="1:10" x14ac:dyDescent="0.2">
      <c r="A68" s="6"/>
      <c r="B68" s="6"/>
      <c r="C68" s="6"/>
      <c r="D68" s="6"/>
      <c r="E68" s="10"/>
      <c r="F68" s="10"/>
      <c r="G68" s="6"/>
      <c r="H68" s="6"/>
      <c r="I68" s="6"/>
      <c r="J68" s="6"/>
    </row>
    <row r="69" spans="1:10" x14ac:dyDescent="0.2">
      <c r="A69" s="6"/>
      <c r="B69" s="6"/>
      <c r="C69" s="6"/>
      <c r="D69" s="8"/>
      <c r="E69" s="10"/>
      <c r="F69" s="10"/>
      <c r="G69" s="6"/>
      <c r="H69" s="6"/>
      <c r="I69" s="6"/>
      <c r="J69" s="6"/>
    </row>
    <row r="70" spans="1:10" x14ac:dyDescent="0.2">
      <c r="A70" s="6"/>
      <c r="B70" s="6"/>
      <c r="C70" s="6"/>
      <c r="D70" s="8"/>
      <c r="E70" s="10"/>
      <c r="F70" s="10"/>
      <c r="G70" s="6"/>
      <c r="H70" s="6"/>
      <c r="I70" s="6"/>
      <c r="J70" s="6"/>
    </row>
    <row r="71" spans="1:10" x14ac:dyDescent="0.2">
      <c r="A71" s="6"/>
      <c r="B71" s="6"/>
      <c r="C71" s="6"/>
      <c r="D71" s="6"/>
      <c r="E71" s="10"/>
      <c r="F71" s="10"/>
      <c r="G71" s="6"/>
      <c r="H71" s="6"/>
      <c r="I71" s="6"/>
      <c r="J71" s="6"/>
    </row>
    <row r="72" spans="1:10" x14ac:dyDescent="0.2">
      <c r="A72" s="6"/>
      <c r="B72" s="6"/>
      <c r="C72" s="6"/>
      <c r="D72" s="6"/>
      <c r="E72" s="10"/>
      <c r="F72" s="10"/>
      <c r="G72" s="6"/>
      <c r="H72" s="6"/>
      <c r="I72" s="6"/>
      <c r="J72" s="6"/>
    </row>
    <row r="73" spans="1:10" x14ac:dyDescent="0.2">
      <c r="A73" s="6"/>
      <c r="B73" s="6"/>
      <c r="C73" s="6"/>
      <c r="D73" s="6"/>
      <c r="E73" s="10"/>
      <c r="F73" s="10"/>
      <c r="G73" s="6"/>
      <c r="H73" s="6"/>
      <c r="I73" s="6"/>
      <c r="J73" s="6"/>
    </row>
    <row r="74" spans="1:10" x14ac:dyDescent="0.2">
      <c r="A74" s="6"/>
      <c r="B74" s="6"/>
      <c r="C74" s="6"/>
      <c r="D74" s="6"/>
      <c r="E74" s="10"/>
      <c r="F74" s="10"/>
      <c r="G74" s="6"/>
      <c r="H74" s="6"/>
      <c r="I74" s="6"/>
      <c r="J74" s="6"/>
    </row>
    <row r="75" spans="1:10" x14ac:dyDescent="0.2">
      <c r="A75" s="6"/>
      <c r="B75" s="6"/>
      <c r="C75" s="6"/>
      <c r="D75" s="6"/>
      <c r="E75" s="10"/>
      <c r="F75" s="10"/>
      <c r="G75" s="6"/>
      <c r="H75" s="6"/>
      <c r="I75" s="6"/>
      <c r="J75" s="6"/>
    </row>
    <row r="76" spans="1:10" x14ac:dyDescent="0.2">
      <c r="A76" s="6"/>
      <c r="B76" s="6"/>
      <c r="C76" s="6"/>
      <c r="D76" s="6"/>
      <c r="E76" s="10"/>
      <c r="F76" s="10"/>
      <c r="G76" s="6"/>
      <c r="H76" s="6"/>
      <c r="I76" s="6"/>
      <c r="J76" s="6"/>
    </row>
    <row r="77" spans="1:10" x14ac:dyDescent="0.2">
      <c r="A77" s="6"/>
      <c r="B77" s="6"/>
      <c r="C77" s="6"/>
      <c r="D77" s="8"/>
      <c r="E77" s="10"/>
      <c r="F77" s="10"/>
      <c r="G77" s="6"/>
      <c r="H77" s="6"/>
      <c r="I77" s="6"/>
      <c r="J77" s="6"/>
    </row>
    <row r="78" spans="1:10" x14ac:dyDescent="0.2">
      <c r="A78" s="6"/>
      <c r="B78" s="6"/>
      <c r="C78" s="6"/>
      <c r="D78" s="6"/>
      <c r="E78" s="10"/>
      <c r="F78" s="10"/>
      <c r="G78" s="6"/>
      <c r="H78" s="6"/>
      <c r="I78" s="6"/>
      <c r="J78" s="6"/>
    </row>
    <row r="79" spans="1:10" x14ac:dyDescent="0.2">
      <c r="A79" s="6"/>
      <c r="B79" s="6"/>
      <c r="C79" s="6"/>
      <c r="D79" s="6"/>
      <c r="E79" s="10"/>
      <c r="F79" s="10"/>
      <c r="G79" s="6"/>
      <c r="H79" s="6"/>
      <c r="I79" s="6"/>
      <c r="J79" s="6"/>
    </row>
    <row r="80" spans="1:10" x14ac:dyDescent="0.2">
      <c r="A80" s="6"/>
      <c r="B80" s="6"/>
      <c r="C80" s="6"/>
      <c r="D80" s="8"/>
      <c r="E80" s="10"/>
      <c r="F80" s="10"/>
      <c r="G80" s="6"/>
      <c r="H80" s="6"/>
      <c r="I80" s="6"/>
      <c r="J80" s="6"/>
    </row>
    <row r="81" spans="1:10" x14ac:dyDescent="0.2">
      <c r="A81" s="6"/>
      <c r="B81" s="6"/>
      <c r="C81" s="6"/>
      <c r="D81" s="6"/>
      <c r="E81" s="10"/>
      <c r="F81" s="10"/>
      <c r="G81" s="6"/>
      <c r="H81" s="6"/>
      <c r="I81" s="6"/>
      <c r="J81" s="6"/>
    </row>
    <row r="82" spans="1:10" x14ac:dyDescent="0.2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x14ac:dyDescent="0.2">
      <c r="A83" s="6"/>
      <c r="B83" s="6"/>
      <c r="C83" s="6"/>
      <c r="D83" s="6"/>
      <c r="E83" s="10"/>
      <c r="F83" s="10"/>
      <c r="G83" s="6"/>
      <c r="H83" s="6"/>
      <c r="I83" s="6"/>
      <c r="J83" s="6"/>
    </row>
    <row r="84" spans="1:10" x14ac:dyDescent="0.2">
      <c r="A84" s="6"/>
      <c r="B84" s="6"/>
      <c r="C84" s="6"/>
      <c r="D84" s="6"/>
      <c r="E84" s="10"/>
      <c r="F84" s="10"/>
      <c r="G84" s="6"/>
      <c r="H84" s="6"/>
      <c r="I84" s="6"/>
      <c r="J84" s="6"/>
    </row>
    <row r="85" spans="1:10" x14ac:dyDescent="0.2">
      <c r="A85" s="6"/>
      <c r="B85" s="6"/>
      <c r="C85" s="6"/>
      <c r="D85" s="6"/>
      <c r="E85" s="10"/>
      <c r="F85" s="10"/>
      <c r="G85" s="6"/>
      <c r="H85" s="6"/>
      <c r="I85" s="6"/>
      <c r="J85" s="6"/>
    </row>
    <row r="86" spans="1:10" x14ac:dyDescent="0.2">
      <c r="A86" s="6"/>
      <c r="B86" s="6"/>
      <c r="C86" s="6"/>
      <c r="D86" s="6"/>
      <c r="E86" s="10"/>
      <c r="F86" s="10"/>
      <c r="G86" s="6"/>
      <c r="H86" s="6"/>
      <c r="I86" s="6"/>
      <c r="J86" s="6"/>
    </row>
    <row r="87" spans="1:10" x14ac:dyDescent="0.2">
      <c r="A87" s="6"/>
      <c r="B87" s="6"/>
      <c r="C87" s="6"/>
      <c r="D87" s="6"/>
      <c r="E87" s="10"/>
      <c r="F87" s="10"/>
      <c r="G87" s="6"/>
      <c r="H87" s="6"/>
      <c r="I87" s="6"/>
      <c r="J87" s="6"/>
    </row>
    <row r="88" spans="1:10" x14ac:dyDescent="0.2">
      <c r="A88" s="6"/>
      <c r="B88" s="6"/>
      <c r="C88" s="6"/>
      <c r="D88" s="6"/>
      <c r="E88" s="10"/>
      <c r="F88" s="10"/>
      <c r="G88" s="6"/>
      <c r="H88" s="6"/>
      <c r="I88" s="6"/>
      <c r="J88" s="6"/>
    </row>
    <row r="89" spans="1:10" x14ac:dyDescent="0.2">
      <c r="A89" s="6"/>
      <c r="B89" s="6"/>
      <c r="C89" s="6"/>
      <c r="D89" s="6"/>
      <c r="E89" s="10"/>
      <c r="F89" s="10"/>
      <c r="G89" s="6"/>
      <c r="H89" s="6"/>
      <c r="I89" s="6"/>
      <c r="J89" s="6"/>
    </row>
    <row r="90" spans="1:10" x14ac:dyDescent="0.2">
      <c r="A90" s="6"/>
      <c r="B90" s="6"/>
      <c r="C90" s="6"/>
      <c r="D90" s="6"/>
      <c r="E90" s="10"/>
      <c r="F90" s="10"/>
      <c r="G90" s="6"/>
      <c r="H90" s="6"/>
      <c r="I90" s="6"/>
      <c r="J90" s="6"/>
    </row>
    <row r="91" spans="1:10" x14ac:dyDescent="0.2">
      <c r="A91" s="6"/>
      <c r="B91" s="6"/>
      <c r="C91" s="6"/>
      <c r="D91" s="6"/>
      <c r="E91" s="10"/>
      <c r="F91" s="10"/>
      <c r="G91" s="6"/>
      <c r="H91" s="6"/>
      <c r="I91" s="6"/>
      <c r="J91" s="6"/>
    </row>
    <row r="92" spans="1:10" x14ac:dyDescent="0.2">
      <c r="A92" s="6"/>
      <c r="B92" s="6"/>
      <c r="C92" s="6"/>
      <c r="D92" s="6"/>
      <c r="E92" s="10"/>
      <c r="F92" s="10"/>
      <c r="G92" s="6"/>
      <c r="H92" s="6"/>
      <c r="I92" s="6"/>
      <c r="J92" s="6"/>
    </row>
    <row r="93" spans="1:10" x14ac:dyDescent="0.2">
      <c r="A93" s="6"/>
      <c r="B93" s="6"/>
      <c r="C93" s="6"/>
      <c r="D93" s="6"/>
      <c r="E93" s="10"/>
      <c r="F93" s="10"/>
      <c r="G93" s="6"/>
      <c r="H93" s="6"/>
      <c r="I93" s="6"/>
      <c r="J93" s="6"/>
    </row>
    <row r="94" spans="1:10" x14ac:dyDescent="0.2">
      <c r="A94" s="6"/>
      <c r="B94" s="6"/>
      <c r="C94" s="6"/>
      <c r="D94" s="6"/>
      <c r="E94" s="10"/>
      <c r="F94" s="10"/>
      <c r="G94" s="6"/>
      <c r="H94" s="6"/>
      <c r="I94" s="6"/>
      <c r="J94" s="6"/>
    </row>
    <row r="95" spans="1:10" x14ac:dyDescent="0.2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x14ac:dyDescent="0.2">
      <c r="A96" s="6"/>
      <c r="B96" s="6"/>
      <c r="C96" s="6"/>
      <c r="D96" s="6"/>
      <c r="E96" s="10"/>
      <c r="F96" s="10"/>
      <c r="G96" s="6"/>
      <c r="H96" s="6"/>
      <c r="I96" s="6"/>
      <c r="J96" s="6"/>
    </row>
    <row r="97" spans="1:10" x14ac:dyDescent="0.2">
      <c r="A97" s="6"/>
      <c r="B97" s="6"/>
      <c r="C97" s="6"/>
      <c r="D97" s="6"/>
      <c r="E97" s="10"/>
      <c r="F97" s="10"/>
      <c r="G97" s="6"/>
      <c r="H97" s="6"/>
      <c r="I97" s="6"/>
      <c r="J97" s="6"/>
    </row>
    <row r="98" spans="1:10" x14ac:dyDescent="0.2">
      <c r="A98" s="6"/>
      <c r="B98" s="6"/>
      <c r="C98" s="6"/>
      <c r="D98" s="6"/>
      <c r="E98" s="10"/>
      <c r="F98" s="10"/>
      <c r="G98" s="6"/>
      <c r="H98" s="6"/>
      <c r="I98" s="6"/>
      <c r="J98" s="6"/>
    </row>
    <row r="99" spans="1:10" x14ac:dyDescent="0.2">
      <c r="A99" s="6"/>
      <c r="B99" s="6"/>
      <c r="C99" s="6"/>
      <c r="D99" s="6"/>
      <c r="E99" s="10"/>
      <c r="F99" s="10"/>
      <c r="G99" s="6"/>
      <c r="H99" s="6"/>
      <c r="I99" s="6"/>
      <c r="J99" s="6"/>
    </row>
    <row r="100" spans="1:10" x14ac:dyDescent="0.2">
      <c r="A100" s="6"/>
      <c r="B100" s="6"/>
      <c r="C100" s="6"/>
      <c r="D100" s="6"/>
      <c r="E100" s="10"/>
      <c r="F100" s="10"/>
      <c r="G100" s="6"/>
      <c r="H100" s="6"/>
      <c r="I100" s="6"/>
      <c r="J100" s="6"/>
    </row>
    <row r="101" spans="1:10" x14ac:dyDescent="0.2">
      <c r="A101" s="6"/>
      <c r="B101" s="6"/>
      <c r="C101" s="6"/>
      <c r="D101" s="6"/>
      <c r="E101" s="10"/>
      <c r="F101" s="10"/>
      <c r="G101" s="6"/>
      <c r="H101" s="6"/>
      <c r="I101" s="6"/>
      <c r="J101" s="6"/>
    </row>
    <row r="102" spans="1:10" x14ac:dyDescent="0.2">
      <c r="A102" s="6"/>
      <c r="B102" s="6"/>
      <c r="C102" s="6"/>
      <c r="D102" s="6"/>
      <c r="E102" s="10"/>
      <c r="F102" s="10"/>
      <c r="G102" s="6"/>
      <c r="H102" s="6"/>
      <c r="I102" s="6"/>
      <c r="J102" s="6"/>
    </row>
    <row r="103" spans="1:10" x14ac:dyDescent="0.2">
      <c r="A103" s="6"/>
      <c r="B103" s="6"/>
      <c r="C103" s="6"/>
      <c r="D103" s="6"/>
      <c r="E103" s="10"/>
      <c r="F103" s="10"/>
      <c r="G103" s="6"/>
      <c r="H103" s="6"/>
      <c r="I103" s="6"/>
      <c r="J103" s="6"/>
    </row>
    <row r="104" spans="1:10" x14ac:dyDescent="0.2">
      <c r="A104" s="6"/>
      <c r="B104" s="6"/>
      <c r="C104" s="6"/>
      <c r="D104" s="6"/>
      <c r="E104" s="10"/>
      <c r="F104" s="10"/>
      <c r="G104" s="6"/>
      <c r="H104" s="6"/>
      <c r="I104" s="6"/>
      <c r="J104" s="6"/>
    </row>
    <row r="105" spans="1:10" x14ac:dyDescent="0.2">
      <c r="A105" s="6"/>
      <c r="B105" s="6"/>
      <c r="C105" s="6"/>
      <c r="D105" s="6"/>
      <c r="E105" s="10"/>
      <c r="F105" s="10"/>
      <c r="G105" s="6"/>
      <c r="H105" s="6"/>
      <c r="I105" s="6"/>
      <c r="J105" s="6"/>
    </row>
    <row r="106" spans="1:10" x14ac:dyDescent="0.2">
      <c r="A106" s="6"/>
      <c r="B106" s="6"/>
      <c r="C106" s="6"/>
      <c r="D106" s="6"/>
      <c r="E106" s="10"/>
      <c r="F106" s="10"/>
      <c r="G106" s="6"/>
      <c r="H106" s="6"/>
      <c r="I106" s="6"/>
      <c r="J106" s="6"/>
    </row>
    <row r="107" spans="1:10" x14ac:dyDescent="0.2">
      <c r="A107" s="6"/>
      <c r="B107" s="6"/>
      <c r="C107" s="6"/>
      <c r="D107" s="6"/>
      <c r="E107" s="10"/>
      <c r="F107" s="10"/>
      <c r="G107" s="6"/>
      <c r="H107" s="6"/>
      <c r="I107" s="6"/>
      <c r="J107" s="6"/>
    </row>
    <row r="108" spans="1:10" x14ac:dyDescent="0.2">
      <c r="A108" s="6"/>
      <c r="B108" s="6"/>
      <c r="C108" s="6"/>
      <c r="D108" s="6"/>
      <c r="E108" s="10"/>
      <c r="F108" s="10"/>
      <c r="G108" s="6"/>
      <c r="H108" s="6"/>
      <c r="I108" s="6"/>
      <c r="J108" s="6"/>
    </row>
    <row r="109" spans="1:10" x14ac:dyDescent="0.2">
      <c r="A109" s="6"/>
      <c r="B109" s="6"/>
      <c r="C109" s="6"/>
      <c r="D109" s="6"/>
      <c r="E109" s="10"/>
      <c r="F109" s="10"/>
      <c r="G109" s="6"/>
      <c r="H109" s="6"/>
      <c r="I109" s="6"/>
      <c r="J109" s="6"/>
    </row>
    <row r="110" spans="1:10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</row>
    <row r="111" spans="1:10" x14ac:dyDescent="0.2">
      <c r="A111" s="6"/>
      <c r="B111" s="6"/>
      <c r="C111" s="6"/>
      <c r="D111" s="6"/>
      <c r="E111" s="10"/>
      <c r="F111" s="10"/>
      <c r="G111" s="6"/>
      <c r="H111" s="6"/>
      <c r="I111" s="6"/>
      <c r="J111" s="6"/>
    </row>
    <row r="112" spans="1:10" x14ac:dyDescent="0.2">
      <c r="A112" s="6"/>
      <c r="B112" s="6"/>
      <c r="C112" s="6"/>
      <c r="D112" s="6"/>
      <c r="E112" s="10"/>
      <c r="F112" s="10"/>
      <c r="G112" s="6"/>
      <c r="H112" s="6"/>
      <c r="I112" s="6"/>
      <c r="J112" s="6"/>
    </row>
    <row r="113" spans="1:10" x14ac:dyDescent="0.2">
      <c r="A113" s="6"/>
      <c r="B113" s="6"/>
      <c r="C113" s="6"/>
      <c r="D113" s="6"/>
      <c r="E113" s="10"/>
      <c r="F113" s="10"/>
      <c r="G113" s="6"/>
      <c r="H113" s="6"/>
      <c r="I113" s="6"/>
      <c r="J113" s="6"/>
    </row>
    <row r="114" spans="1:10" x14ac:dyDescent="0.2">
      <c r="A114" s="6"/>
      <c r="B114" s="6"/>
      <c r="C114" s="6"/>
      <c r="D114" s="6"/>
      <c r="E114" s="10"/>
      <c r="F114" s="10"/>
      <c r="G114" s="6"/>
      <c r="H114" s="6"/>
      <c r="I114" s="6"/>
      <c r="J114" s="6"/>
    </row>
    <row r="115" spans="1:10" x14ac:dyDescent="0.2">
      <c r="A115" s="6"/>
      <c r="B115" s="6"/>
      <c r="C115" s="6"/>
      <c r="D115" s="6"/>
      <c r="E115" s="10"/>
      <c r="F115" s="10"/>
      <c r="G115" s="6"/>
      <c r="H115" s="6"/>
      <c r="I115" s="6"/>
      <c r="J115" s="6"/>
    </row>
    <row r="116" spans="1:10" x14ac:dyDescent="0.2">
      <c r="A116" s="6"/>
      <c r="B116" s="6"/>
      <c r="C116" s="6"/>
      <c r="D116" s="6"/>
      <c r="E116" s="10"/>
      <c r="F116" s="10"/>
      <c r="G116" s="6"/>
      <c r="H116" s="6"/>
      <c r="I116" s="6"/>
      <c r="J116" s="6"/>
    </row>
    <row r="117" spans="1:10" x14ac:dyDescent="0.2">
      <c r="A117" s="6"/>
      <c r="B117" s="6"/>
      <c r="C117" s="6"/>
      <c r="D117" s="6"/>
      <c r="E117" s="10"/>
      <c r="F117" s="10"/>
      <c r="G117" s="6"/>
      <c r="H117" s="6"/>
      <c r="I117" s="6"/>
      <c r="J117" s="6"/>
    </row>
    <row r="118" spans="1:10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</row>
    <row r="119" spans="1:10" x14ac:dyDescent="0.2">
      <c r="A119" s="6"/>
      <c r="B119" s="6"/>
      <c r="C119" s="6"/>
      <c r="D119" s="6"/>
      <c r="E119" s="10"/>
      <c r="F119" s="10"/>
      <c r="G119" s="6"/>
      <c r="H119" s="6"/>
      <c r="I119" s="6"/>
      <c r="J119" s="6"/>
    </row>
    <row r="120" spans="1:10" x14ac:dyDescent="0.2">
      <c r="A120" s="6"/>
      <c r="B120" s="6"/>
      <c r="C120" s="6"/>
      <c r="D120" s="6"/>
      <c r="E120" s="10"/>
      <c r="F120" s="10"/>
      <c r="G120" s="6"/>
      <c r="H120" s="6"/>
      <c r="I120" s="6"/>
      <c r="J120" s="6"/>
    </row>
    <row r="121" spans="1:10" x14ac:dyDescent="0.2">
      <c r="A121" s="6"/>
      <c r="B121" s="6"/>
      <c r="C121" s="6"/>
      <c r="D121" s="6"/>
      <c r="E121" s="10"/>
      <c r="F121" s="10"/>
      <c r="G121" s="6"/>
      <c r="H121" s="6"/>
      <c r="I121" s="6"/>
      <c r="J121" s="6"/>
    </row>
    <row r="122" spans="1:10" x14ac:dyDescent="0.2">
      <c r="A122" s="6"/>
      <c r="B122" s="6"/>
      <c r="C122" s="6"/>
      <c r="D122" s="6"/>
      <c r="E122" s="10"/>
      <c r="F122" s="10"/>
      <c r="G122" s="6"/>
      <c r="H122" s="6"/>
      <c r="I122" s="6"/>
      <c r="J122" s="6"/>
    </row>
    <row r="123" spans="1:10" x14ac:dyDescent="0.2">
      <c r="A123" s="6"/>
      <c r="B123" s="6"/>
      <c r="C123" s="6"/>
      <c r="D123" s="6"/>
      <c r="E123" s="10"/>
      <c r="F123" s="10"/>
      <c r="G123" s="6"/>
      <c r="H123" s="6"/>
      <c r="I123" s="6"/>
      <c r="J123" s="6"/>
    </row>
    <row r="124" spans="1:10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</row>
    <row r="125" spans="1:10" x14ac:dyDescent="0.2">
      <c r="A125" s="6"/>
      <c r="B125" s="6"/>
      <c r="C125" s="6"/>
      <c r="D125" s="6"/>
      <c r="E125" s="10"/>
      <c r="F125" s="10"/>
      <c r="G125" s="6"/>
      <c r="H125" s="6"/>
      <c r="I125" s="6"/>
      <c r="J125" s="6"/>
    </row>
    <row r="126" spans="1:10" x14ac:dyDescent="0.2">
      <c r="A126" s="6"/>
      <c r="B126" s="6"/>
      <c r="C126" s="6"/>
      <c r="D126" s="6"/>
      <c r="E126" s="10"/>
      <c r="F126" s="10"/>
      <c r="G126" s="6"/>
      <c r="H126" s="6"/>
      <c r="I126" s="6"/>
      <c r="J126" s="6"/>
    </row>
    <row r="127" spans="1:10" x14ac:dyDescent="0.2">
      <c r="A127" s="6"/>
      <c r="B127" s="6"/>
      <c r="C127" s="6"/>
      <c r="D127" s="6"/>
      <c r="E127" s="10"/>
      <c r="F127" s="10"/>
      <c r="G127" s="6"/>
      <c r="H127" s="6"/>
      <c r="I127" s="6"/>
      <c r="J127" s="6"/>
    </row>
    <row r="128" spans="1:10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</row>
    <row r="129" spans="1:10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</row>
    <row r="130" spans="1:10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</row>
    <row r="131" spans="1:10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</row>
    <row r="132" spans="1:10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</row>
    <row r="133" spans="1:10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</row>
    <row r="134" spans="1:10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</row>
    <row r="135" spans="1:10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</row>
    <row r="136" spans="1:10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</row>
    <row r="137" spans="1:10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</row>
    <row r="138" spans="1:10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</row>
    <row r="139" spans="1:10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</row>
  </sheetData>
  <mergeCells count="1">
    <mergeCell ref="I3:I4"/>
  </mergeCells>
  <pageMargins left="0.7" right="0.7" top="0.75" bottom="0.75" header="0.3" footer="0.3"/>
  <pageSetup scale="84" fitToHeight="6" orientation="landscape" horizontalDpi="300" r:id="rId1"/>
  <headerFooter>
    <oddFooter>&amp;R&amp;D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18FB-DF9D-4F41-A87A-8CDD6DAF9246}">
  <sheetPr>
    <tabColor theme="0" tint="-0.34998626667073579"/>
    <pageSetUpPr fitToPage="1"/>
  </sheetPr>
  <dimension ref="A1:J60"/>
  <sheetViews>
    <sheetView workbookViewId="0"/>
  </sheetViews>
  <sheetFormatPr defaultRowHeight="12.75" x14ac:dyDescent="0.2"/>
  <cols>
    <col min="1" max="1" width="20.28515625" bestFit="1" customWidth="1"/>
    <col min="2" max="2" width="19.140625" bestFit="1" customWidth="1"/>
    <col min="3" max="3" width="9.28515625" customWidth="1"/>
    <col min="4" max="4" width="27.140625" customWidth="1"/>
    <col min="5" max="5" width="11.28515625" customWidth="1"/>
    <col min="6" max="6" width="11.5703125" customWidth="1"/>
    <col min="7" max="7" width="12" customWidth="1"/>
    <col min="8" max="8" width="10.85546875" customWidth="1"/>
    <col min="9" max="9" width="12.42578125" customWidth="1"/>
    <col min="10" max="10" width="11.140625" customWidth="1"/>
  </cols>
  <sheetData>
    <row r="1" spans="1:10" ht="15" x14ac:dyDescent="0.2">
      <c r="A1" s="5" t="str">
        <f ca="1">MID(CELL("filename",$A$1),FIND("]",CELL("filename",$A$1),1)+1,1024)</f>
        <v>GENE PALLA FARMS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19"/>
      <c r="B5" s="19"/>
      <c r="C5" s="19"/>
      <c r="D5" s="19"/>
      <c r="E5" s="29"/>
      <c r="F5" s="29"/>
      <c r="G5" s="19"/>
      <c r="H5" s="19"/>
      <c r="I5" s="19"/>
      <c r="J5" s="19"/>
    </row>
    <row r="6" spans="1:10" x14ac:dyDescent="0.2">
      <c r="A6" s="8"/>
      <c r="B6" s="8"/>
      <c r="C6" s="6"/>
      <c r="D6" s="8"/>
      <c r="E6" s="58"/>
      <c r="F6" s="10"/>
      <c r="G6" s="6"/>
      <c r="H6" s="6"/>
      <c r="I6" s="6"/>
      <c r="J6" s="6"/>
    </row>
    <row r="7" spans="1:10" x14ac:dyDescent="0.2">
      <c r="A7" s="8"/>
      <c r="B7" s="6"/>
      <c r="C7" s="6"/>
      <c r="D7" s="8"/>
      <c r="E7" s="58"/>
      <c r="F7" s="10"/>
      <c r="G7" s="6"/>
      <c r="H7" s="6"/>
      <c r="I7" s="6"/>
      <c r="J7" s="6"/>
    </row>
    <row r="8" spans="1:10" x14ac:dyDescent="0.2">
      <c r="A8" s="6"/>
      <c r="B8" s="6"/>
      <c r="C8" s="6"/>
      <c r="D8" s="8"/>
      <c r="E8" s="58"/>
      <c r="F8" s="10"/>
      <c r="G8" s="6"/>
      <c r="H8" s="6"/>
      <c r="I8" s="6"/>
      <c r="J8" s="6"/>
    </row>
    <row r="9" spans="1:10" x14ac:dyDescent="0.2">
      <c r="A9" s="19"/>
      <c r="B9" s="19"/>
      <c r="C9" s="19"/>
      <c r="D9" s="30"/>
      <c r="E9" s="60"/>
      <c r="F9" s="29"/>
      <c r="G9" s="19"/>
      <c r="H9" s="19"/>
      <c r="I9" s="19"/>
      <c r="J9" s="19"/>
    </row>
    <row r="10" spans="1:10" x14ac:dyDescent="0.2">
      <c r="A10" s="8"/>
      <c r="B10" s="8"/>
      <c r="C10" s="6"/>
      <c r="D10" s="8"/>
      <c r="E10" s="58"/>
      <c r="F10" s="10"/>
      <c r="G10" s="6"/>
      <c r="H10" s="6"/>
      <c r="I10" s="6"/>
      <c r="J10" s="6"/>
    </row>
    <row r="11" spans="1:10" x14ac:dyDescent="0.2">
      <c r="A11" s="6"/>
      <c r="B11" s="6"/>
      <c r="C11" s="6"/>
      <c r="D11" s="8"/>
      <c r="E11" s="58"/>
      <c r="F11" s="10"/>
      <c r="G11" s="6"/>
      <c r="H11" s="6"/>
      <c r="I11" s="6"/>
      <c r="J11" s="6"/>
    </row>
    <row r="12" spans="1:10" x14ac:dyDescent="0.2">
      <c r="A12" s="6"/>
      <c r="B12" s="6"/>
      <c r="C12" s="6"/>
      <c r="D12" s="8"/>
      <c r="E12" s="58"/>
      <c r="F12" s="10"/>
      <c r="G12" s="6"/>
      <c r="H12" s="6"/>
      <c r="I12" s="6"/>
      <c r="J12" s="6"/>
    </row>
    <row r="13" spans="1:10" x14ac:dyDescent="0.2">
      <c r="A13" s="6"/>
      <c r="B13" s="6"/>
      <c r="C13" s="6"/>
      <c r="D13" s="8"/>
      <c r="E13" s="58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8"/>
      <c r="E14" s="58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8"/>
      <c r="E15" s="58"/>
      <c r="F15" s="10"/>
      <c r="G15" s="6"/>
      <c r="H15" s="6"/>
      <c r="I15" s="6"/>
      <c r="J15" s="6"/>
    </row>
    <row r="16" spans="1:10" x14ac:dyDescent="0.2">
      <c r="A16" s="6"/>
      <c r="B16" s="6"/>
      <c r="C16" s="6"/>
      <c r="D16" s="8"/>
      <c r="E16" s="58"/>
      <c r="F16" s="10"/>
      <c r="G16" s="6"/>
      <c r="H16" s="6"/>
      <c r="I16" s="6"/>
      <c r="J16" s="6"/>
    </row>
    <row r="17" spans="1:10" x14ac:dyDescent="0.2">
      <c r="A17" s="6"/>
      <c r="B17" s="6"/>
      <c r="C17" s="6"/>
      <c r="D17" s="8"/>
      <c r="E17" s="58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8"/>
      <c r="E18" s="58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8"/>
      <c r="E19" s="58"/>
      <c r="F19" s="10"/>
      <c r="G19" s="6"/>
      <c r="H19" s="6"/>
      <c r="I19" s="6"/>
      <c r="J19" s="6"/>
    </row>
    <row r="20" spans="1:10" x14ac:dyDescent="0.2">
      <c r="A20" s="6"/>
      <c r="B20" s="6"/>
      <c r="C20" s="6"/>
      <c r="D20" s="8"/>
      <c r="E20" s="58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8"/>
      <c r="E21" s="58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8"/>
      <c r="E22" s="58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8"/>
      <c r="E23" s="58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">
      <c r="A25" s="8"/>
      <c r="B25" s="6"/>
      <c r="C25" s="65"/>
      <c r="D25" s="8"/>
      <c r="E25" s="10"/>
      <c r="F25" s="10"/>
      <c r="G25" s="6"/>
      <c r="H25" s="6"/>
      <c r="I25" s="6"/>
      <c r="J25" s="6"/>
    </row>
    <row r="26" spans="1:10" x14ac:dyDescent="0.2">
      <c r="A26" s="32"/>
      <c r="B26" s="6"/>
      <c r="C26" s="93"/>
      <c r="D26" s="8"/>
      <c r="E26" s="10"/>
      <c r="F26" s="10"/>
      <c r="G26" s="6"/>
      <c r="H26" s="6"/>
      <c r="I26" s="6"/>
      <c r="J26" s="6"/>
    </row>
    <row r="27" spans="1:10" x14ac:dyDescent="0.2">
      <c r="A27" s="6"/>
      <c r="B27" s="6"/>
      <c r="C27" s="66"/>
      <c r="D27" s="6"/>
      <c r="E27" s="6"/>
      <c r="F27" s="6"/>
      <c r="G27" s="6"/>
      <c r="H27" s="6"/>
      <c r="I27" s="6"/>
      <c r="J27" s="6"/>
    </row>
    <row r="28" spans="1:10" x14ac:dyDescent="0.2">
      <c r="A28" s="6"/>
      <c r="B28" s="6"/>
      <c r="C28" s="66"/>
      <c r="D28" s="6"/>
      <c r="E28" s="6"/>
      <c r="F28" s="6"/>
      <c r="G28" s="6"/>
      <c r="H28" s="6"/>
      <c r="I28" s="6"/>
      <c r="J28" s="6"/>
    </row>
    <row r="58" hidden="1" x14ac:dyDescent="0.2"/>
    <row r="59" hidden="1" x14ac:dyDescent="0.2"/>
    <row r="60" hidden="1" x14ac:dyDescent="0.2"/>
  </sheetData>
  <mergeCells count="1">
    <mergeCell ref="I3:I4"/>
  </mergeCells>
  <pageMargins left="0.7" right="0.7" top="0.75" bottom="0.75" header="0.3" footer="0.3"/>
  <pageSetup scale="86" fitToHeight="6" orientation="landscape" horizontalDpi="300" r:id="rId1"/>
  <headerFooter>
    <oddFooter>&amp;R&amp;D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B9FB-8632-4BB4-BE04-A5CF7E61E513}">
  <sheetPr>
    <tabColor theme="0" tint="-0.34998626667073579"/>
    <pageSetUpPr fitToPage="1"/>
  </sheetPr>
  <dimension ref="A1:J60"/>
  <sheetViews>
    <sheetView workbookViewId="0"/>
  </sheetViews>
  <sheetFormatPr defaultRowHeight="12.75" x14ac:dyDescent="0.2"/>
  <cols>
    <col min="1" max="1" width="20.28515625" bestFit="1" customWidth="1"/>
    <col min="2" max="2" width="20.28515625" customWidth="1"/>
    <col min="3" max="3" width="9.28515625" customWidth="1"/>
    <col min="4" max="4" width="27.140625" customWidth="1"/>
    <col min="5" max="5" width="11.28515625" customWidth="1"/>
    <col min="6" max="6" width="11.5703125" customWidth="1"/>
    <col min="7" max="7" width="12" customWidth="1"/>
    <col min="8" max="8" width="10.85546875" customWidth="1"/>
    <col min="9" max="9" width="12.42578125" customWidth="1"/>
    <col min="10" max="10" width="11.140625" customWidth="1"/>
  </cols>
  <sheetData>
    <row r="1" spans="1:10" ht="15" x14ac:dyDescent="0.2">
      <c r="A1" s="5" t="str">
        <f ca="1">MID(CELL("filename",$A$1),FIND("]",CELL("filename",$A$1),1)+1,1024)</f>
        <v>GILKEY FIVE</v>
      </c>
      <c r="B1" s="5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/>
      <c r="B5" s="6"/>
      <c r="C5" s="6"/>
      <c r="D5" s="6"/>
      <c r="E5" s="10"/>
      <c r="F5" s="10"/>
      <c r="G5" s="6"/>
      <c r="H5" s="6"/>
      <c r="I5" s="6"/>
      <c r="J5" s="6"/>
    </row>
    <row r="6" spans="1:10" x14ac:dyDescent="0.2">
      <c r="A6" s="8"/>
      <c r="B6" s="8"/>
      <c r="C6" s="6"/>
      <c r="D6" s="8"/>
      <c r="E6" s="58"/>
      <c r="F6" s="10"/>
      <c r="G6" s="6"/>
      <c r="H6" s="6"/>
      <c r="I6" s="6"/>
      <c r="J6" s="6"/>
    </row>
    <row r="7" spans="1:10" x14ac:dyDescent="0.2">
      <c r="A7" s="8"/>
      <c r="B7" s="8"/>
      <c r="C7" s="6"/>
      <c r="D7" s="8"/>
      <c r="E7" s="58"/>
      <c r="F7" s="10"/>
      <c r="G7" s="6"/>
      <c r="H7" s="6"/>
      <c r="I7" s="6"/>
      <c r="J7" s="6"/>
    </row>
    <row r="8" spans="1:10" x14ac:dyDescent="0.2">
      <c r="A8" s="6"/>
      <c r="B8" s="6"/>
      <c r="C8" s="6"/>
      <c r="D8" s="8"/>
      <c r="E8" s="58"/>
      <c r="F8" s="10"/>
      <c r="G8" s="6"/>
      <c r="H8" s="6"/>
      <c r="I8" s="6"/>
      <c r="J8" s="6"/>
    </row>
    <row r="9" spans="1:10" x14ac:dyDescent="0.2">
      <c r="A9" s="6"/>
      <c r="B9" s="6"/>
      <c r="C9" s="6"/>
      <c r="D9" s="8"/>
      <c r="E9" s="58"/>
      <c r="F9" s="10"/>
      <c r="G9" s="6"/>
      <c r="H9" s="6"/>
      <c r="I9" s="6"/>
      <c r="J9" s="6"/>
    </row>
    <row r="10" spans="1:10" x14ac:dyDescent="0.2">
      <c r="A10" s="6"/>
      <c r="B10" s="6"/>
      <c r="C10" s="6"/>
      <c r="D10" s="8"/>
      <c r="E10" s="58"/>
      <c r="F10" s="10"/>
      <c r="G10" s="6"/>
      <c r="H10" s="6"/>
      <c r="I10" s="6"/>
      <c r="J10" s="6"/>
    </row>
    <row r="11" spans="1:10" x14ac:dyDescent="0.2">
      <c r="A11" s="6"/>
      <c r="B11" s="6"/>
      <c r="C11" s="6"/>
      <c r="D11" s="8"/>
      <c r="E11" s="58"/>
      <c r="F11" s="10"/>
      <c r="G11" s="6"/>
      <c r="H11" s="6"/>
      <c r="I11" s="6"/>
      <c r="J11" s="6"/>
    </row>
    <row r="12" spans="1:10" x14ac:dyDescent="0.2">
      <c r="A12" s="6"/>
      <c r="B12" s="6"/>
      <c r="C12" s="6"/>
      <c r="D12" s="8"/>
      <c r="E12" s="58"/>
      <c r="F12" s="10"/>
      <c r="G12" s="6"/>
      <c r="H12" s="6"/>
      <c r="I12" s="6"/>
      <c r="J12" s="6"/>
    </row>
    <row r="13" spans="1:10" x14ac:dyDescent="0.2">
      <c r="A13" s="6"/>
      <c r="B13" s="6"/>
      <c r="C13" s="6"/>
      <c r="D13" s="8"/>
      <c r="E13" s="58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8"/>
      <c r="E14" s="58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8"/>
      <c r="E15" s="58"/>
      <c r="F15" s="10"/>
      <c r="G15" s="6"/>
      <c r="H15" s="6"/>
      <c r="I15" s="6"/>
      <c r="J15" s="6"/>
    </row>
    <row r="16" spans="1:10" x14ac:dyDescent="0.2">
      <c r="A16" s="6"/>
      <c r="B16" s="6"/>
      <c r="C16" s="6"/>
      <c r="D16" s="8"/>
      <c r="E16" s="58"/>
      <c r="F16" s="10"/>
      <c r="G16" s="6"/>
      <c r="H16" s="6"/>
      <c r="I16" s="6"/>
      <c r="J16" s="6"/>
    </row>
    <row r="17" spans="1:10" x14ac:dyDescent="0.2">
      <c r="A17" s="6"/>
      <c r="B17" s="6"/>
      <c r="C17" s="6"/>
      <c r="D17" s="8"/>
      <c r="E17" s="58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8"/>
      <c r="E18" s="58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8"/>
      <c r="E19" s="58"/>
      <c r="F19" s="10"/>
      <c r="G19" s="6"/>
      <c r="H19" s="6"/>
      <c r="I19" s="6"/>
      <c r="J19" s="6"/>
    </row>
    <row r="20" spans="1:10" x14ac:dyDescent="0.2">
      <c r="A20" s="6"/>
      <c r="B20" s="6"/>
      <c r="C20" s="6"/>
      <c r="D20" s="8"/>
      <c r="E20" s="58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8"/>
      <c r="E21" s="58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8"/>
      <c r="E22" s="58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8"/>
      <c r="E23" s="58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58"/>
      <c r="F24" s="10"/>
      <c r="G24" s="6"/>
      <c r="H24" s="6"/>
      <c r="I24" s="6"/>
      <c r="J24" s="6"/>
    </row>
    <row r="25" spans="1:10" x14ac:dyDescent="0.2">
      <c r="A25" s="8"/>
      <c r="B25" s="8"/>
      <c r="C25" s="65"/>
      <c r="D25" s="8"/>
      <c r="E25" s="10"/>
      <c r="F25" s="10"/>
      <c r="G25" s="6"/>
      <c r="H25" s="6"/>
      <c r="I25" s="6"/>
      <c r="J25" s="6"/>
    </row>
    <row r="26" spans="1:10" x14ac:dyDescent="0.2">
      <c r="A26" s="32"/>
      <c r="B26" s="32"/>
      <c r="C26" s="93"/>
      <c r="D26" s="8"/>
      <c r="E26" s="10"/>
      <c r="F26" s="10"/>
      <c r="G26" s="6"/>
      <c r="H26" s="6"/>
      <c r="I26" s="6"/>
      <c r="J26" s="6"/>
    </row>
    <row r="27" spans="1:10" x14ac:dyDescent="0.2">
      <c r="A27" s="6"/>
      <c r="B27" s="6"/>
      <c r="C27" s="66"/>
      <c r="D27" s="6"/>
      <c r="E27" s="6"/>
      <c r="F27" s="6"/>
      <c r="G27" s="6"/>
      <c r="H27" s="6"/>
      <c r="I27" s="6"/>
      <c r="J27" s="6"/>
    </row>
    <row r="28" spans="1:10" x14ac:dyDescent="0.2">
      <c r="A28" s="6"/>
      <c r="B28" s="6"/>
      <c r="C28" s="66"/>
      <c r="D28" s="6"/>
      <c r="E28" s="6"/>
      <c r="F28" s="6"/>
      <c r="G28" s="6"/>
      <c r="H28" s="6"/>
      <c r="I28" s="6"/>
      <c r="J28" s="6"/>
    </row>
    <row r="58" hidden="1" x14ac:dyDescent="0.2"/>
    <row r="59" hidden="1" x14ac:dyDescent="0.2"/>
    <row r="60" hidden="1" x14ac:dyDescent="0.2"/>
  </sheetData>
  <mergeCells count="1">
    <mergeCell ref="I3:I4"/>
  </mergeCells>
  <pageMargins left="0.7" right="0.7" top="0.75" bottom="0.75" header="0.3" footer="0.3"/>
  <pageSetup scale="85" fitToHeight="6" orientation="landscape" horizontalDpi="300" r:id="rId1"/>
  <headerFooter>
    <oddFooter>&amp;R&amp;D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0">
    <tabColor theme="0" tint="-0.34998626667073579"/>
    <pageSetUpPr fitToPage="1"/>
  </sheetPr>
  <dimension ref="A1:J35"/>
  <sheetViews>
    <sheetView workbookViewId="0"/>
  </sheetViews>
  <sheetFormatPr defaultRowHeight="12.75" x14ac:dyDescent="0.2"/>
  <cols>
    <col min="1" max="1" width="25" customWidth="1"/>
    <col min="2" max="2" width="18.28515625" customWidth="1"/>
    <col min="3" max="3" width="5.85546875" customWidth="1"/>
    <col min="4" max="4" width="18.7109375" customWidth="1"/>
    <col min="5" max="5" width="11.28515625" customWidth="1"/>
    <col min="6" max="6" width="11.5703125" customWidth="1"/>
    <col min="7" max="7" width="11.140625" customWidth="1"/>
    <col min="8" max="8" width="10.5703125" customWidth="1"/>
    <col min="9" max="9" width="12.42578125" customWidth="1"/>
  </cols>
  <sheetData>
    <row r="1" spans="1:10" ht="18" x14ac:dyDescent="0.25">
      <c r="A1" s="13" t="str">
        <f ca="1">MID(CELL("filename",$A$1),FIND("]",CELL("filename",$A$1),1)+1,1024)</f>
        <v>Hafenfeld Ranch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s="3" customFormat="1" x14ac:dyDescent="0.2">
      <c r="A5" s="6" t="s">
        <v>61</v>
      </c>
      <c r="B5" s="17" t="s">
        <v>1188</v>
      </c>
      <c r="C5" s="25">
        <v>52</v>
      </c>
      <c r="D5" s="15" t="s">
        <v>350</v>
      </c>
      <c r="E5" s="10">
        <v>44560</v>
      </c>
      <c r="F5" s="10">
        <v>44742</v>
      </c>
      <c r="G5" s="8"/>
      <c r="H5" s="8"/>
      <c r="I5" s="75"/>
      <c r="J5" s="8"/>
    </row>
    <row r="6" spans="1:10" x14ac:dyDescent="0.2">
      <c r="A6" s="6" t="s">
        <v>171</v>
      </c>
      <c r="B6" s="12"/>
      <c r="C6" s="6">
        <v>1620</v>
      </c>
      <c r="D6" s="11" t="s">
        <v>36</v>
      </c>
      <c r="E6" s="10">
        <v>44560</v>
      </c>
      <c r="F6" s="10">
        <v>44742</v>
      </c>
      <c r="G6" s="6"/>
      <c r="H6" s="6"/>
      <c r="I6" s="6"/>
      <c r="J6" s="6"/>
    </row>
    <row r="7" spans="1:10" x14ac:dyDescent="0.2">
      <c r="A7" s="6"/>
      <c r="B7" s="6"/>
      <c r="C7" s="6">
        <v>21</v>
      </c>
      <c r="D7" s="11" t="s">
        <v>21</v>
      </c>
      <c r="E7" s="10">
        <v>44560</v>
      </c>
      <c r="F7" s="10">
        <v>44742</v>
      </c>
      <c r="G7" s="6"/>
      <c r="H7" s="6"/>
      <c r="I7" s="6"/>
      <c r="J7" s="6"/>
    </row>
    <row r="8" spans="1:10" x14ac:dyDescent="0.2">
      <c r="A8" s="6"/>
      <c r="B8" s="12"/>
      <c r="C8" s="6">
        <v>1</v>
      </c>
      <c r="D8" s="11" t="s">
        <v>51</v>
      </c>
      <c r="E8" s="10">
        <v>44560</v>
      </c>
      <c r="F8" s="10">
        <v>44742</v>
      </c>
      <c r="G8" s="6"/>
      <c r="H8" s="6"/>
      <c r="I8" s="6"/>
      <c r="J8" s="6"/>
    </row>
    <row r="9" spans="1:10" x14ac:dyDescent="0.2">
      <c r="A9" s="6"/>
      <c r="B9" s="12"/>
      <c r="C9" s="6">
        <v>1</v>
      </c>
      <c r="D9" s="11" t="s">
        <v>62</v>
      </c>
      <c r="E9" s="10">
        <v>44560</v>
      </c>
      <c r="F9" s="10">
        <v>44742</v>
      </c>
      <c r="G9" s="6"/>
      <c r="H9" s="6"/>
      <c r="I9" s="6"/>
      <c r="J9" s="6"/>
    </row>
    <row r="10" spans="1:10" x14ac:dyDescent="0.2">
      <c r="A10" s="6"/>
      <c r="B10" s="12"/>
      <c r="C10" s="6">
        <v>23</v>
      </c>
      <c r="D10" s="11" t="s">
        <v>28</v>
      </c>
      <c r="E10" s="10">
        <v>44560</v>
      </c>
      <c r="F10" s="10">
        <v>44742</v>
      </c>
      <c r="G10" s="6"/>
      <c r="H10" s="6"/>
      <c r="I10" s="6"/>
      <c r="J10" s="6"/>
    </row>
    <row r="11" spans="1:10" x14ac:dyDescent="0.2">
      <c r="A11" s="6"/>
      <c r="B11" s="12"/>
      <c r="C11" s="6">
        <v>25</v>
      </c>
      <c r="D11" s="11" t="s">
        <v>23</v>
      </c>
      <c r="E11" s="10">
        <v>44560</v>
      </c>
      <c r="F11" s="10">
        <v>44742</v>
      </c>
      <c r="G11" s="6"/>
      <c r="H11" s="6"/>
      <c r="I11" s="6"/>
      <c r="J11" s="6"/>
    </row>
    <row r="12" spans="1:10" x14ac:dyDescent="0.2">
      <c r="A12" s="6"/>
      <c r="B12" s="12"/>
      <c r="C12" s="6">
        <v>1</v>
      </c>
      <c r="D12" s="11" t="s">
        <v>45</v>
      </c>
      <c r="E12" s="10">
        <v>44560</v>
      </c>
      <c r="F12" s="10">
        <v>44742</v>
      </c>
      <c r="G12" s="6"/>
      <c r="H12" s="6"/>
      <c r="I12" s="6"/>
      <c r="J12" s="6"/>
    </row>
    <row r="13" spans="1:10" x14ac:dyDescent="0.2">
      <c r="A13" s="6"/>
      <c r="B13" s="12"/>
      <c r="C13" s="6">
        <v>2</v>
      </c>
      <c r="D13" s="11" t="s">
        <v>52</v>
      </c>
      <c r="E13" s="10">
        <v>44560</v>
      </c>
      <c r="F13" s="10">
        <v>44742</v>
      </c>
      <c r="G13" s="6"/>
      <c r="H13" s="6"/>
      <c r="I13" s="6"/>
      <c r="J13" s="6"/>
    </row>
    <row r="14" spans="1:10" x14ac:dyDescent="0.2">
      <c r="A14" s="6"/>
      <c r="B14" s="12"/>
      <c r="C14" s="6">
        <v>1</v>
      </c>
      <c r="D14" s="11" t="s">
        <v>63</v>
      </c>
      <c r="E14" s="10">
        <v>44560</v>
      </c>
      <c r="F14" s="10">
        <v>44742</v>
      </c>
      <c r="G14" s="6"/>
      <c r="H14" s="6"/>
      <c r="I14" s="6"/>
      <c r="J14" s="6"/>
    </row>
    <row r="15" spans="1:10" x14ac:dyDescent="0.2">
      <c r="A15" s="6"/>
      <c r="B15" s="12"/>
      <c r="C15" s="6">
        <v>24</v>
      </c>
      <c r="D15" s="11" t="s">
        <v>6</v>
      </c>
      <c r="E15" s="10">
        <v>44560</v>
      </c>
      <c r="F15" s="10">
        <v>44742</v>
      </c>
      <c r="G15" s="6"/>
      <c r="H15" s="6"/>
      <c r="I15" s="6"/>
      <c r="J15" s="6"/>
    </row>
    <row r="16" spans="1:10" x14ac:dyDescent="0.2">
      <c r="A16" s="6"/>
      <c r="B16" s="12"/>
      <c r="C16" s="6">
        <v>48</v>
      </c>
      <c r="D16" s="11" t="s">
        <v>8</v>
      </c>
      <c r="E16" s="10">
        <v>44560</v>
      </c>
      <c r="F16" s="10">
        <v>44742</v>
      </c>
      <c r="G16" s="6"/>
      <c r="H16" s="6"/>
      <c r="I16" s="6"/>
      <c r="J16" s="6"/>
    </row>
    <row r="17" spans="1:10" ht="12.75" customHeight="1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</row>
    <row r="18" spans="1:10" x14ac:dyDescent="0.2">
      <c r="A18" s="6" t="s">
        <v>196</v>
      </c>
      <c r="B18" s="6" t="s">
        <v>1175</v>
      </c>
      <c r="C18" s="6">
        <v>15</v>
      </c>
      <c r="D18" s="6" t="s">
        <v>23</v>
      </c>
      <c r="E18" s="10">
        <v>44560</v>
      </c>
      <c r="F18" s="10">
        <v>44742</v>
      </c>
      <c r="G18" s="6"/>
      <c r="H18" s="6"/>
      <c r="I18" s="6"/>
      <c r="J18" s="6"/>
    </row>
    <row r="19" spans="1:10" x14ac:dyDescent="0.2">
      <c r="A19" s="6" t="s">
        <v>197</v>
      </c>
      <c r="B19" s="6"/>
      <c r="C19" s="6">
        <v>25</v>
      </c>
      <c r="D19" s="6" t="s">
        <v>27</v>
      </c>
      <c r="E19" s="10">
        <v>44560</v>
      </c>
      <c r="F19" s="10">
        <v>44742</v>
      </c>
      <c r="G19" s="6"/>
      <c r="H19" s="6"/>
      <c r="I19" s="6"/>
      <c r="J19" s="6"/>
    </row>
    <row r="20" spans="1:10" ht="12.75" customHeight="1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</row>
    <row r="21" spans="1:10" x14ac:dyDescent="0.2">
      <c r="A21" s="6"/>
      <c r="B21" s="6"/>
      <c r="C21" s="6"/>
      <c r="D21" s="6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6"/>
      <c r="F35" s="6"/>
      <c r="G35" s="6"/>
      <c r="H35" s="6"/>
      <c r="I35" s="6"/>
      <c r="J35" s="6"/>
    </row>
  </sheetData>
  <mergeCells count="1">
    <mergeCell ref="I3:I4"/>
  </mergeCells>
  <pageMargins left="0.7" right="0.7" top="0.75" bottom="0.75" header="0.3" footer="0.3"/>
  <pageSetup scale="87" fitToHeight="6" orientation="landscape" horizontalDpi="300" r:id="rId1"/>
  <headerFooter>
    <oddFooter>&amp;R&amp;D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31">
    <tabColor theme="0" tint="-0.34998626667073579"/>
    <pageSetUpPr fitToPage="1"/>
  </sheetPr>
  <dimension ref="A1:J40"/>
  <sheetViews>
    <sheetView workbookViewId="0"/>
  </sheetViews>
  <sheetFormatPr defaultRowHeight="12.75" x14ac:dyDescent="0.2"/>
  <cols>
    <col min="1" max="1" width="19.5703125" customWidth="1"/>
    <col min="2" max="2" width="11" customWidth="1"/>
    <col min="3" max="3" width="5.85546875" customWidth="1"/>
    <col min="4" max="4" width="27.28515625" customWidth="1"/>
    <col min="5" max="5" width="11.28515625" customWidth="1"/>
    <col min="6" max="6" width="11.5703125" customWidth="1"/>
    <col min="7" max="7" width="11.140625" customWidth="1"/>
    <col min="8" max="8" width="10.5703125" customWidth="1"/>
    <col min="9" max="9" width="12.42578125" customWidth="1"/>
    <col min="10" max="10" width="15.140625" customWidth="1"/>
  </cols>
  <sheetData>
    <row r="1" spans="1:10" ht="18" x14ac:dyDescent="0.25">
      <c r="A1" s="13" t="str">
        <f ca="1">MID(CELL("filename",$A$1),FIND("]",CELL("filename",$A$1),1)+1,1024)</f>
        <v>HERITAGE FARMS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138</v>
      </c>
      <c r="B5" s="17">
        <v>123814</v>
      </c>
      <c r="C5" s="6">
        <v>41000</v>
      </c>
      <c r="D5" s="11" t="s">
        <v>139</v>
      </c>
      <c r="E5" s="10" t="s">
        <v>226</v>
      </c>
      <c r="F5" s="62" t="s">
        <v>227</v>
      </c>
      <c r="G5" s="6"/>
      <c r="H5" s="6"/>
      <c r="I5" s="6"/>
      <c r="J5" s="6"/>
    </row>
    <row r="6" spans="1:10" x14ac:dyDescent="0.2">
      <c r="A6" s="6"/>
      <c r="B6" s="17"/>
      <c r="C6" s="6">
        <v>41000</v>
      </c>
      <c r="D6" s="11" t="s">
        <v>140</v>
      </c>
      <c r="E6" s="10" t="s">
        <v>226</v>
      </c>
      <c r="F6" s="62" t="s">
        <v>227</v>
      </c>
      <c r="G6" s="6"/>
      <c r="H6" s="6"/>
      <c r="I6" s="6"/>
      <c r="J6" s="6"/>
    </row>
    <row r="7" spans="1:10" x14ac:dyDescent="0.2">
      <c r="A7" s="6"/>
      <c r="B7" s="17"/>
      <c r="C7" s="6">
        <v>41000</v>
      </c>
      <c r="D7" s="11" t="s">
        <v>141</v>
      </c>
      <c r="E7" s="10" t="s">
        <v>226</v>
      </c>
      <c r="F7" s="62" t="s">
        <v>227</v>
      </c>
      <c r="G7" s="6"/>
      <c r="H7" s="6"/>
      <c r="I7" s="6"/>
      <c r="J7" s="6"/>
    </row>
    <row r="8" spans="1:10" x14ac:dyDescent="0.2">
      <c r="A8" s="6"/>
      <c r="B8" s="17"/>
      <c r="C8" s="6">
        <v>41000</v>
      </c>
      <c r="D8" s="11" t="s">
        <v>142</v>
      </c>
      <c r="E8" s="10" t="s">
        <v>226</v>
      </c>
      <c r="F8" s="62" t="s">
        <v>227</v>
      </c>
      <c r="G8" s="6"/>
      <c r="H8" s="6"/>
      <c r="I8" s="6"/>
      <c r="J8" s="6"/>
    </row>
    <row r="9" spans="1:10" x14ac:dyDescent="0.2">
      <c r="A9" s="6"/>
      <c r="B9" s="17"/>
      <c r="C9" s="6">
        <v>41000</v>
      </c>
      <c r="D9" s="11" t="s">
        <v>143</v>
      </c>
      <c r="E9" s="10" t="s">
        <v>226</v>
      </c>
      <c r="F9" s="62" t="s">
        <v>227</v>
      </c>
      <c r="G9" s="6"/>
      <c r="H9" s="6"/>
      <c r="I9" s="6"/>
      <c r="J9" s="6"/>
    </row>
    <row r="10" spans="1:10" x14ac:dyDescent="0.2">
      <c r="A10" s="19"/>
      <c r="B10" s="31"/>
      <c r="C10" s="19"/>
      <c r="D10" s="23"/>
      <c r="E10" s="29"/>
      <c r="F10" s="29"/>
      <c r="G10" s="19"/>
      <c r="H10" s="19"/>
      <c r="I10" s="19"/>
      <c r="J10" s="19"/>
    </row>
    <row r="11" spans="1:10" x14ac:dyDescent="0.2">
      <c r="A11" s="6" t="s">
        <v>138</v>
      </c>
      <c r="B11" s="17">
        <v>116759</v>
      </c>
      <c r="C11" s="6">
        <v>327</v>
      </c>
      <c r="D11" s="11" t="s">
        <v>24</v>
      </c>
      <c r="E11" s="10">
        <v>43497</v>
      </c>
      <c r="F11" s="10">
        <v>43617</v>
      </c>
      <c r="G11" s="6"/>
      <c r="H11" s="6"/>
      <c r="I11" s="6"/>
      <c r="J11" s="6" t="s">
        <v>345</v>
      </c>
    </row>
    <row r="12" spans="1:10" x14ac:dyDescent="0.2">
      <c r="A12" s="6"/>
      <c r="B12" s="17"/>
      <c r="C12" s="6">
        <v>327</v>
      </c>
      <c r="D12" s="11" t="s">
        <v>69</v>
      </c>
      <c r="E12" s="10">
        <v>43497</v>
      </c>
      <c r="F12" s="10">
        <v>43617</v>
      </c>
      <c r="G12" s="6"/>
      <c r="H12" s="6"/>
      <c r="I12" s="6"/>
      <c r="J12" s="6"/>
    </row>
    <row r="13" spans="1:10" x14ac:dyDescent="0.2">
      <c r="A13" s="19"/>
      <c r="B13" s="31"/>
      <c r="C13" s="19"/>
      <c r="D13" s="23"/>
      <c r="E13" s="29"/>
      <c r="F13" s="29"/>
      <c r="G13" s="19"/>
      <c r="H13" s="19"/>
      <c r="I13" s="19"/>
      <c r="J13" s="19"/>
    </row>
    <row r="14" spans="1:10" x14ac:dyDescent="0.2">
      <c r="A14" s="6" t="s">
        <v>138</v>
      </c>
      <c r="B14" s="17">
        <v>116756</v>
      </c>
      <c r="C14" s="6">
        <v>96</v>
      </c>
      <c r="D14" s="11" t="s">
        <v>154</v>
      </c>
      <c r="E14" s="10">
        <v>43497</v>
      </c>
      <c r="F14" s="10">
        <v>43617</v>
      </c>
      <c r="G14" s="6">
        <v>33</v>
      </c>
      <c r="H14" s="6"/>
      <c r="I14" s="6"/>
      <c r="J14" s="6" t="s">
        <v>345</v>
      </c>
    </row>
    <row r="15" spans="1:10" x14ac:dyDescent="0.2">
      <c r="A15" s="6"/>
      <c r="B15" s="17"/>
      <c r="C15" s="6">
        <v>32</v>
      </c>
      <c r="D15" s="11" t="s">
        <v>155</v>
      </c>
      <c r="E15" s="10">
        <v>43497</v>
      </c>
      <c r="F15" s="10">
        <v>43617</v>
      </c>
      <c r="G15" s="6">
        <v>6</v>
      </c>
      <c r="H15" s="6"/>
      <c r="I15" s="6"/>
      <c r="J15" s="6"/>
    </row>
    <row r="16" spans="1:10" x14ac:dyDescent="0.2">
      <c r="A16" s="6"/>
      <c r="B16" s="17"/>
      <c r="C16" s="6">
        <v>38</v>
      </c>
      <c r="D16" s="11" t="s">
        <v>156</v>
      </c>
      <c r="E16" s="10">
        <v>43497</v>
      </c>
      <c r="F16" s="10">
        <v>43617</v>
      </c>
      <c r="G16" s="6"/>
      <c r="H16" s="6"/>
      <c r="I16" s="6"/>
      <c r="J16" s="6"/>
    </row>
    <row r="17" spans="1:10" x14ac:dyDescent="0.2">
      <c r="A17" s="6"/>
      <c r="B17" s="17"/>
      <c r="C17" s="6">
        <v>166</v>
      </c>
      <c r="D17" s="11" t="s">
        <v>69</v>
      </c>
      <c r="E17" s="10">
        <v>43497</v>
      </c>
      <c r="F17" s="10">
        <v>43617</v>
      </c>
      <c r="G17" s="6"/>
      <c r="H17" s="6"/>
      <c r="I17" s="6"/>
      <c r="J17" s="6"/>
    </row>
    <row r="18" spans="1:10" x14ac:dyDescent="0.2">
      <c r="A18" s="19"/>
      <c r="B18" s="31"/>
      <c r="C18" s="19"/>
      <c r="D18" s="23"/>
      <c r="E18" s="29"/>
      <c r="F18" s="29"/>
      <c r="G18" s="19"/>
      <c r="H18" s="19"/>
      <c r="I18" s="19"/>
      <c r="J18" s="19"/>
    </row>
    <row r="19" spans="1:10" x14ac:dyDescent="0.2">
      <c r="A19" s="6" t="s">
        <v>138</v>
      </c>
      <c r="B19" s="17">
        <v>123815</v>
      </c>
      <c r="C19" s="6">
        <v>10000</v>
      </c>
      <c r="D19" s="11" t="s">
        <v>252</v>
      </c>
      <c r="E19" s="10" t="s">
        <v>226</v>
      </c>
      <c r="F19" s="62" t="s">
        <v>227</v>
      </c>
      <c r="G19" s="6"/>
      <c r="H19" s="6"/>
      <c r="I19" s="6"/>
      <c r="J19" s="6"/>
    </row>
    <row r="20" spans="1:10" x14ac:dyDescent="0.2">
      <c r="A20" s="19"/>
      <c r="B20" s="31"/>
      <c r="C20" s="19"/>
      <c r="D20" s="23"/>
      <c r="E20" s="29"/>
      <c r="F20" s="29"/>
      <c r="G20" s="19"/>
      <c r="H20" s="19"/>
      <c r="I20" s="19"/>
      <c r="J20" s="19"/>
    </row>
    <row r="21" spans="1:10" x14ac:dyDescent="0.2">
      <c r="A21" s="6"/>
      <c r="B21" s="17"/>
      <c r="C21" s="6"/>
      <c r="D21" s="11"/>
      <c r="E21" s="10"/>
      <c r="F21" s="62"/>
      <c r="G21" s="6"/>
      <c r="H21" s="6"/>
      <c r="I21" s="6"/>
      <c r="J21" s="6"/>
    </row>
    <row r="22" spans="1:10" x14ac:dyDescent="0.2">
      <c r="A22" s="6"/>
      <c r="B22" s="17"/>
      <c r="C22" s="6"/>
      <c r="D22" s="11"/>
      <c r="E22" s="10"/>
      <c r="F22" s="62"/>
      <c r="G22" s="6"/>
      <c r="H22" s="6"/>
      <c r="I22" s="6"/>
      <c r="J22" s="6"/>
    </row>
    <row r="23" spans="1:10" x14ac:dyDescent="0.2">
      <c r="A23" s="6"/>
      <c r="B23" s="17"/>
      <c r="C23" s="6"/>
      <c r="D23" s="11"/>
      <c r="E23" s="10"/>
      <c r="F23" s="62"/>
      <c r="G23" s="6"/>
      <c r="H23" s="6"/>
      <c r="I23" s="6"/>
      <c r="J23" s="6"/>
    </row>
    <row r="24" spans="1:10" x14ac:dyDescent="0.2">
      <c r="A24" s="6"/>
      <c r="B24" s="17"/>
      <c r="C24" s="6"/>
      <c r="D24" s="11"/>
      <c r="E24" s="10"/>
      <c r="F24" s="62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62"/>
      <c r="G25" s="6"/>
      <c r="H25" s="6"/>
      <c r="I25" s="6"/>
      <c r="J25" s="6"/>
    </row>
    <row r="26" spans="1:10" x14ac:dyDescent="0.2">
      <c r="A26" s="6"/>
      <c r="B26" s="6"/>
      <c r="C26" s="6"/>
      <c r="D26" s="11"/>
      <c r="E26" s="10"/>
      <c r="F26" s="62"/>
      <c r="G26" s="6"/>
      <c r="H26" s="6"/>
      <c r="I26" s="6"/>
      <c r="J26" s="6"/>
    </row>
    <row r="27" spans="1:10" x14ac:dyDescent="0.2">
      <c r="A27" s="6"/>
      <c r="B27" s="6"/>
      <c r="C27" s="6"/>
      <c r="D27" s="11"/>
      <c r="E27" s="10"/>
      <c r="F27" s="62"/>
      <c r="G27" s="6"/>
      <c r="H27" s="6"/>
      <c r="I27" s="6"/>
      <c r="J27" s="6"/>
    </row>
    <row r="28" spans="1:10" x14ac:dyDescent="0.2">
      <c r="A28" s="6"/>
      <c r="B28" s="6"/>
      <c r="C28" s="6"/>
      <c r="D28" s="11"/>
      <c r="E28" s="10"/>
      <c r="F28" s="62"/>
      <c r="G28" s="6"/>
      <c r="H28" s="6"/>
      <c r="I28" s="6"/>
      <c r="J28" s="6"/>
    </row>
    <row r="29" spans="1:10" x14ac:dyDescent="0.2">
      <c r="A29" s="6"/>
      <c r="B29" s="6"/>
      <c r="C29" s="6"/>
      <c r="D29" s="11"/>
      <c r="E29" s="10"/>
      <c r="F29" s="62"/>
      <c r="G29" s="6"/>
      <c r="H29" s="6"/>
      <c r="I29" s="6"/>
      <c r="J29" s="6"/>
    </row>
    <row r="30" spans="1:10" x14ac:dyDescent="0.2">
      <c r="A30" s="6"/>
      <c r="B30" s="6"/>
      <c r="C30" s="6"/>
      <c r="D30" s="11"/>
      <c r="E30" s="10"/>
      <c r="F30" s="62"/>
      <c r="G30" s="6"/>
      <c r="H30" s="6"/>
      <c r="I30" s="6"/>
      <c r="J30" s="6"/>
    </row>
    <row r="31" spans="1:10" x14ac:dyDescent="0.2">
      <c r="A31" s="6"/>
      <c r="B31" s="6"/>
      <c r="C31" s="6"/>
      <c r="D31" s="11"/>
      <c r="E31" s="10"/>
      <c r="F31" s="62"/>
      <c r="G31" s="6"/>
      <c r="H31" s="6"/>
      <c r="I31" s="6"/>
      <c r="J31" s="6"/>
    </row>
    <row r="32" spans="1:10" x14ac:dyDescent="0.2">
      <c r="A32" s="6"/>
      <c r="B32" s="6"/>
      <c r="C32" s="6"/>
      <c r="D32" s="11"/>
      <c r="E32" s="10"/>
      <c r="F32" s="62"/>
      <c r="G32" s="6"/>
      <c r="H32" s="6"/>
      <c r="I32" s="6"/>
      <c r="J32" s="6"/>
    </row>
    <row r="33" spans="1:10" x14ac:dyDescent="0.2">
      <c r="A33" s="6"/>
      <c r="B33" s="6"/>
      <c r="C33" s="6"/>
      <c r="D33" s="11"/>
      <c r="E33" s="10"/>
      <c r="F33" s="62"/>
      <c r="G33" s="6"/>
      <c r="H33" s="6"/>
      <c r="I33" s="6"/>
      <c r="J33" s="6"/>
    </row>
    <row r="34" spans="1:10" x14ac:dyDescent="0.2">
      <c r="A34" s="6"/>
      <c r="B34" s="6"/>
      <c r="C34" s="6"/>
      <c r="D34" s="11"/>
      <c r="E34" s="10"/>
      <c r="F34" s="62"/>
      <c r="G34" s="6"/>
      <c r="H34" s="6"/>
      <c r="I34" s="6"/>
      <c r="J34" s="6"/>
    </row>
    <row r="35" spans="1:10" x14ac:dyDescent="0.2">
      <c r="A35" s="6"/>
      <c r="B35" s="6"/>
      <c r="C35" s="6"/>
      <c r="D35" s="11"/>
      <c r="E35" s="10"/>
      <c r="F35" s="62"/>
      <c r="G35" s="6"/>
      <c r="H35" s="6"/>
      <c r="I35" s="6"/>
      <c r="J35" s="6"/>
    </row>
    <row r="36" spans="1:10" x14ac:dyDescent="0.2">
      <c r="A36" s="6"/>
      <c r="B36" s="6"/>
      <c r="C36" s="6"/>
      <c r="D36" s="11"/>
      <c r="E36" s="10"/>
      <c r="F36" s="62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">
      <c r="A40" s="6"/>
      <c r="B40" s="6"/>
      <c r="C40" s="6"/>
      <c r="D40" s="6"/>
      <c r="E40" s="6"/>
      <c r="F40" s="6"/>
      <c r="G40" s="6"/>
      <c r="H40" s="6"/>
      <c r="I40" s="6"/>
      <c r="J40" s="6"/>
    </row>
  </sheetData>
  <mergeCells count="1">
    <mergeCell ref="I3:I4"/>
  </mergeCells>
  <pageMargins left="0.7" right="0.7" top="0.75" bottom="0.75" header="0.3" footer="0.3"/>
  <pageSetup scale="92" fitToHeight="6" orientation="landscape" horizontalDpi="300" r:id="rId1"/>
  <headerFooter>
    <oddFooter>&amp;R&amp;D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32">
    <tabColor theme="0" tint="-0.34998626667073579"/>
    <pageSetUpPr fitToPage="1"/>
  </sheetPr>
  <dimension ref="A1:J87"/>
  <sheetViews>
    <sheetView topLeftCell="A25" workbookViewId="0"/>
  </sheetViews>
  <sheetFormatPr defaultRowHeight="12.75" x14ac:dyDescent="0.2"/>
  <cols>
    <col min="1" max="1" width="22" bestFit="1" customWidth="1"/>
    <col min="2" max="2" width="17.28515625" bestFit="1" customWidth="1"/>
    <col min="3" max="3" width="6.5703125" customWidth="1"/>
    <col min="4" max="4" width="22.140625" customWidth="1"/>
    <col min="5" max="5" width="10.85546875" customWidth="1"/>
    <col min="6" max="6" width="10.5703125" customWidth="1"/>
    <col min="7" max="7" width="11.7109375" customWidth="1"/>
    <col min="8" max="8" width="11.42578125" customWidth="1"/>
    <col min="9" max="9" width="12" customWidth="1"/>
  </cols>
  <sheetData>
    <row r="1" spans="1:10" ht="18" x14ac:dyDescent="0.25">
      <c r="A1" s="13" t="str">
        <f ca="1">MID(CELL("filename",$A$1),FIND("]",CELL("filename",$A$1),1)+1,1024)</f>
        <v>H&amp;H Farms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s="3" customFormat="1" x14ac:dyDescent="0.2">
      <c r="A5" s="6" t="s">
        <v>75</v>
      </c>
      <c r="B5" s="25">
        <v>1774</v>
      </c>
      <c r="C5" s="25">
        <v>32</v>
      </c>
      <c r="D5" s="15" t="s">
        <v>220</v>
      </c>
      <c r="E5" s="26">
        <v>43320</v>
      </c>
      <c r="F5" s="26">
        <v>43504</v>
      </c>
      <c r="G5" s="8"/>
      <c r="H5" s="8"/>
      <c r="I5" s="75"/>
      <c r="J5" s="8"/>
    </row>
    <row r="6" spans="1:10" s="3" customFormat="1" x14ac:dyDescent="0.2">
      <c r="A6" s="6" t="s">
        <v>76</v>
      </c>
      <c r="B6" s="37"/>
      <c r="C6" s="25">
        <v>35</v>
      </c>
      <c r="D6" s="74" t="s">
        <v>48</v>
      </c>
      <c r="E6" s="26">
        <v>43320</v>
      </c>
      <c r="F6" s="26">
        <v>43504</v>
      </c>
      <c r="G6" s="8"/>
      <c r="H6" s="8"/>
      <c r="I6" s="75"/>
      <c r="J6" s="8"/>
    </row>
    <row r="7" spans="1:10" x14ac:dyDescent="0.2">
      <c r="A7" s="6"/>
      <c r="B7" s="17"/>
      <c r="C7" s="6">
        <v>2</v>
      </c>
      <c r="D7" s="11" t="s">
        <v>77</v>
      </c>
      <c r="E7" s="26">
        <v>43320</v>
      </c>
      <c r="F7" s="26">
        <v>43504</v>
      </c>
      <c r="G7" s="6"/>
      <c r="H7" s="6"/>
      <c r="I7" s="6">
        <f t="shared" ref="I7:I13" si="0">C7-G7</f>
        <v>2</v>
      </c>
      <c r="J7" s="6"/>
    </row>
    <row r="8" spans="1:10" x14ac:dyDescent="0.2">
      <c r="A8" s="6"/>
      <c r="B8" s="12"/>
      <c r="C8" s="6">
        <v>2</v>
      </c>
      <c r="D8" s="11" t="s">
        <v>78</v>
      </c>
      <c r="E8" s="26">
        <v>43320</v>
      </c>
      <c r="F8" s="26">
        <v>43504</v>
      </c>
      <c r="G8" s="6"/>
      <c r="H8" s="6"/>
      <c r="I8" s="6">
        <f t="shared" si="0"/>
        <v>2</v>
      </c>
      <c r="J8" s="6"/>
    </row>
    <row r="9" spans="1:10" x14ac:dyDescent="0.2">
      <c r="A9" s="6"/>
      <c r="B9" s="12"/>
      <c r="C9" s="6">
        <v>35</v>
      </c>
      <c r="D9" s="11" t="s">
        <v>48</v>
      </c>
      <c r="E9" s="26">
        <v>43320</v>
      </c>
      <c r="F9" s="26">
        <v>43504</v>
      </c>
      <c r="G9" s="6"/>
      <c r="H9" s="6"/>
      <c r="I9" s="6">
        <f t="shared" si="0"/>
        <v>35</v>
      </c>
      <c r="J9" s="6"/>
    </row>
    <row r="10" spans="1:10" x14ac:dyDescent="0.2">
      <c r="A10" s="6"/>
      <c r="B10" s="12"/>
      <c r="C10" s="6">
        <v>26</v>
      </c>
      <c r="D10" s="11" t="s">
        <v>79</v>
      </c>
      <c r="E10" s="26">
        <v>43320</v>
      </c>
      <c r="F10" s="26">
        <v>43504</v>
      </c>
      <c r="G10" s="6"/>
      <c r="H10" s="6"/>
      <c r="I10" s="6">
        <f t="shared" si="0"/>
        <v>26</v>
      </c>
      <c r="J10" s="6"/>
    </row>
    <row r="11" spans="1:10" x14ac:dyDescent="0.2">
      <c r="A11" s="6"/>
      <c r="B11" s="12"/>
      <c r="C11" s="6">
        <v>26</v>
      </c>
      <c r="D11" s="11" t="s">
        <v>80</v>
      </c>
      <c r="E11" s="26">
        <v>43320</v>
      </c>
      <c r="F11" s="26">
        <v>43504</v>
      </c>
      <c r="G11" s="6"/>
      <c r="H11" s="6"/>
      <c r="I11" s="6">
        <f t="shared" si="0"/>
        <v>26</v>
      </c>
      <c r="J11" s="6"/>
    </row>
    <row r="12" spans="1:10" x14ac:dyDescent="0.2">
      <c r="A12" s="6"/>
      <c r="B12" s="12"/>
      <c r="C12" s="6">
        <v>88</v>
      </c>
      <c r="D12" s="11" t="s">
        <v>64</v>
      </c>
      <c r="E12" s="26">
        <v>43320</v>
      </c>
      <c r="F12" s="26">
        <v>43504</v>
      </c>
      <c r="G12" s="6"/>
      <c r="H12" s="6"/>
      <c r="I12" s="6">
        <f t="shared" si="0"/>
        <v>88</v>
      </c>
      <c r="J12" s="6"/>
    </row>
    <row r="13" spans="1:10" x14ac:dyDescent="0.2">
      <c r="A13" s="6"/>
      <c r="B13" s="12"/>
      <c r="C13" s="6">
        <v>1</v>
      </c>
      <c r="D13" s="11" t="s">
        <v>90</v>
      </c>
      <c r="E13" s="26">
        <v>43320</v>
      </c>
      <c r="F13" s="26">
        <v>43504</v>
      </c>
      <c r="G13" s="6"/>
      <c r="H13" s="6"/>
      <c r="I13" s="6">
        <f t="shared" si="0"/>
        <v>1</v>
      </c>
      <c r="J13" s="6"/>
    </row>
    <row r="14" spans="1:10" x14ac:dyDescent="0.2">
      <c r="A14" s="19"/>
      <c r="B14" s="22"/>
      <c r="C14" s="19"/>
      <c r="D14" s="23"/>
      <c r="E14" s="24"/>
      <c r="F14" s="19"/>
      <c r="G14" s="19"/>
      <c r="H14" s="19"/>
      <c r="I14" s="19"/>
      <c r="J14" s="19"/>
    </row>
    <row r="15" spans="1:10" x14ac:dyDescent="0.2">
      <c r="A15" s="6" t="s">
        <v>153</v>
      </c>
      <c r="B15" s="6">
        <v>121632</v>
      </c>
      <c r="C15" s="6">
        <v>1022</v>
      </c>
      <c r="D15" s="8" t="s">
        <v>180</v>
      </c>
      <c r="E15" s="10">
        <v>43685</v>
      </c>
      <c r="F15" s="10">
        <v>44051</v>
      </c>
      <c r="G15" s="6"/>
      <c r="H15" s="6"/>
      <c r="I15" s="6">
        <f>C15-G15</f>
        <v>1022</v>
      </c>
      <c r="J15" s="6"/>
    </row>
    <row r="16" spans="1:10" x14ac:dyDescent="0.2">
      <c r="A16" s="19"/>
      <c r="B16" s="19"/>
      <c r="C16" s="19"/>
      <c r="D16" s="19"/>
      <c r="E16" s="29"/>
      <c r="F16" s="29"/>
      <c r="G16" s="19"/>
      <c r="H16" s="19"/>
      <c r="I16" s="19"/>
      <c r="J16" s="19"/>
    </row>
    <row r="17" spans="1:10" x14ac:dyDescent="0.2">
      <c r="A17" s="6" t="s">
        <v>189</v>
      </c>
      <c r="B17" s="8" t="s">
        <v>767</v>
      </c>
      <c r="C17" s="6">
        <v>32</v>
      </c>
      <c r="D17" s="6" t="s">
        <v>191</v>
      </c>
      <c r="E17" s="10">
        <v>44235</v>
      </c>
      <c r="F17" s="10">
        <v>44416</v>
      </c>
      <c r="G17" s="6"/>
      <c r="H17" s="6"/>
      <c r="I17" s="6">
        <f>C17-G17</f>
        <v>32</v>
      </c>
      <c r="J17" s="6"/>
    </row>
    <row r="18" spans="1:10" x14ac:dyDescent="0.2">
      <c r="A18" s="6" t="s">
        <v>190</v>
      </c>
      <c r="B18" s="6"/>
      <c r="C18" s="6">
        <v>15</v>
      </c>
      <c r="D18" s="6" t="s">
        <v>167</v>
      </c>
      <c r="E18" s="10">
        <v>44235</v>
      </c>
      <c r="F18" s="10">
        <v>44416</v>
      </c>
      <c r="G18" s="6"/>
      <c r="H18" s="6"/>
      <c r="I18" s="6">
        <f>C18-G18</f>
        <v>15</v>
      </c>
      <c r="J18" s="6"/>
    </row>
    <row r="19" spans="1:10" x14ac:dyDescent="0.2">
      <c r="A19" s="6"/>
      <c r="B19" s="6"/>
      <c r="C19" s="6">
        <v>17</v>
      </c>
      <c r="D19" s="6" t="s">
        <v>136</v>
      </c>
      <c r="E19" s="10">
        <v>44235</v>
      </c>
      <c r="F19" s="10">
        <v>44416</v>
      </c>
      <c r="G19" s="6"/>
      <c r="H19" s="6"/>
      <c r="I19" s="6">
        <f>C19-G19</f>
        <v>17</v>
      </c>
      <c r="J19" s="6"/>
    </row>
    <row r="20" spans="1:10" x14ac:dyDescent="0.2">
      <c r="A20" s="19"/>
      <c r="B20" s="19"/>
      <c r="C20" s="19"/>
      <c r="D20" s="19"/>
      <c r="E20" s="29"/>
      <c r="F20" s="29"/>
      <c r="G20" s="19"/>
      <c r="H20" s="19"/>
      <c r="I20" s="19"/>
      <c r="J20" s="19"/>
    </row>
    <row r="21" spans="1:10" x14ac:dyDescent="0.2">
      <c r="A21" s="6" t="s">
        <v>189</v>
      </c>
      <c r="B21" s="8" t="s">
        <v>822</v>
      </c>
      <c r="C21" s="6">
        <v>32</v>
      </c>
      <c r="D21" s="6" t="s">
        <v>191</v>
      </c>
      <c r="E21" s="10">
        <v>44287</v>
      </c>
      <c r="F21" s="10">
        <v>44469</v>
      </c>
      <c r="G21" s="6"/>
      <c r="H21" s="6"/>
      <c r="I21" s="6">
        <f>C21-G21</f>
        <v>32</v>
      </c>
      <c r="J21" s="6"/>
    </row>
    <row r="22" spans="1:10" x14ac:dyDescent="0.2">
      <c r="A22" s="6"/>
      <c r="B22" s="6"/>
      <c r="C22" s="6">
        <v>16</v>
      </c>
      <c r="D22" s="6" t="s">
        <v>167</v>
      </c>
      <c r="E22" s="10">
        <v>44287</v>
      </c>
      <c r="F22" s="10">
        <v>44469</v>
      </c>
      <c r="G22" s="6"/>
      <c r="H22" s="6"/>
      <c r="I22" s="6">
        <f>C22-G22</f>
        <v>16</v>
      </c>
      <c r="J22" s="6"/>
    </row>
    <row r="23" spans="1:10" x14ac:dyDescent="0.2">
      <c r="A23" s="6"/>
      <c r="B23" s="6"/>
      <c r="C23" s="6">
        <v>16</v>
      </c>
      <c r="D23" s="6" t="s">
        <v>136</v>
      </c>
      <c r="E23" s="10">
        <v>44287</v>
      </c>
      <c r="F23" s="10">
        <v>44469</v>
      </c>
      <c r="G23" s="6"/>
      <c r="H23" s="6"/>
      <c r="I23" s="6">
        <f>C23-G23</f>
        <v>16</v>
      </c>
      <c r="J23" s="6"/>
    </row>
    <row r="24" spans="1:10" x14ac:dyDescent="0.2">
      <c r="A24" s="6"/>
      <c r="B24" s="6"/>
      <c r="C24" s="6">
        <v>32</v>
      </c>
      <c r="D24" s="6" t="s">
        <v>192</v>
      </c>
      <c r="E24" s="10">
        <v>44287</v>
      </c>
      <c r="F24" s="10">
        <v>44469</v>
      </c>
      <c r="G24" s="6"/>
      <c r="H24" s="6"/>
      <c r="I24" s="6">
        <f>C24-G24</f>
        <v>32</v>
      </c>
      <c r="J24" s="6"/>
    </row>
    <row r="25" spans="1:10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</row>
    <row r="26" spans="1:10" x14ac:dyDescent="0.2">
      <c r="A26" s="6" t="s">
        <v>193</v>
      </c>
      <c r="B26" s="8" t="s">
        <v>766</v>
      </c>
      <c r="C26" s="6">
        <v>32</v>
      </c>
      <c r="D26" s="6" t="s">
        <v>67</v>
      </c>
      <c r="E26" s="10">
        <v>44235</v>
      </c>
      <c r="F26" s="10">
        <v>44416</v>
      </c>
      <c r="G26" s="6"/>
      <c r="H26" s="6"/>
      <c r="I26" s="6">
        <f t="shared" ref="I26:I33" si="1">C26-G26</f>
        <v>32</v>
      </c>
      <c r="J26" s="6"/>
    </row>
    <row r="27" spans="1:10" x14ac:dyDescent="0.2">
      <c r="A27" s="6" t="s">
        <v>190</v>
      </c>
      <c r="B27" s="6"/>
      <c r="C27" s="6">
        <v>8</v>
      </c>
      <c r="D27" s="6" t="s">
        <v>125</v>
      </c>
      <c r="E27" s="10">
        <v>44235</v>
      </c>
      <c r="F27" s="10">
        <v>44416</v>
      </c>
      <c r="G27" s="6"/>
      <c r="H27" s="6"/>
      <c r="I27" s="6">
        <f t="shared" si="1"/>
        <v>8</v>
      </c>
      <c r="J27" s="6"/>
    </row>
    <row r="28" spans="1:10" x14ac:dyDescent="0.2">
      <c r="A28" s="6"/>
      <c r="B28" s="6"/>
      <c r="C28" s="6">
        <v>24</v>
      </c>
      <c r="D28" s="6" t="s">
        <v>48</v>
      </c>
      <c r="E28" s="10">
        <v>44235</v>
      </c>
      <c r="F28" s="10">
        <v>44416</v>
      </c>
      <c r="G28" s="6"/>
      <c r="H28" s="6"/>
      <c r="I28" s="6">
        <f t="shared" si="1"/>
        <v>24</v>
      </c>
      <c r="J28" s="6"/>
    </row>
    <row r="29" spans="1:10" x14ac:dyDescent="0.2">
      <c r="A29" s="6"/>
      <c r="B29" s="6"/>
      <c r="C29" s="6">
        <v>8</v>
      </c>
      <c r="D29" s="6" t="s">
        <v>106</v>
      </c>
      <c r="E29" s="10">
        <v>44235</v>
      </c>
      <c r="F29" s="10">
        <v>44416</v>
      </c>
      <c r="G29" s="6"/>
      <c r="H29" s="6"/>
      <c r="I29" s="6">
        <f t="shared" si="1"/>
        <v>8</v>
      </c>
      <c r="J29" s="6"/>
    </row>
    <row r="30" spans="1:10" x14ac:dyDescent="0.2">
      <c r="A30" s="6" t="s">
        <v>7</v>
      </c>
      <c r="B30" s="6"/>
      <c r="C30" s="6">
        <v>128</v>
      </c>
      <c r="D30" s="6" t="s">
        <v>134</v>
      </c>
      <c r="E30" s="10">
        <v>44235</v>
      </c>
      <c r="F30" s="10">
        <v>44416</v>
      </c>
      <c r="G30" s="6"/>
      <c r="H30" s="6"/>
      <c r="I30" s="6">
        <f t="shared" si="1"/>
        <v>128</v>
      </c>
      <c r="J30" s="6"/>
    </row>
    <row r="31" spans="1:10" x14ac:dyDescent="0.2">
      <c r="A31" s="6"/>
      <c r="B31" s="6"/>
      <c r="C31" s="6">
        <v>16</v>
      </c>
      <c r="D31" s="6" t="s">
        <v>80</v>
      </c>
      <c r="E31" s="10">
        <v>44235</v>
      </c>
      <c r="F31" s="10">
        <v>44416</v>
      </c>
      <c r="G31" s="6"/>
      <c r="H31" s="6"/>
      <c r="I31" s="6">
        <f t="shared" si="1"/>
        <v>16</v>
      </c>
      <c r="J31" s="6"/>
    </row>
    <row r="32" spans="1:10" x14ac:dyDescent="0.2">
      <c r="A32" s="6"/>
      <c r="B32" s="6"/>
      <c r="C32" s="6">
        <v>16</v>
      </c>
      <c r="D32" s="6" t="s">
        <v>194</v>
      </c>
      <c r="E32" s="10">
        <v>44235</v>
      </c>
      <c r="F32" s="10">
        <v>44416</v>
      </c>
      <c r="G32" s="6"/>
      <c r="H32" s="6"/>
      <c r="I32" s="6">
        <f t="shared" si="1"/>
        <v>16</v>
      </c>
      <c r="J32" s="6"/>
    </row>
    <row r="33" spans="1:10" x14ac:dyDescent="0.2">
      <c r="A33" s="6"/>
      <c r="B33" s="6"/>
      <c r="C33" s="6">
        <v>16</v>
      </c>
      <c r="D33" s="6" t="s">
        <v>195</v>
      </c>
      <c r="E33" s="10">
        <v>44235</v>
      </c>
      <c r="F33" s="10">
        <v>44416</v>
      </c>
      <c r="G33" s="6"/>
      <c r="H33" s="6"/>
      <c r="I33" s="6">
        <f t="shared" si="1"/>
        <v>16</v>
      </c>
      <c r="J33" s="6"/>
    </row>
    <row r="34" spans="1:10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spans="1:10" x14ac:dyDescent="0.2">
      <c r="A35" s="6" t="s">
        <v>193</v>
      </c>
      <c r="B35" s="8" t="s">
        <v>821</v>
      </c>
      <c r="C35" s="6">
        <v>28</v>
      </c>
      <c r="D35" s="6" t="s">
        <v>67</v>
      </c>
      <c r="E35" s="10">
        <v>44287</v>
      </c>
      <c r="F35" s="10">
        <v>44469</v>
      </c>
      <c r="G35" s="6"/>
      <c r="H35" s="6"/>
      <c r="I35" s="6">
        <f>C35-G35</f>
        <v>28</v>
      </c>
      <c r="J35" s="6"/>
    </row>
    <row r="36" spans="1:10" x14ac:dyDescent="0.2">
      <c r="A36" s="6"/>
      <c r="B36" s="6"/>
      <c r="C36" s="6">
        <v>14</v>
      </c>
      <c r="D36" s="6" t="s">
        <v>48</v>
      </c>
      <c r="E36" s="10">
        <v>44287</v>
      </c>
      <c r="F36" s="10">
        <v>44469</v>
      </c>
      <c r="G36" s="6"/>
      <c r="H36" s="6"/>
      <c r="I36" s="6">
        <f>C36-G36</f>
        <v>14</v>
      </c>
      <c r="J36" s="6"/>
    </row>
    <row r="37" spans="1:10" x14ac:dyDescent="0.2">
      <c r="A37" s="6"/>
      <c r="B37" s="6"/>
      <c r="C37" s="6">
        <v>14</v>
      </c>
      <c r="D37" s="6" t="s">
        <v>167</v>
      </c>
      <c r="E37" s="10">
        <v>44287</v>
      </c>
      <c r="F37" s="10">
        <v>44469</v>
      </c>
      <c r="G37" s="6"/>
      <c r="H37" s="6"/>
      <c r="I37" s="6">
        <f>C37-G37</f>
        <v>14</v>
      </c>
      <c r="J37" s="6"/>
    </row>
    <row r="38" spans="1:10" x14ac:dyDescent="0.2">
      <c r="A38" s="52"/>
      <c r="B38" s="19"/>
      <c r="C38" s="19"/>
      <c r="D38" s="19"/>
      <c r="E38" s="19"/>
      <c r="F38" s="19"/>
      <c r="G38" s="19"/>
      <c r="H38" s="19"/>
      <c r="I38" s="19"/>
      <c r="J38" s="19"/>
    </row>
    <row r="39" spans="1:10" x14ac:dyDescent="0.2">
      <c r="A39" s="6" t="s">
        <v>202</v>
      </c>
      <c r="B39" s="6">
        <v>1114</v>
      </c>
      <c r="C39" s="6">
        <v>78</v>
      </c>
      <c r="D39" s="6" t="s">
        <v>21</v>
      </c>
      <c r="E39" s="10">
        <v>42826</v>
      </c>
      <c r="F39" s="10">
        <v>43009</v>
      </c>
      <c r="G39" s="6">
        <v>73</v>
      </c>
      <c r="H39" s="6"/>
      <c r="I39" s="6">
        <f>C39-G39</f>
        <v>5</v>
      </c>
      <c r="J39" s="6"/>
    </row>
    <row r="40" spans="1:10" x14ac:dyDescent="0.2">
      <c r="A40" s="6"/>
      <c r="B40" s="6"/>
      <c r="C40" s="6">
        <v>72</v>
      </c>
      <c r="D40" s="6" t="s">
        <v>8</v>
      </c>
      <c r="E40" s="10">
        <v>42826</v>
      </c>
      <c r="F40" s="10">
        <v>43009</v>
      </c>
      <c r="G40" s="6">
        <v>72</v>
      </c>
      <c r="H40" s="6"/>
      <c r="I40" s="6">
        <f>C40-G40</f>
        <v>0</v>
      </c>
      <c r="J40" s="6"/>
    </row>
    <row r="41" spans="1:10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</row>
    <row r="42" spans="1:10" x14ac:dyDescent="0.2">
      <c r="A42" s="8" t="s">
        <v>204</v>
      </c>
      <c r="B42" s="6">
        <v>1256</v>
      </c>
      <c r="C42" s="6">
        <v>25</v>
      </c>
      <c r="D42" s="8" t="s">
        <v>24</v>
      </c>
      <c r="E42" s="10">
        <v>42955</v>
      </c>
      <c r="F42" s="10">
        <v>43139</v>
      </c>
      <c r="G42" s="6">
        <v>1</v>
      </c>
      <c r="H42" s="6"/>
      <c r="I42" s="6">
        <f>C42-G42</f>
        <v>24</v>
      </c>
      <c r="J42" s="8" t="s">
        <v>352</v>
      </c>
    </row>
    <row r="43" spans="1:10" x14ac:dyDescent="0.2">
      <c r="A43" s="6"/>
      <c r="B43" s="6"/>
      <c r="C43" s="6">
        <v>1</v>
      </c>
      <c r="D43" s="8" t="s">
        <v>14</v>
      </c>
      <c r="E43" s="10">
        <v>42955</v>
      </c>
      <c r="F43" s="10">
        <v>43139</v>
      </c>
      <c r="G43" s="6">
        <v>1</v>
      </c>
      <c r="H43" s="6"/>
      <c r="I43" s="6">
        <f>C43-G43</f>
        <v>0</v>
      </c>
      <c r="J43" s="10">
        <v>43497</v>
      </c>
    </row>
    <row r="44" spans="1:10" x14ac:dyDescent="0.2">
      <c r="A44" s="6"/>
      <c r="B44" s="6"/>
      <c r="C44" s="6">
        <v>1</v>
      </c>
      <c r="D44" s="8" t="s">
        <v>137</v>
      </c>
      <c r="E44" s="10">
        <v>42955</v>
      </c>
      <c r="F44" s="10">
        <v>43139</v>
      </c>
      <c r="G44" s="6"/>
      <c r="H44" s="6"/>
      <c r="I44" s="6">
        <f>C44-G44</f>
        <v>1</v>
      </c>
      <c r="J44" s="8" t="s">
        <v>225</v>
      </c>
    </row>
    <row r="45" spans="1:10" x14ac:dyDescent="0.2">
      <c r="A45" s="6"/>
      <c r="B45" s="6"/>
      <c r="C45" s="6">
        <v>1</v>
      </c>
      <c r="D45" s="8" t="s">
        <v>120</v>
      </c>
      <c r="E45" s="10">
        <v>42955</v>
      </c>
      <c r="F45" s="10">
        <v>43139</v>
      </c>
      <c r="G45" s="6"/>
      <c r="H45" s="6"/>
      <c r="I45" s="6">
        <f>C45-G45</f>
        <v>1</v>
      </c>
      <c r="J45" s="6"/>
    </row>
    <row r="46" spans="1:10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</row>
    <row r="47" spans="1:10" x14ac:dyDescent="0.2">
      <c r="A47" s="6" t="s">
        <v>193</v>
      </c>
      <c r="B47" s="6">
        <v>123141</v>
      </c>
      <c r="C47" s="6">
        <v>59</v>
      </c>
      <c r="D47" s="6" t="s">
        <v>25</v>
      </c>
      <c r="E47" s="10">
        <v>43739</v>
      </c>
      <c r="F47" s="10">
        <v>43921</v>
      </c>
      <c r="G47" s="6">
        <v>26</v>
      </c>
      <c r="H47" s="6"/>
      <c r="I47" s="6">
        <f>C47-G47</f>
        <v>33</v>
      </c>
      <c r="J47" s="6"/>
    </row>
    <row r="48" spans="1:10" x14ac:dyDescent="0.2">
      <c r="A48" s="6"/>
      <c r="B48" s="6"/>
      <c r="C48" s="6">
        <v>1</v>
      </c>
      <c r="D48" s="6" t="s">
        <v>152</v>
      </c>
      <c r="E48" s="10">
        <v>43739</v>
      </c>
      <c r="F48" s="10">
        <v>43921</v>
      </c>
      <c r="G48" s="6"/>
      <c r="H48" s="6"/>
      <c r="I48" s="6">
        <f>C48-G48</f>
        <v>1</v>
      </c>
      <c r="J48" s="6"/>
    </row>
    <row r="49" spans="1:10" x14ac:dyDescent="0.2">
      <c r="A49" s="6"/>
      <c r="B49" s="6"/>
      <c r="C49" s="6">
        <v>60</v>
      </c>
      <c r="D49" s="6" t="s">
        <v>70</v>
      </c>
      <c r="E49" s="10">
        <v>43739</v>
      </c>
      <c r="F49" s="10">
        <v>43921</v>
      </c>
      <c r="G49" s="6">
        <v>26</v>
      </c>
      <c r="H49" s="6"/>
      <c r="I49" s="6">
        <f>C49-G49</f>
        <v>34</v>
      </c>
      <c r="J49" s="6"/>
    </row>
    <row r="50" spans="1:10" x14ac:dyDescent="0.2">
      <c r="A50" s="19"/>
      <c r="B50" s="19"/>
      <c r="C50" s="19"/>
      <c r="D50" s="19"/>
      <c r="E50" s="19"/>
      <c r="F50" s="19"/>
      <c r="G50" s="19"/>
      <c r="H50" s="19"/>
      <c r="I50" s="19"/>
      <c r="J50" s="19"/>
    </row>
    <row r="51" spans="1:10" x14ac:dyDescent="0.2">
      <c r="A51" s="6" t="s">
        <v>75</v>
      </c>
      <c r="B51" s="6">
        <v>1213</v>
      </c>
      <c r="C51" s="6">
        <v>40</v>
      </c>
      <c r="D51" s="6" t="s">
        <v>24</v>
      </c>
      <c r="E51" s="10">
        <v>42934</v>
      </c>
      <c r="F51" s="10">
        <v>43118</v>
      </c>
      <c r="G51" s="6"/>
      <c r="H51" s="6"/>
      <c r="I51" s="6">
        <f>C51-G51</f>
        <v>40</v>
      </c>
      <c r="J51" s="8" t="s">
        <v>352</v>
      </c>
    </row>
    <row r="52" spans="1:10" x14ac:dyDescent="0.2">
      <c r="A52" s="6"/>
      <c r="B52" s="6"/>
      <c r="C52" s="6">
        <v>10</v>
      </c>
      <c r="D52" s="6" t="s">
        <v>46</v>
      </c>
      <c r="E52" s="10">
        <v>42934</v>
      </c>
      <c r="F52" s="10">
        <v>43118</v>
      </c>
      <c r="G52" s="6">
        <v>4</v>
      </c>
      <c r="H52" s="6"/>
      <c r="I52" s="6">
        <f>C52-G52</f>
        <v>6</v>
      </c>
      <c r="J52" s="10">
        <v>43497</v>
      </c>
    </row>
    <row r="53" spans="1:10" x14ac:dyDescent="0.2">
      <c r="A53" s="6"/>
      <c r="B53" s="6"/>
      <c r="C53" s="6">
        <v>53</v>
      </c>
      <c r="D53" s="8" t="s">
        <v>69</v>
      </c>
      <c r="E53" s="10">
        <v>42934</v>
      </c>
      <c r="F53" s="10">
        <v>43118</v>
      </c>
      <c r="G53" s="6">
        <v>38</v>
      </c>
      <c r="H53" s="6"/>
      <c r="I53" s="6">
        <f>C53-G53</f>
        <v>15</v>
      </c>
      <c r="J53" s="8" t="s">
        <v>225</v>
      </c>
    </row>
    <row r="54" spans="1:10" x14ac:dyDescent="0.2">
      <c r="A54" s="19"/>
      <c r="B54" s="19"/>
      <c r="C54" s="19"/>
      <c r="D54" s="19"/>
      <c r="E54" s="19"/>
      <c r="F54" s="19"/>
      <c r="G54" s="19"/>
      <c r="H54" s="19"/>
      <c r="I54" s="19"/>
      <c r="J54" s="19"/>
    </row>
    <row r="55" spans="1:10" x14ac:dyDescent="0.2">
      <c r="A55" s="6" t="s">
        <v>219</v>
      </c>
      <c r="B55" s="6">
        <v>116134</v>
      </c>
      <c r="C55" s="6">
        <v>72</v>
      </c>
      <c r="D55" s="6" t="s">
        <v>220</v>
      </c>
      <c r="E55" s="10">
        <v>43485</v>
      </c>
      <c r="F55" s="10">
        <v>43666</v>
      </c>
      <c r="G55" s="6"/>
      <c r="H55" s="6"/>
      <c r="I55" s="6">
        <f>C55-G55</f>
        <v>72</v>
      </c>
      <c r="J55" s="6"/>
    </row>
    <row r="56" spans="1:10" x14ac:dyDescent="0.2">
      <c r="A56" s="6"/>
      <c r="B56" s="6"/>
      <c r="C56" s="6">
        <v>36</v>
      </c>
      <c r="D56" s="6" t="s">
        <v>91</v>
      </c>
      <c r="E56" s="10">
        <v>43485</v>
      </c>
      <c r="F56" s="10">
        <v>43666</v>
      </c>
      <c r="G56" s="6"/>
      <c r="H56" s="6"/>
      <c r="I56" s="6">
        <f>C56-G56</f>
        <v>36</v>
      </c>
      <c r="J56" s="6"/>
    </row>
    <row r="57" spans="1:10" x14ac:dyDescent="0.2">
      <c r="A57" s="6"/>
      <c r="B57" s="6"/>
      <c r="C57" s="6">
        <v>36</v>
      </c>
      <c r="D57" s="6" t="s">
        <v>48</v>
      </c>
      <c r="E57" s="10">
        <v>43485</v>
      </c>
      <c r="F57" s="10">
        <v>43666</v>
      </c>
      <c r="G57" s="6"/>
      <c r="H57" s="6"/>
      <c r="I57" s="6">
        <f>C57-G57</f>
        <v>36</v>
      </c>
      <c r="J57" s="6"/>
    </row>
    <row r="58" spans="1:10" x14ac:dyDescent="0.2">
      <c r="A58" s="19"/>
      <c r="B58" s="19"/>
      <c r="C58" s="19"/>
      <c r="D58" s="19"/>
      <c r="E58" s="19"/>
      <c r="F58" s="19"/>
      <c r="G58" s="19"/>
      <c r="H58" s="19"/>
      <c r="I58" s="19"/>
      <c r="J58" s="19"/>
    </row>
    <row r="59" spans="1:10" x14ac:dyDescent="0.2">
      <c r="A59" s="6" t="s">
        <v>75</v>
      </c>
      <c r="B59" s="6">
        <v>121636</v>
      </c>
      <c r="C59" s="6">
        <v>304</v>
      </c>
      <c r="D59" s="6" t="s">
        <v>230</v>
      </c>
      <c r="E59" s="10">
        <v>43696</v>
      </c>
      <c r="F59" s="10">
        <v>43880</v>
      </c>
      <c r="G59" s="6"/>
      <c r="H59" s="6"/>
      <c r="I59" s="6">
        <f>C59-G59</f>
        <v>304</v>
      </c>
      <c r="J59" s="6"/>
    </row>
    <row r="60" spans="1:10" x14ac:dyDescent="0.2">
      <c r="A60" s="6"/>
      <c r="B60" s="6"/>
      <c r="C60" s="6">
        <v>70</v>
      </c>
      <c r="D60" s="6" t="s">
        <v>122</v>
      </c>
      <c r="E60" s="10">
        <v>43696</v>
      </c>
      <c r="F60" s="10">
        <v>43880</v>
      </c>
      <c r="G60" s="6"/>
      <c r="H60" s="6"/>
      <c r="I60" s="6">
        <f>C60-G60</f>
        <v>70</v>
      </c>
      <c r="J60" s="6"/>
    </row>
    <row r="61" spans="1:10" x14ac:dyDescent="0.2">
      <c r="A61" s="19"/>
      <c r="B61" s="19"/>
      <c r="C61" s="19"/>
      <c r="D61" s="19"/>
      <c r="E61" s="19"/>
      <c r="F61" s="19"/>
      <c r="G61" s="19"/>
      <c r="H61" s="19"/>
      <c r="I61" s="19"/>
      <c r="J61" s="19"/>
    </row>
    <row r="62" spans="1:10" x14ac:dyDescent="0.2">
      <c r="A62" s="6" t="s">
        <v>76</v>
      </c>
      <c r="B62" s="6">
        <v>1288</v>
      </c>
      <c r="C62" s="6">
        <v>32</v>
      </c>
      <c r="D62" s="6" t="s">
        <v>21</v>
      </c>
      <c r="E62" s="10">
        <v>43157</v>
      </c>
      <c r="F62" s="10">
        <v>43338</v>
      </c>
      <c r="G62" s="6"/>
      <c r="H62" s="6"/>
      <c r="I62" s="6">
        <f>C62-G62</f>
        <v>32</v>
      </c>
      <c r="J62" s="8" t="s">
        <v>353</v>
      </c>
    </row>
    <row r="63" spans="1:10" x14ac:dyDescent="0.2">
      <c r="A63" s="6"/>
      <c r="B63" s="6"/>
      <c r="C63" s="6">
        <v>1</v>
      </c>
      <c r="D63" s="6" t="s">
        <v>12</v>
      </c>
      <c r="E63" s="10">
        <v>43157</v>
      </c>
      <c r="F63" s="10">
        <v>43338</v>
      </c>
      <c r="G63" s="6"/>
      <c r="H63" s="6"/>
      <c r="I63" s="6">
        <f>C63-G63</f>
        <v>1</v>
      </c>
      <c r="J63" s="85">
        <v>43497</v>
      </c>
    </row>
    <row r="64" spans="1:10" x14ac:dyDescent="0.2">
      <c r="A64" s="6"/>
      <c r="B64" s="6"/>
      <c r="C64" s="6">
        <v>1</v>
      </c>
      <c r="D64" s="6" t="s">
        <v>11</v>
      </c>
      <c r="E64" s="10">
        <v>43157</v>
      </c>
      <c r="F64" s="10">
        <v>43338</v>
      </c>
      <c r="G64" s="6"/>
      <c r="H64" s="6"/>
      <c r="I64" s="6">
        <f>C64-G64</f>
        <v>1</v>
      </c>
      <c r="J64" s="8" t="s">
        <v>225</v>
      </c>
    </row>
    <row r="65" spans="1:10" x14ac:dyDescent="0.2">
      <c r="A65" s="6"/>
      <c r="B65" s="6"/>
      <c r="C65" s="6">
        <v>4</v>
      </c>
      <c r="D65" s="6" t="s">
        <v>70</v>
      </c>
      <c r="E65" s="10">
        <v>43157</v>
      </c>
      <c r="F65" s="10">
        <v>43338</v>
      </c>
      <c r="G65" s="6"/>
      <c r="H65" s="6"/>
      <c r="I65" s="6">
        <f>C65-G65</f>
        <v>4</v>
      </c>
      <c r="J65" s="6"/>
    </row>
    <row r="66" spans="1:10" x14ac:dyDescent="0.2">
      <c r="A66" s="6"/>
      <c r="B66" s="6"/>
      <c r="C66" s="6">
        <v>1</v>
      </c>
      <c r="D66" s="6" t="s">
        <v>231</v>
      </c>
      <c r="E66" s="10">
        <v>43157</v>
      </c>
      <c r="F66" s="10">
        <v>43338</v>
      </c>
      <c r="G66" s="6"/>
      <c r="H66" s="6"/>
      <c r="I66" s="6">
        <f>C66-G66</f>
        <v>1</v>
      </c>
      <c r="J66" s="6"/>
    </row>
    <row r="67" spans="1:10" x14ac:dyDescent="0.2">
      <c r="A67" s="19"/>
      <c r="B67" s="19"/>
      <c r="C67" s="19"/>
      <c r="D67" s="19"/>
      <c r="E67" s="19"/>
      <c r="F67" s="19"/>
      <c r="G67" s="19"/>
      <c r="H67" s="19"/>
      <c r="I67" s="19"/>
      <c r="J67" s="19"/>
    </row>
    <row r="68" spans="1:10" x14ac:dyDescent="0.2">
      <c r="A68" s="6" t="s">
        <v>193</v>
      </c>
      <c r="B68" s="6">
        <v>122553</v>
      </c>
      <c r="C68" s="6">
        <v>175</v>
      </c>
      <c r="D68" s="6" t="s">
        <v>250</v>
      </c>
      <c r="E68" s="10">
        <v>43709</v>
      </c>
      <c r="F68" s="10">
        <v>43890</v>
      </c>
      <c r="G68" s="6"/>
      <c r="H68" s="6"/>
      <c r="I68" s="6"/>
      <c r="J68" s="6"/>
    </row>
    <row r="69" spans="1:10" x14ac:dyDescent="0.2">
      <c r="A69" s="6"/>
      <c r="B69" s="6"/>
      <c r="C69" s="6">
        <v>350</v>
      </c>
      <c r="D69" s="6" t="s">
        <v>58</v>
      </c>
      <c r="E69" s="10">
        <v>43709</v>
      </c>
      <c r="F69" s="10">
        <v>43890</v>
      </c>
      <c r="G69" s="6"/>
      <c r="H69" s="6"/>
      <c r="I69" s="6"/>
      <c r="J69" s="6"/>
    </row>
    <row r="70" spans="1:10" x14ac:dyDescent="0.2">
      <c r="A70" s="19"/>
      <c r="B70" s="19"/>
      <c r="C70" s="19"/>
      <c r="D70" s="19"/>
      <c r="E70" s="19"/>
      <c r="F70" s="19"/>
      <c r="G70" s="19"/>
      <c r="H70" s="19"/>
      <c r="I70" s="19"/>
      <c r="J70" s="19"/>
    </row>
    <row r="71" spans="1:10" x14ac:dyDescent="0.2">
      <c r="A71" s="6" t="s">
        <v>75</v>
      </c>
      <c r="B71" s="6">
        <v>1700</v>
      </c>
      <c r="C71" s="6">
        <v>2771</v>
      </c>
      <c r="D71" s="6" t="s">
        <v>68</v>
      </c>
      <c r="E71" s="10">
        <v>43298</v>
      </c>
      <c r="F71" s="10">
        <v>43482</v>
      </c>
      <c r="G71" s="6">
        <v>1403</v>
      </c>
      <c r="H71" s="6"/>
      <c r="I71" s="6">
        <f>C71-G71</f>
        <v>1368</v>
      </c>
      <c r="J71" s="6"/>
    </row>
    <row r="72" spans="1:10" x14ac:dyDescent="0.2">
      <c r="A72" s="19"/>
      <c r="B72" s="19"/>
      <c r="C72" s="19"/>
      <c r="D72" s="19"/>
      <c r="E72" s="19"/>
      <c r="F72" s="19"/>
      <c r="G72" s="19"/>
      <c r="H72" s="19"/>
      <c r="I72" s="19"/>
      <c r="J72" s="19"/>
    </row>
    <row r="73" spans="1:10" x14ac:dyDescent="0.2">
      <c r="A73" s="6" t="s">
        <v>343</v>
      </c>
      <c r="B73" s="8" t="s">
        <v>768</v>
      </c>
      <c r="C73" s="6">
        <v>410</v>
      </c>
      <c r="D73" s="6" t="s">
        <v>68</v>
      </c>
      <c r="E73" s="10">
        <v>44236</v>
      </c>
      <c r="F73" s="10">
        <v>44417</v>
      </c>
      <c r="G73" s="6"/>
      <c r="H73" s="6"/>
      <c r="I73" s="6"/>
      <c r="J73" s="6"/>
    </row>
    <row r="74" spans="1:10" x14ac:dyDescent="0.2">
      <c r="A74" s="6" t="s">
        <v>190</v>
      </c>
      <c r="B74" s="6"/>
      <c r="C74" s="6"/>
      <c r="D74" s="6"/>
      <c r="E74" s="6"/>
      <c r="F74" s="6"/>
      <c r="G74" s="6"/>
      <c r="H74" s="6"/>
      <c r="I74" s="6"/>
      <c r="J74" s="6"/>
    </row>
    <row r="75" spans="1:10" x14ac:dyDescent="0.2">
      <c r="A75" s="19"/>
      <c r="B75" s="19"/>
      <c r="C75" s="19"/>
      <c r="D75" s="19"/>
      <c r="E75" s="19"/>
      <c r="F75" s="19"/>
      <c r="G75" s="19"/>
      <c r="H75" s="19"/>
      <c r="I75" s="19"/>
      <c r="J75" s="19"/>
    </row>
    <row r="76" spans="1:10" x14ac:dyDescent="0.2">
      <c r="A76" s="6" t="s">
        <v>762</v>
      </c>
      <c r="B76" s="6" t="s">
        <v>763</v>
      </c>
      <c r="C76" s="6">
        <v>1512</v>
      </c>
      <c r="D76" s="6" t="s">
        <v>764</v>
      </c>
      <c r="E76" s="10">
        <v>44229</v>
      </c>
      <c r="F76" s="10">
        <v>44410</v>
      </c>
      <c r="G76" s="6"/>
      <c r="H76" s="6"/>
      <c r="I76" s="6"/>
      <c r="J76" s="6"/>
    </row>
    <row r="77" spans="1:10" x14ac:dyDescent="0.2">
      <c r="A77" s="6"/>
      <c r="B77" s="6"/>
      <c r="C77" s="6">
        <v>18</v>
      </c>
      <c r="D77" s="6" t="s">
        <v>328</v>
      </c>
      <c r="E77" s="10">
        <v>44229</v>
      </c>
      <c r="F77" s="10">
        <v>44410</v>
      </c>
      <c r="G77" s="6"/>
      <c r="H77" s="6"/>
      <c r="I77" s="6"/>
      <c r="J77" s="6"/>
    </row>
    <row r="78" spans="1:10" x14ac:dyDescent="0.2">
      <c r="A78" s="6"/>
      <c r="B78" s="6"/>
      <c r="C78" s="6">
        <v>18</v>
      </c>
      <c r="D78" s="6" t="s">
        <v>738</v>
      </c>
      <c r="E78" s="10">
        <v>44229</v>
      </c>
      <c r="F78" s="10">
        <v>44410</v>
      </c>
      <c r="G78" s="6"/>
      <c r="H78" s="6"/>
      <c r="I78" s="6"/>
      <c r="J78" s="6"/>
    </row>
    <row r="79" spans="1:10" x14ac:dyDescent="0.2">
      <c r="A79" s="6"/>
      <c r="B79" s="6"/>
      <c r="C79" s="6">
        <v>18</v>
      </c>
      <c r="D79" s="6" t="s">
        <v>765</v>
      </c>
      <c r="E79" s="10">
        <v>44229</v>
      </c>
      <c r="F79" s="10">
        <v>44410</v>
      </c>
      <c r="G79" s="6"/>
      <c r="H79" s="6"/>
      <c r="I79" s="6"/>
      <c r="J79" s="6"/>
    </row>
    <row r="80" spans="1:10" x14ac:dyDescent="0.2">
      <c r="A80" s="19"/>
      <c r="B80" s="19"/>
      <c r="C80" s="19"/>
      <c r="D80" s="19"/>
      <c r="E80" s="19"/>
      <c r="F80" s="19"/>
      <c r="G80" s="19"/>
      <c r="H80" s="19"/>
      <c r="I80" s="19"/>
      <c r="J80" s="19"/>
    </row>
    <row r="81" spans="1:10" x14ac:dyDescent="0.2">
      <c r="A81" s="96"/>
      <c r="B81" s="6" t="s">
        <v>950</v>
      </c>
      <c r="C81" s="6">
        <v>1</v>
      </c>
      <c r="D81" s="6" t="s">
        <v>951</v>
      </c>
      <c r="E81" s="10">
        <v>44392</v>
      </c>
      <c r="F81" s="10">
        <v>44423</v>
      </c>
      <c r="G81" s="6"/>
      <c r="H81" s="6"/>
      <c r="I81" s="6"/>
      <c r="J81" s="6"/>
    </row>
    <row r="82" spans="1:10" x14ac:dyDescent="0.2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x14ac:dyDescent="0.2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x14ac:dyDescent="0.2">
      <c r="A84" s="19"/>
      <c r="B84" s="19"/>
      <c r="C84" s="19"/>
      <c r="D84" s="19"/>
      <c r="E84" s="19"/>
      <c r="F84" s="19"/>
      <c r="G84" s="19"/>
      <c r="H84" s="19"/>
      <c r="I84" s="19"/>
      <c r="J84" s="19"/>
    </row>
    <row r="85" spans="1:10" x14ac:dyDescent="0.2">
      <c r="A85" s="8" t="s">
        <v>193</v>
      </c>
      <c r="B85" s="8" t="s">
        <v>953</v>
      </c>
      <c r="C85" s="6">
        <v>59</v>
      </c>
      <c r="D85" s="8" t="s">
        <v>954</v>
      </c>
      <c r="E85" s="10">
        <v>44399</v>
      </c>
      <c r="F85" s="10">
        <v>44583</v>
      </c>
      <c r="G85" s="6"/>
      <c r="H85" s="6"/>
      <c r="I85" s="6"/>
      <c r="J85" s="6"/>
    </row>
    <row r="86" spans="1:10" x14ac:dyDescent="0.2">
      <c r="A86" s="6"/>
      <c r="B86" s="6"/>
      <c r="C86" s="6">
        <v>1</v>
      </c>
      <c r="D86" s="8" t="s">
        <v>152</v>
      </c>
      <c r="E86" s="10">
        <v>44399</v>
      </c>
      <c r="F86" s="10">
        <v>44583</v>
      </c>
      <c r="G86" s="6"/>
      <c r="H86" s="6"/>
      <c r="I86" s="6"/>
      <c r="J86" s="6"/>
    </row>
    <row r="87" spans="1:10" x14ac:dyDescent="0.2">
      <c r="A87" s="6"/>
      <c r="B87" s="6"/>
      <c r="C87" s="6">
        <v>60</v>
      </c>
      <c r="D87" s="8" t="s">
        <v>70</v>
      </c>
      <c r="E87" s="10">
        <v>44399</v>
      </c>
      <c r="F87" s="10">
        <v>44583</v>
      </c>
      <c r="G87" s="6"/>
      <c r="H87" s="6"/>
      <c r="I87" s="6"/>
      <c r="J87" s="6"/>
    </row>
  </sheetData>
  <mergeCells count="1">
    <mergeCell ref="I3:I4"/>
  </mergeCells>
  <pageMargins left="0.7" right="0.7" top="0.75" bottom="0.75" header="0.3" footer="0.3"/>
  <pageSetup scale="87" fitToHeight="6" orientation="landscape" horizontalDpi="300" r:id="rId1"/>
  <headerFooter>
    <oddFooter>&amp;R&amp;D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DEC3E-01CA-48B6-89AE-2561D786AA4F}">
  <sheetPr>
    <tabColor theme="0" tint="-0.34998626667073579"/>
    <pageSetUpPr fitToPage="1"/>
  </sheetPr>
  <dimension ref="A1:J61"/>
  <sheetViews>
    <sheetView workbookViewId="0"/>
  </sheetViews>
  <sheetFormatPr defaultRowHeight="12.75" x14ac:dyDescent="0.2"/>
  <cols>
    <col min="1" max="1" width="21.7109375" bestFit="1" customWidth="1"/>
    <col min="2" max="2" width="11.42578125" bestFit="1" customWidth="1"/>
    <col min="3" max="3" width="6.5703125" customWidth="1"/>
    <col min="4" max="4" width="23.7109375" customWidth="1"/>
    <col min="5" max="5" width="13.85546875" customWidth="1"/>
    <col min="6" max="6" width="11.5703125" customWidth="1"/>
    <col min="7" max="7" width="11.7109375" customWidth="1"/>
    <col min="8" max="8" width="10.85546875" customWidth="1"/>
    <col min="9" max="9" width="13" customWidth="1"/>
  </cols>
  <sheetData>
    <row r="1" spans="1:10" ht="18" x14ac:dyDescent="0.25">
      <c r="A1" s="13" t="str">
        <f ca="1">MID(CELL("filename",$A$1),FIND("]",CELL("filename",$A$1),1)+1,1024)</f>
        <v>ILLUME AG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8" t="s">
        <v>847</v>
      </c>
      <c r="B5" s="8" t="s">
        <v>848</v>
      </c>
      <c r="C5" s="6">
        <v>30</v>
      </c>
      <c r="D5" s="8" t="s">
        <v>82</v>
      </c>
      <c r="E5" s="10">
        <v>44331</v>
      </c>
      <c r="F5" s="10">
        <v>44392</v>
      </c>
      <c r="G5" s="6"/>
      <c r="H5" s="6"/>
      <c r="I5" s="6"/>
      <c r="J5" s="6"/>
    </row>
    <row r="6" spans="1:10" x14ac:dyDescent="0.2">
      <c r="A6" s="6"/>
      <c r="B6" s="6"/>
      <c r="C6" s="6">
        <v>30</v>
      </c>
      <c r="D6" s="8" t="s">
        <v>71</v>
      </c>
      <c r="E6" s="10">
        <v>44331</v>
      </c>
      <c r="F6" s="10">
        <v>44392</v>
      </c>
      <c r="G6" s="6"/>
      <c r="H6" s="6"/>
      <c r="I6" s="6"/>
      <c r="J6" s="6"/>
    </row>
    <row r="7" spans="1:10" x14ac:dyDescent="0.2">
      <c r="A7" s="6"/>
      <c r="B7" s="6"/>
      <c r="C7" s="6">
        <v>30</v>
      </c>
      <c r="D7" s="8" t="s">
        <v>444</v>
      </c>
      <c r="E7" s="10">
        <v>44331</v>
      </c>
      <c r="F7" s="10">
        <v>44392</v>
      </c>
      <c r="G7" s="6"/>
      <c r="H7" s="6"/>
      <c r="I7" s="6"/>
      <c r="J7" s="6"/>
    </row>
    <row r="8" spans="1:10" x14ac:dyDescent="0.2">
      <c r="A8" s="6"/>
      <c r="B8" s="6"/>
      <c r="C8" s="6"/>
      <c r="D8" s="6"/>
      <c r="E8" s="10"/>
      <c r="F8" s="10"/>
      <c r="G8" s="6"/>
      <c r="H8" s="6"/>
      <c r="I8" s="6"/>
      <c r="J8" s="6"/>
    </row>
    <row r="9" spans="1:10" x14ac:dyDescent="0.2">
      <c r="A9" s="6"/>
      <c r="B9" s="6"/>
      <c r="C9" s="6"/>
      <c r="D9" s="6"/>
      <c r="E9" s="10"/>
      <c r="F9" s="10"/>
      <c r="G9" s="6"/>
      <c r="H9" s="6"/>
      <c r="I9" s="6"/>
      <c r="J9" s="6"/>
    </row>
    <row r="10" spans="1:10" x14ac:dyDescent="0.2">
      <c r="A10" s="6"/>
      <c r="B10" s="6"/>
      <c r="C10" s="6"/>
      <c r="D10" s="6"/>
      <c r="E10" s="10"/>
      <c r="F10" s="10"/>
      <c r="G10" s="6"/>
      <c r="H10" s="6"/>
      <c r="I10" s="6"/>
      <c r="J10" s="6"/>
    </row>
    <row r="11" spans="1:10" x14ac:dyDescent="0.2">
      <c r="A11" s="6"/>
      <c r="B11" s="6"/>
      <c r="C11" s="6"/>
      <c r="D11" s="6"/>
      <c r="E11" s="10"/>
      <c r="F11" s="10"/>
      <c r="G11" s="6"/>
      <c r="H11" s="6"/>
      <c r="I11" s="6"/>
      <c r="J11" s="6"/>
    </row>
    <row r="12" spans="1:10" x14ac:dyDescent="0.2">
      <c r="A12" s="6"/>
      <c r="B12" s="6"/>
      <c r="C12" s="6"/>
      <c r="D12" s="6"/>
      <c r="E12" s="10"/>
      <c r="F12" s="10"/>
      <c r="G12" s="6"/>
      <c r="H12" s="6"/>
      <c r="I12" s="6"/>
      <c r="J12" s="6"/>
    </row>
    <row r="13" spans="1:10" x14ac:dyDescent="0.2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">
      <c r="A14" s="8"/>
      <c r="B14" s="6"/>
      <c r="C14" s="6"/>
      <c r="D14" s="8"/>
      <c r="E14" s="10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8"/>
      <c r="E15" s="10"/>
      <c r="F15" s="10"/>
      <c r="G15" s="6"/>
      <c r="H15" s="6"/>
      <c r="I15" s="6"/>
      <c r="J15" s="6"/>
    </row>
    <row r="16" spans="1:10" x14ac:dyDescent="0.2">
      <c r="A16" s="6"/>
      <c r="B16" s="6"/>
      <c r="C16" s="6"/>
      <c r="D16" s="8"/>
      <c r="E16" s="10"/>
      <c r="F16" s="10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10"/>
      <c r="F19" s="10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10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2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2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2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2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2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x14ac:dyDescent="0.2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x14ac:dyDescent="0.2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x14ac:dyDescent="0.2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x14ac:dyDescent="0.2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x14ac:dyDescent="0.2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x14ac:dyDescent="0.2">
      <c r="A61" s="6"/>
      <c r="B61" s="6"/>
      <c r="C61" s="6"/>
      <c r="D61" s="6"/>
      <c r="E61" s="6"/>
      <c r="F61" s="6"/>
      <c r="G61" s="6"/>
      <c r="H61" s="6"/>
      <c r="I61" s="6"/>
      <c r="J61" s="6"/>
    </row>
  </sheetData>
  <mergeCells count="1">
    <mergeCell ref="I3:I4"/>
  </mergeCells>
  <pageMargins left="0.7" right="0.7" top="0.75" bottom="0.75" header="0.3" footer="0.3"/>
  <pageSetup scale="87" fitToHeight="6" orientation="landscape" horizontalDpi="300" r:id="rId1"/>
  <headerFooter>
    <oddFooter>&amp;R&amp;D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3">
    <tabColor theme="0" tint="-0.34998626667073579"/>
    <pageSetUpPr fitToPage="1"/>
  </sheetPr>
  <dimension ref="A1:J61"/>
  <sheetViews>
    <sheetView workbookViewId="0"/>
  </sheetViews>
  <sheetFormatPr defaultRowHeight="12.75" x14ac:dyDescent="0.2"/>
  <cols>
    <col min="1" max="1" width="21.7109375" bestFit="1" customWidth="1"/>
    <col min="2" max="2" width="13" customWidth="1"/>
    <col min="3" max="3" width="6.5703125" customWidth="1"/>
    <col min="4" max="4" width="23.7109375" customWidth="1"/>
    <col min="5" max="5" width="13.85546875" customWidth="1"/>
    <col min="6" max="6" width="11.5703125" customWidth="1"/>
    <col min="7" max="7" width="11.7109375" customWidth="1"/>
    <col min="8" max="8" width="10.85546875" customWidth="1"/>
    <col min="9" max="9" width="13" customWidth="1"/>
  </cols>
  <sheetData>
    <row r="1" spans="1:10" ht="18" x14ac:dyDescent="0.25">
      <c r="A1" s="13" t="str">
        <f ca="1">MID(CELL("filename",$A$1),FIND("]",CELL("filename",$A$1),1)+1,1024)</f>
        <v>DAVID JACOBSON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145</v>
      </c>
      <c r="B5" s="6">
        <v>117876</v>
      </c>
      <c r="C5" s="6">
        <v>423</v>
      </c>
      <c r="D5" s="6" t="s">
        <v>57</v>
      </c>
      <c r="E5" s="10">
        <v>43556</v>
      </c>
      <c r="F5" s="10">
        <v>43861</v>
      </c>
      <c r="G5" s="6"/>
      <c r="H5" s="6"/>
      <c r="I5" s="6"/>
      <c r="J5" s="6"/>
    </row>
    <row r="6" spans="1:10" x14ac:dyDescent="0.2">
      <c r="A6" s="6"/>
      <c r="B6" s="6"/>
      <c r="C6" s="6">
        <v>2</v>
      </c>
      <c r="D6" s="6" t="s">
        <v>146</v>
      </c>
      <c r="E6" s="10">
        <v>43556</v>
      </c>
      <c r="F6" s="10">
        <v>43861</v>
      </c>
      <c r="G6" s="6"/>
      <c r="H6" s="6"/>
      <c r="I6" s="6"/>
      <c r="J6" s="6"/>
    </row>
    <row r="7" spans="1:10" x14ac:dyDescent="0.2">
      <c r="A7" s="6"/>
      <c r="B7" s="6"/>
      <c r="C7" s="6">
        <v>8</v>
      </c>
      <c r="D7" s="6" t="s">
        <v>99</v>
      </c>
      <c r="E7" s="10">
        <v>43556</v>
      </c>
      <c r="F7" s="10">
        <v>43861</v>
      </c>
      <c r="G7" s="6"/>
      <c r="H7" s="6"/>
      <c r="I7" s="6"/>
      <c r="J7" s="6"/>
    </row>
    <row r="8" spans="1:10" x14ac:dyDescent="0.2">
      <c r="A8" s="6"/>
      <c r="B8" s="6" t="s">
        <v>249</v>
      </c>
      <c r="C8" s="6">
        <v>13</v>
      </c>
      <c r="D8" s="6" t="s">
        <v>147</v>
      </c>
      <c r="E8" s="10">
        <v>43556</v>
      </c>
      <c r="F8" s="10">
        <v>43861</v>
      </c>
      <c r="G8" s="6"/>
      <c r="H8" s="6"/>
      <c r="I8" s="6"/>
      <c r="J8" s="6"/>
    </row>
    <row r="9" spans="1:10" x14ac:dyDescent="0.2">
      <c r="A9" s="6"/>
      <c r="B9" s="6"/>
      <c r="C9" s="6">
        <v>2</v>
      </c>
      <c r="D9" s="6" t="s">
        <v>148</v>
      </c>
      <c r="E9" s="10">
        <v>43556</v>
      </c>
      <c r="F9" s="10">
        <v>43861</v>
      </c>
      <c r="G9" s="6"/>
      <c r="H9" s="6"/>
      <c r="I9" s="6"/>
      <c r="J9" s="6"/>
    </row>
    <row r="10" spans="1:10" x14ac:dyDescent="0.2">
      <c r="A10" s="6"/>
      <c r="B10" s="6"/>
      <c r="C10" s="6">
        <v>5</v>
      </c>
      <c r="D10" s="6" t="s">
        <v>149</v>
      </c>
      <c r="E10" s="10">
        <v>43556</v>
      </c>
      <c r="F10" s="10">
        <v>43861</v>
      </c>
      <c r="G10" s="6"/>
      <c r="H10" s="6"/>
      <c r="I10" s="6"/>
      <c r="J10" s="6"/>
    </row>
    <row r="11" spans="1:10" x14ac:dyDescent="0.2">
      <c r="A11" s="6"/>
      <c r="B11" s="6"/>
      <c r="C11" s="6">
        <v>15</v>
      </c>
      <c r="D11" s="6" t="s">
        <v>86</v>
      </c>
      <c r="E11" s="10">
        <v>43556</v>
      </c>
      <c r="F11" s="10">
        <v>43861</v>
      </c>
      <c r="G11" s="6"/>
      <c r="H11" s="6"/>
      <c r="I11" s="6"/>
      <c r="J11" s="6"/>
    </row>
    <row r="12" spans="1:10" x14ac:dyDescent="0.2">
      <c r="A12" s="6"/>
      <c r="B12" s="6"/>
      <c r="C12" s="6">
        <v>16</v>
      </c>
      <c r="D12" s="6" t="s">
        <v>58</v>
      </c>
      <c r="E12" s="10">
        <v>43556</v>
      </c>
      <c r="F12" s="10">
        <v>43861</v>
      </c>
      <c r="G12" s="6"/>
      <c r="H12" s="6"/>
      <c r="I12" s="6"/>
      <c r="J12" s="6"/>
    </row>
    <row r="13" spans="1:10" x14ac:dyDescent="0.2">
      <c r="A13" s="19"/>
      <c r="B13" s="19"/>
      <c r="C13" s="19"/>
      <c r="D13" s="19"/>
      <c r="E13" s="19"/>
      <c r="F13" s="19"/>
      <c r="G13" s="19"/>
      <c r="H13" s="19"/>
      <c r="I13" s="19"/>
      <c r="J13" s="19"/>
    </row>
    <row r="14" spans="1:10" x14ac:dyDescent="0.2">
      <c r="A14" s="8" t="s">
        <v>145</v>
      </c>
      <c r="B14" s="8" t="s">
        <v>853</v>
      </c>
      <c r="C14" s="6">
        <v>16</v>
      </c>
      <c r="D14" s="8" t="s">
        <v>82</v>
      </c>
      <c r="E14" s="10">
        <v>44026</v>
      </c>
      <c r="F14" s="10">
        <v>44210</v>
      </c>
      <c r="G14" s="6"/>
      <c r="H14" s="6"/>
      <c r="I14" s="6"/>
      <c r="J14" s="6"/>
    </row>
    <row r="15" spans="1:10" x14ac:dyDescent="0.2">
      <c r="A15" s="6"/>
      <c r="B15" s="6"/>
      <c r="C15" s="6">
        <v>14</v>
      </c>
      <c r="D15" s="8" t="s">
        <v>83</v>
      </c>
      <c r="E15" s="10">
        <v>44026</v>
      </c>
      <c r="F15" s="10">
        <v>44210</v>
      </c>
      <c r="G15" s="6"/>
      <c r="H15" s="6"/>
      <c r="I15" s="6"/>
      <c r="J15" s="6"/>
    </row>
    <row r="16" spans="1:10" x14ac:dyDescent="0.2">
      <c r="A16" s="6"/>
      <c r="B16" s="6"/>
      <c r="C16" s="6">
        <v>30</v>
      </c>
      <c r="D16" s="8" t="s">
        <v>8</v>
      </c>
      <c r="E16" s="10">
        <v>44026</v>
      </c>
      <c r="F16" s="10">
        <v>44210</v>
      </c>
      <c r="G16" s="6"/>
      <c r="H16" s="6"/>
      <c r="I16" s="6"/>
      <c r="J16" s="6"/>
    </row>
    <row r="17" spans="1:10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</row>
    <row r="18" spans="1:10" x14ac:dyDescent="0.2">
      <c r="A18" s="6" t="s">
        <v>203</v>
      </c>
      <c r="B18" s="6">
        <v>117877</v>
      </c>
      <c r="C18" s="6">
        <v>300</v>
      </c>
      <c r="D18" s="6" t="s">
        <v>68</v>
      </c>
      <c r="E18" s="10">
        <v>43578</v>
      </c>
      <c r="F18" s="10">
        <v>43884</v>
      </c>
      <c r="G18" s="6"/>
      <c r="H18" s="6"/>
      <c r="I18" s="6"/>
      <c r="J18" s="6"/>
    </row>
    <row r="19" spans="1:10" x14ac:dyDescent="0.2">
      <c r="A19" s="6"/>
      <c r="B19" s="6"/>
      <c r="C19" s="6">
        <v>600</v>
      </c>
      <c r="D19" s="6" t="s">
        <v>58</v>
      </c>
      <c r="E19" s="10">
        <v>43578</v>
      </c>
      <c r="F19" s="10">
        <v>43884</v>
      </c>
      <c r="G19" s="6"/>
      <c r="H19" s="6"/>
      <c r="I19" s="6"/>
      <c r="J19" s="6"/>
    </row>
    <row r="20" spans="1:10" x14ac:dyDescent="0.2">
      <c r="A20" s="6"/>
      <c r="B20" s="6"/>
      <c r="C20" s="6">
        <v>15</v>
      </c>
      <c r="D20" s="6" t="s">
        <v>8</v>
      </c>
      <c r="E20" s="10">
        <v>43578</v>
      </c>
      <c r="F20" s="10">
        <v>43884</v>
      </c>
      <c r="G20" s="6"/>
      <c r="H20" s="6"/>
      <c r="I20" s="6"/>
      <c r="J20" s="6"/>
    </row>
    <row r="21" spans="1:10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</row>
    <row r="22" spans="1:10" x14ac:dyDescent="0.2">
      <c r="A22" s="6"/>
      <c r="B22" s="6"/>
      <c r="C22" s="6"/>
      <c r="D22" s="6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2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2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2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2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2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x14ac:dyDescent="0.2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x14ac:dyDescent="0.2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x14ac:dyDescent="0.2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x14ac:dyDescent="0.2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x14ac:dyDescent="0.2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x14ac:dyDescent="0.2">
      <c r="A61" s="6"/>
      <c r="B61" s="6"/>
      <c r="C61" s="6"/>
      <c r="D61" s="6"/>
      <c r="E61" s="6"/>
      <c r="F61" s="6"/>
      <c r="G61" s="6"/>
      <c r="H61" s="6"/>
      <c r="I61" s="6"/>
      <c r="J61" s="6"/>
    </row>
  </sheetData>
  <mergeCells count="1">
    <mergeCell ref="I3:I4"/>
  </mergeCells>
  <pageMargins left="0.7" right="0.7" top="0.75" bottom="0.75" header="0.3" footer="0.3"/>
  <pageSetup scale="86" fitToHeight="6" orientation="landscape" horizontalDpi="300" r:id="rId1"/>
  <headerFooter>
    <oddFooter>&amp;R&amp;D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61ADF-EC3C-4B52-8666-DD0C61DEA928}">
  <sheetPr>
    <tabColor theme="0" tint="-0.34998626667073579"/>
    <pageSetUpPr fitToPage="1"/>
  </sheetPr>
  <dimension ref="A1:J74"/>
  <sheetViews>
    <sheetView topLeftCell="A38" workbookViewId="0"/>
  </sheetViews>
  <sheetFormatPr defaultRowHeight="12.75" x14ac:dyDescent="0.2"/>
  <cols>
    <col min="1" max="1" width="21.7109375" bestFit="1" customWidth="1"/>
    <col min="2" max="2" width="16.140625" bestFit="1" customWidth="1"/>
    <col min="3" max="3" width="6.5703125" customWidth="1"/>
    <col min="4" max="4" width="19.7109375" customWidth="1"/>
    <col min="5" max="5" width="13.85546875" customWidth="1"/>
    <col min="6" max="6" width="11.5703125" customWidth="1"/>
    <col min="7" max="7" width="11.7109375" customWidth="1"/>
    <col min="8" max="8" width="10.85546875" customWidth="1"/>
    <col min="9" max="9" width="13" customWidth="1"/>
  </cols>
  <sheetData>
    <row r="1" spans="1:10" ht="18" x14ac:dyDescent="0.25">
      <c r="A1" s="13" t="str">
        <f ca="1">MID(CELL("filename",$A$1),FIND("]",CELL("filename",$A$1),1)+1,1024)</f>
        <v>J.P. Oil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436</v>
      </c>
      <c r="B5" s="6">
        <v>1421</v>
      </c>
      <c r="C5" s="6">
        <v>2</v>
      </c>
      <c r="D5" s="6" t="s">
        <v>14</v>
      </c>
      <c r="E5" s="10">
        <v>43064</v>
      </c>
      <c r="F5" s="10">
        <v>43245</v>
      </c>
      <c r="G5" s="6">
        <v>1</v>
      </c>
      <c r="H5" s="6"/>
      <c r="I5" s="6">
        <f t="shared" ref="I5:I13" si="0">C5-G5</f>
        <v>1</v>
      </c>
      <c r="J5" s="6"/>
    </row>
    <row r="6" spans="1:10" x14ac:dyDescent="0.2">
      <c r="A6" s="6"/>
      <c r="B6" s="6"/>
      <c r="C6" s="6">
        <v>2</v>
      </c>
      <c r="D6" s="6" t="s">
        <v>437</v>
      </c>
      <c r="E6" s="10">
        <v>43064</v>
      </c>
      <c r="F6" s="10">
        <v>43245</v>
      </c>
      <c r="G6" s="6"/>
      <c r="H6" s="6"/>
      <c r="I6" s="6">
        <f t="shared" si="0"/>
        <v>2</v>
      </c>
      <c r="J6" s="6"/>
    </row>
    <row r="7" spans="1:10" x14ac:dyDescent="0.2">
      <c r="A7" s="6"/>
      <c r="B7" s="6"/>
      <c r="C7" s="6">
        <v>194</v>
      </c>
      <c r="D7" s="6" t="s">
        <v>8</v>
      </c>
      <c r="E7" s="10">
        <v>43064</v>
      </c>
      <c r="F7" s="10">
        <v>43245</v>
      </c>
      <c r="G7" s="6">
        <v>64</v>
      </c>
      <c r="H7" s="6"/>
      <c r="I7" s="6">
        <f t="shared" si="0"/>
        <v>130</v>
      </c>
      <c r="J7" s="6"/>
    </row>
    <row r="8" spans="1:10" x14ac:dyDescent="0.2">
      <c r="A8" s="6"/>
      <c r="B8" s="6"/>
      <c r="C8" s="6">
        <v>100</v>
      </c>
      <c r="D8" s="6" t="s">
        <v>16</v>
      </c>
      <c r="E8" s="10">
        <v>43064</v>
      </c>
      <c r="F8" s="10">
        <v>43245</v>
      </c>
      <c r="G8" s="6"/>
      <c r="H8" s="6"/>
      <c r="I8" s="6">
        <f t="shared" si="0"/>
        <v>100</v>
      </c>
      <c r="J8" s="6"/>
    </row>
    <row r="9" spans="1:10" x14ac:dyDescent="0.2">
      <c r="A9" s="6"/>
      <c r="B9" s="6"/>
      <c r="C9" s="6">
        <v>5587</v>
      </c>
      <c r="D9" s="6" t="s">
        <v>36</v>
      </c>
      <c r="E9" s="10">
        <v>43064</v>
      </c>
      <c r="F9" s="10">
        <v>43245</v>
      </c>
      <c r="G9" s="6">
        <v>5265</v>
      </c>
      <c r="H9" s="6"/>
      <c r="I9" s="6">
        <f t="shared" si="0"/>
        <v>322</v>
      </c>
      <c r="J9" s="6"/>
    </row>
    <row r="10" spans="1:10" x14ac:dyDescent="0.2">
      <c r="A10" s="6"/>
      <c r="B10" s="6"/>
      <c r="C10" s="6">
        <v>5</v>
      </c>
      <c r="D10" s="6" t="s">
        <v>121</v>
      </c>
      <c r="E10" s="10">
        <v>43064</v>
      </c>
      <c r="F10" s="10">
        <v>43245</v>
      </c>
      <c r="G10" s="6"/>
      <c r="H10" s="6"/>
      <c r="I10" s="6">
        <f t="shared" si="0"/>
        <v>5</v>
      </c>
      <c r="J10" s="6"/>
    </row>
    <row r="11" spans="1:10" x14ac:dyDescent="0.2">
      <c r="A11" s="6"/>
      <c r="B11" s="6"/>
      <c r="C11" s="6">
        <v>5</v>
      </c>
      <c r="D11" s="6" t="s">
        <v>32</v>
      </c>
      <c r="E11" s="10">
        <v>43064</v>
      </c>
      <c r="F11" s="10">
        <v>43245</v>
      </c>
      <c r="G11" s="6"/>
      <c r="H11" s="6"/>
      <c r="I11" s="6">
        <f t="shared" si="0"/>
        <v>5</v>
      </c>
      <c r="J11" s="6"/>
    </row>
    <row r="12" spans="1:10" x14ac:dyDescent="0.2">
      <c r="A12" s="6"/>
      <c r="B12" s="6"/>
      <c r="C12" s="6">
        <v>87</v>
      </c>
      <c r="D12" s="6" t="s">
        <v>69</v>
      </c>
      <c r="E12" s="10">
        <v>43064</v>
      </c>
      <c r="F12" s="10">
        <v>43245</v>
      </c>
      <c r="G12" s="6">
        <v>87</v>
      </c>
      <c r="H12" s="6"/>
      <c r="I12" s="6">
        <f t="shared" si="0"/>
        <v>0</v>
      </c>
      <c r="J12" s="6"/>
    </row>
    <row r="13" spans="1:10" x14ac:dyDescent="0.2">
      <c r="A13" s="6"/>
      <c r="B13" s="6"/>
      <c r="C13" s="6">
        <v>1</v>
      </c>
      <c r="D13" s="6" t="s">
        <v>137</v>
      </c>
      <c r="E13" s="10">
        <v>43064</v>
      </c>
      <c r="F13" s="10">
        <v>43245</v>
      </c>
      <c r="G13" s="6"/>
      <c r="H13" s="6"/>
      <c r="I13" s="6">
        <f t="shared" si="0"/>
        <v>1</v>
      </c>
      <c r="J13" s="6"/>
    </row>
    <row r="14" spans="1:10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</row>
    <row r="15" spans="1:10" x14ac:dyDescent="0.2">
      <c r="A15" s="6" t="s">
        <v>436</v>
      </c>
      <c r="B15" s="8" t="s">
        <v>855</v>
      </c>
      <c r="C15" s="6">
        <v>25</v>
      </c>
      <c r="D15" s="6" t="s">
        <v>23</v>
      </c>
      <c r="E15" s="10">
        <v>44129</v>
      </c>
      <c r="F15" s="10">
        <v>44494</v>
      </c>
      <c r="G15" s="6"/>
      <c r="H15" s="6"/>
      <c r="I15" s="6"/>
      <c r="J15" s="6"/>
    </row>
    <row r="16" spans="1:10" x14ac:dyDescent="0.2">
      <c r="A16" s="6" t="s">
        <v>118</v>
      </c>
      <c r="B16" s="6"/>
      <c r="C16" s="6">
        <v>25</v>
      </c>
      <c r="D16" s="6" t="s">
        <v>72</v>
      </c>
      <c r="E16" s="10">
        <v>44129</v>
      </c>
      <c r="F16" s="10">
        <v>44494</v>
      </c>
      <c r="G16" s="6"/>
      <c r="H16" s="6"/>
      <c r="I16" s="6"/>
      <c r="J16" s="6"/>
    </row>
    <row r="17" spans="1:10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</row>
    <row r="18" spans="1:10" x14ac:dyDescent="0.2">
      <c r="A18" s="6" t="s">
        <v>436</v>
      </c>
      <c r="B18" s="6">
        <v>123430</v>
      </c>
      <c r="C18" s="6">
        <v>23</v>
      </c>
      <c r="D18" s="6" t="s">
        <v>23</v>
      </c>
      <c r="E18" s="10">
        <v>43739</v>
      </c>
      <c r="F18" s="10">
        <v>44104</v>
      </c>
      <c r="G18" s="6">
        <v>6</v>
      </c>
      <c r="H18" s="6"/>
      <c r="I18" s="6"/>
      <c r="J18" s="6"/>
    </row>
    <row r="19" spans="1:10" x14ac:dyDescent="0.2">
      <c r="A19" s="6"/>
      <c r="B19" s="6"/>
      <c r="C19" s="6">
        <v>2</v>
      </c>
      <c r="D19" s="6" t="s">
        <v>439</v>
      </c>
      <c r="E19" s="10">
        <v>43739</v>
      </c>
      <c r="F19" s="10">
        <v>44104</v>
      </c>
      <c r="G19" s="6"/>
      <c r="H19" s="6"/>
      <c r="I19" s="6"/>
      <c r="J19" s="6"/>
    </row>
    <row r="20" spans="1:10" x14ac:dyDescent="0.2">
      <c r="A20" s="6"/>
      <c r="B20" s="6"/>
      <c r="C20" s="6">
        <v>2</v>
      </c>
      <c r="D20" s="6" t="s">
        <v>438</v>
      </c>
      <c r="E20" s="10">
        <v>43739</v>
      </c>
      <c r="F20" s="10">
        <v>44104</v>
      </c>
      <c r="G20" s="6">
        <v>1</v>
      </c>
      <c r="H20" s="6"/>
      <c r="I20" s="6"/>
      <c r="J20" s="6"/>
    </row>
    <row r="21" spans="1:10" x14ac:dyDescent="0.2">
      <c r="A21" s="6"/>
      <c r="B21" s="6"/>
      <c r="C21" s="6">
        <v>2</v>
      </c>
      <c r="D21" s="6" t="s">
        <v>437</v>
      </c>
      <c r="E21" s="10">
        <v>43739</v>
      </c>
      <c r="F21" s="10">
        <v>44104</v>
      </c>
      <c r="G21" s="6"/>
      <c r="H21" s="6"/>
      <c r="I21" s="6"/>
      <c r="J21" s="6"/>
    </row>
    <row r="22" spans="1:10" x14ac:dyDescent="0.2">
      <c r="A22" s="6"/>
      <c r="B22" s="6"/>
      <c r="C22" s="6">
        <v>1</v>
      </c>
      <c r="D22" s="6" t="s">
        <v>18</v>
      </c>
      <c r="E22" s="10">
        <v>43739</v>
      </c>
      <c r="F22" s="10">
        <v>44104</v>
      </c>
      <c r="G22" s="6">
        <v>1</v>
      </c>
      <c r="H22" s="6"/>
      <c r="I22" s="6"/>
      <c r="J22" s="6"/>
    </row>
    <row r="23" spans="1:10" x14ac:dyDescent="0.2">
      <c r="A23" s="6"/>
      <c r="B23" s="6"/>
      <c r="C23" s="6">
        <v>36</v>
      </c>
      <c r="D23" s="6" t="s">
        <v>72</v>
      </c>
      <c r="E23" s="10">
        <v>43739</v>
      </c>
      <c r="F23" s="10">
        <v>44104</v>
      </c>
      <c r="G23" s="6">
        <v>22</v>
      </c>
      <c r="H23" s="6"/>
      <c r="I23" s="6"/>
      <c r="J23" s="6"/>
    </row>
    <row r="24" spans="1:10" x14ac:dyDescent="0.2">
      <c r="A24" s="6"/>
      <c r="B24" s="6"/>
      <c r="C24" s="6">
        <v>56</v>
      </c>
      <c r="D24" s="6" t="s">
        <v>37</v>
      </c>
      <c r="E24" s="10">
        <v>43739</v>
      </c>
      <c r="F24" s="10">
        <v>44104</v>
      </c>
      <c r="G24" s="6">
        <v>3</v>
      </c>
      <c r="H24" s="6"/>
      <c r="I24" s="6"/>
      <c r="J24" s="6"/>
    </row>
    <row r="25" spans="1:10" x14ac:dyDescent="0.2">
      <c r="A25" s="6"/>
      <c r="B25" s="6"/>
      <c r="C25" s="6">
        <v>56</v>
      </c>
      <c r="D25" s="6" t="s">
        <v>73</v>
      </c>
      <c r="E25" s="10">
        <v>43739</v>
      </c>
      <c r="F25" s="10">
        <v>44104</v>
      </c>
      <c r="G25" s="6">
        <v>9</v>
      </c>
      <c r="H25" s="6"/>
      <c r="I25" s="6"/>
      <c r="J25" s="6"/>
    </row>
    <row r="26" spans="1:10" x14ac:dyDescent="0.2">
      <c r="A26" s="6"/>
      <c r="B26" s="6"/>
      <c r="C26" s="6">
        <v>3</v>
      </c>
      <c r="D26" s="6" t="s">
        <v>347</v>
      </c>
      <c r="E26" s="10">
        <v>43739</v>
      </c>
      <c r="F26" s="10">
        <v>44104</v>
      </c>
      <c r="G26" s="6"/>
      <c r="H26" s="6"/>
      <c r="I26" s="6"/>
      <c r="J26" s="6"/>
    </row>
    <row r="27" spans="1:10" x14ac:dyDescent="0.2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spans="1:10" x14ac:dyDescent="0.2">
      <c r="A28" s="6" t="s">
        <v>436</v>
      </c>
      <c r="B28" s="8" t="s">
        <v>854</v>
      </c>
      <c r="C28" s="6">
        <v>80</v>
      </c>
      <c r="D28" s="6" t="s">
        <v>23</v>
      </c>
      <c r="E28" s="10">
        <v>44123</v>
      </c>
      <c r="F28" s="10">
        <v>44488</v>
      </c>
      <c r="G28" s="6"/>
      <c r="H28" s="6"/>
      <c r="I28" s="6"/>
      <c r="J28" s="6"/>
    </row>
    <row r="29" spans="1:10" x14ac:dyDescent="0.2">
      <c r="A29" s="6"/>
      <c r="B29" s="6"/>
      <c r="C29" s="6">
        <v>85</v>
      </c>
      <c r="D29" s="6" t="s">
        <v>72</v>
      </c>
      <c r="E29" s="10">
        <v>44123</v>
      </c>
      <c r="F29" s="10">
        <v>44488</v>
      </c>
      <c r="G29" s="6"/>
      <c r="H29" s="6"/>
      <c r="I29" s="6"/>
      <c r="J29" s="6"/>
    </row>
    <row r="30" spans="1:10" x14ac:dyDescent="0.2">
      <c r="A30" s="6"/>
      <c r="B30" s="6"/>
      <c r="C30" s="6">
        <v>1</v>
      </c>
      <c r="D30" s="6" t="s">
        <v>81</v>
      </c>
      <c r="E30" s="10">
        <v>44123</v>
      </c>
      <c r="F30" s="10">
        <v>44488</v>
      </c>
      <c r="G30" s="6"/>
      <c r="H30" s="6"/>
      <c r="I30" s="6"/>
      <c r="J30" s="6"/>
    </row>
    <row r="31" spans="1:10" x14ac:dyDescent="0.2">
      <c r="A31" s="6"/>
      <c r="B31" s="6"/>
      <c r="C31" s="6">
        <v>1</v>
      </c>
      <c r="D31" s="6" t="s">
        <v>45</v>
      </c>
      <c r="E31" s="10">
        <v>44123</v>
      </c>
      <c r="F31" s="10">
        <v>44488</v>
      </c>
      <c r="G31" s="6"/>
      <c r="H31" s="6"/>
      <c r="I31" s="6"/>
      <c r="J31" s="6"/>
    </row>
    <row r="32" spans="1:10" x14ac:dyDescent="0.2">
      <c r="A32" s="6"/>
      <c r="B32" s="6"/>
      <c r="C32" s="6">
        <v>1</v>
      </c>
      <c r="D32" s="6" t="s">
        <v>18</v>
      </c>
      <c r="E32" s="10">
        <v>44123</v>
      </c>
      <c r="F32" s="10">
        <v>44488</v>
      </c>
      <c r="G32" s="6"/>
      <c r="H32" s="6"/>
      <c r="I32" s="6"/>
      <c r="J32" s="6"/>
    </row>
    <row r="33" spans="1:10" x14ac:dyDescent="0.2">
      <c r="A33" s="6"/>
      <c r="B33" s="6"/>
      <c r="C33" s="6">
        <v>1</v>
      </c>
      <c r="D33" s="6" t="s">
        <v>347</v>
      </c>
      <c r="E33" s="10">
        <v>44123</v>
      </c>
      <c r="F33" s="10">
        <v>44488</v>
      </c>
      <c r="G33" s="6"/>
      <c r="H33" s="6"/>
      <c r="I33" s="6"/>
      <c r="J33" s="6"/>
    </row>
    <row r="34" spans="1:10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spans="1:10" x14ac:dyDescent="0.2">
      <c r="A35" s="8" t="s">
        <v>436</v>
      </c>
      <c r="B35" s="6">
        <v>123998</v>
      </c>
      <c r="C35" s="6">
        <v>21</v>
      </c>
      <c r="D35" s="8" t="s">
        <v>23</v>
      </c>
      <c r="E35" s="10">
        <v>43795</v>
      </c>
      <c r="F35" s="10">
        <v>44161</v>
      </c>
      <c r="G35" s="6"/>
      <c r="H35" s="6"/>
      <c r="I35" s="6"/>
      <c r="J35" s="6"/>
    </row>
    <row r="36" spans="1:10" x14ac:dyDescent="0.2">
      <c r="A36" s="6"/>
      <c r="B36" s="6"/>
      <c r="C36" s="6">
        <v>1</v>
      </c>
      <c r="D36" s="8" t="s">
        <v>18</v>
      </c>
      <c r="E36" s="10">
        <v>43795</v>
      </c>
      <c r="F36" s="10">
        <v>44161</v>
      </c>
      <c r="G36" s="6"/>
      <c r="H36" s="6"/>
      <c r="I36" s="6"/>
      <c r="J36" s="6"/>
    </row>
    <row r="37" spans="1:10" x14ac:dyDescent="0.2">
      <c r="A37" s="6"/>
      <c r="B37" s="6"/>
      <c r="C37" s="6">
        <v>23</v>
      </c>
      <c r="D37" s="8" t="s">
        <v>72</v>
      </c>
      <c r="E37" s="10">
        <v>43795</v>
      </c>
      <c r="F37" s="10">
        <v>44161</v>
      </c>
      <c r="G37" s="6"/>
      <c r="H37" s="6"/>
      <c r="I37" s="6"/>
      <c r="J37" s="6"/>
    </row>
    <row r="38" spans="1:10" x14ac:dyDescent="0.2">
      <c r="A38" s="6"/>
      <c r="B38" s="6"/>
      <c r="C38" s="6">
        <v>9</v>
      </c>
      <c r="D38" s="8" t="s">
        <v>37</v>
      </c>
      <c r="E38" s="10">
        <v>43795</v>
      </c>
      <c r="F38" s="10">
        <v>44161</v>
      </c>
      <c r="G38" s="6"/>
      <c r="H38" s="6"/>
      <c r="I38" s="6"/>
      <c r="J38" s="6"/>
    </row>
    <row r="39" spans="1:10" x14ac:dyDescent="0.2">
      <c r="A39" s="6"/>
      <c r="B39" s="6"/>
      <c r="C39" s="6">
        <v>1</v>
      </c>
      <c r="D39" s="8" t="s">
        <v>418</v>
      </c>
      <c r="E39" s="10">
        <v>43795</v>
      </c>
      <c r="F39" s="10">
        <v>44161</v>
      </c>
      <c r="G39" s="6"/>
      <c r="H39" s="6"/>
      <c r="I39" s="6"/>
      <c r="J39" s="6"/>
    </row>
    <row r="40" spans="1:10" x14ac:dyDescent="0.2">
      <c r="A40" s="6"/>
      <c r="B40" s="6"/>
      <c r="C40" s="6">
        <v>11</v>
      </c>
      <c r="D40" s="8" t="s">
        <v>73</v>
      </c>
      <c r="E40" s="10">
        <v>43795</v>
      </c>
      <c r="F40" s="10">
        <v>44161</v>
      </c>
      <c r="G40" s="6"/>
      <c r="H40" s="6"/>
      <c r="I40" s="6"/>
      <c r="J40" s="6"/>
    </row>
    <row r="41" spans="1:10" x14ac:dyDescent="0.2">
      <c r="A41" s="19"/>
      <c r="B41" s="19"/>
      <c r="C41" s="19"/>
      <c r="D41" s="19"/>
      <c r="E41" s="19"/>
      <c r="F41" s="19"/>
      <c r="G41" s="19"/>
      <c r="H41" s="19"/>
      <c r="I41" s="19"/>
      <c r="J41" s="19"/>
    </row>
    <row r="42" spans="1:10" x14ac:dyDescent="0.2">
      <c r="A42" s="8" t="s">
        <v>477</v>
      </c>
      <c r="B42" s="8" t="s">
        <v>1170</v>
      </c>
      <c r="C42" s="6">
        <v>33</v>
      </c>
      <c r="D42" s="8" t="s">
        <v>413</v>
      </c>
      <c r="E42" s="10">
        <v>44537</v>
      </c>
      <c r="F42" s="10">
        <v>44902</v>
      </c>
      <c r="G42" s="6"/>
      <c r="H42" s="6"/>
      <c r="I42" s="6"/>
      <c r="J42" s="6"/>
    </row>
    <row r="43" spans="1:10" x14ac:dyDescent="0.2">
      <c r="A43" s="6"/>
      <c r="B43" s="6"/>
      <c r="C43" s="6">
        <v>27</v>
      </c>
      <c r="D43" s="8" t="s">
        <v>474</v>
      </c>
      <c r="E43" s="10">
        <v>44537</v>
      </c>
      <c r="F43" s="10">
        <v>44902</v>
      </c>
      <c r="G43" s="6"/>
      <c r="H43" s="6"/>
      <c r="I43" s="6"/>
      <c r="J43" s="6"/>
    </row>
    <row r="44" spans="1:10" x14ac:dyDescent="0.2">
      <c r="A44" s="6"/>
      <c r="B44" s="6"/>
      <c r="C44" s="6">
        <v>26</v>
      </c>
      <c r="D44" s="8" t="s">
        <v>478</v>
      </c>
      <c r="E44" s="10">
        <v>44537</v>
      </c>
      <c r="F44" s="10">
        <v>44902</v>
      </c>
      <c r="G44" s="6"/>
      <c r="H44" s="6"/>
      <c r="I44" s="6"/>
      <c r="J44" s="6"/>
    </row>
    <row r="45" spans="1:10" x14ac:dyDescent="0.2">
      <c r="A45" s="6"/>
      <c r="B45" s="6"/>
      <c r="C45" s="6">
        <v>1</v>
      </c>
      <c r="D45" s="8" t="s">
        <v>414</v>
      </c>
      <c r="E45" s="10">
        <v>44537</v>
      </c>
      <c r="F45" s="10">
        <v>44902</v>
      </c>
      <c r="G45" s="6"/>
      <c r="H45" s="6"/>
      <c r="I45" s="6"/>
      <c r="J45" s="6"/>
    </row>
    <row r="46" spans="1:10" x14ac:dyDescent="0.2">
      <c r="A46" s="6"/>
      <c r="B46" s="6"/>
      <c r="C46" s="6">
        <v>1</v>
      </c>
      <c r="D46" s="8" t="s">
        <v>442</v>
      </c>
      <c r="E46" s="10">
        <v>44537</v>
      </c>
      <c r="F46" s="10">
        <v>44902</v>
      </c>
      <c r="G46" s="6"/>
      <c r="H46" s="6"/>
      <c r="I46" s="6"/>
      <c r="J46" s="6"/>
    </row>
    <row r="47" spans="1:10" x14ac:dyDescent="0.2">
      <c r="A47" s="6"/>
      <c r="B47" s="6"/>
      <c r="C47" s="6">
        <v>4</v>
      </c>
      <c r="D47" s="8" t="s">
        <v>415</v>
      </c>
      <c r="E47" s="10">
        <v>44537</v>
      </c>
      <c r="F47" s="10">
        <v>44902</v>
      </c>
      <c r="G47" s="6"/>
      <c r="H47" s="6"/>
      <c r="I47" s="6"/>
      <c r="J47" s="6"/>
    </row>
    <row r="48" spans="1:10" x14ac:dyDescent="0.2">
      <c r="A48" s="6"/>
      <c r="B48" s="6"/>
      <c r="C48" s="6">
        <v>2</v>
      </c>
      <c r="D48" s="8" t="s">
        <v>479</v>
      </c>
      <c r="E48" s="10">
        <v>44537</v>
      </c>
      <c r="F48" s="10">
        <v>44902</v>
      </c>
      <c r="G48" s="6"/>
      <c r="H48" s="6"/>
      <c r="I48" s="6"/>
      <c r="J48" s="6"/>
    </row>
    <row r="49" spans="1:10" x14ac:dyDescent="0.2">
      <c r="A49" s="6"/>
      <c r="B49" s="6"/>
      <c r="C49" s="6">
        <v>1</v>
      </c>
      <c r="D49" s="8" t="s">
        <v>19</v>
      </c>
      <c r="E49" s="10">
        <v>44537</v>
      </c>
      <c r="F49" s="10">
        <v>44902</v>
      </c>
      <c r="G49" s="6"/>
      <c r="H49" s="6"/>
      <c r="I49" s="6"/>
      <c r="J49" s="6"/>
    </row>
    <row r="50" spans="1:10" x14ac:dyDescent="0.2">
      <c r="A50" s="6"/>
      <c r="B50" s="6"/>
      <c r="C50" s="6">
        <v>34</v>
      </c>
      <c r="D50" s="8" t="s">
        <v>89</v>
      </c>
      <c r="E50" s="10">
        <v>44537</v>
      </c>
      <c r="F50" s="10">
        <v>44902</v>
      </c>
      <c r="G50" s="6"/>
      <c r="H50" s="6"/>
      <c r="I50" s="6"/>
      <c r="J50" s="6"/>
    </row>
    <row r="51" spans="1:10" x14ac:dyDescent="0.2">
      <c r="A51" s="19"/>
      <c r="B51" s="19"/>
      <c r="C51" s="19"/>
      <c r="D51" s="19"/>
      <c r="E51" s="19"/>
      <c r="F51" s="19"/>
      <c r="G51" s="19"/>
      <c r="H51" s="19"/>
      <c r="I51" s="19"/>
      <c r="J51" s="19"/>
    </row>
    <row r="52" spans="1:10" x14ac:dyDescent="0.2">
      <c r="A52" s="8" t="s">
        <v>1206</v>
      </c>
      <c r="B52" s="8" t="s">
        <v>1207</v>
      </c>
      <c r="C52" s="6">
        <v>10</v>
      </c>
      <c r="D52" s="8" t="s">
        <v>413</v>
      </c>
      <c r="E52" s="10">
        <v>44606</v>
      </c>
      <c r="F52" s="10">
        <v>44787</v>
      </c>
      <c r="G52" s="6"/>
      <c r="H52" s="6"/>
      <c r="I52" s="6"/>
      <c r="J52" s="6"/>
    </row>
    <row r="53" spans="1:10" x14ac:dyDescent="0.2">
      <c r="A53" s="6"/>
      <c r="B53" s="6"/>
      <c r="C53" s="6">
        <v>6</v>
      </c>
      <c r="D53" s="8" t="s">
        <v>247</v>
      </c>
      <c r="E53" s="10">
        <v>44606</v>
      </c>
      <c r="F53" s="10">
        <v>44787</v>
      </c>
      <c r="G53" s="6"/>
      <c r="H53" s="6"/>
      <c r="I53" s="6"/>
      <c r="J53" s="6"/>
    </row>
    <row r="54" spans="1:10" x14ac:dyDescent="0.2">
      <c r="A54" s="6"/>
      <c r="B54" s="6"/>
      <c r="C54" s="6">
        <v>1</v>
      </c>
      <c r="D54" s="8" t="s">
        <v>415</v>
      </c>
      <c r="E54" s="10">
        <v>44606</v>
      </c>
      <c r="F54" s="10">
        <v>44787</v>
      </c>
      <c r="G54" s="6"/>
      <c r="H54" s="6"/>
      <c r="I54" s="6"/>
      <c r="J54" s="6"/>
    </row>
    <row r="55" spans="1:10" x14ac:dyDescent="0.2">
      <c r="A55" s="6"/>
      <c r="B55" s="6"/>
      <c r="C55" s="6">
        <v>1</v>
      </c>
      <c r="D55" s="8" t="s">
        <v>859</v>
      </c>
      <c r="E55" s="10">
        <v>44606</v>
      </c>
      <c r="F55" s="10">
        <v>44787</v>
      </c>
      <c r="G55" s="6"/>
      <c r="H55" s="6"/>
      <c r="I55" s="6"/>
      <c r="J55" s="6"/>
    </row>
    <row r="56" spans="1:10" x14ac:dyDescent="0.2">
      <c r="A56" s="6"/>
      <c r="B56" s="6"/>
      <c r="C56" s="6">
        <v>11</v>
      </c>
      <c r="D56" s="8" t="s">
        <v>89</v>
      </c>
      <c r="E56" s="10">
        <v>44606</v>
      </c>
      <c r="F56" s="10">
        <v>44787</v>
      </c>
      <c r="G56" s="6"/>
      <c r="H56" s="6"/>
      <c r="I56" s="6"/>
      <c r="J56" s="6"/>
    </row>
    <row r="57" spans="1:10" x14ac:dyDescent="0.2">
      <c r="A57" s="6"/>
      <c r="B57" s="6"/>
      <c r="C57" s="6">
        <v>7</v>
      </c>
      <c r="D57" s="8" t="s">
        <v>111</v>
      </c>
      <c r="E57" s="10">
        <v>44606</v>
      </c>
      <c r="F57" s="10">
        <v>44787</v>
      </c>
      <c r="G57" s="6"/>
      <c r="H57" s="6"/>
      <c r="I57" s="6"/>
      <c r="J57" s="6"/>
    </row>
    <row r="58" spans="1:10" x14ac:dyDescent="0.2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x14ac:dyDescent="0.2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x14ac:dyDescent="0.2">
      <c r="A60" s="6"/>
      <c r="B60" s="6"/>
      <c r="C60" s="6"/>
      <c r="D60" s="6"/>
      <c r="E60" s="6"/>
      <c r="F60" s="6"/>
      <c r="G60" s="6"/>
      <c r="H60" s="6"/>
      <c r="I60" s="6"/>
      <c r="J60" s="6"/>
    </row>
    <row r="61" spans="1:10" x14ac:dyDescent="0.2">
      <c r="A61" s="6"/>
      <c r="B61" s="6"/>
      <c r="C61" s="6"/>
      <c r="D61" s="6"/>
      <c r="E61" s="6"/>
      <c r="F61" s="6"/>
      <c r="G61" s="6"/>
      <c r="H61" s="6"/>
      <c r="I61" s="6"/>
      <c r="J61" s="6"/>
    </row>
    <row r="62" spans="1:10" x14ac:dyDescent="0.2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x14ac:dyDescent="0.2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x14ac:dyDescent="0.2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x14ac:dyDescent="0.2">
      <c r="A65" s="6"/>
      <c r="B65" s="6"/>
      <c r="C65" s="6"/>
      <c r="D65" s="6"/>
      <c r="E65" s="6"/>
      <c r="F65" s="6"/>
      <c r="G65" s="6"/>
      <c r="H65" s="6"/>
      <c r="I65" s="6"/>
      <c r="J65" s="6"/>
    </row>
    <row r="66" spans="1:10" x14ac:dyDescent="0.2">
      <c r="A66" s="6"/>
      <c r="B66" s="6"/>
      <c r="C66" s="6"/>
      <c r="D66" s="6"/>
      <c r="E66" s="6"/>
      <c r="F66" s="6"/>
      <c r="G66" s="6"/>
      <c r="H66" s="6"/>
      <c r="I66" s="6"/>
      <c r="J66" s="6"/>
    </row>
    <row r="67" spans="1:10" x14ac:dyDescent="0.2">
      <c r="A67" s="6"/>
      <c r="B67" s="6"/>
      <c r="C67" s="6"/>
      <c r="D67" s="6"/>
      <c r="E67" s="6"/>
      <c r="F67" s="6"/>
      <c r="G67" s="6"/>
      <c r="H67" s="6"/>
      <c r="I67" s="6"/>
      <c r="J67" s="6"/>
    </row>
    <row r="68" spans="1:10" x14ac:dyDescent="0.2">
      <c r="A68" s="6"/>
      <c r="B68" s="6"/>
      <c r="C68" s="6"/>
      <c r="D68" s="6"/>
      <c r="E68" s="6"/>
      <c r="F68" s="6"/>
      <c r="G68" s="6"/>
      <c r="H68" s="6"/>
      <c r="I68" s="6"/>
      <c r="J68" s="6"/>
    </row>
    <row r="69" spans="1:10" x14ac:dyDescent="0.2">
      <c r="A69" s="6"/>
      <c r="B69" s="6"/>
      <c r="C69" s="6"/>
      <c r="D69" s="6"/>
      <c r="E69" s="6"/>
      <c r="F69" s="6"/>
      <c r="G69" s="6"/>
      <c r="H69" s="6"/>
      <c r="I69" s="6"/>
      <c r="J69" s="6"/>
    </row>
    <row r="70" spans="1:10" x14ac:dyDescent="0.2">
      <c r="A70" s="6"/>
      <c r="B70" s="6"/>
      <c r="C70" s="6"/>
      <c r="D70" s="6"/>
      <c r="E70" s="6"/>
      <c r="F70" s="6"/>
      <c r="G70" s="6"/>
      <c r="H70" s="6"/>
      <c r="I70" s="6"/>
      <c r="J70" s="6"/>
    </row>
    <row r="71" spans="1:10" x14ac:dyDescent="0.2">
      <c r="A71" s="6"/>
      <c r="B71" s="6"/>
      <c r="C71" s="6"/>
      <c r="D71" s="6"/>
      <c r="E71" s="6"/>
      <c r="F71" s="6"/>
      <c r="G71" s="6"/>
      <c r="H71" s="6"/>
      <c r="I71" s="6"/>
      <c r="J71" s="6"/>
    </row>
    <row r="72" spans="1:10" x14ac:dyDescent="0.2">
      <c r="A72" s="6"/>
      <c r="B72" s="6"/>
      <c r="C72" s="6"/>
      <c r="D72" s="6"/>
      <c r="E72" s="6"/>
      <c r="F72" s="6"/>
      <c r="G72" s="6"/>
      <c r="H72" s="6"/>
      <c r="I72" s="6"/>
      <c r="J72" s="6"/>
    </row>
    <row r="73" spans="1:10" x14ac:dyDescent="0.2">
      <c r="A73" s="6"/>
      <c r="B73" s="6"/>
      <c r="C73" s="6"/>
      <c r="D73" s="6"/>
      <c r="E73" s="6"/>
      <c r="F73" s="6"/>
      <c r="G73" s="6"/>
      <c r="H73" s="6"/>
      <c r="I73" s="6"/>
      <c r="J73" s="6"/>
    </row>
    <row r="74" spans="1:10" x14ac:dyDescent="0.2">
      <c r="A74" s="6"/>
      <c r="B74" s="6"/>
      <c r="C74" s="6"/>
      <c r="D74" s="6"/>
      <c r="E74" s="6"/>
      <c r="F74" s="6"/>
      <c r="G74" s="6"/>
      <c r="H74" s="6"/>
      <c r="I74" s="6"/>
      <c r="J74" s="6"/>
    </row>
  </sheetData>
  <mergeCells count="1">
    <mergeCell ref="I3:I4"/>
  </mergeCells>
  <pageMargins left="0.7" right="0.7" top="0.75" bottom="0.75" header="0.3" footer="0.3"/>
  <pageSetup scale="87" fitToHeight="6" orientation="landscape" horizontalDpi="300" r:id="rId1"/>
  <headerFooter>
    <oddFooter>&amp;R&amp;D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735D5-D772-4CD9-8EC0-07789E6F946D}">
  <sheetPr>
    <tabColor theme="0" tint="-0.34998626667073579"/>
    <pageSetUpPr fitToPage="1"/>
  </sheetPr>
  <dimension ref="A1:J60"/>
  <sheetViews>
    <sheetView topLeftCell="A13" workbookViewId="0"/>
  </sheetViews>
  <sheetFormatPr defaultRowHeight="12.75" x14ac:dyDescent="0.2"/>
  <cols>
    <col min="1" max="1" width="22.5703125" customWidth="1"/>
    <col min="2" max="2" width="18" customWidth="1"/>
    <col min="3" max="3" width="4.85546875" customWidth="1"/>
    <col min="4" max="4" width="24" customWidth="1"/>
    <col min="5" max="5" width="11.5703125" customWidth="1"/>
    <col min="6" max="6" width="10.28515625" customWidth="1"/>
    <col min="7" max="7" width="10.85546875" customWidth="1"/>
    <col min="8" max="8" width="10.28515625" customWidth="1"/>
    <col min="9" max="9" width="12.28515625" customWidth="1"/>
    <col min="10" max="10" width="11.42578125" customWidth="1"/>
  </cols>
  <sheetData>
    <row r="1" spans="1:10" ht="18" x14ac:dyDescent="0.25">
      <c r="A1" s="13" t="str">
        <f ca="1">MID(CELL("filename",$A$1),FIND("]",CELL("filename",$A$1),1)+1,1024)</f>
        <v>Kirschenmann Ent.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251</v>
      </c>
      <c r="B5" s="6">
        <v>1593</v>
      </c>
      <c r="C5" s="6">
        <v>4</v>
      </c>
      <c r="D5" s="6" t="s">
        <v>451</v>
      </c>
      <c r="E5" s="10">
        <v>43191</v>
      </c>
      <c r="F5" s="10">
        <v>43344</v>
      </c>
      <c r="G5" s="6"/>
      <c r="H5" s="6"/>
      <c r="I5" s="6">
        <f>C5-G5</f>
        <v>4</v>
      </c>
      <c r="J5" s="6"/>
    </row>
    <row r="6" spans="1:10" x14ac:dyDescent="0.2">
      <c r="A6" s="6"/>
      <c r="B6" s="6"/>
      <c r="C6" s="6">
        <v>2</v>
      </c>
      <c r="D6" s="6" t="s">
        <v>450</v>
      </c>
      <c r="E6" s="10">
        <v>43191</v>
      </c>
      <c r="F6" s="10">
        <v>43344</v>
      </c>
      <c r="G6" s="6"/>
      <c r="H6" s="6"/>
      <c r="I6" s="6">
        <f>C6-G6</f>
        <v>2</v>
      </c>
      <c r="J6" s="6"/>
    </row>
    <row r="7" spans="1:10" x14ac:dyDescent="0.2">
      <c r="A7" s="6"/>
      <c r="B7" s="6"/>
      <c r="C7" s="6">
        <v>360</v>
      </c>
      <c r="D7" s="6" t="s">
        <v>127</v>
      </c>
      <c r="E7" s="10">
        <v>43191</v>
      </c>
      <c r="F7" s="10">
        <v>43344</v>
      </c>
      <c r="G7" s="6"/>
      <c r="H7" s="6"/>
      <c r="I7" s="6">
        <f>C7-G7</f>
        <v>360</v>
      </c>
      <c r="J7" s="6"/>
    </row>
    <row r="8" spans="1:10" x14ac:dyDescent="0.2">
      <c r="A8" s="6"/>
      <c r="B8" s="6"/>
      <c r="C8" s="6">
        <v>4</v>
      </c>
      <c r="D8" s="6" t="s">
        <v>449</v>
      </c>
      <c r="E8" s="10">
        <v>43191</v>
      </c>
      <c r="F8" s="10">
        <v>43344</v>
      </c>
      <c r="G8" s="6"/>
      <c r="H8" s="6"/>
      <c r="I8" s="6">
        <f>C8-G8</f>
        <v>4</v>
      </c>
      <c r="J8" s="6"/>
    </row>
    <row r="9" spans="1:10" x14ac:dyDescent="0.2">
      <c r="A9" s="6"/>
      <c r="B9" s="6"/>
      <c r="C9" s="6">
        <v>110</v>
      </c>
      <c r="D9" s="6" t="s">
        <v>172</v>
      </c>
      <c r="E9" s="10">
        <v>43191</v>
      </c>
      <c r="F9" s="10">
        <v>43344</v>
      </c>
      <c r="G9" s="6"/>
      <c r="H9" s="6"/>
      <c r="I9" s="6">
        <f>C9-G9</f>
        <v>110</v>
      </c>
      <c r="J9" s="6"/>
    </row>
    <row r="10" spans="1:10" x14ac:dyDescent="0.2">
      <c r="A10" s="19"/>
      <c r="B10" s="19"/>
      <c r="C10" s="19"/>
      <c r="D10" s="19"/>
      <c r="E10" s="29"/>
      <c r="F10" s="29"/>
      <c r="G10" s="19"/>
      <c r="H10" s="19"/>
      <c r="I10" s="19"/>
      <c r="J10" s="19"/>
    </row>
    <row r="11" spans="1:10" x14ac:dyDescent="0.2">
      <c r="A11" s="6" t="s">
        <v>378</v>
      </c>
      <c r="B11" s="6">
        <v>118604</v>
      </c>
      <c r="C11" s="6">
        <v>1</v>
      </c>
      <c r="D11" s="6" t="s">
        <v>175</v>
      </c>
      <c r="E11" s="10">
        <v>43573</v>
      </c>
      <c r="F11" s="10">
        <v>43726</v>
      </c>
      <c r="G11" s="6"/>
      <c r="H11" s="6"/>
      <c r="I11" s="6">
        <f t="shared" ref="I11:I19" si="0">C11-G11</f>
        <v>1</v>
      </c>
      <c r="J11" s="6"/>
    </row>
    <row r="12" spans="1:10" x14ac:dyDescent="0.2">
      <c r="A12" s="6"/>
      <c r="B12" s="6"/>
      <c r="C12" s="6">
        <v>43</v>
      </c>
      <c r="D12" s="6" t="s">
        <v>123</v>
      </c>
      <c r="E12" s="10">
        <v>43573</v>
      </c>
      <c r="F12" s="10">
        <v>43726</v>
      </c>
      <c r="G12" s="6">
        <v>29</v>
      </c>
      <c r="H12" s="6"/>
      <c r="I12" s="6">
        <f t="shared" si="0"/>
        <v>14</v>
      </c>
      <c r="J12" s="6"/>
    </row>
    <row r="13" spans="1:10" x14ac:dyDescent="0.2">
      <c r="A13" s="6"/>
      <c r="B13" s="6"/>
      <c r="C13" s="6">
        <v>10</v>
      </c>
      <c r="D13" s="6" t="s">
        <v>124</v>
      </c>
      <c r="E13" s="10">
        <v>43573</v>
      </c>
      <c r="F13" s="10">
        <v>43726</v>
      </c>
      <c r="G13" s="6"/>
      <c r="H13" s="6"/>
      <c r="I13" s="6">
        <f t="shared" si="0"/>
        <v>10</v>
      </c>
      <c r="J13" s="6"/>
    </row>
    <row r="14" spans="1:10" x14ac:dyDescent="0.2">
      <c r="A14" s="6"/>
      <c r="B14" s="6"/>
      <c r="C14" s="6">
        <v>122</v>
      </c>
      <c r="D14" s="6" t="s">
        <v>172</v>
      </c>
      <c r="E14" s="10">
        <v>43573</v>
      </c>
      <c r="F14" s="10">
        <v>43726</v>
      </c>
      <c r="G14" s="6"/>
      <c r="H14" s="6"/>
      <c r="I14" s="6">
        <f t="shared" si="0"/>
        <v>122</v>
      </c>
      <c r="J14" s="6"/>
    </row>
    <row r="15" spans="1:10" x14ac:dyDescent="0.2">
      <c r="A15" s="6"/>
      <c r="B15" s="6"/>
      <c r="C15" s="6">
        <v>368</v>
      </c>
      <c r="D15" s="6" t="s">
        <v>127</v>
      </c>
      <c r="E15" s="10">
        <v>43573</v>
      </c>
      <c r="F15" s="10">
        <v>43726</v>
      </c>
      <c r="G15" s="6"/>
      <c r="H15" s="6"/>
      <c r="I15" s="6">
        <f t="shared" si="0"/>
        <v>368</v>
      </c>
      <c r="J15" s="6"/>
    </row>
    <row r="16" spans="1:10" x14ac:dyDescent="0.2">
      <c r="A16" s="19"/>
      <c r="B16" s="19"/>
      <c r="C16" s="19"/>
      <c r="D16" s="19"/>
      <c r="E16" s="19"/>
      <c r="F16" s="19"/>
      <c r="G16" s="19"/>
      <c r="H16" s="19"/>
      <c r="I16" s="19"/>
      <c r="J16" s="19"/>
    </row>
    <row r="17" spans="1:10" x14ac:dyDescent="0.2">
      <c r="A17" s="8" t="s">
        <v>492</v>
      </c>
      <c r="B17" s="8" t="s">
        <v>713</v>
      </c>
      <c r="C17" s="6">
        <v>44</v>
      </c>
      <c r="D17" s="8" t="s">
        <v>493</v>
      </c>
      <c r="E17" s="106">
        <v>43881</v>
      </c>
      <c r="F17" s="106">
        <v>44002</v>
      </c>
      <c r="G17" s="6"/>
      <c r="H17" s="6"/>
      <c r="I17" s="6">
        <f t="shared" si="0"/>
        <v>44</v>
      </c>
      <c r="J17" s="6"/>
    </row>
    <row r="18" spans="1:10" x14ac:dyDescent="0.2">
      <c r="A18" s="6"/>
      <c r="B18" s="6"/>
      <c r="C18" s="6">
        <v>42</v>
      </c>
      <c r="D18" s="8" t="s">
        <v>198</v>
      </c>
      <c r="E18" s="106">
        <v>43881</v>
      </c>
      <c r="F18" s="106">
        <v>44002</v>
      </c>
      <c r="G18" s="6"/>
      <c r="H18" s="6"/>
      <c r="I18" s="6">
        <f t="shared" si="0"/>
        <v>42</v>
      </c>
      <c r="J18" s="6"/>
    </row>
    <row r="19" spans="1:10" x14ac:dyDescent="0.2">
      <c r="A19" s="6"/>
      <c r="B19" s="6"/>
      <c r="C19" s="6">
        <v>2</v>
      </c>
      <c r="D19" s="8" t="s">
        <v>325</v>
      </c>
      <c r="E19" s="106">
        <v>43881</v>
      </c>
      <c r="F19" s="106">
        <v>44002</v>
      </c>
      <c r="G19" s="6"/>
      <c r="H19" s="6"/>
      <c r="I19" s="6">
        <f t="shared" si="0"/>
        <v>2</v>
      </c>
      <c r="J19" s="6"/>
    </row>
    <row r="20" spans="1:10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</row>
    <row r="21" spans="1:10" x14ac:dyDescent="0.2">
      <c r="A21" s="8" t="s">
        <v>502</v>
      </c>
      <c r="B21" s="8" t="s">
        <v>605</v>
      </c>
      <c r="C21" s="6">
        <v>22</v>
      </c>
      <c r="D21" s="8" t="s">
        <v>72</v>
      </c>
      <c r="E21" s="10">
        <v>44052</v>
      </c>
      <c r="F21" s="10">
        <v>44205</v>
      </c>
      <c r="G21" s="6"/>
      <c r="H21" s="6"/>
      <c r="I21" s="6"/>
      <c r="J21" s="6"/>
    </row>
    <row r="22" spans="1:10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</row>
    <row r="23" spans="1:10" x14ac:dyDescent="0.2">
      <c r="A23" s="8" t="s">
        <v>392</v>
      </c>
      <c r="B23" s="8" t="s">
        <v>604</v>
      </c>
      <c r="C23" s="6">
        <v>20</v>
      </c>
      <c r="D23" s="8" t="s">
        <v>497</v>
      </c>
      <c r="E23" s="10">
        <v>44075</v>
      </c>
      <c r="F23" s="10">
        <v>44255</v>
      </c>
      <c r="G23" s="6"/>
      <c r="H23" s="6"/>
      <c r="I23" s="6"/>
      <c r="J23" s="6"/>
    </row>
    <row r="24" spans="1:10" x14ac:dyDescent="0.2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 spans="1:10" x14ac:dyDescent="0.2">
      <c r="A25" s="8" t="s">
        <v>603</v>
      </c>
      <c r="B25" s="8" t="s">
        <v>1141</v>
      </c>
      <c r="C25" s="6">
        <v>30</v>
      </c>
      <c r="D25" s="8" t="s">
        <v>8</v>
      </c>
      <c r="E25" s="10">
        <v>44512</v>
      </c>
      <c r="F25" s="10">
        <v>44632</v>
      </c>
      <c r="G25" s="6"/>
      <c r="H25" s="6"/>
      <c r="I25" s="6"/>
      <c r="J25" s="6"/>
    </row>
    <row r="26" spans="1:10" x14ac:dyDescent="0.2">
      <c r="A26" s="30"/>
      <c r="B26" s="30"/>
      <c r="C26" s="19"/>
      <c r="D26" s="30"/>
      <c r="E26" s="29"/>
      <c r="F26" s="29"/>
      <c r="G26" s="19"/>
      <c r="H26" s="19"/>
      <c r="I26" s="19"/>
      <c r="J26" s="19"/>
    </row>
    <row r="27" spans="1:10" x14ac:dyDescent="0.2">
      <c r="A27" s="8" t="s">
        <v>837</v>
      </c>
      <c r="B27" s="8" t="s">
        <v>1142</v>
      </c>
      <c r="C27" s="6">
        <v>30</v>
      </c>
      <c r="D27" s="8" t="s">
        <v>8</v>
      </c>
      <c r="E27" s="10">
        <v>44510</v>
      </c>
      <c r="F27" s="10">
        <v>44691</v>
      </c>
      <c r="G27" s="6"/>
      <c r="H27" s="6"/>
      <c r="I27" s="6"/>
      <c r="J27" s="6"/>
    </row>
    <row r="28" spans="1:10" x14ac:dyDescent="0.2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spans="1:10" x14ac:dyDescent="0.2">
      <c r="A29" s="6" t="s">
        <v>699</v>
      </c>
      <c r="B29" s="6" t="s">
        <v>700</v>
      </c>
      <c r="C29" s="6">
        <v>35</v>
      </c>
      <c r="D29" s="6" t="s">
        <v>220</v>
      </c>
      <c r="E29" s="10">
        <v>44211</v>
      </c>
      <c r="F29" s="10">
        <v>44362</v>
      </c>
      <c r="G29" s="6"/>
      <c r="H29" s="6"/>
      <c r="I29" s="6"/>
      <c r="J29" s="6"/>
    </row>
    <row r="30" spans="1:10" x14ac:dyDescent="0.2">
      <c r="A30" s="6"/>
      <c r="B30" s="6"/>
      <c r="C30" s="6">
        <v>1</v>
      </c>
      <c r="D30" s="6" t="s">
        <v>701</v>
      </c>
      <c r="E30" s="10">
        <v>44211</v>
      </c>
      <c r="F30" s="10">
        <v>44362</v>
      </c>
      <c r="G30" s="6"/>
      <c r="H30" s="6"/>
      <c r="I30" s="6"/>
      <c r="J30" s="6"/>
    </row>
    <row r="31" spans="1:10" x14ac:dyDescent="0.2">
      <c r="A31" s="6"/>
      <c r="B31" s="6"/>
      <c r="C31" s="6">
        <v>7</v>
      </c>
      <c r="D31" s="6" t="s">
        <v>136</v>
      </c>
      <c r="E31" s="10">
        <v>44211</v>
      </c>
      <c r="F31" s="10">
        <v>44362</v>
      </c>
      <c r="G31" s="6"/>
      <c r="H31" s="6"/>
      <c r="I31" s="6"/>
      <c r="J31" s="6"/>
    </row>
    <row r="32" spans="1:10" x14ac:dyDescent="0.2">
      <c r="A32" s="6"/>
      <c r="B32" s="6"/>
      <c r="C32" s="6">
        <v>33</v>
      </c>
      <c r="D32" s="6" t="s">
        <v>167</v>
      </c>
      <c r="E32" s="10">
        <v>44211</v>
      </c>
      <c r="F32" s="10">
        <v>44362</v>
      </c>
      <c r="G32" s="6"/>
      <c r="H32" s="6"/>
      <c r="I32" s="6"/>
      <c r="J32" s="6"/>
    </row>
    <row r="33" spans="1:10" x14ac:dyDescent="0.2">
      <c r="A33" s="6"/>
      <c r="B33" s="6"/>
      <c r="C33" s="6">
        <v>2</v>
      </c>
      <c r="D33" s="6" t="s">
        <v>702</v>
      </c>
      <c r="E33" s="10">
        <v>44211</v>
      </c>
      <c r="F33" s="10">
        <v>44362</v>
      </c>
      <c r="G33" s="6"/>
      <c r="H33" s="6"/>
      <c r="I33" s="6"/>
      <c r="J33" s="6"/>
    </row>
    <row r="34" spans="1:10" x14ac:dyDescent="0.2">
      <c r="A34" s="6"/>
      <c r="B34" s="6"/>
      <c r="C34" s="6">
        <v>2</v>
      </c>
      <c r="D34" s="6" t="s">
        <v>665</v>
      </c>
      <c r="E34" s="10">
        <v>44211</v>
      </c>
      <c r="F34" s="10">
        <v>44362</v>
      </c>
      <c r="G34" s="6"/>
      <c r="H34" s="6"/>
      <c r="I34" s="6"/>
      <c r="J34" s="6"/>
    </row>
    <row r="35" spans="1:10" x14ac:dyDescent="0.2">
      <c r="A35" s="6"/>
      <c r="B35" s="6"/>
      <c r="C35" s="6">
        <v>2</v>
      </c>
      <c r="D35" s="6" t="s">
        <v>666</v>
      </c>
      <c r="E35" s="10">
        <v>44211</v>
      </c>
      <c r="F35" s="10">
        <v>44362</v>
      </c>
      <c r="G35" s="6"/>
      <c r="H35" s="6"/>
      <c r="I35" s="6"/>
      <c r="J35" s="6"/>
    </row>
    <row r="36" spans="1:10" x14ac:dyDescent="0.2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spans="1:10" x14ac:dyDescent="0.2">
      <c r="A37" s="6" t="s">
        <v>721</v>
      </c>
      <c r="B37" s="6" t="s">
        <v>722</v>
      </c>
      <c r="C37" s="6">
        <v>70</v>
      </c>
      <c r="D37" s="6" t="s">
        <v>446</v>
      </c>
      <c r="E37" s="10">
        <v>44270</v>
      </c>
      <c r="F37" s="10">
        <v>44423</v>
      </c>
      <c r="G37" s="6"/>
      <c r="H37" s="6"/>
      <c r="I37" s="6"/>
      <c r="J37" s="6"/>
    </row>
    <row r="38" spans="1:10" x14ac:dyDescent="0.2">
      <c r="A38" s="6"/>
      <c r="B38" s="6"/>
      <c r="C38" s="6">
        <v>14</v>
      </c>
      <c r="D38" s="6" t="s">
        <v>325</v>
      </c>
      <c r="E38" s="10">
        <v>44270</v>
      </c>
      <c r="F38" s="10">
        <v>44423</v>
      </c>
      <c r="G38" s="6"/>
      <c r="H38" s="6"/>
      <c r="I38" s="6"/>
      <c r="J38" s="6"/>
    </row>
    <row r="39" spans="1:10" x14ac:dyDescent="0.2">
      <c r="A39" s="6"/>
      <c r="B39" s="6"/>
      <c r="C39" s="6">
        <v>63</v>
      </c>
      <c r="D39" s="6" t="s">
        <v>198</v>
      </c>
      <c r="E39" s="10">
        <v>44270</v>
      </c>
      <c r="F39" s="10">
        <v>44423</v>
      </c>
      <c r="G39" s="6"/>
      <c r="H39" s="6"/>
      <c r="I39" s="6"/>
      <c r="J39" s="6"/>
    </row>
    <row r="40" spans="1:10" x14ac:dyDescent="0.2">
      <c r="A40" s="6"/>
      <c r="B40" s="6"/>
      <c r="C40" s="6">
        <v>2</v>
      </c>
      <c r="D40" s="6" t="s">
        <v>116</v>
      </c>
      <c r="E40" s="10">
        <v>44270</v>
      </c>
      <c r="F40" s="10">
        <v>44423</v>
      </c>
      <c r="G40" s="6"/>
      <c r="H40" s="6"/>
      <c r="I40" s="6"/>
      <c r="J40" s="6"/>
    </row>
    <row r="41" spans="1:10" x14ac:dyDescent="0.2">
      <c r="A41" s="6"/>
      <c r="B41" s="6"/>
      <c r="C41" s="6">
        <v>1</v>
      </c>
      <c r="D41" s="6" t="s">
        <v>723</v>
      </c>
      <c r="E41" s="10">
        <v>44270</v>
      </c>
      <c r="F41" s="10">
        <v>44423</v>
      </c>
      <c r="G41" s="6"/>
      <c r="H41" s="6"/>
      <c r="I41" s="6"/>
      <c r="J41" s="6"/>
    </row>
    <row r="42" spans="1:10" x14ac:dyDescent="0.2">
      <c r="A42" s="6"/>
      <c r="B42" s="6"/>
      <c r="C42" s="6">
        <v>1</v>
      </c>
      <c r="D42" s="6" t="s">
        <v>724</v>
      </c>
      <c r="E42" s="10">
        <v>44270</v>
      </c>
      <c r="F42" s="10">
        <v>44423</v>
      </c>
      <c r="G42" s="6"/>
      <c r="H42" s="6"/>
      <c r="I42" s="6"/>
      <c r="J42" s="6"/>
    </row>
    <row r="43" spans="1:10" x14ac:dyDescent="0.2">
      <c r="A43" s="6"/>
      <c r="B43" s="6"/>
      <c r="C43" s="6">
        <v>1</v>
      </c>
      <c r="D43" s="6" t="s">
        <v>441</v>
      </c>
      <c r="E43" s="10">
        <v>44270</v>
      </c>
      <c r="F43" s="10">
        <v>44423</v>
      </c>
      <c r="G43" s="6"/>
      <c r="H43" s="6"/>
      <c r="I43" s="6"/>
      <c r="J43" s="6"/>
    </row>
    <row r="44" spans="1:10" x14ac:dyDescent="0.2">
      <c r="A44" s="6"/>
      <c r="B44" s="6"/>
      <c r="C44" s="6">
        <v>1</v>
      </c>
      <c r="D44" s="6" t="s">
        <v>725</v>
      </c>
      <c r="E44" s="10">
        <v>44270</v>
      </c>
      <c r="F44" s="10">
        <v>44423</v>
      </c>
      <c r="G44" s="6"/>
      <c r="H44" s="6"/>
      <c r="I44" s="6"/>
      <c r="J44" s="6"/>
    </row>
    <row r="45" spans="1:10" x14ac:dyDescent="0.2">
      <c r="A45" s="6"/>
      <c r="B45" s="6"/>
      <c r="C45" s="6">
        <v>1</v>
      </c>
      <c r="D45" s="6" t="s">
        <v>726</v>
      </c>
      <c r="E45" s="10">
        <v>44270</v>
      </c>
      <c r="F45" s="10">
        <v>44423</v>
      </c>
      <c r="G45" s="6"/>
      <c r="H45" s="6"/>
      <c r="I45" s="6"/>
      <c r="J45" s="6"/>
    </row>
    <row r="46" spans="1:10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</row>
    <row r="47" spans="1:10" x14ac:dyDescent="0.2">
      <c r="A47" s="6" t="s">
        <v>245</v>
      </c>
      <c r="B47" s="6" t="s">
        <v>755</v>
      </c>
      <c r="C47" s="6">
        <v>1</v>
      </c>
      <c r="D47" s="6" t="s">
        <v>756</v>
      </c>
      <c r="E47" s="10">
        <v>44256</v>
      </c>
      <c r="F47" s="10">
        <v>44409</v>
      </c>
      <c r="G47" s="6"/>
      <c r="H47" s="6"/>
      <c r="I47" s="6"/>
      <c r="J47" s="6"/>
    </row>
    <row r="48" spans="1:10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</row>
    <row r="49" spans="1:10" x14ac:dyDescent="0.2">
      <c r="A49" s="8" t="s">
        <v>837</v>
      </c>
      <c r="B49" s="8" t="s">
        <v>838</v>
      </c>
      <c r="C49" s="6">
        <v>1</v>
      </c>
      <c r="D49" s="6" t="s">
        <v>839</v>
      </c>
      <c r="E49" s="10">
        <v>44256</v>
      </c>
      <c r="F49" s="10">
        <v>44440</v>
      </c>
      <c r="G49" s="6"/>
      <c r="H49" s="6"/>
      <c r="I49" s="6"/>
      <c r="J49" s="6"/>
    </row>
    <row r="50" spans="1:10" x14ac:dyDescent="0.2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 x14ac:dyDescent="0.2">
      <c r="A53" s="6"/>
      <c r="B53" s="6"/>
      <c r="C53" s="6"/>
      <c r="D53" s="6"/>
      <c r="E53" s="6"/>
      <c r="F53" s="6"/>
      <c r="G53" s="6"/>
      <c r="H53" s="6"/>
      <c r="I53" s="6"/>
      <c r="J53" s="6"/>
    </row>
    <row r="54" spans="1:10" x14ac:dyDescent="0.2">
      <c r="A54" s="6"/>
      <c r="B54" s="6"/>
      <c r="C54" s="6"/>
      <c r="D54" s="6"/>
      <c r="E54" s="6"/>
      <c r="F54" s="6"/>
      <c r="G54" s="6"/>
      <c r="H54" s="6"/>
      <c r="I54" s="6"/>
      <c r="J54" s="6"/>
    </row>
    <row r="55" spans="1:10" x14ac:dyDescent="0.2">
      <c r="A55" s="6"/>
      <c r="B55" s="6"/>
      <c r="C55" s="6"/>
      <c r="D55" s="6"/>
      <c r="E55" s="6"/>
      <c r="F55" s="6"/>
      <c r="G55" s="6"/>
      <c r="H55" s="6"/>
      <c r="I55" s="6"/>
      <c r="J55" s="6"/>
    </row>
    <row r="56" spans="1:10" x14ac:dyDescent="0.2">
      <c r="A56" s="6"/>
      <c r="B56" s="6"/>
      <c r="C56" s="6"/>
      <c r="D56" s="6"/>
      <c r="E56" s="6"/>
      <c r="F56" s="6"/>
      <c r="G56" s="6"/>
      <c r="H56" s="6"/>
      <c r="I56" s="6"/>
      <c r="J56" s="6"/>
    </row>
    <row r="57" spans="1:10" x14ac:dyDescent="0.2">
      <c r="A57" s="6"/>
      <c r="B57" s="6"/>
      <c r="C57" s="6"/>
      <c r="D57" s="6"/>
      <c r="E57" s="6"/>
      <c r="F57" s="6"/>
      <c r="G57" s="6"/>
      <c r="H57" s="6"/>
      <c r="I57" s="6"/>
      <c r="J57" s="6"/>
    </row>
    <row r="58" spans="1:10" x14ac:dyDescent="0.2">
      <c r="A58" s="6"/>
      <c r="B58" s="6"/>
      <c r="C58" s="6"/>
      <c r="D58" s="6"/>
      <c r="E58" s="6"/>
      <c r="F58" s="6"/>
      <c r="G58" s="6"/>
      <c r="H58" s="6"/>
      <c r="I58" s="6"/>
      <c r="J58" s="6"/>
    </row>
    <row r="59" spans="1:10" x14ac:dyDescent="0.2">
      <c r="A59" s="6"/>
      <c r="B59" s="6"/>
      <c r="C59" s="6"/>
      <c r="D59" s="6"/>
      <c r="E59" s="6"/>
      <c r="F59" s="6"/>
      <c r="G59" s="6"/>
      <c r="H59" s="6"/>
      <c r="I59" s="6"/>
      <c r="J59" s="6"/>
    </row>
    <row r="60" spans="1:10" x14ac:dyDescent="0.2">
      <c r="A60" s="6"/>
      <c r="B60" s="6"/>
      <c r="C60" s="6"/>
      <c r="D60" s="6"/>
      <c r="E60" s="6"/>
      <c r="F60" s="6"/>
      <c r="G60" s="6"/>
      <c r="H60" s="6"/>
      <c r="I60" s="6"/>
      <c r="J60" s="6"/>
    </row>
  </sheetData>
  <mergeCells count="1">
    <mergeCell ref="I3:I4"/>
  </mergeCells>
  <pageMargins left="0.7" right="0.7" top="0.75" bottom="0.75" header="0.3" footer="0.3"/>
  <pageSetup scale="91" fitToHeight="6" orientation="landscape" horizontalDpi="300" r:id="rId1"/>
  <headerFooter>
    <oddFooter>&amp;R&amp;D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0" tint="-0.34998626667073579"/>
    <pageSetUpPr fitToPage="1"/>
  </sheetPr>
  <dimension ref="A1:J35"/>
  <sheetViews>
    <sheetView workbookViewId="0"/>
  </sheetViews>
  <sheetFormatPr defaultRowHeight="12.75" x14ac:dyDescent="0.2"/>
  <cols>
    <col min="1" max="1" width="22.140625" customWidth="1"/>
    <col min="2" max="2" width="11.28515625" customWidth="1"/>
    <col min="3" max="3" width="6.5703125" customWidth="1"/>
    <col min="4" max="4" width="26.85546875" customWidth="1"/>
    <col min="5" max="5" width="12.42578125" customWidth="1"/>
    <col min="6" max="6" width="11.5703125" customWidth="1"/>
    <col min="7" max="7" width="11.140625" customWidth="1"/>
    <col min="8" max="8" width="10.7109375" customWidth="1"/>
    <col min="9" max="9" width="12.7109375" customWidth="1"/>
    <col min="10" max="10" width="11.42578125" customWidth="1"/>
  </cols>
  <sheetData>
    <row r="1" spans="1:10" ht="15" x14ac:dyDescent="0.2">
      <c r="A1" s="5" t="str">
        <f ca="1">MID(CELL("filename",$A$1),FIND("]",CELL("filename",$A$1),1)+1,1024)</f>
        <v>KIRSCHENMANN 2008 TRUST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 t="s">
        <v>168</v>
      </c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233</v>
      </c>
      <c r="B5" s="6" t="s">
        <v>1155</v>
      </c>
      <c r="C5" s="6">
        <v>385</v>
      </c>
      <c r="D5" s="11" t="s">
        <v>234</v>
      </c>
      <c r="E5" s="10">
        <v>44531</v>
      </c>
      <c r="F5" s="10">
        <v>44681</v>
      </c>
      <c r="G5" s="6"/>
      <c r="H5" s="6"/>
      <c r="I5" s="6"/>
      <c r="J5" s="6" t="s">
        <v>475</v>
      </c>
    </row>
    <row r="6" spans="1:10" x14ac:dyDescent="0.2">
      <c r="A6" s="19"/>
      <c r="B6" s="19"/>
      <c r="C6" s="19"/>
      <c r="D6" s="23"/>
      <c r="E6" s="29"/>
      <c r="F6" s="29"/>
      <c r="G6" s="19"/>
      <c r="H6" s="19"/>
      <c r="I6" s="19"/>
      <c r="J6" s="105">
        <v>44531</v>
      </c>
    </row>
    <row r="7" spans="1:10" x14ac:dyDescent="0.2">
      <c r="A7" s="8"/>
      <c r="B7" s="6"/>
      <c r="C7" s="6"/>
      <c r="D7" s="9"/>
      <c r="E7" s="10"/>
      <c r="F7" s="10"/>
      <c r="G7" s="6"/>
      <c r="H7" s="6"/>
      <c r="I7" s="6"/>
      <c r="J7" s="6"/>
    </row>
    <row r="8" spans="1:10" x14ac:dyDescent="0.2">
      <c r="A8" s="8"/>
      <c r="B8" s="6"/>
      <c r="C8" s="6"/>
      <c r="D8" s="9"/>
      <c r="E8" s="10"/>
      <c r="F8" s="10"/>
      <c r="G8" s="6"/>
      <c r="H8" s="6"/>
      <c r="I8" s="6"/>
      <c r="J8" s="6"/>
    </row>
    <row r="9" spans="1:10" x14ac:dyDescent="0.2">
      <c r="A9" s="8"/>
      <c r="B9" s="6"/>
      <c r="C9" s="6"/>
      <c r="D9" s="9"/>
      <c r="E9" s="10"/>
      <c r="F9" s="10"/>
      <c r="G9" s="6"/>
      <c r="H9" s="6"/>
      <c r="I9" s="6"/>
      <c r="J9" s="6"/>
    </row>
    <row r="10" spans="1:10" x14ac:dyDescent="0.2">
      <c r="A10" s="6"/>
      <c r="B10" s="6"/>
      <c r="C10" s="6"/>
      <c r="D10" s="9"/>
      <c r="E10" s="10"/>
      <c r="F10" s="10"/>
      <c r="G10" s="6"/>
      <c r="H10" s="6"/>
      <c r="I10" s="6"/>
      <c r="J10" s="6"/>
    </row>
    <row r="11" spans="1:10" x14ac:dyDescent="0.2">
      <c r="A11" s="6"/>
      <c r="B11" s="6"/>
      <c r="C11" s="6"/>
      <c r="D11" s="9"/>
      <c r="E11" s="10"/>
      <c r="F11" s="10"/>
      <c r="G11" s="6"/>
      <c r="H11" s="6"/>
      <c r="I11" s="6"/>
      <c r="J11" s="6"/>
    </row>
    <row r="12" spans="1:10" x14ac:dyDescent="0.2">
      <c r="A12" s="6"/>
      <c r="B12" s="6"/>
      <c r="C12" s="6"/>
      <c r="D12" s="9"/>
      <c r="E12" s="10"/>
      <c r="F12" s="10"/>
      <c r="G12" s="6"/>
      <c r="H12" s="6"/>
      <c r="I12" s="6"/>
      <c r="J12" s="6"/>
    </row>
    <row r="13" spans="1:10" x14ac:dyDescent="0.2">
      <c r="A13" s="6"/>
      <c r="B13" s="6"/>
      <c r="C13" s="6"/>
      <c r="D13" s="9"/>
      <c r="E13" s="10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8"/>
      <c r="E14" s="10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8"/>
      <c r="E15" s="10"/>
      <c r="F15" s="10"/>
      <c r="G15" s="6"/>
      <c r="H15" s="6"/>
      <c r="I15" s="6"/>
      <c r="J15" s="6"/>
    </row>
    <row r="16" spans="1:10" x14ac:dyDescent="0.2">
      <c r="A16" s="6"/>
      <c r="B16" s="6"/>
      <c r="C16" s="6"/>
      <c r="D16" s="8"/>
      <c r="E16" s="10"/>
      <c r="F16" s="10"/>
      <c r="G16" s="6"/>
      <c r="H16" s="6"/>
      <c r="I16" s="6"/>
      <c r="J16" s="6"/>
    </row>
    <row r="17" spans="1:10" x14ac:dyDescent="0.2">
      <c r="A17" s="6"/>
      <c r="B17" s="6"/>
      <c r="C17" s="6"/>
      <c r="D17" s="8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8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8"/>
      <c r="E19" s="10"/>
      <c r="F19" s="10"/>
      <c r="G19" s="6"/>
      <c r="H19" s="6"/>
      <c r="I19" s="6"/>
      <c r="J19" s="6"/>
    </row>
    <row r="20" spans="1:10" x14ac:dyDescent="0.2">
      <c r="A20" s="6"/>
      <c r="B20" s="6"/>
      <c r="C20" s="6"/>
      <c r="D20" s="8"/>
      <c r="E20" s="10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8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8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6"/>
      <c r="F35" s="6"/>
      <c r="G35" s="6"/>
      <c r="H35" s="6"/>
      <c r="I35" s="6"/>
      <c r="J35" s="6"/>
    </row>
  </sheetData>
  <mergeCells count="1">
    <mergeCell ref="I3:I4"/>
  </mergeCells>
  <pageMargins left="0.7" right="0.7" top="0.75" bottom="0.75" header="0.3" footer="0.3"/>
  <pageSetup scale="91" fitToHeight="6" orientation="landscape" horizontalDpi="300" r:id="rId1"/>
  <headerFooter>
    <oddFooter>&amp;R&amp;D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A144-7197-4888-8442-BFD84E1FE14C}">
  <sheetPr>
    <tabColor theme="0" tint="-0.34998626667073579"/>
    <pageSetUpPr fitToPage="1"/>
  </sheetPr>
  <dimension ref="A1:J29"/>
  <sheetViews>
    <sheetView workbookViewId="0"/>
  </sheetViews>
  <sheetFormatPr defaultRowHeight="12.75" x14ac:dyDescent="0.2"/>
  <cols>
    <col min="1" max="1" width="22.42578125" customWidth="1"/>
    <col min="2" max="2" width="14.85546875" customWidth="1"/>
    <col min="3" max="3" width="6.5703125" customWidth="1"/>
    <col min="4" max="4" width="29.42578125" customWidth="1"/>
    <col min="5" max="5" width="12.42578125" customWidth="1"/>
    <col min="6" max="6" width="11.5703125" customWidth="1"/>
    <col min="7" max="7" width="11.140625" customWidth="1"/>
    <col min="8" max="8" width="10.7109375" customWidth="1"/>
    <col min="9" max="9" width="13" customWidth="1"/>
  </cols>
  <sheetData>
    <row r="1" spans="1:10" ht="15" x14ac:dyDescent="0.2">
      <c r="A1" s="5" t="str">
        <f ca="1">MID(CELL("filename",$A$1),FIND("]",CELL("filename",$A$1),1)+1,1024)</f>
        <v>KOSAREFF FARMS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8" t="s">
        <v>322</v>
      </c>
      <c r="B5" s="8" t="s">
        <v>849</v>
      </c>
      <c r="C5" s="6">
        <v>31</v>
      </c>
      <c r="D5" s="9" t="s">
        <v>454</v>
      </c>
      <c r="E5" s="10">
        <v>44317</v>
      </c>
      <c r="F5" s="10">
        <v>44500</v>
      </c>
      <c r="G5" s="6"/>
      <c r="H5" s="6"/>
      <c r="I5" s="6">
        <f>C5-G5</f>
        <v>31</v>
      </c>
      <c r="J5" s="6"/>
    </row>
    <row r="6" spans="1:10" x14ac:dyDescent="0.2">
      <c r="A6" s="8"/>
      <c r="B6" s="6"/>
      <c r="C6" s="6">
        <v>2</v>
      </c>
      <c r="D6" s="9" t="s">
        <v>448</v>
      </c>
      <c r="E6" s="10">
        <v>44317</v>
      </c>
      <c r="F6" s="10">
        <v>44500</v>
      </c>
      <c r="G6" s="6"/>
      <c r="H6" s="6"/>
      <c r="I6" s="6">
        <f t="shared" ref="I6:I11" si="0">C6-G6</f>
        <v>2</v>
      </c>
      <c r="J6" s="6"/>
    </row>
    <row r="7" spans="1:10" x14ac:dyDescent="0.2">
      <c r="A7" s="6"/>
      <c r="B7" s="6"/>
      <c r="C7" s="6">
        <v>1</v>
      </c>
      <c r="D7" s="8" t="s">
        <v>415</v>
      </c>
      <c r="E7" s="10">
        <v>44317</v>
      </c>
      <c r="F7" s="10">
        <v>44500</v>
      </c>
      <c r="G7" s="6"/>
      <c r="H7" s="6"/>
      <c r="I7" s="6">
        <f t="shared" si="0"/>
        <v>1</v>
      </c>
      <c r="J7" s="6"/>
    </row>
    <row r="8" spans="1:10" x14ac:dyDescent="0.2">
      <c r="A8" s="6"/>
      <c r="B8" s="6"/>
      <c r="C8" s="6">
        <v>1</v>
      </c>
      <c r="D8" s="8" t="s">
        <v>39</v>
      </c>
      <c r="E8" s="10">
        <v>44317</v>
      </c>
      <c r="F8" s="10">
        <v>44500</v>
      </c>
      <c r="G8" s="6"/>
      <c r="H8" s="6"/>
      <c r="I8" s="6">
        <f t="shared" si="0"/>
        <v>1</v>
      </c>
      <c r="J8" s="6"/>
    </row>
    <row r="9" spans="1:10" x14ac:dyDescent="0.2">
      <c r="A9" s="6"/>
      <c r="B9" s="6"/>
      <c r="C9" s="6">
        <v>17</v>
      </c>
      <c r="D9" s="8" t="s">
        <v>455</v>
      </c>
      <c r="E9" s="10">
        <v>44317</v>
      </c>
      <c r="F9" s="10">
        <v>44500</v>
      </c>
      <c r="G9" s="6"/>
      <c r="H9" s="6"/>
      <c r="I9" s="6">
        <f t="shared" si="0"/>
        <v>17</v>
      </c>
      <c r="J9" s="6"/>
    </row>
    <row r="10" spans="1:10" x14ac:dyDescent="0.2">
      <c r="A10" s="6"/>
      <c r="B10" s="6"/>
      <c r="C10" s="6">
        <v>17</v>
      </c>
      <c r="D10" s="6" t="s">
        <v>72</v>
      </c>
      <c r="E10" s="10">
        <v>44317</v>
      </c>
      <c r="F10" s="10">
        <v>44500</v>
      </c>
      <c r="G10" s="6"/>
      <c r="H10" s="6"/>
      <c r="I10" s="6">
        <f t="shared" si="0"/>
        <v>17</v>
      </c>
      <c r="J10" s="6"/>
    </row>
    <row r="11" spans="1:10" x14ac:dyDescent="0.2">
      <c r="A11" s="6"/>
      <c r="B11" s="6"/>
      <c r="C11" s="6">
        <v>35</v>
      </c>
      <c r="D11" s="6" t="s">
        <v>69</v>
      </c>
      <c r="E11" s="10">
        <v>44317</v>
      </c>
      <c r="F11" s="10">
        <v>44500</v>
      </c>
      <c r="G11" s="6"/>
      <c r="H11" s="6"/>
      <c r="I11" s="6">
        <f t="shared" si="0"/>
        <v>35</v>
      </c>
      <c r="J11" s="6"/>
    </row>
    <row r="12" spans="1:10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</row>
    <row r="13" spans="1:10" x14ac:dyDescent="0.2">
      <c r="A13" s="8" t="s">
        <v>375</v>
      </c>
      <c r="B13" s="25" t="s">
        <v>850</v>
      </c>
      <c r="C13" s="6">
        <v>73</v>
      </c>
      <c r="D13" s="8" t="s">
        <v>676</v>
      </c>
      <c r="E13" s="10">
        <v>44317</v>
      </c>
      <c r="F13" s="10">
        <v>44681</v>
      </c>
      <c r="G13" s="6"/>
      <c r="H13" s="6"/>
      <c r="I13" s="6"/>
      <c r="J13" s="6"/>
    </row>
    <row r="14" spans="1:10" x14ac:dyDescent="0.2">
      <c r="A14" s="6"/>
      <c r="B14" s="6"/>
      <c r="C14" s="6">
        <v>22</v>
      </c>
      <c r="D14" s="8" t="s">
        <v>680</v>
      </c>
      <c r="E14" s="10">
        <v>44317</v>
      </c>
      <c r="F14" s="10">
        <v>44681</v>
      </c>
      <c r="G14" s="6"/>
      <c r="H14" s="6"/>
      <c r="I14" s="6"/>
      <c r="J14" s="6"/>
    </row>
    <row r="15" spans="1:10" x14ac:dyDescent="0.2">
      <c r="A15" s="6"/>
      <c r="B15" s="6"/>
      <c r="C15" s="6">
        <v>1</v>
      </c>
      <c r="D15" s="8" t="s">
        <v>414</v>
      </c>
      <c r="E15" s="10">
        <v>44317</v>
      </c>
      <c r="F15" s="10">
        <v>44681</v>
      </c>
      <c r="G15" s="6"/>
      <c r="H15" s="6"/>
      <c r="I15" s="6"/>
      <c r="J15" s="6"/>
    </row>
    <row r="16" spans="1:10" x14ac:dyDescent="0.2">
      <c r="A16" s="8"/>
      <c r="B16" s="6"/>
      <c r="C16" s="6">
        <v>1</v>
      </c>
      <c r="D16" s="9" t="s">
        <v>415</v>
      </c>
      <c r="E16" s="10">
        <v>44317</v>
      </c>
      <c r="F16" s="10">
        <v>44681</v>
      </c>
      <c r="G16" s="6"/>
      <c r="H16" s="6"/>
      <c r="I16" s="6"/>
      <c r="J16" s="6"/>
    </row>
    <row r="17" spans="1:10" x14ac:dyDescent="0.2">
      <c r="A17" s="8"/>
      <c r="B17" s="6"/>
      <c r="C17" s="6">
        <v>2</v>
      </c>
      <c r="D17" s="9" t="s">
        <v>447</v>
      </c>
      <c r="E17" s="10">
        <v>44317</v>
      </c>
      <c r="F17" s="10">
        <v>44681</v>
      </c>
      <c r="G17" s="6"/>
      <c r="H17" s="6"/>
      <c r="I17" s="6"/>
      <c r="J17" s="6"/>
    </row>
    <row r="18" spans="1:10" x14ac:dyDescent="0.2">
      <c r="A18" s="6"/>
      <c r="B18" s="6"/>
      <c r="C18" s="6">
        <v>1</v>
      </c>
      <c r="D18" s="9" t="s">
        <v>47</v>
      </c>
      <c r="E18" s="10">
        <v>44317</v>
      </c>
      <c r="F18" s="10">
        <v>44681</v>
      </c>
      <c r="G18" s="6"/>
      <c r="H18" s="6"/>
      <c r="I18" s="6"/>
      <c r="J18" s="6"/>
    </row>
    <row r="19" spans="1:10" x14ac:dyDescent="0.2">
      <c r="A19" s="6"/>
      <c r="B19" s="6"/>
      <c r="C19" s="6">
        <v>126</v>
      </c>
      <c r="D19" s="8" t="s">
        <v>474</v>
      </c>
      <c r="E19" s="10">
        <v>44317</v>
      </c>
      <c r="F19" s="10">
        <v>44681</v>
      </c>
      <c r="G19" s="6"/>
      <c r="H19" s="6"/>
      <c r="I19" s="6"/>
      <c r="J19" s="6"/>
    </row>
    <row r="20" spans="1:10" x14ac:dyDescent="0.2">
      <c r="A20" s="6"/>
      <c r="B20" s="6"/>
      <c r="C20" s="6"/>
      <c r="D20" s="8"/>
      <c r="E20" s="10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8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6"/>
      <c r="F29" s="6"/>
      <c r="G29" s="6"/>
      <c r="H29" s="6"/>
      <c r="I29" s="6"/>
      <c r="J29" s="6"/>
    </row>
  </sheetData>
  <mergeCells count="1">
    <mergeCell ref="I3:I4"/>
  </mergeCells>
  <pageMargins left="0.7" right="0.7" top="0.75" bottom="0.75" header="0.3" footer="0.3"/>
  <pageSetup scale="83" fitToHeight="6" orientation="landscape" horizontalDpi="300" r:id="rId1"/>
  <headerFooter>
    <oddFooter>&amp;R&amp;D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43">
    <tabColor theme="0" tint="-0.34998626667073579"/>
    <pageSetUpPr fitToPage="1"/>
  </sheetPr>
  <dimension ref="A1:K34"/>
  <sheetViews>
    <sheetView workbookViewId="0"/>
  </sheetViews>
  <sheetFormatPr defaultRowHeight="12.75" x14ac:dyDescent="0.2"/>
  <cols>
    <col min="1" max="1" width="22.85546875" customWidth="1"/>
    <col min="2" max="2" width="12.42578125" customWidth="1"/>
    <col min="3" max="3" width="5.7109375" customWidth="1"/>
    <col min="4" max="4" width="19.7109375" customWidth="1"/>
    <col min="5" max="5" width="12.7109375" customWidth="1"/>
    <col min="6" max="6" width="10.28515625" customWidth="1"/>
    <col min="7" max="7" width="11.28515625" customWidth="1"/>
    <col min="8" max="8" width="10" customWidth="1"/>
    <col min="9" max="9" width="12.28515625" customWidth="1"/>
    <col min="10" max="10" width="10.85546875" customWidth="1"/>
  </cols>
  <sheetData>
    <row r="1" spans="1:11" ht="18" x14ac:dyDescent="0.25">
      <c r="A1" s="13" t="str">
        <f ca="1">MID(CELL("filename",$A$1),FIND("]",CELL("filename",$A$1),1)+1,1024)</f>
        <v>LA CAROTA FARMS</v>
      </c>
      <c r="B1" s="6"/>
      <c r="C1" s="6"/>
      <c r="D1" s="6"/>
      <c r="E1" s="6"/>
      <c r="F1" s="6"/>
      <c r="G1" s="6"/>
      <c r="H1" s="6"/>
      <c r="I1" s="6"/>
      <c r="J1" s="6"/>
    </row>
    <row r="2" spans="1:1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</row>
    <row r="3" spans="1:11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1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1" x14ac:dyDescent="0.2">
      <c r="A5" s="8" t="s">
        <v>351</v>
      </c>
      <c r="B5" s="6">
        <v>1932</v>
      </c>
      <c r="C5" s="6">
        <v>106</v>
      </c>
      <c r="D5" s="9" t="s">
        <v>30</v>
      </c>
      <c r="E5" s="10">
        <v>43418</v>
      </c>
      <c r="F5" s="10">
        <v>43599</v>
      </c>
      <c r="G5" s="6">
        <v>80</v>
      </c>
      <c r="H5" s="6"/>
      <c r="I5" s="6">
        <f t="shared" ref="I5:I13" si="0">C5-G5</f>
        <v>26</v>
      </c>
      <c r="J5" s="6"/>
    </row>
    <row r="6" spans="1:11" x14ac:dyDescent="0.2">
      <c r="A6" s="8"/>
      <c r="B6" s="6"/>
      <c r="C6" s="6">
        <v>64</v>
      </c>
      <c r="D6" s="9" t="s">
        <v>24</v>
      </c>
      <c r="E6" s="10">
        <v>43418</v>
      </c>
      <c r="F6" s="10">
        <v>43599</v>
      </c>
      <c r="G6" s="6">
        <v>44</v>
      </c>
      <c r="H6" s="6"/>
      <c r="I6" s="6">
        <f t="shared" si="0"/>
        <v>20</v>
      </c>
      <c r="J6" s="6"/>
    </row>
    <row r="7" spans="1:11" x14ac:dyDescent="0.2">
      <c r="A7" s="8"/>
      <c r="B7" s="6"/>
      <c r="C7" s="6">
        <v>115</v>
      </c>
      <c r="D7" s="9" t="s">
        <v>70</v>
      </c>
      <c r="E7" s="10">
        <v>43418</v>
      </c>
      <c r="F7" s="10">
        <v>43599</v>
      </c>
      <c r="G7" s="6">
        <v>66</v>
      </c>
      <c r="H7" s="6"/>
      <c r="I7" s="6">
        <f t="shared" si="0"/>
        <v>49</v>
      </c>
      <c r="J7" s="6"/>
    </row>
    <row r="8" spans="1:11" x14ac:dyDescent="0.2">
      <c r="A8" s="19"/>
      <c r="B8" s="19"/>
      <c r="C8" s="19"/>
      <c r="D8" s="23"/>
      <c r="E8" s="29"/>
      <c r="F8" s="29"/>
      <c r="G8" s="19"/>
      <c r="H8" s="19"/>
      <c r="I8" s="19"/>
      <c r="J8" s="19"/>
    </row>
    <row r="9" spans="1:11" x14ac:dyDescent="0.2">
      <c r="A9" s="6" t="s">
        <v>409</v>
      </c>
      <c r="B9" s="6">
        <v>124678</v>
      </c>
      <c r="C9" s="6">
        <v>19</v>
      </c>
      <c r="D9" s="11" t="s">
        <v>247</v>
      </c>
      <c r="E9" s="10">
        <v>43826</v>
      </c>
      <c r="F9" s="10">
        <v>44009</v>
      </c>
      <c r="G9" s="6"/>
      <c r="H9" s="6"/>
      <c r="I9" s="6">
        <f t="shared" si="0"/>
        <v>19</v>
      </c>
      <c r="J9" s="6"/>
    </row>
    <row r="10" spans="1:11" x14ac:dyDescent="0.2">
      <c r="A10" s="6"/>
      <c r="B10" s="6"/>
      <c r="C10" s="6">
        <v>68</v>
      </c>
      <c r="D10" s="11" t="s">
        <v>413</v>
      </c>
      <c r="E10" s="10">
        <v>43826</v>
      </c>
      <c r="F10" s="10">
        <v>44009</v>
      </c>
      <c r="G10" s="6">
        <v>44</v>
      </c>
      <c r="H10" s="6"/>
      <c r="I10" s="6">
        <f t="shared" si="0"/>
        <v>24</v>
      </c>
      <c r="J10" s="6"/>
    </row>
    <row r="11" spans="1:11" x14ac:dyDescent="0.2">
      <c r="A11" s="6"/>
      <c r="B11" s="6"/>
      <c r="C11" s="6">
        <v>1</v>
      </c>
      <c r="D11" s="11" t="s">
        <v>414</v>
      </c>
      <c r="E11" s="10">
        <v>43826</v>
      </c>
      <c r="F11" s="10">
        <v>44009</v>
      </c>
      <c r="G11" s="6"/>
      <c r="H11" s="6"/>
      <c r="I11" s="6">
        <f t="shared" si="0"/>
        <v>1</v>
      </c>
      <c r="J11" s="6"/>
    </row>
    <row r="12" spans="1:11" x14ac:dyDescent="0.2">
      <c r="A12" s="6"/>
      <c r="B12" s="6"/>
      <c r="C12" s="6">
        <v>1</v>
      </c>
      <c r="D12" s="11" t="s">
        <v>415</v>
      </c>
      <c r="E12" s="10">
        <v>43826</v>
      </c>
      <c r="F12" s="10">
        <v>44009</v>
      </c>
      <c r="G12" s="6"/>
      <c r="H12" s="6"/>
      <c r="I12" s="6">
        <f t="shared" si="0"/>
        <v>1</v>
      </c>
      <c r="J12" s="6"/>
    </row>
    <row r="13" spans="1:11" x14ac:dyDescent="0.2">
      <c r="A13" s="6"/>
      <c r="B13" s="6"/>
      <c r="C13" s="6">
        <v>19</v>
      </c>
      <c r="D13" s="11" t="s">
        <v>72</v>
      </c>
      <c r="E13" s="10">
        <v>43826</v>
      </c>
      <c r="F13" s="10">
        <v>44009</v>
      </c>
      <c r="G13" s="6"/>
      <c r="H13" s="6"/>
      <c r="I13" s="6">
        <f t="shared" si="0"/>
        <v>19</v>
      </c>
      <c r="J13" s="6"/>
    </row>
    <row r="14" spans="1:11" x14ac:dyDescent="0.2">
      <c r="A14" s="19"/>
      <c r="B14" s="19"/>
      <c r="C14" s="19"/>
      <c r="D14" s="23"/>
      <c r="E14" s="29"/>
      <c r="F14" s="29"/>
      <c r="G14" s="19"/>
      <c r="H14" s="19"/>
      <c r="I14" s="19"/>
      <c r="J14" s="140"/>
    </row>
    <row r="15" spans="1:11" x14ac:dyDescent="0.2">
      <c r="A15" s="7" t="s">
        <v>410</v>
      </c>
      <c r="B15" s="104" t="s">
        <v>411</v>
      </c>
      <c r="C15" s="25">
        <v>1</v>
      </c>
      <c r="D15" s="15" t="s">
        <v>412</v>
      </c>
      <c r="E15" s="94">
        <v>43862</v>
      </c>
      <c r="F15" s="94">
        <v>43951</v>
      </c>
      <c r="G15" s="6"/>
      <c r="H15" s="6"/>
      <c r="I15" s="7"/>
      <c r="J15" s="7"/>
      <c r="K15" s="141"/>
    </row>
    <row r="16" spans="1:11" x14ac:dyDescent="0.2">
      <c r="A16" s="7" t="s">
        <v>582</v>
      </c>
      <c r="B16" s="25"/>
      <c r="C16" s="25"/>
      <c r="D16" s="15"/>
      <c r="E16" s="57"/>
      <c r="F16" s="57"/>
      <c r="G16" s="7"/>
      <c r="H16" s="7"/>
      <c r="I16" s="7"/>
      <c r="J16" s="7"/>
      <c r="K16" s="141"/>
    </row>
    <row r="17" spans="1:11" x14ac:dyDescent="0.2">
      <c r="A17" s="27"/>
      <c r="B17" s="47"/>
      <c r="C17" s="47"/>
      <c r="D17" s="48"/>
      <c r="E17" s="61"/>
      <c r="F17" s="61"/>
      <c r="G17" s="27"/>
      <c r="H17" s="27"/>
      <c r="I17" s="27"/>
      <c r="J17" s="27"/>
      <c r="K17" s="141"/>
    </row>
    <row r="18" spans="1:11" x14ac:dyDescent="0.2">
      <c r="A18" s="6" t="s">
        <v>1146</v>
      </c>
      <c r="B18" s="6" t="s">
        <v>1147</v>
      </c>
      <c r="C18" s="6">
        <v>55</v>
      </c>
      <c r="D18" s="11" t="s">
        <v>413</v>
      </c>
      <c r="E18" s="10">
        <v>44501</v>
      </c>
      <c r="F18" s="10">
        <v>44773</v>
      </c>
      <c r="G18" s="6"/>
      <c r="H18" s="6"/>
      <c r="I18" s="6"/>
      <c r="J18" s="6"/>
    </row>
    <row r="19" spans="1:11" x14ac:dyDescent="0.2">
      <c r="A19" s="6"/>
      <c r="B19" s="6"/>
      <c r="C19" s="6">
        <v>35</v>
      </c>
      <c r="D19" s="11" t="s">
        <v>247</v>
      </c>
      <c r="E19" s="10">
        <v>44501</v>
      </c>
      <c r="F19" s="10">
        <v>44773</v>
      </c>
      <c r="G19" s="6"/>
      <c r="H19" s="6"/>
      <c r="I19" s="6"/>
      <c r="J19" s="6"/>
    </row>
    <row r="20" spans="1:11" x14ac:dyDescent="0.2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1" x14ac:dyDescent="0.2">
      <c r="A21" s="8"/>
      <c r="B21" s="6"/>
      <c r="C21" s="6"/>
      <c r="D21" s="8"/>
      <c r="E21" s="10"/>
      <c r="F21" s="10"/>
      <c r="G21" s="6"/>
      <c r="H21" s="6"/>
      <c r="I21" s="6"/>
      <c r="J21" s="6"/>
    </row>
    <row r="22" spans="1:11" x14ac:dyDescent="0.2">
      <c r="A22" s="6"/>
      <c r="B22" s="6"/>
      <c r="C22" s="6"/>
      <c r="D22" s="8"/>
      <c r="E22" s="10"/>
      <c r="F22" s="10"/>
      <c r="G22" s="6"/>
      <c r="H22" s="6"/>
      <c r="I22" s="6"/>
      <c r="J22" s="6"/>
    </row>
    <row r="23" spans="1:11" x14ac:dyDescent="0.2">
      <c r="A23" s="6"/>
      <c r="B23" s="6"/>
      <c r="C23" s="6"/>
      <c r="D23" s="8"/>
      <c r="E23" s="10"/>
      <c r="F23" s="10"/>
      <c r="G23" s="6"/>
      <c r="H23" s="6"/>
      <c r="I23" s="6"/>
      <c r="J23" s="6"/>
    </row>
    <row r="24" spans="1:11" x14ac:dyDescent="0.2">
      <c r="D24" s="1"/>
      <c r="E24" s="4"/>
      <c r="F24" s="4"/>
    </row>
    <row r="25" spans="1:11" x14ac:dyDescent="0.2">
      <c r="D25" s="1"/>
      <c r="E25" s="4"/>
      <c r="F25" s="4"/>
    </row>
    <row r="26" spans="1:11" x14ac:dyDescent="0.2">
      <c r="D26" s="1"/>
      <c r="E26" s="4"/>
      <c r="F26" s="4"/>
    </row>
    <row r="27" spans="1:11" x14ac:dyDescent="0.2">
      <c r="E27" s="4"/>
      <c r="F27" s="4"/>
    </row>
    <row r="28" spans="1:11" x14ac:dyDescent="0.2">
      <c r="E28" s="4"/>
      <c r="F28" s="4"/>
    </row>
    <row r="29" spans="1:11" x14ac:dyDescent="0.2">
      <c r="E29" s="4"/>
      <c r="F29" s="4"/>
    </row>
    <row r="30" spans="1:11" x14ac:dyDescent="0.2">
      <c r="E30" s="4"/>
      <c r="F30" s="4"/>
    </row>
    <row r="31" spans="1:11" x14ac:dyDescent="0.2">
      <c r="E31" s="4"/>
      <c r="F31" s="4"/>
    </row>
    <row r="32" spans="1:11" x14ac:dyDescent="0.2">
      <c r="E32" s="4"/>
      <c r="F32" s="4"/>
    </row>
    <row r="33" spans="5:6" x14ac:dyDescent="0.2">
      <c r="E33" s="4"/>
      <c r="F33" s="4"/>
    </row>
    <row r="34" spans="5:6" x14ac:dyDescent="0.2">
      <c r="E34" s="4"/>
      <c r="F34" s="4"/>
    </row>
  </sheetData>
  <mergeCells count="1">
    <mergeCell ref="I3:I4"/>
  </mergeCells>
  <pageMargins left="0.7" right="0.7" top="0.75" bottom="0.75" header="0.3" footer="0.3"/>
  <pageSetup scale="91" fitToHeight="6" orientation="landscape" horizontalDpi="300" r:id="rId1"/>
  <headerFooter>
    <oddFooter>&amp;R&amp;D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44">
    <tabColor theme="0" tint="-0.34998626667073579"/>
    <pageSetUpPr fitToPage="1"/>
  </sheetPr>
  <dimension ref="A1:J31"/>
  <sheetViews>
    <sheetView workbookViewId="0"/>
  </sheetViews>
  <sheetFormatPr defaultRowHeight="12.75" x14ac:dyDescent="0.2"/>
  <cols>
    <col min="1" max="1" width="22.85546875" customWidth="1"/>
    <col min="2" max="2" width="13.7109375" style="38" bestFit="1" customWidth="1"/>
    <col min="3" max="3" width="5.7109375" customWidth="1"/>
    <col min="4" max="4" width="27.28515625" customWidth="1"/>
    <col min="5" max="5" width="11.7109375" customWidth="1"/>
    <col min="6" max="6" width="10.28515625" customWidth="1"/>
    <col min="7" max="7" width="11.28515625" customWidth="1"/>
    <col min="8" max="8" width="10" customWidth="1"/>
    <col min="9" max="9" width="12.28515625" customWidth="1"/>
    <col min="10" max="10" width="10.85546875" customWidth="1"/>
  </cols>
  <sheetData>
    <row r="1" spans="1:10" ht="18" x14ac:dyDescent="0.25">
      <c r="A1" s="13" t="str">
        <f ca="1">MID(CELL("filename",$A$1),FIND("]",CELL("filename",$A$1),1)+1,1024)</f>
        <v>Lehr Bros.</v>
      </c>
      <c r="B1" s="17"/>
      <c r="C1" s="6"/>
      <c r="D1" s="6"/>
      <c r="E1" s="6"/>
      <c r="F1" s="6"/>
      <c r="G1" s="6"/>
      <c r="H1" s="6"/>
      <c r="I1" s="6"/>
      <c r="J1" s="6"/>
    </row>
    <row r="2" spans="1:10" x14ac:dyDescent="0.2">
      <c r="A2" s="14"/>
      <c r="B2" s="122"/>
      <c r="C2" s="14"/>
      <c r="D2" s="14"/>
      <c r="E2" s="14"/>
      <c r="F2" s="14"/>
      <c r="G2" s="14"/>
      <c r="H2" s="14"/>
      <c r="I2" s="14"/>
      <c r="J2" s="14"/>
    </row>
    <row r="3" spans="1:10" s="3" customFormat="1" ht="15" x14ac:dyDescent="0.35">
      <c r="A3" s="33" t="s">
        <v>0</v>
      </c>
      <c r="B3" s="50" t="s">
        <v>100</v>
      </c>
      <c r="C3" s="33" t="s">
        <v>2</v>
      </c>
      <c r="D3" s="34" t="s">
        <v>3</v>
      </c>
      <c r="E3" s="35" t="s">
        <v>4</v>
      </c>
      <c r="F3" s="33" t="s">
        <v>5</v>
      </c>
      <c r="G3" s="36" t="s">
        <v>95</v>
      </c>
      <c r="H3" s="36" t="s">
        <v>92</v>
      </c>
      <c r="I3" s="63"/>
      <c r="J3" s="36" t="s">
        <v>94</v>
      </c>
    </row>
    <row r="4" spans="1:10" x14ac:dyDescent="0.2">
      <c r="A4" s="6" t="s">
        <v>273</v>
      </c>
      <c r="B4" s="25" t="s">
        <v>668</v>
      </c>
      <c r="C4" s="6">
        <v>5000</v>
      </c>
      <c r="D4" s="6" t="s">
        <v>669</v>
      </c>
      <c r="E4" s="10">
        <v>44118</v>
      </c>
      <c r="F4" s="10">
        <v>44300</v>
      </c>
      <c r="G4" s="6"/>
      <c r="H4" s="6"/>
      <c r="I4" s="6"/>
      <c r="J4" s="6" t="s">
        <v>452</v>
      </c>
    </row>
    <row r="5" spans="1:10" x14ac:dyDescent="0.2">
      <c r="A5" s="6"/>
      <c r="B5" s="17"/>
      <c r="C5" s="6">
        <v>55</v>
      </c>
      <c r="D5" s="6" t="s">
        <v>83</v>
      </c>
      <c r="E5" s="10">
        <v>44118</v>
      </c>
      <c r="F5" s="10">
        <v>44300</v>
      </c>
      <c r="G5" s="6"/>
      <c r="H5" s="6"/>
      <c r="I5" s="6"/>
      <c r="J5" s="6"/>
    </row>
    <row r="6" spans="1:10" x14ac:dyDescent="0.2">
      <c r="A6" s="6"/>
      <c r="B6" s="17"/>
      <c r="C6" s="6">
        <v>1</v>
      </c>
      <c r="D6" s="6" t="s">
        <v>82</v>
      </c>
      <c r="E6" s="10">
        <v>44118</v>
      </c>
      <c r="F6" s="10">
        <v>44300</v>
      </c>
      <c r="G6" s="6"/>
      <c r="H6" s="6"/>
      <c r="I6" s="6"/>
      <c r="J6" s="6"/>
    </row>
    <row r="7" spans="1:10" x14ac:dyDescent="0.2">
      <c r="A7" s="6"/>
      <c r="B7" s="17"/>
      <c r="C7" s="6">
        <v>111</v>
      </c>
      <c r="D7" s="6" t="s">
        <v>71</v>
      </c>
      <c r="E7" s="10">
        <v>44118</v>
      </c>
      <c r="F7" s="10">
        <v>44300</v>
      </c>
      <c r="G7" s="6"/>
      <c r="H7" s="6"/>
      <c r="I7" s="6"/>
      <c r="J7" s="6"/>
    </row>
    <row r="8" spans="1:10" x14ac:dyDescent="0.2">
      <c r="A8" s="19"/>
      <c r="B8" s="31"/>
      <c r="C8" s="19"/>
      <c r="D8" s="19"/>
      <c r="E8" s="29"/>
      <c r="F8" s="29"/>
      <c r="G8" s="19"/>
      <c r="H8" s="19"/>
      <c r="I8" s="19"/>
      <c r="J8" s="19"/>
    </row>
    <row r="9" spans="1:10" x14ac:dyDescent="0.2">
      <c r="A9" s="6" t="s">
        <v>707</v>
      </c>
      <c r="B9" s="17" t="s">
        <v>708</v>
      </c>
      <c r="C9" s="6">
        <v>26</v>
      </c>
      <c r="D9" s="6" t="s">
        <v>709</v>
      </c>
      <c r="E9" s="10">
        <v>44216</v>
      </c>
      <c r="F9" s="10">
        <v>44367</v>
      </c>
      <c r="G9" s="6"/>
      <c r="H9" s="6"/>
      <c r="I9" s="6"/>
      <c r="J9" s="6"/>
    </row>
    <row r="10" spans="1:10" x14ac:dyDescent="0.2">
      <c r="A10" s="6"/>
      <c r="B10" s="17"/>
      <c r="C10" s="6">
        <v>30</v>
      </c>
      <c r="D10" s="18" t="s">
        <v>476</v>
      </c>
      <c r="E10" s="10">
        <v>44216</v>
      </c>
      <c r="F10" s="10">
        <v>44367</v>
      </c>
      <c r="G10" s="6"/>
      <c r="H10" s="6"/>
      <c r="I10" s="6"/>
      <c r="J10" s="6"/>
    </row>
    <row r="11" spans="1:10" x14ac:dyDescent="0.2">
      <c r="A11" s="6"/>
      <c r="B11" s="17"/>
      <c r="C11" s="6">
        <v>1</v>
      </c>
      <c r="D11" s="6" t="s">
        <v>710</v>
      </c>
      <c r="E11" s="10">
        <v>44216</v>
      </c>
      <c r="F11" s="10">
        <v>44367</v>
      </c>
      <c r="G11" s="6"/>
      <c r="H11" s="6"/>
      <c r="I11" s="6"/>
      <c r="J11" s="6"/>
    </row>
    <row r="12" spans="1:10" x14ac:dyDescent="0.2">
      <c r="A12" s="6"/>
      <c r="B12" s="17"/>
      <c r="C12" s="6">
        <v>1</v>
      </c>
      <c r="D12" s="6" t="s">
        <v>711</v>
      </c>
      <c r="E12" s="10">
        <v>44216</v>
      </c>
      <c r="F12" s="10">
        <v>44367</v>
      </c>
      <c r="G12" s="6"/>
      <c r="H12" s="6"/>
      <c r="I12" s="6"/>
      <c r="J12" s="6"/>
    </row>
    <row r="13" spans="1:10" x14ac:dyDescent="0.2">
      <c r="A13" s="6"/>
      <c r="B13" s="17"/>
      <c r="C13" s="6">
        <v>1</v>
      </c>
      <c r="D13" s="6" t="s">
        <v>22</v>
      </c>
      <c r="E13" s="10">
        <v>44216</v>
      </c>
      <c r="F13" s="10">
        <v>44367</v>
      </c>
      <c r="G13" s="6"/>
      <c r="H13" s="6"/>
      <c r="I13" s="6"/>
      <c r="J13" s="6"/>
    </row>
    <row r="14" spans="1:10" x14ac:dyDescent="0.2">
      <c r="A14" s="6"/>
      <c r="B14" s="17"/>
      <c r="C14" s="6">
        <v>1</v>
      </c>
      <c r="D14" s="6" t="s">
        <v>39</v>
      </c>
      <c r="E14" s="10">
        <v>44216</v>
      </c>
      <c r="F14" s="10">
        <v>44367</v>
      </c>
      <c r="G14" s="6"/>
      <c r="H14" s="6"/>
      <c r="I14" s="6"/>
      <c r="J14" s="6"/>
    </row>
    <row r="15" spans="1:10" x14ac:dyDescent="0.2">
      <c r="A15" s="6"/>
      <c r="B15" s="17"/>
      <c r="C15" s="6">
        <v>1</v>
      </c>
      <c r="D15" s="6" t="s">
        <v>111</v>
      </c>
      <c r="E15" s="10">
        <v>44216</v>
      </c>
      <c r="F15" s="10">
        <v>44367</v>
      </c>
      <c r="G15" s="6"/>
      <c r="H15" s="6"/>
      <c r="I15" s="6"/>
      <c r="J15" s="6"/>
    </row>
    <row r="16" spans="1:10" x14ac:dyDescent="0.2">
      <c r="A16" s="6"/>
      <c r="B16" s="17"/>
      <c r="C16" s="6">
        <v>1</v>
      </c>
      <c r="D16" s="6" t="s">
        <v>434</v>
      </c>
      <c r="E16" s="10">
        <v>44216</v>
      </c>
      <c r="F16" s="10">
        <v>44367</v>
      </c>
      <c r="G16" s="6"/>
      <c r="H16" s="6"/>
      <c r="I16" s="6"/>
      <c r="J16" s="6"/>
    </row>
    <row r="17" spans="1:10" x14ac:dyDescent="0.2">
      <c r="A17" s="6"/>
      <c r="B17" s="17"/>
      <c r="C17" s="6">
        <v>1</v>
      </c>
      <c r="D17" s="6" t="s">
        <v>712</v>
      </c>
      <c r="E17" s="10">
        <v>44216</v>
      </c>
      <c r="F17" s="10">
        <v>44367</v>
      </c>
      <c r="G17" s="6"/>
      <c r="H17" s="6"/>
      <c r="I17" s="6"/>
      <c r="J17" s="6"/>
    </row>
    <row r="18" spans="1:10" x14ac:dyDescent="0.2">
      <c r="A18" s="6"/>
      <c r="B18" s="17"/>
      <c r="C18" s="6">
        <v>26</v>
      </c>
      <c r="D18" s="6" t="s">
        <v>83</v>
      </c>
      <c r="E18" s="10">
        <v>44216</v>
      </c>
      <c r="F18" s="10">
        <v>44367</v>
      </c>
      <c r="G18" s="6"/>
      <c r="H18" s="6"/>
      <c r="I18" s="6"/>
      <c r="J18" s="6"/>
    </row>
    <row r="19" spans="1:10" x14ac:dyDescent="0.2">
      <c r="A19" s="6"/>
      <c r="B19" s="17"/>
      <c r="C19" s="6">
        <v>52</v>
      </c>
      <c r="D19" s="6" t="s">
        <v>71</v>
      </c>
      <c r="E19" s="10">
        <v>44216</v>
      </c>
      <c r="F19" s="10">
        <v>44367</v>
      </c>
      <c r="G19" s="6"/>
      <c r="H19" s="6"/>
      <c r="I19" s="6"/>
      <c r="J19" s="6"/>
    </row>
    <row r="20" spans="1:10" x14ac:dyDescent="0.2">
      <c r="A20" s="6"/>
      <c r="B20" s="17"/>
      <c r="C20" s="6"/>
      <c r="D20" s="6"/>
      <c r="E20" s="10"/>
      <c r="F20" s="10"/>
      <c r="G20" s="6"/>
      <c r="H20" s="6"/>
      <c r="I20" s="6"/>
      <c r="J20" s="6"/>
    </row>
    <row r="21" spans="1:10" x14ac:dyDescent="0.2">
      <c r="A21" s="6"/>
      <c r="B21" s="17"/>
      <c r="C21" s="6"/>
      <c r="D21" s="6"/>
      <c r="E21" s="10"/>
      <c r="F21" s="10"/>
      <c r="G21" s="6"/>
      <c r="H21" s="6"/>
      <c r="I21" s="6"/>
      <c r="J21" s="6"/>
    </row>
    <row r="22" spans="1:10" x14ac:dyDescent="0.2">
      <c r="A22" s="6"/>
      <c r="B22" s="17"/>
      <c r="C22" s="6"/>
      <c r="D22" s="6"/>
      <c r="E22" s="10"/>
      <c r="F22" s="10"/>
      <c r="G22" s="6"/>
      <c r="H22" s="6"/>
      <c r="I22" s="6"/>
      <c r="J22" s="6"/>
    </row>
    <row r="23" spans="1:10" x14ac:dyDescent="0.2">
      <c r="A23" s="6"/>
      <c r="B23" s="17"/>
      <c r="C23" s="6"/>
      <c r="D23" s="6"/>
      <c r="E23" s="10"/>
      <c r="F23" s="10"/>
      <c r="G23" s="6"/>
      <c r="H23" s="6"/>
      <c r="I23" s="6"/>
      <c r="J23" s="6"/>
    </row>
    <row r="24" spans="1:10" x14ac:dyDescent="0.2">
      <c r="A24" s="6"/>
      <c r="B24" s="17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17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17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19"/>
      <c r="B27" s="31"/>
      <c r="C27" s="19"/>
      <c r="D27" s="19"/>
      <c r="E27" s="19"/>
      <c r="F27" s="19"/>
      <c r="G27" s="19"/>
      <c r="H27" s="19"/>
      <c r="I27" s="19"/>
      <c r="J27" s="19"/>
    </row>
    <row r="28" spans="1:10" x14ac:dyDescent="0.2">
      <c r="A28" s="8" t="s">
        <v>506</v>
      </c>
      <c r="B28" s="25"/>
      <c r="C28" s="6">
        <v>1</v>
      </c>
      <c r="D28" s="8" t="s">
        <v>507</v>
      </c>
      <c r="E28" s="10" t="s">
        <v>703</v>
      </c>
      <c r="F28" s="10" t="s">
        <v>683</v>
      </c>
      <c r="G28" s="6"/>
      <c r="H28" s="6"/>
      <c r="I28" s="6"/>
      <c r="J28" s="6"/>
    </row>
    <row r="29" spans="1:10" x14ac:dyDescent="0.2">
      <c r="A29" s="19"/>
      <c r="B29" s="31"/>
      <c r="C29" s="19"/>
      <c r="D29" s="19"/>
      <c r="E29" s="19"/>
      <c r="F29" s="19"/>
      <c r="G29" s="19"/>
      <c r="H29" s="19"/>
      <c r="I29" s="19"/>
      <c r="J29" s="19"/>
    </row>
    <row r="30" spans="1:10" x14ac:dyDescent="0.2">
      <c r="A30" s="6" t="s">
        <v>624</v>
      </c>
      <c r="B30" s="17"/>
      <c r="C30" s="6">
        <v>1</v>
      </c>
      <c r="D30" s="6" t="s">
        <v>624</v>
      </c>
      <c r="E30" s="6" t="s">
        <v>703</v>
      </c>
      <c r="F30" s="6" t="s">
        <v>683</v>
      </c>
      <c r="G30" s="6"/>
      <c r="H30" s="6"/>
      <c r="I30" s="6"/>
      <c r="J30" s="6"/>
    </row>
    <row r="31" spans="1:10" x14ac:dyDescent="0.2">
      <c r="A31" s="6"/>
      <c r="B31" s="17"/>
      <c r="C31" s="6"/>
      <c r="D31" s="6"/>
      <c r="E31" s="6"/>
      <c r="F31" s="6"/>
      <c r="G31" s="6"/>
      <c r="H31" s="6"/>
      <c r="I31" s="6"/>
      <c r="J31" s="6"/>
    </row>
  </sheetData>
  <sortState xmlns:xlrd2="http://schemas.microsoft.com/office/spreadsheetml/2017/richdata2" ref="C4:D26">
    <sortCondition ref="D4:D26"/>
  </sortState>
  <pageMargins left="0.7" right="0.7" top="0.75" bottom="0.75" header="0.3" footer="0.3"/>
  <pageSetup scale="86" fitToHeight="6" orientation="landscape" horizontalDpi="300" r:id="rId1"/>
  <headerFooter>
    <oddFooter>&amp;R&amp;D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0" tint="-0.34998626667073579"/>
    <pageSetUpPr fitToPage="1"/>
  </sheetPr>
  <dimension ref="A1:J45"/>
  <sheetViews>
    <sheetView workbookViewId="0"/>
  </sheetViews>
  <sheetFormatPr defaultRowHeight="12.75" x14ac:dyDescent="0.2"/>
  <cols>
    <col min="1" max="1" width="19.42578125" customWidth="1"/>
    <col min="2" max="2" width="13.7109375" bestFit="1" customWidth="1"/>
    <col min="3" max="3" width="6.5703125" customWidth="1"/>
    <col min="4" max="4" width="29.28515625" customWidth="1"/>
    <col min="5" max="5" width="12.85546875" customWidth="1"/>
    <col min="6" max="6" width="11.5703125" customWidth="1"/>
    <col min="7" max="7" width="10.85546875" customWidth="1"/>
    <col min="8" max="8" width="10.7109375" customWidth="1"/>
    <col min="9" max="9" width="13.28515625" customWidth="1"/>
  </cols>
  <sheetData>
    <row r="1" spans="1:10" ht="15" x14ac:dyDescent="0.2">
      <c r="A1" s="5" t="str">
        <f ca="1">MID(CELL("filename",$A$1),FIND("]",CELL("filename",$A$1),1)+1,1024)</f>
        <v>LOS GATOS - WOOLF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330</v>
      </c>
      <c r="B5" s="8" t="s">
        <v>852</v>
      </c>
      <c r="C5" s="6">
        <v>10544</v>
      </c>
      <c r="D5" s="8" t="s">
        <v>331</v>
      </c>
      <c r="E5" s="10">
        <v>44044</v>
      </c>
      <c r="F5" s="10">
        <v>44227</v>
      </c>
      <c r="G5" s="6">
        <v>226</v>
      </c>
      <c r="H5" s="6"/>
      <c r="I5" s="6">
        <f>C5-G5</f>
        <v>10318</v>
      </c>
      <c r="J5" s="6"/>
    </row>
    <row r="6" spans="1:10" x14ac:dyDescent="0.2">
      <c r="A6" s="6" t="s">
        <v>344</v>
      </c>
      <c r="B6" s="6"/>
      <c r="C6" s="6">
        <v>129</v>
      </c>
      <c r="D6" s="8" t="s">
        <v>332</v>
      </c>
      <c r="E6" s="10">
        <v>44044</v>
      </c>
      <c r="F6" s="10">
        <v>44227</v>
      </c>
      <c r="G6" s="6"/>
      <c r="H6" s="6"/>
      <c r="I6" s="6"/>
      <c r="J6" s="6"/>
    </row>
    <row r="7" spans="1:10" x14ac:dyDescent="0.2">
      <c r="A7" s="6"/>
      <c r="B7" s="6"/>
      <c r="C7" s="6">
        <v>129</v>
      </c>
      <c r="D7" s="6" t="s">
        <v>67</v>
      </c>
      <c r="E7" s="10">
        <v>44044</v>
      </c>
      <c r="F7" s="10">
        <v>44227</v>
      </c>
      <c r="G7" s="6"/>
      <c r="H7" s="6"/>
      <c r="I7" s="6"/>
      <c r="J7" s="6"/>
    </row>
    <row r="8" spans="1:10" x14ac:dyDescent="0.2">
      <c r="A8" s="6"/>
      <c r="B8" s="6"/>
      <c r="C8" s="6">
        <v>132</v>
      </c>
      <c r="D8" s="6" t="s">
        <v>136</v>
      </c>
      <c r="E8" s="10">
        <v>44044</v>
      </c>
      <c r="F8" s="10">
        <v>44227</v>
      </c>
      <c r="G8" s="6"/>
      <c r="H8" s="6"/>
      <c r="I8" s="6"/>
      <c r="J8" s="6"/>
    </row>
    <row r="9" spans="1:10" x14ac:dyDescent="0.2">
      <c r="A9" s="6"/>
      <c r="B9" s="6"/>
      <c r="C9" s="6">
        <v>129</v>
      </c>
      <c r="D9" s="6" t="s">
        <v>333</v>
      </c>
      <c r="E9" s="10">
        <v>44044</v>
      </c>
      <c r="F9" s="10">
        <v>44227</v>
      </c>
      <c r="G9" s="6"/>
      <c r="H9" s="6"/>
      <c r="I9" s="6"/>
      <c r="J9" s="6"/>
    </row>
    <row r="10" spans="1:10" x14ac:dyDescent="0.2">
      <c r="A10" s="6"/>
      <c r="B10" s="6"/>
      <c r="C10" s="6">
        <v>2</v>
      </c>
      <c r="D10" s="6" t="s">
        <v>334</v>
      </c>
      <c r="E10" s="10">
        <v>44044</v>
      </c>
      <c r="F10" s="10">
        <v>44227</v>
      </c>
      <c r="G10" s="6"/>
      <c r="H10" s="6"/>
      <c r="I10" s="6"/>
      <c r="J10" s="6"/>
    </row>
    <row r="11" spans="1:10" x14ac:dyDescent="0.2">
      <c r="A11" s="6"/>
      <c r="B11" s="6"/>
      <c r="C11" s="6">
        <v>260</v>
      </c>
      <c r="D11" s="6" t="s">
        <v>335</v>
      </c>
      <c r="E11" s="10">
        <v>44044</v>
      </c>
      <c r="F11" s="10">
        <v>44227</v>
      </c>
      <c r="G11" s="6"/>
      <c r="H11" s="6"/>
      <c r="I11" s="6"/>
      <c r="J11" s="6"/>
    </row>
    <row r="12" spans="1:10" x14ac:dyDescent="0.2">
      <c r="A12" s="6"/>
      <c r="B12" s="6"/>
      <c r="C12" s="6">
        <v>2</v>
      </c>
      <c r="D12" s="6" t="s">
        <v>336</v>
      </c>
      <c r="E12" s="10">
        <v>44044</v>
      </c>
      <c r="F12" s="10">
        <v>44227</v>
      </c>
      <c r="G12" s="6"/>
      <c r="H12" s="6"/>
      <c r="I12" s="6"/>
      <c r="J12" s="6"/>
    </row>
    <row r="13" spans="1:10" x14ac:dyDescent="0.2">
      <c r="A13" s="6"/>
      <c r="B13" s="6"/>
      <c r="C13" s="6">
        <v>1</v>
      </c>
      <c r="D13" s="6" t="s">
        <v>337</v>
      </c>
      <c r="E13" s="10">
        <v>44044</v>
      </c>
      <c r="F13" s="10">
        <v>44227</v>
      </c>
      <c r="G13" s="6"/>
      <c r="H13" s="6"/>
      <c r="I13" s="6"/>
      <c r="J13" s="6"/>
    </row>
    <row r="14" spans="1:10" x14ac:dyDescent="0.2">
      <c r="A14" s="6"/>
      <c r="B14" s="6"/>
      <c r="C14" s="6">
        <v>310</v>
      </c>
      <c r="D14" s="6" t="s">
        <v>338</v>
      </c>
      <c r="E14" s="10">
        <v>44044</v>
      </c>
      <c r="F14" s="10">
        <v>44227</v>
      </c>
      <c r="G14" s="6"/>
      <c r="H14" s="6"/>
      <c r="I14" s="6"/>
      <c r="J14" s="6"/>
    </row>
    <row r="15" spans="1:10" x14ac:dyDescent="0.2">
      <c r="A15" s="6"/>
      <c r="B15" s="6"/>
      <c r="C15" s="6">
        <v>2</v>
      </c>
      <c r="D15" s="6" t="s">
        <v>339</v>
      </c>
      <c r="E15" s="10">
        <v>44044</v>
      </c>
      <c r="F15" s="10">
        <v>44227</v>
      </c>
      <c r="G15" s="6"/>
      <c r="H15" s="6"/>
      <c r="I15" s="6"/>
      <c r="J15" s="6"/>
    </row>
    <row r="16" spans="1:10" x14ac:dyDescent="0.2">
      <c r="A16" s="30"/>
      <c r="B16" s="19"/>
      <c r="C16" s="19"/>
      <c r="D16" s="30"/>
      <c r="E16" s="29"/>
      <c r="F16" s="29"/>
      <c r="G16" s="19"/>
      <c r="H16" s="19"/>
      <c r="I16" s="19"/>
      <c r="J16" s="19"/>
    </row>
    <row r="17" spans="1:10" x14ac:dyDescent="0.2">
      <c r="A17" s="6" t="s">
        <v>340</v>
      </c>
      <c r="B17" s="8" t="s">
        <v>851</v>
      </c>
      <c r="C17" s="6">
        <v>71</v>
      </c>
      <c r="D17" s="8" t="s">
        <v>67</v>
      </c>
      <c r="E17" s="10">
        <v>44044</v>
      </c>
      <c r="F17" s="10">
        <v>44227</v>
      </c>
      <c r="G17" s="6"/>
      <c r="H17" s="6"/>
      <c r="I17" s="6"/>
      <c r="J17" s="6"/>
    </row>
    <row r="18" spans="1:10" x14ac:dyDescent="0.2">
      <c r="A18" s="6" t="s">
        <v>235</v>
      </c>
      <c r="B18" s="6"/>
      <c r="C18" s="6">
        <v>73</v>
      </c>
      <c r="D18" s="8" t="s">
        <v>167</v>
      </c>
      <c r="E18" s="10">
        <v>44044</v>
      </c>
      <c r="F18" s="10">
        <v>44227</v>
      </c>
      <c r="G18" s="6"/>
      <c r="H18" s="6"/>
      <c r="I18" s="6"/>
      <c r="J18" s="6"/>
    </row>
    <row r="19" spans="1:10" x14ac:dyDescent="0.2">
      <c r="A19" s="6"/>
      <c r="B19" s="6"/>
      <c r="C19" s="6">
        <v>2</v>
      </c>
      <c r="D19" s="6" t="s">
        <v>341</v>
      </c>
      <c r="E19" s="10">
        <v>44044</v>
      </c>
      <c r="F19" s="10">
        <v>44227</v>
      </c>
      <c r="G19" s="6"/>
      <c r="H19" s="6"/>
      <c r="I19" s="6"/>
      <c r="J19" s="6"/>
    </row>
    <row r="20" spans="1:10" x14ac:dyDescent="0.2">
      <c r="A20" s="8"/>
      <c r="B20" s="6"/>
      <c r="C20" s="6">
        <v>4</v>
      </c>
      <c r="D20" s="8" t="s">
        <v>222</v>
      </c>
      <c r="E20" s="10">
        <v>44044</v>
      </c>
      <c r="F20" s="10">
        <v>44227</v>
      </c>
      <c r="G20" s="6"/>
      <c r="H20" s="6"/>
      <c r="I20" s="6"/>
      <c r="J20" s="6"/>
    </row>
    <row r="21" spans="1:10" x14ac:dyDescent="0.2">
      <c r="A21" s="6"/>
      <c r="B21" s="6"/>
      <c r="C21" s="6">
        <v>4</v>
      </c>
      <c r="D21" s="8" t="s">
        <v>69</v>
      </c>
      <c r="E21" s="10">
        <v>44044</v>
      </c>
      <c r="F21" s="10">
        <v>44227</v>
      </c>
      <c r="G21" s="6"/>
      <c r="H21" s="6"/>
      <c r="I21" s="6"/>
      <c r="J21" s="6"/>
    </row>
    <row r="22" spans="1:10" x14ac:dyDescent="0.2">
      <c r="A22" s="6"/>
      <c r="B22" s="6"/>
      <c r="C22" s="6">
        <v>2</v>
      </c>
      <c r="D22" s="8" t="s">
        <v>342</v>
      </c>
      <c r="E22" s="10">
        <v>44044</v>
      </c>
      <c r="F22" s="10">
        <v>44227</v>
      </c>
      <c r="G22" s="6"/>
      <c r="H22" s="6"/>
      <c r="I22" s="6"/>
      <c r="J22" s="6"/>
    </row>
    <row r="23" spans="1:10" x14ac:dyDescent="0.2">
      <c r="A23" s="19"/>
      <c r="B23" s="19"/>
      <c r="C23" s="19"/>
      <c r="D23" s="30"/>
      <c r="E23" s="29"/>
      <c r="F23" s="29"/>
      <c r="G23" s="19"/>
      <c r="H23" s="19"/>
      <c r="I23" s="19"/>
      <c r="J23" s="19"/>
    </row>
    <row r="24" spans="1:10" x14ac:dyDescent="0.2">
      <c r="A24" s="6"/>
      <c r="B24" s="6"/>
      <c r="C24" s="6"/>
      <c r="D24" s="8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10"/>
      <c r="F31" s="10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10"/>
      <c r="F32" s="10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10"/>
      <c r="F33" s="10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10"/>
      <c r="F34" s="10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10"/>
      <c r="F35" s="10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10"/>
      <c r="F36" s="10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10"/>
      <c r="F37" s="10"/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10"/>
      <c r="F38" s="10"/>
      <c r="G38" s="6"/>
      <c r="H38" s="6"/>
      <c r="I38" s="6"/>
      <c r="J38" s="6"/>
    </row>
    <row r="39" spans="1:10" x14ac:dyDescent="0.2">
      <c r="A39" s="6"/>
      <c r="B39" s="6"/>
      <c r="C39" s="6"/>
      <c r="D39" s="6"/>
      <c r="E39" s="10"/>
      <c r="F39" s="10"/>
      <c r="G39" s="6"/>
      <c r="H39" s="6"/>
      <c r="I39" s="6"/>
      <c r="J39" s="6"/>
    </row>
    <row r="40" spans="1:10" x14ac:dyDescent="0.2">
      <c r="A40" s="6"/>
      <c r="B40" s="6"/>
      <c r="C40" s="6"/>
      <c r="D40" s="6"/>
      <c r="E40" s="10"/>
      <c r="F40" s="10"/>
      <c r="G40" s="6"/>
      <c r="H40" s="6"/>
      <c r="I40" s="6"/>
      <c r="J40" s="6"/>
    </row>
    <row r="41" spans="1:10" x14ac:dyDescent="0.2">
      <c r="A41" s="6"/>
      <c r="B41" s="6"/>
      <c r="C41" s="6"/>
      <c r="D41" s="6"/>
      <c r="E41" s="10"/>
      <c r="F41" s="10"/>
      <c r="G41" s="6"/>
      <c r="H41" s="6"/>
      <c r="I41" s="6"/>
      <c r="J41" s="6"/>
    </row>
    <row r="42" spans="1:10" x14ac:dyDescent="0.2">
      <c r="A42" s="6"/>
      <c r="B42" s="6"/>
      <c r="C42" s="6"/>
      <c r="D42" s="6"/>
      <c r="E42" s="10"/>
      <c r="F42" s="10"/>
      <c r="G42" s="6"/>
      <c r="H42" s="6"/>
      <c r="I42" s="6"/>
      <c r="J42" s="6"/>
    </row>
    <row r="43" spans="1:10" x14ac:dyDescent="0.2">
      <c r="A43" s="6"/>
      <c r="B43" s="6"/>
      <c r="C43" s="6"/>
      <c r="D43" s="6"/>
      <c r="E43" s="10"/>
      <c r="F43" s="10"/>
      <c r="G43" s="6"/>
      <c r="H43" s="6"/>
      <c r="I43" s="6"/>
      <c r="J43" s="6"/>
    </row>
    <row r="44" spans="1:10" x14ac:dyDescent="0.2">
      <c r="A44" s="6"/>
      <c r="B44" s="6"/>
      <c r="C44" s="6"/>
      <c r="D44" s="6"/>
      <c r="E44" s="10"/>
      <c r="F44" s="10"/>
      <c r="G44" s="6"/>
      <c r="H44" s="6"/>
      <c r="I44" s="6"/>
      <c r="J44" s="6"/>
    </row>
    <row r="45" spans="1:10" x14ac:dyDescent="0.2">
      <c r="A45" s="6"/>
      <c r="B45" s="6"/>
      <c r="C45" s="6"/>
      <c r="D45" s="6"/>
      <c r="E45" s="10"/>
      <c r="F45" s="10"/>
      <c r="G45" s="6"/>
      <c r="H45" s="6"/>
      <c r="I45" s="6"/>
      <c r="J45" s="6"/>
    </row>
  </sheetData>
  <mergeCells count="1">
    <mergeCell ref="I3:I4"/>
  </mergeCells>
  <pageMargins left="0.7" right="0.7" top="0.75" bottom="0.75" header="0.3" footer="0.3"/>
  <pageSetup scale="85" fitToHeight="6" orientation="landscape" horizontalDpi="300" r:id="rId1"/>
  <headerFooter>
    <oddFooter>&amp;R&amp;D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45">
    <tabColor theme="0" tint="-0.34998626667073579"/>
    <pageSetUpPr fitToPage="1"/>
  </sheetPr>
  <dimension ref="A1:J90"/>
  <sheetViews>
    <sheetView topLeftCell="A16" workbookViewId="0"/>
  </sheetViews>
  <sheetFormatPr defaultRowHeight="12.75" x14ac:dyDescent="0.2"/>
  <cols>
    <col min="1" max="1" width="19" bestFit="1" customWidth="1"/>
    <col min="2" max="2" width="15.7109375" customWidth="1"/>
    <col min="3" max="3" width="6.5703125" customWidth="1"/>
    <col min="4" max="4" width="19.5703125" customWidth="1"/>
    <col min="5" max="5" width="11.42578125" customWidth="1"/>
    <col min="6" max="6" width="10.140625" customWidth="1"/>
    <col min="7" max="7" width="10.85546875" customWidth="1"/>
    <col min="8" max="8" width="11.140625" customWidth="1"/>
    <col min="9" max="9" width="13.140625" customWidth="1"/>
    <col min="10" max="10" width="11.42578125" customWidth="1"/>
  </cols>
  <sheetData>
    <row r="1" spans="1:10" ht="18" x14ac:dyDescent="0.25">
      <c r="A1" s="13" t="str">
        <f ca="1">MID(CELL("filename",$A$1),FIND("]",CELL("filename",$A$1),1)+1,1024)</f>
        <v>L.P. Farms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206</v>
      </c>
      <c r="B5" s="6">
        <v>1435</v>
      </c>
      <c r="C5" s="6">
        <v>42</v>
      </c>
      <c r="D5" s="6" t="s">
        <v>25</v>
      </c>
      <c r="E5" s="10">
        <v>43070</v>
      </c>
      <c r="F5" s="10">
        <v>43252</v>
      </c>
      <c r="G5" s="6">
        <v>33</v>
      </c>
      <c r="H5" s="6"/>
      <c r="I5" s="6">
        <f>C5-G5</f>
        <v>9</v>
      </c>
      <c r="J5" s="6"/>
    </row>
    <row r="6" spans="1:10" x14ac:dyDescent="0.2">
      <c r="A6" s="19"/>
      <c r="B6" s="19"/>
      <c r="C6" s="19"/>
      <c r="D6" s="19"/>
      <c r="E6" s="19"/>
      <c r="F6" s="19"/>
      <c r="G6" s="19"/>
      <c r="H6" s="19"/>
      <c r="I6" s="19"/>
      <c r="J6" s="19"/>
    </row>
    <row r="7" spans="1:10" x14ac:dyDescent="0.2">
      <c r="A7" s="6" t="s">
        <v>237</v>
      </c>
      <c r="B7" s="6">
        <v>1434</v>
      </c>
      <c r="C7" s="6">
        <v>1</v>
      </c>
      <c r="D7" s="6" t="s">
        <v>10</v>
      </c>
      <c r="E7" s="10">
        <v>43070</v>
      </c>
      <c r="F7" s="10">
        <v>43252</v>
      </c>
      <c r="G7" s="6"/>
      <c r="H7" s="6"/>
      <c r="I7" s="6">
        <f>C7-G7</f>
        <v>1</v>
      </c>
      <c r="J7" s="6"/>
    </row>
    <row r="8" spans="1:10" x14ac:dyDescent="0.2">
      <c r="A8" s="19"/>
      <c r="B8" s="19"/>
      <c r="C8" s="19"/>
      <c r="D8" s="19"/>
      <c r="E8" s="19"/>
      <c r="F8" s="19"/>
      <c r="G8" s="19"/>
      <c r="H8" s="19"/>
      <c r="I8" s="19"/>
      <c r="J8" s="19"/>
    </row>
    <row r="9" spans="1:10" x14ac:dyDescent="0.2">
      <c r="A9" s="6" t="s">
        <v>246</v>
      </c>
      <c r="B9" s="6">
        <v>1481</v>
      </c>
      <c r="C9" s="6">
        <v>19</v>
      </c>
      <c r="D9" s="6" t="s">
        <v>21</v>
      </c>
      <c r="E9" s="10">
        <v>43314</v>
      </c>
      <c r="F9" s="10">
        <v>43498</v>
      </c>
      <c r="G9" s="6"/>
      <c r="H9" s="6"/>
      <c r="I9" s="6">
        <f>C9-G9</f>
        <v>19</v>
      </c>
      <c r="J9" s="6"/>
    </row>
    <row r="10" spans="1:10" x14ac:dyDescent="0.2">
      <c r="A10" s="6"/>
      <c r="B10" s="6"/>
      <c r="C10" s="6">
        <v>13</v>
      </c>
      <c r="D10" s="6" t="s">
        <v>72</v>
      </c>
      <c r="E10" s="10">
        <v>43314</v>
      </c>
      <c r="F10" s="10">
        <v>43498</v>
      </c>
      <c r="G10" s="6">
        <v>5</v>
      </c>
      <c r="H10" s="6"/>
      <c r="I10" s="6">
        <f>C10-G10</f>
        <v>8</v>
      </c>
      <c r="J10" s="6"/>
    </row>
    <row r="11" spans="1:10" x14ac:dyDescent="0.2">
      <c r="A11" s="6"/>
      <c r="B11" s="6"/>
      <c r="C11" s="6">
        <v>10</v>
      </c>
      <c r="D11" s="6" t="s">
        <v>247</v>
      </c>
      <c r="E11" s="10">
        <v>43314</v>
      </c>
      <c r="F11" s="10">
        <v>43498</v>
      </c>
      <c r="G11" s="6">
        <v>5</v>
      </c>
      <c r="H11" s="6"/>
      <c r="I11" s="6">
        <f>C11-G11</f>
        <v>5</v>
      </c>
      <c r="J11" s="6"/>
    </row>
    <row r="12" spans="1:10" x14ac:dyDescent="0.2">
      <c r="A12" s="6"/>
      <c r="B12" s="6"/>
      <c r="C12" s="6">
        <v>22</v>
      </c>
      <c r="D12" s="6" t="s">
        <v>69</v>
      </c>
      <c r="E12" s="10">
        <v>43314</v>
      </c>
      <c r="F12" s="10">
        <v>43498</v>
      </c>
      <c r="G12" s="6">
        <v>9</v>
      </c>
      <c r="H12" s="6"/>
      <c r="I12" s="6">
        <f>C12-G12</f>
        <v>13</v>
      </c>
      <c r="J12" s="6"/>
    </row>
    <row r="13" spans="1:10" x14ac:dyDescent="0.2">
      <c r="A13" s="6"/>
      <c r="B13" s="6"/>
      <c r="C13" s="6">
        <v>1</v>
      </c>
      <c r="D13" s="6" t="s">
        <v>39</v>
      </c>
      <c r="E13" s="10">
        <v>43314</v>
      </c>
      <c r="F13" s="10">
        <v>43498</v>
      </c>
      <c r="G13" s="6"/>
      <c r="H13" s="6"/>
      <c r="I13" s="6">
        <f>C13-G13</f>
        <v>1</v>
      </c>
      <c r="J13" s="6"/>
    </row>
    <row r="14" spans="1:10" x14ac:dyDescent="0.2">
      <c r="A14" s="19"/>
      <c r="B14" s="19"/>
      <c r="C14" s="19"/>
      <c r="D14" s="19"/>
      <c r="E14" s="19"/>
      <c r="F14" s="19"/>
      <c r="G14" s="19"/>
      <c r="H14" s="19"/>
      <c r="I14" s="19"/>
      <c r="J14" s="19"/>
    </row>
    <row r="15" spans="1:10" x14ac:dyDescent="0.2">
      <c r="A15" s="6" t="s">
        <v>13</v>
      </c>
      <c r="B15" s="6">
        <v>1665</v>
      </c>
      <c r="C15" s="6">
        <v>35</v>
      </c>
      <c r="D15" s="6" t="s">
        <v>70</v>
      </c>
      <c r="E15" s="10">
        <v>43257</v>
      </c>
      <c r="F15" s="10">
        <v>43440</v>
      </c>
      <c r="G15" s="6">
        <v>32</v>
      </c>
      <c r="H15" s="6"/>
      <c r="I15" s="6">
        <f>C15-G15</f>
        <v>3</v>
      </c>
      <c r="J15" s="6"/>
    </row>
    <row r="16" spans="1:10" x14ac:dyDescent="0.2">
      <c r="A16" s="6"/>
      <c r="B16" s="6"/>
      <c r="C16" s="6">
        <v>2</v>
      </c>
      <c r="D16" s="6" t="s">
        <v>69</v>
      </c>
      <c r="E16" s="10">
        <v>43257</v>
      </c>
      <c r="F16" s="10">
        <v>43440</v>
      </c>
      <c r="G16" s="6"/>
      <c r="H16" s="6"/>
      <c r="I16" s="6">
        <f>C16-G16</f>
        <v>2</v>
      </c>
      <c r="J16" s="6"/>
    </row>
    <row r="17" spans="1:10" x14ac:dyDescent="0.2">
      <c r="A17" s="6"/>
      <c r="B17" s="6"/>
      <c r="C17" s="6">
        <v>2</v>
      </c>
      <c r="D17" s="6" t="s">
        <v>72</v>
      </c>
      <c r="E17" s="10">
        <v>43257</v>
      </c>
      <c r="F17" s="10">
        <v>43440</v>
      </c>
      <c r="G17" s="6"/>
      <c r="H17" s="6"/>
      <c r="I17" s="6">
        <f>C17-G17</f>
        <v>2</v>
      </c>
      <c r="J17" s="6"/>
    </row>
    <row r="18" spans="1:10" x14ac:dyDescent="0.2">
      <c r="A18" s="19"/>
      <c r="B18" s="19"/>
      <c r="C18" s="19"/>
      <c r="D18" s="19"/>
      <c r="E18" s="19"/>
      <c r="F18" s="19"/>
      <c r="G18" s="19"/>
      <c r="H18" s="19"/>
      <c r="I18" s="19"/>
      <c r="J18" s="19"/>
    </row>
    <row r="19" spans="1:10" x14ac:dyDescent="0.2">
      <c r="A19" s="6" t="s">
        <v>354</v>
      </c>
      <c r="B19" s="6">
        <v>122015</v>
      </c>
      <c r="C19" s="6">
        <v>700</v>
      </c>
      <c r="D19" s="6" t="s">
        <v>36</v>
      </c>
      <c r="E19" s="10">
        <v>43678</v>
      </c>
      <c r="F19" s="10">
        <v>43861</v>
      </c>
      <c r="G19" s="6"/>
      <c r="H19" s="6"/>
      <c r="I19" s="6"/>
      <c r="J19" s="6"/>
    </row>
    <row r="20" spans="1:10" x14ac:dyDescent="0.2">
      <c r="A20" s="6"/>
      <c r="B20" s="6"/>
      <c r="C20" s="6">
        <v>15</v>
      </c>
      <c r="D20" s="6" t="s">
        <v>355</v>
      </c>
      <c r="E20" s="10">
        <v>43678</v>
      </c>
      <c r="F20" s="10">
        <v>43861</v>
      </c>
      <c r="G20" s="6"/>
      <c r="H20" s="6"/>
      <c r="I20" s="6"/>
      <c r="J20" s="6"/>
    </row>
    <row r="21" spans="1:10" x14ac:dyDescent="0.2">
      <c r="A21" s="6"/>
      <c r="B21" s="6"/>
      <c r="C21" s="6">
        <v>30</v>
      </c>
      <c r="D21" s="6" t="s">
        <v>356</v>
      </c>
      <c r="E21" s="10">
        <v>43678</v>
      </c>
      <c r="F21" s="10">
        <v>43861</v>
      </c>
      <c r="G21" s="6"/>
      <c r="H21" s="6"/>
      <c r="I21" s="6"/>
      <c r="J21" s="6"/>
    </row>
    <row r="22" spans="1:10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</row>
    <row r="23" spans="1:10" x14ac:dyDescent="0.2">
      <c r="A23" s="6" t="s">
        <v>389</v>
      </c>
      <c r="B23" s="6">
        <v>122016</v>
      </c>
      <c r="C23" s="6">
        <v>590</v>
      </c>
      <c r="D23" s="6" t="s">
        <v>36</v>
      </c>
      <c r="E23" s="10">
        <v>43652</v>
      </c>
      <c r="F23" s="10">
        <v>43805</v>
      </c>
      <c r="G23" s="6"/>
      <c r="H23" s="6"/>
      <c r="I23" s="6"/>
      <c r="J23" s="6"/>
    </row>
    <row r="24" spans="1:10" x14ac:dyDescent="0.2">
      <c r="A24" s="6"/>
      <c r="B24" s="6"/>
      <c r="C24" s="6">
        <v>16</v>
      </c>
      <c r="D24" s="6" t="s">
        <v>83</v>
      </c>
      <c r="E24" s="10">
        <v>43652</v>
      </c>
      <c r="F24" s="10">
        <v>43805</v>
      </c>
      <c r="G24" s="6"/>
      <c r="H24" s="6"/>
      <c r="I24" s="6"/>
      <c r="J24" s="6"/>
    </row>
    <row r="25" spans="1:10" x14ac:dyDescent="0.2">
      <c r="A25" s="6"/>
      <c r="B25" s="6"/>
      <c r="C25" s="6">
        <v>32</v>
      </c>
      <c r="D25" s="6" t="s">
        <v>8</v>
      </c>
      <c r="E25" s="10">
        <v>43652</v>
      </c>
      <c r="F25" s="10">
        <v>43805</v>
      </c>
      <c r="G25" s="6"/>
      <c r="H25" s="6"/>
      <c r="I25" s="6"/>
      <c r="J25" s="6"/>
    </row>
    <row r="26" spans="1:10" x14ac:dyDescent="0.2">
      <c r="A26" s="6"/>
      <c r="B26" s="6"/>
      <c r="C26" s="6">
        <v>32</v>
      </c>
      <c r="D26" s="6" t="s">
        <v>236</v>
      </c>
      <c r="E26" s="10">
        <v>43652</v>
      </c>
      <c r="F26" s="10">
        <v>43805</v>
      </c>
      <c r="G26" s="6"/>
      <c r="H26" s="6"/>
      <c r="I26" s="6"/>
      <c r="J26" s="6"/>
    </row>
    <row r="27" spans="1:10" x14ac:dyDescent="0.2">
      <c r="A27" s="6"/>
      <c r="B27" s="6"/>
      <c r="C27" s="6">
        <v>39</v>
      </c>
      <c r="D27" s="6" t="s">
        <v>69</v>
      </c>
      <c r="E27" s="10">
        <v>43652</v>
      </c>
      <c r="F27" s="10">
        <v>43805</v>
      </c>
      <c r="G27" s="6"/>
      <c r="H27" s="6"/>
      <c r="I27" s="6"/>
      <c r="J27" s="6"/>
    </row>
    <row r="28" spans="1:10" x14ac:dyDescent="0.2">
      <c r="A28" s="6"/>
      <c r="B28" s="6"/>
      <c r="C28" s="6">
        <v>32</v>
      </c>
      <c r="D28" s="6" t="s">
        <v>21</v>
      </c>
      <c r="E28" s="10">
        <v>43652</v>
      </c>
      <c r="F28" s="10">
        <v>43805</v>
      </c>
      <c r="G28" s="6"/>
      <c r="H28" s="6"/>
      <c r="I28" s="6"/>
      <c r="J28" s="6"/>
    </row>
    <row r="29" spans="1:10" x14ac:dyDescent="0.2">
      <c r="A29" s="6"/>
      <c r="B29" s="6"/>
      <c r="C29" s="6">
        <v>1</v>
      </c>
      <c r="D29" s="6" t="s">
        <v>14</v>
      </c>
      <c r="E29" s="10">
        <v>43652</v>
      </c>
      <c r="F29" s="10">
        <v>43805</v>
      </c>
      <c r="G29" s="6"/>
      <c r="H29" s="6"/>
      <c r="I29" s="6"/>
      <c r="J29" s="6"/>
    </row>
    <row r="30" spans="1:10" x14ac:dyDescent="0.2">
      <c r="A30" s="6"/>
      <c r="B30" s="6"/>
      <c r="C30" s="6">
        <v>1</v>
      </c>
      <c r="D30" s="6" t="s">
        <v>18</v>
      </c>
      <c r="E30" s="10">
        <v>43652</v>
      </c>
      <c r="F30" s="10">
        <v>43805</v>
      </c>
      <c r="G30" s="6"/>
      <c r="H30" s="6"/>
      <c r="I30" s="6"/>
      <c r="J30" s="6"/>
    </row>
    <row r="31" spans="1:10" x14ac:dyDescent="0.2">
      <c r="A31" s="6"/>
      <c r="B31" s="6"/>
      <c r="C31" s="6">
        <v>7</v>
      </c>
      <c r="D31" s="6" t="s">
        <v>37</v>
      </c>
      <c r="E31" s="10">
        <v>43652</v>
      </c>
      <c r="F31" s="10">
        <v>43805</v>
      </c>
      <c r="G31" s="6"/>
      <c r="H31" s="6"/>
      <c r="I31" s="6"/>
      <c r="J31" s="6"/>
    </row>
    <row r="32" spans="1:10" x14ac:dyDescent="0.2">
      <c r="A32" s="6"/>
      <c r="B32" s="6"/>
      <c r="C32" s="6">
        <v>1</v>
      </c>
      <c r="D32" s="6" t="s">
        <v>347</v>
      </c>
      <c r="E32" s="10">
        <v>43652</v>
      </c>
      <c r="F32" s="10">
        <v>43805</v>
      </c>
      <c r="G32" s="6"/>
      <c r="H32" s="6"/>
      <c r="I32" s="6"/>
      <c r="J32" s="6"/>
    </row>
    <row r="33" spans="1:10" x14ac:dyDescent="0.2">
      <c r="A33" s="6"/>
      <c r="B33" s="6"/>
      <c r="C33" s="6">
        <v>9</v>
      </c>
      <c r="D33" s="6" t="s">
        <v>73</v>
      </c>
      <c r="E33" s="10">
        <v>43652</v>
      </c>
      <c r="F33" s="10">
        <v>43805</v>
      </c>
      <c r="G33" s="6"/>
      <c r="H33" s="6"/>
      <c r="I33" s="6"/>
      <c r="J33" s="6"/>
    </row>
    <row r="34" spans="1:10" x14ac:dyDescent="0.2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spans="1:10" x14ac:dyDescent="0.2">
      <c r="A35" s="8" t="s">
        <v>237</v>
      </c>
      <c r="B35" s="8" t="s">
        <v>780</v>
      </c>
      <c r="C35" s="6">
        <v>29</v>
      </c>
      <c r="D35" s="8" t="s">
        <v>681</v>
      </c>
      <c r="E35" s="10">
        <v>44253</v>
      </c>
      <c r="F35" s="10">
        <v>44403</v>
      </c>
      <c r="G35" s="6"/>
      <c r="H35" s="6"/>
      <c r="I35" s="6"/>
      <c r="J35" s="6"/>
    </row>
    <row r="36" spans="1:10" x14ac:dyDescent="0.2">
      <c r="A36" s="6"/>
      <c r="B36" s="6"/>
      <c r="C36" s="6">
        <v>1</v>
      </c>
      <c r="D36" s="8" t="s">
        <v>10</v>
      </c>
      <c r="E36" s="10">
        <v>44253</v>
      </c>
      <c r="F36" s="10">
        <v>44403</v>
      </c>
      <c r="G36" s="6"/>
      <c r="H36" s="6"/>
      <c r="I36" s="6"/>
      <c r="J36" s="6"/>
    </row>
    <row r="37" spans="1:10" x14ac:dyDescent="0.2">
      <c r="A37" s="6"/>
      <c r="B37" s="6"/>
      <c r="C37" s="6">
        <v>29</v>
      </c>
      <c r="D37" s="8" t="s">
        <v>83</v>
      </c>
      <c r="E37" s="10">
        <v>44253</v>
      </c>
      <c r="F37" s="10">
        <v>44403</v>
      </c>
      <c r="G37" s="6"/>
      <c r="H37" s="6"/>
      <c r="I37" s="6"/>
      <c r="J37" s="6"/>
    </row>
    <row r="38" spans="1:10" x14ac:dyDescent="0.2">
      <c r="A38" s="6"/>
      <c r="B38" s="6"/>
      <c r="C38" s="6">
        <v>46</v>
      </c>
      <c r="D38" s="8" t="s">
        <v>71</v>
      </c>
      <c r="E38" s="10">
        <v>44253</v>
      </c>
      <c r="F38" s="10">
        <v>44403</v>
      </c>
      <c r="G38" s="6"/>
      <c r="H38" s="6"/>
      <c r="I38" s="6"/>
      <c r="J38" s="6"/>
    </row>
    <row r="39" spans="1:10" x14ac:dyDescent="0.2">
      <c r="A39" s="6"/>
      <c r="B39" s="6"/>
      <c r="C39" s="6">
        <v>40</v>
      </c>
      <c r="D39" s="8" t="s">
        <v>49</v>
      </c>
      <c r="E39" s="10">
        <v>44253</v>
      </c>
      <c r="F39" s="10">
        <v>44403</v>
      </c>
      <c r="G39" s="6"/>
      <c r="H39" s="6"/>
      <c r="I39" s="6"/>
      <c r="J39" s="6"/>
    </row>
    <row r="40" spans="1:10" x14ac:dyDescent="0.2">
      <c r="A40" s="6"/>
      <c r="B40" s="6"/>
      <c r="C40" s="6">
        <v>1714</v>
      </c>
      <c r="D40" s="8" t="s">
        <v>781</v>
      </c>
      <c r="E40" s="10">
        <v>44253</v>
      </c>
      <c r="F40" s="10">
        <v>44403</v>
      </c>
      <c r="G40" s="6"/>
      <c r="H40" s="6"/>
      <c r="I40" s="6"/>
      <c r="J40" s="6"/>
    </row>
    <row r="41" spans="1:10" x14ac:dyDescent="0.2">
      <c r="A41" s="6"/>
      <c r="B41" s="6"/>
      <c r="C41" s="6">
        <v>30</v>
      </c>
      <c r="D41" s="8" t="s">
        <v>89</v>
      </c>
      <c r="E41" s="10">
        <v>44253</v>
      </c>
      <c r="F41" s="10">
        <v>44403</v>
      </c>
      <c r="G41" s="6"/>
      <c r="H41" s="6"/>
      <c r="I41" s="6"/>
      <c r="J41" s="6"/>
    </row>
    <row r="42" spans="1:10" x14ac:dyDescent="0.2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spans="1:10" x14ac:dyDescent="0.2">
      <c r="A43" s="8" t="s">
        <v>782</v>
      </c>
      <c r="B43" s="8" t="s">
        <v>783</v>
      </c>
      <c r="C43" s="6">
        <v>1420</v>
      </c>
      <c r="D43" s="8" t="s">
        <v>682</v>
      </c>
      <c r="E43" s="10">
        <v>44253</v>
      </c>
      <c r="F43" s="10">
        <v>44403</v>
      </c>
      <c r="G43" s="6"/>
      <c r="H43" s="6"/>
      <c r="I43" s="6"/>
      <c r="J43" s="6"/>
    </row>
    <row r="44" spans="1:10" x14ac:dyDescent="0.2">
      <c r="A44" s="6"/>
      <c r="B44" s="6"/>
      <c r="C44" s="6">
        <v>25</v>
      </c>
      <c r="D44" s="8" t="s">
        <v>83</v>
      </c>
      <c r="E44" s="10">
        <v>44253</v>
      </c>
      <c r="F44" s="10">
        <v>44403</v>
      </c>
      <c r="G44" s="6"/>
      <c r="H44" s="6"/>
      <c r="I44" s="6"/>
      <c r="J44" s="6"/>
    </row>
    <row r="45" spans="1:10" x14ac:dyDescent="0.2">
      <c r="A45" s="6"/>
      <c r="B45" s="6"/>
      <c r="C45" s="6">
        <v>60</v>
      </c>
      <c r="D45" s="8" t="s">
        <v>71</v>
      </c>
      <c r="E45" s="10">
        <v>44253</v>
      </c>
      <c r="F45" s="10">
        <v>44403</v>
      </c>
      <c r="G45" s="6"/>
      <c r="H45" s="6"/>
      <c r="I45" s="6"/>
      <c r="J45" s="6"/>
    </row>
    <row r="46" spans="1:10" x14ac:dyDescent="0.2">
      <c r="A46" s="6"/>
      <c r="B46" s="6"/>
      <c r="C46" s="6">
        <v>60</v>
      </c>
      <c r="D46" s="8" t="s">
        <v>49</v>
      </c>
      <c r="E46" s="10">
        <v>44253</v>
      </c>
      <c r="F46" s="10">
        <v>44403</v>
      </c>
      <c r="G46" s="6"/>
      <c r="H46" s="6"/>
      <c r="I46" s="6"/>
      <c r="J46" s="6"/>
    </row>
    <row r="47" spans="1:10" x14ac:dyDescent="0.2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">
      <c r="A48" s="19"/>
      <c r="B48" s="19"/>
      <c r="C48" s="19"/>
      <c r="D48" s="19"/>
      <c r="E48" s="19"/>
      <c r="F48" s="19"/>
      <c r="G48" s="19"/>
      <c r="H48" s="19"/>
      <c r="I48" s="19"/>
      <c r="J48" s="19"/>
    </row>
    <row r="49" spans="1:10" x14ac:dyDescent="0.2">
      <c r="A49" s="8" t="s">
        <v>906</v>
      </c>
      <c r="B49" s="8" t="s">
        <v>896</v>
      </c>
      <c r="C49" s="6">
        <v>130</v>
      </c>
      <c r="D49" s="6" t="s">
        <v>897</v>
      </c>
      <c r="E49" s="10">
        <v>44362</v>
      </c>
      <c r="F49" s="10">
        <v>44545</v>
      </c>
      <c r="G49" s="6"/>
      <c r="H49" s="6"/>
      <c r="I49" s="6"/>
      <c r="J49" s="6"/>
    </row>
    <row r="50" spans="1:10" x14ac:dyDescent="0.2">
      <c r="A50" s="6"/>
      <c r="B50" s="6"/>
      <c r="C50" s="6">
        <v>1</v>
      </c>
      <c r="D50" s="8" t="s">
        <v>898</v>
      </c>
      <c r="E50" s="10">
        <v>44362</v>
      </c>
      <c r="F50" s="10">
        <v>44545</v>
      </c>
      <c r="G50" s="6"/>
      <c r="H50" s="6"/>
      <c r="I50" s="6"/>
      <c r="J50" s="6"/>
    </row>
    <row r="51" spans="1:10" x14ac:dyDescent="0.2">
      <c r="A51" s="6"/>
      <c r="B51" s="6"/>
      <c r="C51" s="6">
        <v>8</v>
      </c>
      <c r="D51" s="8" t="s">
        <v>899</v>
      </c>
      <c r="E51" s="10">
        <v>44362</v>
      </c>
      <c r="F51" s="10">
        <v>44545</v>
      </c>
      <c r="G51" s="6"/>
      <c r="H51" s="6"/>
      <c r="I51" s="6"/>
      <c r="J51" s="6"/>
    </row>
    <row r="52" spans="1:10" x14ac:dyDescent="0.2">
      <c r="A52" s="6"/>
      <c r="B52" s="6"/>
      <c r="C52" s="6">
        <v>1</v>
      </c>
      <c r="D52" s="8" t="s">
        <v>39</v>
      </c>
      <c r="E52" s="10">
        <v>44362</v>
      </c>
      <c r="F52" s="10">
        <v>44545</v>
      </c>
      <c r="G52" s="6"/>
      <c r="H52" s="6"/>
      <c r="I52" s="6"/>
      <c r="J52" s="6"/>
    </row>
    <row r="53" spans="1:10" x14ac:dyDescent="0.2">
      <c r="A53" s="6"/>
      <c r="B53" s="6"/>
      <c r="C53" s="6">
        <v>1</v>
      </c>
      <c r="D53" s="8" t="s">
        <v>10</v>
      </c>
      <c r="E53" s="10">
        <v>44362</v>
      </c>
      <c r="F53" s="10">
        <v>44545</v>
      </c>
      <c r="G53" s="6"/>
      <c r="H53" s="6"/>
      <c r="I53" s="6"/>
      <c r="J53" s="6"/>
    </row>
    <row r="54" spans="1:10" x14ac:dyDescent="0.2">
      <c r="A54" s="6"/>
      <c r="B54" s="6"/>
      <c r="C54" s="6">
        <v>1</v>
      </c>
      <c r="D54" s="8" t="s">
        <v>900</v>
      </c>
      <c r="E54" s="10">
        <v>44362</v>
      </c>
      <c r="F54" s="10">
        <v>44545</v>
      </c>
      <c r="G54" s="6"/>
      <c r="H54" s="6"/>
      <c r="I54" s="6"/>
      <c r="J54" s="6"/>
    </row>
    <row r="55" spans="1:10" x14ac:dyDescent="0.2">
      <c r="A55" s="6"/>
      <c r="B55" s="6"/>
      <c r="C55" s="6">
        <v>1</v>
      </c>
      <c r="D55" s="8" t="s">
        <v>901</v>
      </c>
      <c r="E55" s="10">
        <v>44362</v>
      </c>
      <c r="F55" s="10">
        <v>44545</v>
      </c>
      <c r="G55" s="6"/>
      <c r="H55" s="6"/>
      <c r="I55" s="6"/>
      <c r="J55" s="6"/>
    </row>
    <row r="56" spans="1:10" x14ac:dyDescent="0.2">
      <c r="A56" s="6"/>
      <c r="B56" s="6"/>
      <c r="C56" s="6">
        <v>1</v>
      </c>
      <c r="D56" s="8" t="s">
        <v>19</v>
      </c>
      <c r="E56" s="10">
        <v>44362</v>
      </c>
      <c r="F56" s="10">
        <v>44545</v>
      </c>
      <c r="G56" s="6"/>
      <c r="H56" s="6"/>
      <c r="I56" s="6"/>
      <c r="J56" s="6"/>
    </row>
    <row r="57" spans="1:10" x14ac:dyDescent="0.2">
      <c r="A57" s="6"/>
      <c r="B57" s="6"/>
      <c r="C57" s="6">
        <v>135</v>
      </c>
      <c r="D57" s="8" t="s">
        <v>69</v>
      </c>
      <c r="E57" s="10">
        <v>44362</v>
      </c>
      <c r="F57" s="10">
        <v>44545</v>
      </c>
      <c r="G57" s="6"/>
      <c r="H57" s="6"/>
      <c r="I57" s="6"/>
      <c r="J57" s="6"/>
    </row>
    <row r="58" spans="1:10" x14ac:dyDescent="0.2">
      <c r="A58" s="6"/>
      <c r="B58" s="6"/>
      <c r="C58" s="6">
        <v>6000</v>
      </c>
      <c r="D58" s="8" t="s">
        <v>902</v>
      </c>
      <c r="E58" s="10">
        <v>44362</v>
      </c>
      <c r="F58" s="10">
        <v>44545</v>
      </c>
      <c r="G58" s="6"/>
      <c r="H58" s="6"/>
      <c r="I58" s="6"/>
      <c r="J58" s="6"/>
    </row>
    <row r="59" spans="1:10" x14ac:dyDescent="0.2">
      <c r="A59" s="6"/>
      <c r="B59" s="6"/>
      <c r="C59" s="6">
        <v>90</v>
      </c>
      <c r="D59" s="8" t="s">
        <v>355</v>
      </c>
      <c r="E59" s="10">
        <v>44362</v>
      </c>
      <c r="F59" s="10">
        <v>44545</v>
      </c>
      <c r="G59" s="6"/>
      <c r="H59" s="6"/>
      <c r="I59" s="6"/>
      <c r="J59" s="6"/>
    </row>
    <row r="60" spans="1:10" x14ac:dyDescent="0.2">
      <c r="A60" s="6"/>
      <c r="B60" s="6"/>
      <c r="C60" s="6">
        <v>40</v>
      </c>
      <c r="D60" s="8" t="s">
        <v>903</v>
      </c>
      <c r="E60" s="10">
        <v>44362</v>
      </c>
      <c r="F60" s="10">
        <v>44545</v>
      </c>
      <c r="G60" s="6"/>
      <c r="H60" s="6"/>
      <c r="I60" s="6"/>
      <c r="J60" s="6"/>
    </row>
    <row r="61" spans="1:10" x14ac:dyDescent="0.2">
      <c r="A61" s="6"/>
      <c r="B61" s="6"/>
      <c r="C61" s="6">
        <v>220</v>
      </c>
      <c r="D61" s="8" t="s">
        <v>904</v>
      </c>
      <c r="E61" s="10">
        <v>44362</v>
      </c>
      <c r="F61" s="10">
        <v>44545</v>
      </c>
      <c r="G61" s="6"/>
      <c r="H61" s="6"/>
      <c r="I61" s="6"/>
      <c r="J61" s="6"/>
    </row>
    <row r="62" spans="1:10" x14ac:dyDescent="0.2">
      <c r="A62" s="6"/>
      <c r="B62" s="6"/>
      <c r="C62" s="6">
        <v>90</v>
      </c>
      <c r="D62" s="8" t="s">
        <v>905</v>
      </c>
      <c r="E62" s="10">
        <v>44362</v>
      </c>
      <c r="F62" s="10">
        <v>44545</v>
      </c>
      <c r="G62" s="6"/>
      <c r="H62" s="6"/>
      <c r="I62" s="6"/>
      <c r="J62" s="6"/>
    </row>
    <row r="63" spans="1:10" x14ac:dyDescent="0.2">
      <c r="A63" s="19"/>
      <c r="B63" s="19"/>
      <c r="C63" s="19"/>
      <c r="D63" s="19"/>
      <c r="E63" s="19"/>
      <c r="F63" s="19"/>
      <c r="G63" s="19"/>
      <c r="H63" s="19"/>
      <c r="I63" s="19"/>
      <c r="J63" s="19"/>
    </row>
    <row r="64" spans="1:10" x14ac:dyDescent="0.2">
      <c r="A64" s="8" t="s">
        <v>907</v>
      </c>
      <c r="B64" s="8" t="s">
        <v>908</v>
      </c>
      <c r="C64" s="6">
        <v>2600</v>
      </c>
      <c r="D64" s="8" t="s">
        <v>909</v>
      </c>
      <c r="E64" s="10">
        <v>44362</v>
      </c>
      <c r="F64" s="10">
        <v>44545</v>
      </c>
      <c r="G64" s="6"/>
      <c r="H64" s="6"/>
      <c r="I64" s="6"/>
      <c r="J64" s="6"/>
    </row>
    <row r="65" spans="1:10" x14ac:dyDescent="0.2">
      <c r="A65" s="6"/>
      <c r="B65" s="6"/>
      <c r="C65" s="6">
        <v>30</v>
      </c>
      <c r="D65" s="8" t="s">
        <v>355</v>
      </c>
      <c r="E65" s="10">
        <v>44362</v>
      </c>
      <c r="F65" s="10">
        <v>44545</v>
      </c>
      <c r="G65" s="6"/>
      <c r="H65" s="6"/>
      <c r="I65" s="6"/>
      <c r="J65" s="6"/>
    </row>
    <row r="66" spans="1:10" x14ac:dyDescent="0.2">
      <c r="A66" s="6"/>
      <c r="B66" s="6"/>
      <c r="C66" s="6">
        <v>60</v>
      </c>
      <c r="D66" s="8" t="s">
        <v>71</v>
      </c>
      <c r="E66" s="10">
        <v>44362</v>
      </c>
      <c r="F66" s="10">
        <v>44545</v>
      </c>
      <c r="G66" s="6"/>
      <c r="H66" s="6"/>
      <c r="I66" s="6"/>
      <c r="J66" s="6"/>
    </row>
    <row r="67" spans="1:10" x14ac:dyDescent="0.2">
      <c r="A67" s="6"/>
      <c r="B67" s="6"/>
      <c r="C67" s="6">
        <v>60</v>
      </c>
      <c r="D67" s="8" t="s">
        <v>49</v>
      </c>
      <c r="E67" s="10">
        <v>44362</v>
      </c>
      <c r="F67" s="10">
        <v>44545</v>
      </c>
      <c r="G67" s="6"/>
      <c r="H67" s="6"/>
      <c r="I67" s="6"/>
      <c r="J67" s="6"/>
    </row>
    <row r="68" spans="1:10" x14ac:dyDescent="0.2">
      <c r="A68" s="19"/>
      <c r="B68" s="19"/>
      <c r="C68" s="19"/>
      <c r="D68" s="19"/>
      <c r="E68" s="19"/>
      <c r="F68" s="19"/>
      <c r="G68" s="19"/>
      <c r="H68" s="19"/>
      <c r="I68" s="19"/>
      <c r="J68" s="19"/>
    </row>
    <row r="69" spans="1:10" x14ac:dyDescent="0.2">
      <c r="A69" s="6" t="s">
        <v>926</v>
      </c>
      <c r="B69" s="6" t="s">
        <v>921</v>
      </c>
      <c r="C69" s="6">
        <v>72</v>
      </c>
      <c r="D69" s="6" t="s">
        <v>897</v>
      </c>
      <c r="E69" s="10">
        <v>44362</v>
      </c>
      <c r="F69" s="10">
        <v>44545</v>
      </c>
      <c r="G69" s="6"/>
      <c r="H69" s="6"/>
      <c r="I69" s="6"/>
      <c r="J69" s="6"/>
    </row>
    <row r="70" spans="1:10" x14ac:dyDescent="0.2">
      <c r="A70" s="6"/>
      <c r="B70" s="6"/>
      <c r="C70" s="6">
        <v>1</v>
      </c>
      <c r="D70" s="6" t="s">
        <v>922</v>
      </c>
      <c r="E70" s="10">
        <v>44362</v>
      </c>
      <c r="F70" s="10">
        <v>44545</v>
      </c>
      <c r="G70" s="6"/>
      <c r="H70" s="6"/>
      <c r="I70" s="6"/>
      <c r="J70" s="6"/>
    </row>
    <row r="71" spans="1:10" x14ac:dyDescent="0.2">
      <c r="A71" s="6"/>
      <c r="B71" s="6"/>
      <c r="C71" s="6">
        <v>2</v>
      </c>
      <c r="D71" s="6" t="s">
        <v>923</v>
      </c>
      <c r="E71" s="10">
        <v>44362</v>
      </c>
      <c r="F71" s="10">
        <v>44545</v>
      </c>
      <c r="G71" s="6"/>
      <c r="H71" s="6"/>
      <c r="I71" s="6"/>
      <c r="J71" s="6"/>
    </row>
    <row r="72" spans="1:10" x14ac:dyDescent="0.2">
      <c r="A72" s="6"/>
      <c r="B72" s="6"/>
      <c r="C72" s="6">
        <v>2</v>
      </c>
      <c r="D72" s="6" t="s">
        <v>10</v>
      </c>
      <c r="E72" s="10">
        <v>44362</v>
      </c>
      <c r="F72" s="10">
        <v>44545</v>
      </c>
      <c r="G72" s="6"/>
      <c r="H72" s="6"/>
      <c r="I72" s="6"/>
      <c r="J72" s="6"/>
    </row>
    <row r="73" spans="1:10" x14ac:dyDescent="0.2">
      <c r="A73" s="6"/>
      <c r="B73" s="6"/>
      <c r="C73" s="6">
        <v>75</v>
      </c>
      <c r="D73" s="6" t="s">
        <v>69</v>
      </c>
      <c r="E73" s="10">
        <v>44362</v>
      </c>
      <c r="F73" s="10">
        <v>44545</v>
      </c>
      <c r="G73" s="6"/>
      <c r="H73" s="6"/>
      <c r="I73" s="6"/>
      <c r="J73" s="6"/>
    </row>
    <row r="74" spans="1:10" x14ac:dyDescent="0.2">
      <c r="A74" s="6"/>
      <c r="B74" s="6"/>
      <c r="C74" s="6">
        <v>1950</v>
      </c>
      <c r="D74" s="6" t="s">
        <v>805</v>
      </c>
      <c r="E74" s="10">
        <v>44362</v>
      </c>
      <c r="F74" s="10">
        <v>44545</v>
      </c>
      <c r="G74" s="6"/>
      <c r="H74" s="6"/>
      <c r="I74" s="6"/>
      <c r="J74" s="6"/>
    </row>
    <row r="75" spans="1:10" x14ac:dyDescent="0.2">
      <c r="A75" s="6"/>
      <c r="B75" s="6"/>
      <c r="C75" s="6">
        <v>30</v>
      </c>
      <c r="D75" s="6" t="s">
        <v>924</v>
      </c>
      <c r="E75" s="10">
        <v>44362</v>
      </c>
      <c r="F75" s="10">
        <v>44545</v>
      </c>
      <c r="G75" s="6"/>
      <c r="H75" s="6"/>
      <c r="I75" s="6"/>
      <c r="J75" s="6"/>
    </row>
    <row r="76" spans="1:10" x14ac:dyDescent="0.2">
      <c r="A76" s="6"/>
      <c r="B76" s="6"/>
      <c r="C76" s="6">
        <v>13</v>
      </c>
      <c r="D76" s="6" t="s">
        <v>925</v>
      </c>
      <c r="E76" s="10">
        <v>44362</v>
      </c>
      <c r="F76" s="10">
        <v>44545</v>
      </c>
      <c r="G76" s="6"/>
      <c r="H76" s="6"/>
      <c r="I76" s="6"/>
      <c r="J76" s="6"/>
    </row>
    <row r="77" spans="1:10" x14ac:dyDescent="0.2">
      <c r="A77" s="6"/>
      <c r="B77" s="6"/>
      <c r="C77" s="6">
        <v>75</v>
      </c>
      <c r="D77" s="6" t="s">
        <v>71</v>
      </c>
      <c r="E77" s="10">
        <v>44362</v>
      </c>
      <c r="F77" s="10">
        <v>44545</v>
      </c>
      <c r="G77" s="6"/>
      <c r="H77" s="6"/>
      <c r="I77" s="6"/>
      <c r="J77" s="6"/>
    </row>
    <row r="78" spans="1:10" x14ac:dyDescent="0.2">
      <c r="A78" s="6"/>
      <c r="B78" s="6"/>
      <c r="C78" s="6"/>
      <c r="D78" s="6"/>
      <c r="E78" s="10"/>
      <c r="F78" s="10"/>
      <c r="G78" s="6"/>
      <c r="H78" s="6"/>
      <c r="I78" s="6"/>
      <c r="J78" s="6"/>
    </row>
    <row r="79" spans="1:10" x14ac:dyDescent="0.2">
      <c r="A79" s="6"/>
      <c r="B79" s="6"/>
      <c r="C79" s="6"/>
      <c r="D79" s="6"/>
      <c r="E79" s="10"/>
      <c r="F79" s="10"/>
      <c r="G79" s="6"/>
      <c r="H79" s="6"/>
      <c r="I79" s="6"/>
      <c r="J79" s="6"/>
    </row>
    <row r="80" spans="1:10" x14ac:dyDescent="0.2">
      <c r="A80" s="6"/>
      <c r="B80" s="6"/>
      <c r="C80" s="6"/>
      <c r="D80" s="6"/>
      <c r="E80" s="10"/>
      <c r="F80" s="10"/>
      <c r="G80" s="6"/>
      <c r="H80" s="6"/>
      <c r="I80" s="6"/>
      <c r="J80" s="6"/>
    </row>
    <row r="81" spans="1:10" x14ac:dyDescent="0.2">
      <c r="A81" s="6"/>
      <c r="B81" s="6"/>
      <c r="C81" s="6"/>
      <c r="D81" s="6"/>
      <c r="E81" s="10"/>
      <c r="F81" s="10"/>
      <c r="G81" s="6"/>
      <c r="H81" s="6"/>
      <c r="I81" s="6"/>
      <c r="J81" s="6"/>
    </row>
    <row r="82" spans="1:10" x14ac:dyDescent="0.2">
      <c r="A82" s="6"/>
      <c r="B82" s="6"/>
      <c r="C82" s="6"/>
      <c r="D82" s="6"/>
      <c r="E82" s="10"/>
      <c r="F82" s="10"/>
      <c r="G82" s="6"/>
      <c r="H82" s="6"/>
      <c r="I82" s="6"/>
      <c r="J82" s="6"/>
    </row>
    <row r="83" spans="1:10" x14ac:dyDescent="0.2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x14ac:dyDescent="0.2">
      <c r="A84" s="6"/>
      <c r="B84" s="6"/>
      <c r="C84" s="6"/>
      <c r="D84" s="6"/>
      <c r="E84" s="6"/>
      <c r="F84" s="6"/>
      <c r="G84" s="6"/>
      <c r="H84" s="6"/>
      <c r="I84" s="6"/>
      <c r="J84" s="6"/>
    </row>
    <row r="85" spans="1:10" x14ac:dyDescent="0.2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 x14ac:dyDescent="0.2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x14ac:dyDescent="0.2">
      <c r="A87" s="6"/>
      <c r="B87" s="6"/>
      <c r="C87" s="6"/>
      <c r="D87" s="6"/>
      <c r="E87" s="6"/>
      <c r="F87" s="6"/>
      <c r="G87" s="6"/>
      <c r="H87" s="6"/>
      <c r="I87" s="6"/>
      <c r="J87" s="6"/>
    </row>
    <row r="88" spans="1:10" x14ac:dyDescent="0.2">
      <c r="A88" s="6"/>
      <c r="B88" s="6"/>
      <c r="C88" s="6"/>
      <c r="D88" s="6"/>
      <c r="E88" s="6"/>
      <c r="F88" s="6"/>
      <c r="G88" s="6"/>
      <c r="H88" s="6"/>
      <c r="I88" s="6"/>
      <c r="J88" s="6"/>
    </row>
    <row r="89" spans="1:10" x14ac:dyDescent="0.2">
      <c r="A89" s="6"/>
      <c r="B89" s="6"/>
      <c r="C89" s="6"/>
      <c r="D89" s="6"/>
      <c r="E89" s="6"/>
      <c r="F89" s="6"/>
      <c r="G89" s="6"/>
      <c r="H89" s="6"/>
      <c r="I89" s="6"/>
      <c r="J89" s="6"/>
    </row>
    <row r="90" spans="1:10" x14ac:dyDescent="0.2">
      <c r="A90" s="6"/>
      <c r="B90" s="6"/>
      <c r="C90" s="6"/>
      <c r="D90" s="6"/>
      <c r="E90" s="6"/>
      <c r="F90" s="6"/>
      <c r="G90" s="6"/>
      <c r="H90" s="6"/>
      <c r="I90" s="6"/>
      <c r="J90" s="6"/>
    </row>
  </sheetData>
  <mergeCells count="1">
    <mergeCell ref="I3:I4"/>
  </mergeCells>
  <pageMargins left="0.7" right="0.7" top="0.75" bottom="0.75" header="0.3" footer="0.3"/>
  <pageSetup scale="96" fitToHeight="6" orientation="landscape" horizontalDpi="300" r:id="rId1"/>
  <headerFooter>
    <oddFooter>&amp;R&amp;D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512AD-088C-433F-8246-41F9A0AE67D9}">
  <sheetPr>
    <tabColor theme="0" tint="-0.34998626667073579"/>
    <pageSetUpPr fitToPage="1"/>
  </sheetPr>
  <dimension ref="A1:J30"/>
  <sheetViews>
    <sheetView workbookViewId="0"/>
  </sheetViews>
  <sheetFormatPr defaultRowHeight="12.75" x14ac:dyDescent="0.2"/>
  <cols>
    <col min="1" max="1" width="22.5703125" customWidth="1"/>
    <col min="2" max="2" width="15.28515625" customWidth="1"/>
    <col min="3" max="3" width="6.5703125" customWidth="1"/>
    <col min="4" max="4" width="28.140625" customWidth="1"/>
    <col min="5" max="5" width="12.42578125" customWidth="1"/>
    <col min="6" max="6" width="10.140625" customWidth="1"/>
    <col min="7" max="7" width="10.7109375" customWidth="1"/>
    <col min="8" max="8" width="10.42578125" customWidth="1"/>
    <col min="9" max="9" width="12.42578125" customWidth="1"/>
  </cols>
  <sheetData>
    <row r="1" spans="1:10" ht="15" x14ac:dyDescent="0.2">
      <c r="A1" s="5" t="str">
        <f ca="1">MID(CELL("filename",$A$1),FIND("]",CELL("filename",$A$1),1)+1,1024)</f>
        <v>L.T. FARMS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1191</v>
      </c>
      <c r="B5" s="6" t="s">
        <v>1192</v>
      </c>
      <c r="C5" s="6">
        <v>900</v>
      </c>
      <c r="D5" s="6" t="s">
        <v>464</v>
      </c>
      <c r="E5" s="10">
        <v>44562</v>
      </c>
      <c r="F5" s="10">
        <v>44742</v>
      </c>
      <c r="G5" s="6"/>
      <c r="H5" s="6"/>
      <c r="I5" s="6"/>
      <c r="J5" s="6"/>
    </row>
    <row r="6" spans="1:10" x14ac:dyDescent="0.2">
      <c r="A6" s="6"/>
      <c r="B6" s="6"/>
      <c r="C6" s="6">
        <v>20</v>
      </c>
      <c r="D6" s="6" t="s">
        <v>71</v>
      </c>
      <c r="E6" s="10">
        <v>44562</v>
      </c>
      <c r="F6" s="10">
        <v>44742</v>
      </c>
      <c r="G6" s="6"/>
      <c r="H6" s="6"/>
      <c r="I6" s="6"/>
      <c r="J6" s="6"/>
    </row>
    <row r="7" spans="1:10" x14ac:dyDescent="0.2">
      <c r="A7" s="6"/>
      <c r="B7" s="6"/>
      <c r="C7" s="6">
        <v>20</v>
      </c>
      <c r="D7" s="6" t="s">
        <v>772</v>
      </c>
      <c r="E7" s="10">
        <v>44562</v>
      </c>
      <c r="F7" s="10">
        <v>44742</v>
      </c>
      <c r="G7" s="6"/>
      <c r="H7" s="6"/>
      <c r="I7" s="6"/>
      <c r="J7" s="6"/>
    </row>
    <row r="8" spans="1:10" x14ac:dyDescent="0.2">
      <c r="A8" s="6"/>
      <c r="B8" s="6"/>
      <c r="C8" s="6"/>
      <c r="D8" s="6"/>
      <c r="E8" s="10"/>
      <c r="F8" s="10"/>
      <c r="G8" s="6"/>
      <c r="H8" s="6"/>
      <c r="I8" s="6"/>
      <c r="J8" s="6"/>
    </row>
    <row r="9" spans="1:10" x14ac:dyDescent="0.2">
      <c r="A9" s="6"/>
      <c r="B9" s="6"/>
      <c r="C9" s="6"/>
      <c r="D9" s="6"/>
      <c r="E9" s="10"/>
      <c r="F9" s="10"/>
      <c r="G9" s="6"/>
      <c r="H9" s="6"/>
      <c r="I9" s="6"/>
      <c r="J9" s="6"/>
    </row>
    <row r="10" spans="1:10" x14ac:dyDescent="0.2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">
      <c r="A11" s="6"/>
      <c r="B11" s="6"/>
      <c r="C11" s="6"/>
      <c r="D11" s="6"/>
      <c r="E11" s="10"/>
      <c r="F11" s="10"/>
      <c r="G11" s="6"/>
      <c r="H11" s="6"/>
      <c r="I11" s="6"/>
      <c r="J11" s="6"/>
    </row>
    <row r="12" spans="1:10" x14ac:dyDescent="0.2">
      <c r="A12" s="6"/>
      <c r="B12" s="6"/>
      <c r="C12" s="6"/>
      <c r="D12" s="6"/>
      <c r="E12" s="10"/>
      <c r="F12" s="10"/>
      <c r="G12" s="6"/>
      <c r="H12" s="6"/>
      <c r="I12" s="6"/>
      <c r="J12" s="6"/>
    </row>
    <row r="13" spans="1:10" x14ac:dyDescent="0.2">
      <c r="A13" s="6"/>
      <c r="B13" s="6"/>
      <c r="C13" s="6"/>
      <c r="D13" s="6"/>
      <c r="E13" s="10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6"/>
      <c r="E14" s="10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10"/>
      <c r="F15" s="10"/>
      <c r="G15" s="6"/>
      <c r="H15" s="6"/>
      <c r="I15" s="6"/>
      <c r="J15" s="6"/>
    </row>
    <row r="16" spans="1:10" x14ac:dyDescent="0.2">
      <c r="A16" s="6"/>
      <c r="B16" s="6"/>
      <c r="C16" s="6"/>
      <c r="D16" s="6"/>
      <c r="E16" s="10"/>
      <c r="F16" s="10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10"/>
      <c r="F19" s="10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10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10"/>
      <c r="F30" s="10"/>
      <c r="G30" s="6"/>
      <c r="H30" s="6"/>
      <c r="I30" s="6"/>
      <c r="J30" s="6"/>
    </row>
  </sheetData>
  <mergeCells count="1">
    <mergeCell ref="I3:I4"/>
  </mergeCells>
  <pageMargins left="0.7" right="0.7" top="0.75" bottom="0.75" header="0.3" footer="0.3"/>
  <pageSetup scale="85" fitToHeight="6" orientation="landscape" horizontalDpi="300" r:id="rId1"/>
  <headerFooter>
    <oddFooter>&amp;R&amp;D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06939-A951-49C6-AE0B-1DD26D18FC38}">
  <sheetPr>
    <tabColor theme="0" tint="-0.34998626667073579"/>
    <pageSetUpPr fitToPage="1"/>
  </sheetPr>
  <dimension ref="A1:J30"/>
  <sheetViews>
    <sheetView workbookViewId="0"/>
  </sheetViews>
  <sheetFormatPr defaultRowHeight="12.75" x14ac:dyDescent="0.2"/>
  <cols>
    <col min="1" max="1" width="22.5703125" customWidth="1"/>
    <col min="2" max="2" width="15.28515625" customWidth="1"/>
    <col min="3" max="3" width="6.5703125" customWidth="1"/>
    <col min="4" max="4" width="28.140625" customWidth="1"/>
    <col min="5" max="5" width="12.42578125" customWidth="1"/>
    <col min="6" max="6" width="10.140625" customWidth="1"/>
    <col min="7" max="7" width="10.7109375" customWidth="1"/>
    <col min="8" max="8" width="10.42578125" customWidth="1"/>
    <col min="9" max="9" width="12.42578125" customWidth="1"/>
  </cols>
  <sheetData>
    <row r="1" spans="1:10" ht="15" x14ac:dyDescent="0.2">
      <c r="A1" s="5" t="str">
        <f ca="1">MID(CELL("filename",$A$1),FIND("]",CELL("filename",$A$1),1)+1,1024)</f>
        <v>MAPLE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/>
      <c r="B5" s="6"/>
      <c r="C5" s="6"/>
      <c r="D5" s="6"/>
      <c r="E5" s="10"/>
      <c r="F5" s="10"/>
      <c r="G5" s="6"/>
      <c r="H5" s="6"/>
      <c r="I5" s="6"/>
      <c r="J5" s="6"/>
    </row>
    <row r="6" spans="1:10" x14ac:dyDescent="0.2">
      <c r="A6" s="6"/>
      <c r="B6" s="6"/>
      <c r="C6" s="6"/>
      <c r="D6" s="6"/>
      <c r="E6" s="10"/>
      <c r="F6" s="10"/>
      <c r="G6" s="6"/>
      <c r="H6" s="6"/>
      <c r="I6" s="6"/>
      <c r="J6" s="6"/>
    </row>
    <row r="7" spans="1:10" x14ac:dyDescent="0.2">
      <c r="A7" s="6"/>
      <c r="B7" s="6"/>
      <c r="C7" s="6"/>
      <c r="D7" s="6"/>
      <c r="E7" s="10"/>
      <c r="F7" s="10"/>
      <c r="G7" s="6"/>
      <c r="H7" s="6"/>
      <c r="I7" s="6"/>
      <c r="J7" s="6"/>
    </row>
    <row r="8" spans="1:10" x14ac:dyDescent="0.2">
      <c r="A8" s="19"/>
      <c r="B8" s="19"/>
      <c r="C8" s="19"/>
      <c r="D8" s="19"/>
      <c r="E8" s="29"/>
      <c r="F8" s="29"/>
      <c r="G8" s="19"/>
      <c r="H8" s="19"/>
      <c r="I8" s="19"/>
      <c r="J8" s="19"/>
    </row>
    <row r="9" spans="1:10" x14ac:dyDescent="0.2">
      <c r="A9" s="6"/>
      <c r="B9" s="6"/>
      <c r="C9" s="6"/>
      <c r="D9" s="6"/>
      <c r="E9" s="10"/>
      <c r="F9" s="10"/>
      <c r="G9" s="6"/>
      <c r="H9" s="6"/>
      <c r="I9" s="6"/>
      <c r="J9" s="6"/>
    </row>
    <row r="10" spans="1:10" x14ac:dyDescent="0.2">
      <c r="A10" s="19"/>
      <c r="B10" s="19"/>
      <c r="C10" s="19"/>
      <c r="D10" s="19"/>
      <c r="E10" s="19"/>
      <c r="F10" s="19"/>
      <c r="G10" s="19"/>
      <c r="H10" s="19"/>
      <c r="I10" s="19"/>
      <c r="J10" s="19"/>
    </row>
    <row r="11" spans="1:10" x14ac:dyDescent="0.2">
      <c r="A11" s="6"/>
      <c r="B11" s="6"/>
      <c r="C11" s="6"/>
      <c r="D11" s="6"/>
      <c r="E11" s="10"/>
      <c r="F11" s="10"/>
      <c r="G11" s="6"/>
      <c r="H11" s="6"/>
      <c r="I11" s="6"/>
      <c r="J11" s="6"/>
    </row>
    <row r="12" spans="1:10" x14ac:dyDescent="0.2">
      <c r="A12" s="6"/>
      <c r="B12" s="6"/>
      <c r="C12" s="6"/>
      <c r="D12" s="6"/>
      <c r="E12" s="10"/>
      <c r="F12" s="10"/>
      <c r="G12" s="6"/>
      <c r="H12" s="6"/>
      <c r="I12" s="6"/>
      <c r="J12" s="6"/>
    </row>
    <row r="13" spans="1:10" x14ac:dyDescent="0.2">
      <c r="A13" s="6"/>
      <c r="B13" s="6"/>
      <c r="C13" s="6"/>
      <c r="D13" s="6"/>
      <c r="E13" s="10"/>
      <c r="F13" s="10"/>
      <c r="G13" s="6"/>
      <c r="H13" s="6"/>
      <c r="I13" s="6"/>
      <c r="J13" s="6"/>
    </row>
    <row r="14" spans="1:10" x14ac:dyDescent="0.2">
      <c r="A14" s="19"/>
      <c r="B14" s="19"/>
      <c r="C14" s="19"/>
      <c r="D14" s="19"/>
      <c r="E14" s="29"/>
      <c r="F14" s="29"/>
      <c r="G14" s="19"/>
      <c r="H14" s="19"/>
      <c r="I14" s="19"/>
      <c r="J14" s="19"/>
    </row>
    <row r="15" spans="1:10" x14ac:dyDescent="0.2">
      <c r="A15" s="6"/>
      <c r="B15" s="6"/>
      <c r="C15" s="6"/>
      <c r="D15" s="6"/>
      <c r="E15" s="10"/>
      <c r="F15" s="10"/>
      <c r="G15" s="6"/>
      <c r="H15" s="6"/>
      <c r="I15" s="6"/>
      <c r="J15" s="6"/>
    </row>
    <row r="16" spans="1:10" x14ac:dyDescent="0.2">
      <c r="A16" s="6"/>
      <c r="B16" s="6"/>
      <c r="C16" s="6"/>
      <c r="D16" s="6"/>
      <c r="E16" s="10"/>
      <c r="F16" s="10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10"/>
      <c r="F19" s="10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10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10"/>
      <c r="F30" s="10"/>
      <c r="G30" s="6"/>
      <c r="H30" s="6"/>
      <c r="I30" s="6"/>
      <c r="J30" s="6"/>
    </row>
  </sheetData>
  <mergeCells count="1">
    <mergeCell ref="I3:I4"/>
  </mergeCells>
  <pageMargins left="0.7" right="0.7" top="0.75" bottom="0.75" header="0.3" footer="0.3"/>
  <pageSetup scale="85" fitToHeight="6" orientation="landscape" horizontalDpi="300" r:id="rId1"/>
  <headerFooter>
    <oddFooter>&amp;R&amp;D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0" tint="-0.34998626667073579"/>
    <pageSetUpPr fitToPage="1"/>
  </sheetPr>
  <dimension ref="A1:J40"/>
  <sheetViews>
    <sheetView workbookViewId="0"/>
  </sheetViews>
  <sheetFormatPr defaultRowHeight="12.75" x14ac:dyDescent="0.2"/>
  <cols>
    <col min="1" max="1" width="22.5703125" customWidth="1"/>
    <col min="2" max="2" width="15.28515625" customWidth="1"/>
    <col min="3" max="3" width="6.5703125" customWidth="1"/>
    <col min="4" max="4" width="28.140625" customWidth="1"/>
    <col min="5" max="5" width="12.42578125" customWidth="1"/>
    <col min="6" max="6" width="10.140625" customWidth="1"/>
    <col min="7" max="7" width="10.7109375" customWidth="1"/>
    <col min="8" max="8" width="10.42578125" customWidth="1"/>
    <col min="9" max="9" width="12.42578125" customWidth="1"/>
  </cols>
  <sheetData>
    <row r="1" spans="1:10" ht="15" x14ac:dyDescent="0.2">
      <c r="A1" s="5" t="str">
        <f ca="1">MID(CELL("filename",$A$1),FIND("]",CELL("filename",$A$1),1)+1,1024)</f>
        <v>MATERRA FARMING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19"/>
      <c r="B5" s="19"/>
      <c r="C5" s="19"/>
      <c r="D5" s="30"/>
      <c r="E5" s="29"/>
      <c r="F5" s="29"/>
      <c r="G5" s="19"/>
      <c r="H5" s="19"/>
      <c r="I5" s="19"/>
      <c r="J5" s="30"/>
    </row>
    <row r="6" spans="1:10" x14ac:dyDescent="0.2">
      <c r="A6" s="6" t="s">
        <v>751</v>
      </c>
      <c r="B6" s="6" t="s">
        <v>1154</v>
      </c>
      <c r="C6" s="6">
        <v>11</v>
      </c>
      <c r="D6" s="8" t="s">
        <v>82</v>
      </c>
      <c r="E6" s="10">
        <v>44522</v>
      </c>
      <c r="F6" s="10">
        <v>44560</v>
      </c>
      <c r="G6" s="6"/>
      <c r="H6" s="6"/>
      <c r="I6" s="6"/>
      <c r="J6" s="6"/>
    </row>
    <row r="7" spans="1:10" x14ac:dyDescent="0.2">
      <c r="A7" s="6"/>
      <c r="B7" s="6"/>
      <c r="C7" s="6"/>
      <c r="D7" s="6"/>
      <c r="E7" s="10"/>
      <c r="F7" s="10"/>
      <c r="G7" s="6"/>
      <c r="H7" s="6"/>
      <c r="I7" s="6"/>
      <c r="J7" s="6"/>
    </row>
    <row r="8" spans="1:10" x14ac:dyDescent="0.2">
      <c r="A8" s="8"/>
      <c r="B8" s="6"/>
      <c r="C8" s="6"/>
      <c r="D8" s="8"/>
      <c r="E8" s="10"/>
      <c r="F8" s="10"/>
      <c r="G8" s="6"/>
      <c r="H8" s="6"/>
      <c r="I8" s="6"/>
      <c r="J8" s="6"/>
    </row>
    <row r="9" spans="1:10" x14ac:dyDescent="0.2">
      <c r="A9" s="8"/>
      <c r="B9" s="6"/>
      <c r="C9" s="6"/>
      <c r="D9" s="8"/>
      <c r="E9" s="10"/>
      <c r="F9" s="10"/>
      <c r="G9" s="6"/>
      <c r="H9" s="6"/>
      <c r="I9" s="6"/>
      <c r="J9" s="6"/>
    </row>
    <row r="10" spans="1:10" x14ac:dyDescent="0.2">
      <c r="A10" s="6"/>
      <c r="B10" s="6"/>
      <c r="C10" s="6"/>
      <c r="D10" s="8"/>
      <c r="E10" s="10"/>
      <c r="F10" s="10"/>
      <c r="G10" s="6"/>
      <c r="H10" s="6"/>
      <c r="I10" s="6"/>
      <c r="J10" s="6"/>
    </row>
    <row r="11" spans="1:10" x14ac:dyDescent="0.2">
      <c r="A11" s="6"/>
      <c r="B11" s="6"/>
      <c r="C11" s="6"/>
      <c r="D11" s="6"/>
      <c r="E11" s="10"/>
      <c r="F11" s="10"/>
      <c r="G11" s="6"/>
      <c r="H11" s="6"/>
      <c r="I11" s="6"/>
      <c r="J11" s="6"/>
    </row>
    <row r="12" spans="1:10" x14ac:dyDescent="0.2">
      <c r="A12" s="6"/>
      <c r="B12" s="6"/>
      <c r="C12" s="6"/>
      <c r="D12" s="6"/>
      <c r="E12" s="10"/>
      <c r="F12" s="10"/>
      <c r="G12" s="6"/>
      <c r="H12" s="6"/>
      <c r="I12" s="6"/>
      <c r="J12" s="6"/>
    </row>
    <row r="13" spans="1:10" x14ac:dyDescent="0.2">
      <c r="A13" s="6"/>
      <c r="B13" s="6"/>
      <c r="C13" s="6"/>
      <c r="D13" s="6"/>
      <c r="E13" s="10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6"/>
      <c r="E14" s="10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10"/>
      <c r="F15" s="10"/>
      <c r="G15" s="6"/>
      <c r="H15" s="6"/>
      <c r="I15" s="6"/>
      <c r="J15" s="6"/>
    </row>
    <row r="16" spans="1:10" x14ac:dyDescent="0.2">
      <c r="A16" s="6"/>
      <c r="B16" s="6"/>
      <c r="C16" s="6"/>
      <c r="D16" s="6"/>
      <c r="E16" s="10"/>
      <c r="F16" s="10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10"/>
      <c r="F19" s="10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10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10"/>
      <c r="F30" s="10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10"/>
      <c r="F31" s="10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10"/>
      <c r="F32" s="10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10"/>
      <c r="F33" s="10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10"/>
      <c r="F34" s="10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10"/>
      <c r="F35" s="10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10"/>
      <c r="F36" s="10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10"/>
      <c r="F37" s="10"/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10"/>
      <c r="F38" s="10"/>
      <c r="G38" s="6"/>
      <c r="H38" s="6"/>
      <c r="I38" s="6"/>
      <c r="J38" s="6"/>
    </row>
    <row r="39" spans="1:10" x14ac:dyDescent="0.2">
      <c r="A39" s="6"/>
      <c r="B39" s="6"/>
      <c r="C39" s="6"/>
      <c r="D39" s="6"/>
      <c r="E39" s="10"/>
      <c r="F39" s="10"/>
      <c r="G39" s="6"/>
      <c r="H39" s="6"/>
      <c r="I39" s="6"/>
      <c r="J39" s="6"/>
    </row>
    <row r="40" spans="1:10" x14ac:dyDescent="0.2">
      <c r="A40" s="6"/>
      <c r="B40" s="6"/>
      <c r="C40" s="6"/>
      <c r="D40" s="6"/>
      <c r="E40" s="10"/>
      <c r="F40" s="10"/>
      <c r="G40" s="6"/>
      <c r="H40" s="6"/>
      <c r="I40" s="6"/>
      <c r="J40" s="6"/>
    </row>
  </sheetData>
  <mergeCells count="1">
    <mergeCell ref="I3:I4"/>
  </mergeCells>
  <pageMargins left="0.7" right="0.7" top="0.75" bottom="0.75" header="0.3" footer="0.3"/>
  <pageSetup scale="85" fitToHeight="6" orientation="landscape" horizontalDpi="300" r:id="rId1"/>
  <headerFooter>
    <oddFooter>&amp;R&amp;D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49B40-4F20-43E8-984B-1C8D315C1D73}">
  <sheetPr>
    <tabColor theme="0" tint="-0.34998626667073579"/>
    <pageSetUpPr fitToPage="1"/>
  </sheetPr>
  <dimension ref="A1:K68"/>
  <sheetViews>
    <sheetView workbookViewId="0"/>
  </sheetViews>
  <sheetFormatPr defaultRowHeight="12.75" x14ac:dyDescent="0.2"/>
  <cols>
    <col min="1" max="1" width="20.5703125" customWidth="1"/>
    <col min="2" max="2" width="13.7109375" bestFit="1" customWidth="1"/>
    <col min="3" max="3" width="6.5703125" style="38" customWidth="1"/>
    <col min="4" max="4" width="25.7109375" customWidth="1"/>
    <col min="5" max="5" width="9.85546875" style="84" hidden="1" customWidth="1"/>
    <col min="6" max="6" width="11.7109375" customWidth="1"/>
    <col min="7" max="7" width="10.42578125" customWidth="1"/>
    <col min="8" max="8" width="10.85546875" customWidth="1"/>
    <col min="9" max="9" width="10.42578125" customWidth="1"/>
    <col min="10" max="10" width="12.42578125" style="38" customWidth="1"/>
    <col min="11" max="11" width="15.140625" customWidth="1"/>
  </cols>
  <sheetData>
    <row r="1" spans="1:11" ht="15" x14ac:dyDescent="0.2">
      <c r="A1" s="5" t="str">
        <f ca="1">MID(CELL("filename",$A$1),FIND("]",CELL("filename",$A$1),1)+1,1024)</f>
        <v>MCKITTRICK RANCH</v>
      </c>
      <c r="B1" s="6"/>
      <c r="C1" s="17"/>
      <c r="D1" s="6"/>
      <c r="E1" s="83"/>
      <c r="F1" s="6"/>
      <c r="G1" s="6"/>
      <c r="H1" s="6"/>
      <c r="I1" s="6"/>
      <c r="J1" s="17"/>
      <c r="K1" s="6"/>
    </row>
    <row r="2" spans="1:11" x14ac:dyDescent="0.2">
      <c r="A2" s="6"/>
      <c r="B2" s="6"/>
      <c r="C2" s="17"/>
      <c r="D2" s="6"/>
      <c r="E2" s="83"/>
      <c r="F2" s="6"/>
      <c r="G2" s="6"/>
      <c r="H2" s="6"/>
      <c r="I2" s="6"/>
      <c r="J2" s="17"/>
      <c r="K2" s="6"/>
    </row>
    <row r="3" spans="1:11" x14ac:dyDescent="0.2">
      <c r="A3" s="6"/>
      <c r="B3" s="6"/>
      <c r="C3" s="17"/>
      <c r="D3" s="6"/>
      <c r="E3" s="83"/>
      <c r="F3" s="6"/>
      <c r="G3" s="6"/>
      <c r="H3" s="6"/>
      <c r="I3" s="6"/>
      <c r="J3" s="166" t="s">
        <v>93</v>
      </c>
      <c r="K3" s="6"/>
    </row>
    <row r="4" spans="1:11" s="3" customFormat="1" ht="15" x14ac:dyDescent="0.35">
      <c r="A4" s="33" t="s">
        <v>0</v>
      </c>
      <c r="B4" s="33" t="s">
        <v>100</v>
      </c>
      <c r="C4" s="50" t="s">
        <v>2</v>
      </c>
      <c r="D4" s="34" t="s">
        <v>3</v>
      </c>
      <c r="E4" s="77" t="s">
        <v>349</v>
      </c>
      <c r="F4" s="35" t="s">
        <v>4</v>
      </c>
      <c r="G4" s="33" t="s">
        <v>5</v>
      </c>
      <c r="H4" s="33" t="s">
        <v>95</v>
      </c>
      <c r="I4" s="36" t="s">
        <v>92</v>
      </c>
      <c r="J4" s="166"/>
      <c r="K4" s="36" t="s">
        <v>94</v>
      </c>
    </row>
    <row r="5" spans="1:11" s="45" customFormat="1" x14ac:dyDescent="0.2">
      <c r="A5" s="7" t="s">
        <v>810</v>
      </c>
      <c r="B5" s="7" t="s">
        <v>1169</v>
      </c>
      <c r="C5" s="17">
        <v>1</v>
      </c>
      <c r="D5" s="8" t="s">
        <v>54</v>
      </c>
      <c r="E5" s="83"/>
      <c r="F5" s="10">
        <v>44542</v>
      </c>
      <c r="G5" s="10">
        <v>44693</v>
      </c>
      <c r="H5" s="6"/>
      <c r="I5" s="6"/>
      <c r="J5" s="17"/>
      <c r="K5" s="7"/>
    </row>
    <row r="6" spans="1:11" s="45" customFormat="1" x14ac:dyDescent="0.2">
      <c r="A6" s="7"/>
      <c r="B6" s="7"/>
      <c r="C6" s="17"/>
      <c r="D6" s="6"/>
      <c r="E6" s="83"/>
      <c r="F6" s="10"/>
      <c r="G6" s="10"/>
      <c r="H6" s="6"/>
      <c r="I6" s="6"/>
      <c r="J6" s="17"/>
      <c r="K6" s="7"/>
    </row>
    <row r="7" spans="1:11" x14ac:dyDescent="0.2">
      <c r="A7" s="6"/>
      <c r="B7" s="6"/>
      <c r="C7" s="17"/>
      <c r="D7" s="6"/>
      <c r="E7" s="83"/>
      <c r="F7" s="10"/>
      <c r="G7" s="10"/>
      <c r="H7" s="6"/>
      <c r="I7" s="6"/>
      <c r="J7" s="17"/>
      <c r="K7" s="6"/>
    </row>
    <row r="8" spans="1:11" x14ac:dyDescent="0.2">
      <c r="A8" s="6"/>
      <c r="B8" s="6"/>
      <c r="C8" s="25"/>
      <c r="D8" s="7"/>
      <c r="E8" s="82"/>
      <c r="F8" s="10"/>
      <c r="G8" s="10"/>
      <c r="H8" s="25"/>
      <c r="I8" s="7"/>
      <c r="J8" s="46"/>
      <c r="K8" s="6"/>
    </row>
    <row r="9" spans="1:11" x14ac:dyDescent="0.2">
      <c r="A9" s="6"/>
      <c r="B9" s="6"/>
      <c r="C9" s="17"/>
      <c r="D9" s="6"/>
      <c r="E9" s="83"/>
      <c r="F9" s="10"/>
      <c r="G9" s="10"/>
      <c r="H9" s="6"/>
      <c r="I9" s="6"/>
      <c r="J9" s="17"/>
      <c r="K9" s="6"/>
    </row>
    <row r="10" spans="1:11" x14ac:dyDescent="0.2">
      <c r="A10" s="6"/>
      <c r="B10" s="6"/>
      <c r="C10" s="17"/>
      <c r="D10" s="6"/>
      <c r="E10" s="83"/>
      <c r="F10" s="10"/>
      <c r="G10" s="10"/>
      <c r="H10" s="6"/>
      <c r="I10" s="6"/>
      <c r="J10" s="17"/>
      <c r="K10" s="6"/>
    </row>
    <row r="11" spans="1:11" x14ac:dyDescent="0.2">
      <c r="A11" s="6"/>
      <c r="B11" s="6"/>
      <c r="C11" s="17"/>
      <c r="D11" s="6"/>
      <c r="E11" s="83"/>
      <c r="F11" s="149"/>
      <c r="G11" s="149"/>
      <c r="H11" s="6"/>
      <c r="I11" s="6"/>
      <c r="J11" s="46"/>
      <c r="K11" s="6"/>
    </row>
    <row r="12" spans="1:11" x14ac:dyDescent="0.2">
      <c r="A12" s="6"/>
      <c r="B12" s="6"/>
      <c r="C12" s="17"/>
      <c r="D12" s="6"/>
      <c r="E12" s="83"/>
      <c r="F12" s="10"/>
      <c r="G12" s="10"/>
      <c r="H12" s="6"/>
      <c r="I12" s="6"/>
      <c r="J12" s="17"/>
      <c r="K12" s="6"/>
    </row>
    <row r="13" spans="1:11" x14ac:dyDescent="0.2">
      <c r="A13" s="6"/>
      <c r="B13" s="6"/>
      <c r="C13" s="17"/>
      <c r="D13" s="6"/>
      <c r="E13" s="83"/>
      <c r="F13" s="10"/>
      <c r="G13" s="10"/>
      <c r="H13" s="6"/>
      <c r="I13" s="6"/>
      <c r="J13" s="17"/>
      <c r="K13" s="6"/>
    </row>
    <row r="14" spans="1:11" x14ac:dyDescent="0.2">
      <c r="A14" s="6"/>
      <c r="B14" s="6"/>
      <c r="C14" s="17"/>
      <c r="D14" s="6"/>
      <c r="E14" s="83"/>
      <c r="F14" s="10"/>
      <c r="G14" s="10"/>
      <c r="H14" s="6"/>
      <c r="I14" s="6"/>
      <c r="J14" s="17"/>
      <c r="K14" s="6"/>
    </row>
    <row r="15" spans="1:11" x14ac:dyDescent="0.2">
      <c r="A15" s="6"/>
      <c r="B15" s="6"/>
      <c r="C15" s="17"/>
      <c r="D15" s="6"/>
      <c r="E15" s="83"/>
      <c r="F15" s="10"/>
      <c r="G15" s="10"/>
      <c r="H15" s="6"/>
      <c r="I15" s="6"/>
      <c r="J15" s="17"/>
      <c r="K15" s="6"/>
    </row>
    <row r="16" spans="1:11" x14ac:dyDescent="0.2">
      <c r="A16" s="6"/>
      <c r="B16" s="6"/>
      <c r="C16" s="17"/>
      <c r="D16" s="6"/>
      <c r="E16" s="83"/>
      <c r="F16" s="10"/>
      <c r="G16" s="10"/>
      <c r="H16" s="6"/>
      <c r="I16" s="6"/>
      <c r="J16" s="17"/>
      <c r="K16" s="6"/>
    </row>
    <row r="17" spans="1:11" x14ac:dyDescent="0.2">
      <c r="A17" s="6"/>
      <c r="B17" s="6"/>
      <c r="C17" s="17"/>
      <c r="D17" s="6"/>
      <c r="E17" s="83"/>
      <c r="F17" s="10"/>
      <c r="G17" s="10"/>
      <c r="H17" s="6"/>
      <c r="I17" s="6"/>
      <c r="J17" s="46"/>
      <c r="K17" s="6"/>
    </row>
    <row r="18" spans="1:11" x14ac:dyDescent="0.2">
      <c r="A18" s="6"/>
      <c r="B18" s="6"/>
      <c r="C18" s="17"/>
      <c r="D18" s="6"/>
      <c r="E18" s="83"/>
      <c r="F18" s="10"/>
      <c r="G18" s="10"/>
      <c r="H18" s="6"/>
      <c r="I18" s="6"/>
      <c r="J18" s="17"/>
      <c r="K18" s="6"/>
    </row>
    <row r="19" spans="1:11" x14ac:dyDescent="0.2">
      <c r="A19" s="6"/>
      <c r="B19" s="6"/>
      <c r="C19" s="17"/>
      <c r="D19" s="6"/>
      <c r="E19" s="83"/>
      <c r="F19" s="10"/>
      <c r="G19" s="10"/>
      <c r="H19" s="6"/>
      <c r="I19" s="6"/>
      <c r="J19" s="17"/>
      <c r="K19" s="6"/>
    </row>
    <row r="20" spans="1:11" x14ac:dyDescent="0.2">
      <c r="A20" s="6"/>
      <c r="B20" s="6"/>
      <c r="C20" s="17"/>
      <c r="D20" s="6"/>
      <c r="E20" s="83"/>
      <c r="F20" s="10"/>
      <c r="G20" s="10"/>
      <c r="H20" s="6"/>
      <c r="I20" s="6"/>
      <c r="J20" s="17"/>
      <c r="K20" s="6"/>
    </row>
    <row r="21" spans="1:11" x14ac:dyDescent="0.2">
      <c r="A21" s="6"/>
      <c r="B21" s="6"/>
      <c r="C21" s="17"/>
      <c r="D21" s="6"/>
      <c r="E21" s="83"/>
      <c r="F21" s="10"/>
      <c r="G21" s="10"/>
      <c r="H21" s="6"/>
      <c r="I21" s="6"/>
      <c r="J21" s="17"/>
      <c r="K21" s="6"/>
    </row>
    <row r="22" spans="1:11" x14ac:dyDescent="0.2">
      <c r="A22" s="6"/>
      <c r="B22" s="6"/>
      <c r="C22" s="17"/>
      <c r="D22" s="6"/>
      <c r="E22" s="83"/>
      <c r="F22" s="10"/>
      <c r="G22" s="10"/>
      <c r="H22" s="6"/>
      <c r="I22" s="6"/>
      <c r="J22" s="46"/>
      <c r="K22" s="6"/>
    </row>
    <row r="23" spans="1:11" x14ac:dyDescent="0.2">
      <c r="A23" s="6"/>
      <c r="B23" s="6"/>
      <c r="C23" s="17"/>
      <c r="D23" s="6"/>
      <c r="E23" s="83"/>
      <c r="F23" s="10"/>
      <c r="G23" s="10"/>
      <c r="H23" s="6"/>
      <c r="I23" s="6"/>
      <c r="J23" s="46"/>
      <c r="K23" s="6"/>
    </row>
    <row r="24" spans="1:11" x14ac:dyDescent="0.2">
      <c r="A24" s="6"/>
      <c r="B24" s="6"/>
      <c r="C24" s="17"/>
      <c r="D24" s="6"/>
      <c r="E24" s="83"/>
      <c r="F24" s="10"/>
      <c r="G24" s="10"/>
      <c r="H24" s="6"/>
      <c r="I24" s="6"/>
      <c r="J24" s="17"/>
      <c r="K24" s="6"/>
    </row>
    <row r="25" spans="1:11" x14ac:dyDescent="0.2">
      <c r="A25" s="6"/>
      <c r="B25" s="6"/>
      <c r="C25" s="25"/>
      <c r="D25" s="7"/>
      <c r="E25" s="82"/>
      <c r="F25" s="10"/>
      <c r="G25" s="10"/>
      <c r="H25" s="7"/>
      <c r="I25" s="7"/>
      <c r="J25" s="25"/>
      <c r="K25" s="6"/>
    </row>
    <row r="26" spans="1:11" x14ac:dyDescent="0.2">
      <c r="A26" s="6"/>
      <c r="B26" s="6"/>
      <c r="C26" s="17"/>
      <c r="D26" s="8"/>
      <c r="E26" s="83"/>
      <c r="F26" s="10"/>
      <c r="G26" s="10"/>
      <c r="H26" s="6"/>
      <c r="I26" s="6"/>
      <c r="J26" s="17"/>
      <c r="K26" s="6"/>
    </row>
    <row r="27" spans="1:11" x14ac:dyDescent="0.2">
      <c r="A27" s="8"/>
      <c r="B27" s="8"/>
      <c r="C27" s="17"/>
      <c r="D27" s="8"/>
      <c r="E27" s="83"/>
      <c r="F27" s="10"/>
      <c r="G27" s="10"/>
      <c r="H27" s="6"/>
      <c r="I27" s="6"/>
      <c r="J27" s="17"/>
      <c r="K27" s="6"/>
    </row>
    <row r="28" spans="1:11" x14ac:dyDescent="0.2">
      <c r="A28" s="6"/>
      <c r="B28" s="6"/>
      <c r="C28" s="17"/>
      <c r="D28" s="8"/>
      <c r="E28" s="83"/>
      <c r="F28" s="10"/>
      <c r="G28" s="10"/>
      <c r="H28" s="6"/>
      <c r="I28" s="6"/>
      <c r="J28" s="46"/>
      <c r="K28" s="6"/>
    </row>
    <row r="29" spans="1:11" x14ac:dyDescent="0.2">
      <c r="A29" s="6"/>
      <c r="B29" s="6"/>
      <c r="C29" s="17"/>
      <c r="D29" s="8"/>
      <c r="E29" s="83"/>
      <c r="F29" s="10"/>
      <c r="G29" s="10"/>
      <c r="H29" s="6"/>
      <c r="I29" s="6"/>
      <c r="J29" s="17"/>
      <c r="K29" s="6"/>
    </row>
    <row r="30" spans="1:11" x14ac:dyDescent="0.2">
      <c r="A30" s="6"/>
      <c r="B30" s="6"/>
      <c r="C30" s="17"/>
      <c r="D30" s="8"/>
      <c r="E30" s="83"/>
      <c r="F30" s="10"/>
      <c r="G30" s="10"/>
      <c r="H30" s="6"/>
      <c r="I30" s="6"/>
      <c r="J30" s="17"/>
      <c r="K30" s="6"/>
    </row>
    <row r="31" spans="1:11" x14ac:dyDescent="0.2">
      <c r="A31" s="6"/>
      <c r="B31" s="6"/>
      <c r="C31" s="17"/>
      <c r="D31" s="8"/>
      <c r="E31" s="83"/>
      <c r="F31" s="10"/>
      <c r="G31" s="10"/>
      <c r="H31" s="6"/>
      <c r="I31" s="6"/>
      <c r="J31" s="17"/>
      <c r="K31" s="6"/>
    </row>
    <row r="32" spans="1:11" x14ac:dyDescent="0.2">
      <c r="A32" s="6"/>
      <c r="B32" s="6"/>
      <c r="C32" s="17"/>
      <c r="D32" s="8"/>
      <c r="E32" s="83"/>
      <c r="F32" s="10"/>
      <c r="G32" s="10"/>
      <c r="H32" s="6"/>
      <c r="I32" s="6"/>
      <c r="J32" s="17"/>
      <c r="K32" s="6"/>
    </row>
    <row r="33" spans="1:11" x14ac:dyDescent="0.2">
      <c r="A33" s="6"/>
      <c r="B33" s="6"/>
      <c r="C33" s="17"/>
      <c r="D33" s="8"/>
      <c r="E33" s="83"/>
      <c r="F33" s="10"/>
      <c r="G33" s="10"/>
      <c r="H33" s="6"/>
      <c r="I33" s="6"/>
      <c r="J33" s="17"/>
      <c r="K33" s="6"/>
    </row>
    <row r="34" spans="1:11" x14ac:dyDescent="0.2">
      <c r="A34" s="6"/>
      <c r="B34" s="6"/>
      <c r="C34" s="17"/>
      <c r="D34" s="8"/>
      <c r="E34" s="83"/>
      <c r="F34" s="10"/>
      <c r="G34" s="10"/>
      <c r="H34" s="6"/>
      <c r="I34" s="6"/>
      <c r="J34" s="17"/>
      <c r="K34" s="6"/>
    </row>
    <row r="35" spans="1:11" x14ac:dyDescent="0.2">
      <c r="A35" s="6"/>
      <c r="B35" s="6"/>
      <c r="C35" s="17"/>
      <c r="D35" s="8"/>
      <c r="E35" s="83"/>
      <c r="F35" s="10"/>
      <c r="G35" s="10"/>
      <c r="H35" s="6"/>
      <c r="I35" s="6"/>
      <c r="J35" s="17"/>
      <c r="K35" s="6"/>
    </row>
    <row r="36" spans="1:11" x14ac:dyDescent="0.2">
      <c r="A36" s="6"/>
      <c r="B36" s="6"/>
      <c r="C36" s="17"/>
      <c r="D36" s="6"/>
      <c r="E36" s="83"/>
      <c r="F36" s="10"/>
      <c r="G36" s="10"/>
      <c r="H36" s="6"/>
      <c r="I36" s="6"/>
      <c r="J36" s="46"/>
      <c r="K36" s="6"/>
    </row>
    <row r="37" spans="1:11" x14ac:dyDescent="0.2">
      <c r="A37" s="6"/>
      <c r="B37" s="6"/>
      <c r="C37" s="17"/>
      <c r="D37" s="6"/>
      <c r="E37" s="83"/>
      <c r="F37" s="10"/>
      <c r="G37" s="10"/>
      <c r="H37" s="6"/>
      <c r="I37" s="6"/>
      <c r="J37" s="17"/>
      <c r="K37" s="6"/>
    </row>
    <row r="38" spans="1:11" x14ac:dyDescent="0.2">
      <c r="A38" s="6"/>
      <c r="B38" s="6"/>
      <c r="C38" s="17"/>
      <c r="D38" s="6"/>
      <c r="E38" s="83"/>
      <c r="F38" s="10"/>
      <c r="G38" s="10"/>
      <c r="H38" s="6"/>
      <c r="I38" s="6"/>
      <c r="J38" s="17"/>
      <c r="K38" s="6"/>
    </row>
    <row r="39" spans="1:11" x14ac:dyDescent="0.2">
      <c r="A39" s="6"/>
      <c r="B39" s="6"/>
      <c r="C39" s="17"/>
      <c r="D39" s="6"/>
      <c r="E39" s="83"/>
      <c r="F39" s="10"/>
      <c r="G39" s="10"/>
      <c r="H39" s="6"/>
      <c r="I39" s="6"/>
      <c r="J39" s="17"/>
      <c r="K39" s="6"/>
    </row>
    <row r="40" spans="1:11" x14ac:dyDescent="0.2">
      <c r="A40" s="6"/>
      <c r="B40" s="6"/>
      <c r="C40" s="17"/>
      <c r="D40" s="6"/>
      <c r="E40" s="83"/>
      <c r="F40" s="10"/>
      <c r="G40" s="10"/>
      <c r="H40" s="6"/>
      <c r="I40" s="6"/>
      <c r="J40" s="17"/>
      <c r="K40" s="6"/>
    </row>
    <row r="41" spans="1:11" x14ac:dyDescent="0.2">
      <c r="A41" s="6"/>
      <c r="B41" s="6"/>
      <c r="C41" s="17"/>
      <c r="D41" s="6"/>
      <c r="E41" s="83"/>
      <c r="F41" s="10"/>
      <c r="G41" s="10"/>
      <c r="H41" s="6"/>
      <c r="I41" s="6"/>
      <c r="J41" s="17"/>
      <c r="K41" s="6"/>
    </row>
    <row r="42" spans="1:11" x14ac:dyDescent="0.2">
      <c r="A42" s="6"/>
      <c r="B42" s="6"/>
      <c r="C42" s="17"/>
      <c r="D42" s="6"/>
      <c r="E42" s="83"/>
      <c r="F42" s="10"/>
      <c r="G42" s="10"/>
      <c r="H42" s="6"/>
      <c r="I42" s="6"/>
      <c r="J42" s="46"/>
      <c r="K42" s="6"/>
    </row>
    <row r="43" spans="1:11" x14ac:dyDescent="0.2">
      <c r="A43" s="6"/>
      <c r="B43" s="6"/>
      <c r="C43" s="17"/>
      <c r="D43" s="8"/>
      <c r="E43" s="83"/>
      <c r="F43" s="10"/>
      <c r="G43" s="10"/>
      <c r="H43" s="6"/>
      <c r="I43" s="6"/>
      <c r="J43" s="17"/>
      <c r="K43" s="6"/>
    </row>
    <row r="44" spans="1:11" x14ac:dyDescent="0.2">
      <c r="A44" s="6"/>
      <c r="B44" s="6"/>
      <c r="C44" s="17"/>
      <c r="D44" s="8"/>
      <c r="E44" s="83"/>
      <c r="F44" s="10"/>
      <c r="G44" s="10"/>
      <c r="H44" s="6"/>
      <c r="I44" s="6"/>
      <c r="J44" s="46"/>
      <c r="K44" s="6"/>
    </row>
    <row r="45" spans="1:11" x14ac:dyDescent="0.2">
      <c r="A45" s="6"/>
      <c r="B45" s="6"/>
      <c r="C45" s="17"/>
      <c r="D45" s="6"/>
      <c r="E45" s="83"/>
      <c r="F45" s="10"/>
      <c r="G45" s="10"/>
      <c r="H45" s="6"/>
      <c r="I45" s="6"/>
      <c r="J45" s="17"/>
      <c r="K45" s="6"/>
    </row>
    <row r="46" spans="1:11" x14ac:dyDescent="0.2">
      <c r="A46" s="6"/>
      <c r="B46" s="6"/>
      <c r="C46" s="25"/>
      <c r="D46" s="7"/>
      <c r="E46" s="82"/>
      <c r="F46" s="94"/>
      <c r="G46" s="94"/>
      <c r="H46" s="7"/>
      <c r="I46" s="7"/>
      <c r="J46" s="25"/>
      <c r="K46" s="6"/>
    </row>
    <row r="47" spans="1:11" x14ac:dyDescent="0.2">
      <c r="A47" s="6"/>
      <c r="B47" s="6"/>
      <c r="C47" s="17"/>
      <c r="D47" s="6"/>
      <c r="E47" s="83"/>
      <c r="F47" s="6"/>
      <c r="G47" s="6"/>
      <c r="H47" s="6"/>
      <c r="I47" s="6"/>
      <c r="J47" s="17"/>
      <c r="K47" s="6"/>
    </row>
    <row r="48" spans="1:11" x14ac:dyDescent="0.2">
      <c r="A48" s="6"/>
      <c r="B48" s="6"/>
      <c r="C48" s="17"/>
      <c r="D48" s="6"/>
      <c r="E48" s="83"/>
      <c r="F48" s="6"/>
      <c r="G48" s="6"/>
      <c r="H48" s="6"/>
      <c r="I48" s="6"/>
      <c r="J48" s="17"/>
      <c r="K48" s="6"/>
    </row>
    <row r="49" spans="1:11" x14ac:dyDescent="0.2">
      <c r="A49" s="6"/>
      <c r="B49" s="6"/>
      <c r="C49" s="17"/>
      <c r="D49" s="6"/>
      <c r="E49" s="83"/>
      <c r="F49" s="6"/>
      <c r="G49" s="6"/>
      <c r="H49" s="6"/>
      <c r="I49" s="6"/>
      <c r="J49" s="17"/>
      <c r="K49" s="6"/>
    </row>
    <row r="50" spans="1:11" x14ac:dyDescent="0.2">
      <c r="A50" s="6"/>
      <c r="B50" s="6"/>
      <c r="C50" s="17"/>
      <c r="D50" s="6"/>
      <c r="E50" s="83"/>
      <c r="F50" s="6"/>
      <c r="G50" s="6"/>
      <c r="H50" s="6"/>
      <c r="I50" s="6"/>
      <c r="J50" s="17"/>
      <c r="K50" s="6"/>
    </row>
    <row r="51" spans="1:11" x14ac:dyDescent="0.2">
      <c r="A51" s="6"/>
      <c r="B51" s="6"/>
      <c r="C51" s="17"/>
      <c r="D51" s="6"/>
      <c r="E51" s="83"/>
      <c r="F51" s="6"/>
      <c r="G51" s="6"/>
      <c r="H51" s="6"/>
      <c r="I51" s="6"/>
      <c r="J51" s="17"/>
      <c r="K51" s="6"/>
    </row>
    <row r="52" spans="1:11" x14ac:dyDescent="0.2">
      <c r="A52" s="6"/>
      <c r="B52" s="6"/>
      <c r="C52" s="17"/>
      <c r="D52" s="6"/>
      <c r="E52" s="83"/>
      <c r="F52" s="6"/>
      <c r="G52" s="6"/>
      <c r="H52" s="6"/>
      <c r="I52" s="6"/>
      <c r="J52" s="17"/>
      <c r="K52" s="6"/>
    </row>
    <row r="53" spans="1:11" x14ac:dyDescent="0.2">
      <c r="A53" s="6"/>
      <c r="B53" s="6"/>
      <c r="C53" s="17"/>
      <c r="D53" s="6"/>
      <c r="E53" s="83"/>
      <c r="F53" s="6"/>
      <c r="G53" s="6"/>
      <c r="H53" s="6"/>
      <c r="I53" s="6"/>
      <c r="J53" s="17"/>
      <c r="K53" s="6"/>
    </row>
    <row r="54" spans="1:11" x14ac:dyDescent="0.2">
      <c r="A54" s="6"/>
      <c r="B54" s="6"/>
      <c r="C54" s="17"/>
      <c r="D54" s="6"/>
      <c r="E54" s="83"/>
      <c r="F54" s="6"/>
      <c r="G54" s="6"/>
      <c r="H54" s="6"/>
      <c r="I54" s="6"/>
      <c r="J54" s="17"/>
      <c r="K54" s="6"/>
    </row>
    <row r="55" spans="1:11" x14ac:dyDescent="0.2">
      <c r="A55" s="6"/>
      <c r="B55" s="6"/>
      <c r="C55" s="17"/>
      <c r="D55" s="6"/>
      <c r="E55" s="83"/>
      <c r="F55" s="6"/>
      <c r="G55" s="6"/>
      <c r="H55" s="6"/>
      <c r="I55" s="6"/>
      <c r="J55" s="17"/>
      <c r="K55" s="6"/>
    </row>
    <row r="56" spans="1:11" x14ac:dyDescent="0.2">
      <c r="A56" s="6"/>
      <c r="B56" s="6"/>
      <c r="C56" s="17"/>
      <c r="D56" s="6"/>
      <c r="E56" s="83"/>
      <c r="F56" s="6"/>
      <c r="G56" s="6"/>
      <c r="H56" s="6"/>
      <c r="I56" s="6"/>
      <c r="J56" s="17"/>
      <c r="K56" s="6"/>
    </row>
    <row r="57" spans="1:11" x14ac:dyDescent="0.2">
      <c r="A57" s="8"/>
      <c r="B57" s="8"/>
      <c r="C57" s="17"/>
      <c r="D57" s="6"/>
      <c r="E57" s="83"/>
      <c r="F57" s="6"/>
      <c r="G57" s="6"/>
      <c r="H57" s="6"/>
      <c r="I57" s="6"/>
      <c r="J57" s="17"/>
      <c r="K57" s="6"/>
    </row>
    <row r="58" spans="1:11" x14ac:dyDescent="0.2">
      <c r="A58" s="8"/>
      <c r="B58" s="6"/>
      <c r="C58" s="17"/>
      <c r="D58" s="6"/>
      <c r="E58" s="83"/>
      <c r="F58" s="6"/>
      <c r="G58" s="6"/>
      <c r="H58" s="6"/>
      <c r="I58" s="6"/>
      <c r="J58" s="17"/>
      <c r="K58" s="6"/>
    </row>
    <row r="59" spans="1:11" x14ac:dyDescent="0.2">
      <c r="A59" s="6"/>
      <c r="B59" s="6"/>
      <c r="C59" s="17"/>
      <c r="D59" s="6"/>
      <c r="E59" s="83"/>
      <c r="F59" s="6"/>
      <c r="G59" s="6"/>
      <c r="H59" s="6"/>
      <c r="I59" s="6"/>
      <c r="J59" s="17"/>
      <c r="K59" s="6"/>
    </row>
    <row r="60" spans="1:11" x14ac:dyDescent="0.2">
      <c r="A60" s="6"/>
      <c r="B60" s="6"/>
      <c r="C60" s="17"/>
      <c r="D60" s="6"/>
      <c r="E60" s="83"/>
      <c r="F60" s="6"/>
      <c r="G60" s="6"/>
      <c r="H60" s="6"/>
      <c r="I60" s="6"/>
      <c r="J60" s="17"/>
      <c r="K60" s="6"/>
    </row>
    <row r="61" spans="1:11" x14ac:dyDescent="0.2">
      <c r="A61" s="6"/>
      <c r="B61" s="6"/>
      <c r="C61" s="17"/>
      <c r="D61" s="6"/>
      <c r="E61" s="83"/>
      <c r="F61" s="6"/>
      <c r="G61" s="6"/>
      <c r="H61" s="6"/>
      <c r="I61" s="6"/>
      <c r="J61" s="17"/>
      <c r="K61" s="6"/>
    </row>
    <row r="62" spans="1:11" x14ac:dyDescent="0.2">
      <c r="A62" s="6"/>
      <c r="B62" s="6"/>
      <c r="C62" s="17"/>
      <c r="D62" s="6"/>
      <c r="E62" s="83"/>
      <c r="F62" s="6"/>
      <c r="G62" s="6"/>
      <c r="H62" s="6"/>
      <c r="I62" s="6"/>
      <c r="J62" s="17"/>
      <c r="K62" s="6"/>
    </row>
    <row r="63" spans="1:11" x14ac:dyDescent="0.2">
      <c r="A63" s="6"/>
      <c r="B63" s="6"/>
      <c r="C63" s="17"/>
      <c r="D63" s="6"/>
      <c r="E63" s="83"/>
      <c r="F63" s="6"/>
      <c r="G63" s="6"/>
      <c r="H63" s="6"/>
      <c r="I63" s="6"/>
      <c r="J63" s="17"/>
      <c r="K63" s="6"/>
    </row>
    <row r="64" spans="1:11" x14ac:dyDescent="0.2">
      <c r="A64" s="6"/>
      <c r="B64" s="6"/>
      <c r="C64" s="17"/>
      <c r="D64" s="6"/>
      <c r="E64" s="83"/>
      <c r="F64" s="6"/>
      <c r="G64" s="6"/>
      <c r="H64" s="6"/>
      <c r="I64" s="6"/>
      <c r="J64" s="17"/>
      <c r="K64" s="6"/>
    </row>
    <row r="65" spans="1:11" x14ac:dyDescent="0.2">
      <c r="A65" s="6"/>
      <c r="B65" s="6"/>
      <c r="C65" s="17"/>
      <c r="D65" s="6"/>
      <c r="E65" s="83"/>
      <c r="F65" s="6"/>
      <c r="G65" s="6"/>
      <c r="H65" s="6"/>
      <c r="I65" s="6"/>
      <c r="J65" s="17"/>
      <c r="K65" s="6"/>
    </row>
    <row r="66" spans="1:11" x14ac:dyDescent="0.2">
      <c r="A66" s="6"/>
      <c r="B66" s="6"/>
      <c r="C66" s="17"/>
      <c r="D66" s="6"/>
      <c r="E66" s="83"/>
      <c r="F66" s="6"/>
      <c r="G66" s="6"/>
      <c r="H66" s="6"/>
      <c r="I66" s="6"/>
      <c r="J66" s="17"/>
      <c r="K66" s="6"/>
    </row>
    <row r="67" spans="1:11" x14ac:dyDescent="0.2">
      <c r="A67" s="6"/>
      <c r="B67" s="6"/>
      <c r="C67" s="17"/>
      <c r="D67" s="6"/>
      <c r="E67" s="83"/>
      <c r="F67" s="6"/>
      <c r="G67" s="6"/>
      <c r="H67" s="6"/>
      <c r="I67" s="6"/>
      <c r="J67" s="17"/>
      <c r="K67" s="6"/>
    </row>
    <row r="68" spans="1:11" x14ac:dyDescent="0.2">
      <c r="A68" s="6"/>
      <c r="B68" s="6"/>
      <c r="C68" s="17"/>
      <c r="D68" s="6"/>
      <c r="E68" s="83"/>
      <c r="F68" s="6"/>
      <c r="G68" s="6"/>
      <c r="H68" s="6"/>
      <c r="I68" s="6"/>
      <c r="J68" s="17"/>
      <c r="K68" s="6"/>
    </row>
  </sheetData>
  <mergeCells count="1">
    <mergeCell ref="J3:J4"/>
  </mergeCells>
  <pageMargins left="0.7" right="0.7" top="0.75" bottom="0.75" header="0.3" footer="0.3"/>
  <pageSetup scale="90" fitToHeight="6" orientation="landscape" horizontalDpi="300" r:id="rId1"/>
  <headerFooter>
    <oddFooter>&amp;R&amp;D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0" tint="-0.34998626667073579"/>
    <pageSetUpPr fitToPage="1"/>
  </sheetPr>
  <dimension ref="A1:K68"/>
  <sheetViews>
    <sheetView topLeftCell="A24" workbookViewId="0"/>
  </sheetViews>
  <sheetFormatPr defaultRowHeight="12.75" x14ac:dyDescent="0.2"/>
  <cols>
    <col min="1" max="1" width="20.5703125" customWidth="1"/>
    <col min="2" max="2" width="16.140625" bestFit="1" customWidth="1"/>
    <col min="3" max="3" width="6.5703125" style="38" customWidth="1"/>
    <col min="4" max="4" width="25.7109375" customWidth="1"/>
    <col min="5" max="5" width="9.85546875" style="84" hidden="1" customWidth="1"/>
    <col min="6" max="6" width="11.7109375" customWidth="1"/>
    <col min="7" max="7" width="10.42578125" customWidth="1"/>
    <col min="8" max="8" width="10.85546875" customWidth="1"/>
    <col min="9" max="9" width="10.42578125" customWidth="1"/>
    <col min="10" max="10" width="12.42578125" style="38" customWidth="1"/>
    <col min="11" max="11" width="15.140625" customWidth="1"/>
  </cols>
  <sheetData>
    <row r="1" spans="1:11" ht="15" x14ac:dyDescent="0.2">
      <c r="A1" s="5" t="str">
        <f ca="1">MID(CELL("filename",$A$1),FIND("]",CELL("filename",$A$1),1)+1,1024)</f>
        <v>L. Neufeld</v>
      </c>
      <c r="B1" s="6"/>
      <c r="C1" s="17"/>
      <c r="D1" s="6"/>
      <c r="E1" s="83"/>
      <c r="F1" s="6"/>
      <c r="G1" s="6"/>
      <c r="H1" s="6"/>
      <c r="I1" s="6"/>
      <c r="J1" s="17"/>
      <c r="K1" s="6"/>
    </row>
    <row r="2" spans="1:11" x14ac:dyDescent="0.2">
      <c r="A2" s="6"/>
      <c r="B2" s="6"/>
      <c r="C2" s="17"/>
      <c r="D2" s="6"/>
      <c r="E2" s="83"/>
      <c r="F2" s="6"/>
      <c r="G2" s="6"/>
      <c r="H2" s="6"/>
      <c r="I2" s="6"/>
      <c r="J2" s="17"/>
      <c r="K2" s="6"/>
    </row>
    <row r="3" spans="1:11" x14ac:dyDescent="0.2">
      <c r="A3" s="6"/>
      <c r="B3" s="6"/>
      <c r="C3" s="17"/>
      <c r="D3" s="6"/>
      <c r="E3" s="83"/>
      <c r="F3" s="6"/>
      <c r="G3" s="6"/>
      <c r="H3" s="6"/>
      <c r="I3" s="6"/>
      <c r="J3" s="166" t="s">
        <v>93</v>
      </c>
      <c r="K3" s="6"/>
    </row>
    <row r="4" spans="1:11" s="3" customFormat="1" ht="15" x14ac:dyDescent="0.35">
      <c r="A4" s="33" t="s">
        <v>0</v>
      </c>
      <c r="B4" s="33" t="s">
        <v>100</v>
      </c>
      <c r="C4" s="50" t="s">
        <v>2</v>
      </c>
      <c r="D4" s="34" t="s">
        <v>3</v>
      </c>
      <c r="E4" s="77" t="s">
        <v>349</v>
      </c>
      <c r="F4" s="35" t="s">
        <v>4</v>
      </c>
      <c r="G4" s="33" t="s">
        <v>5</v>
      </c>
      <c r="H4" s="33" t="s">
        <v>95</v>
      </c>
      <c r="I4" s="36" t="s">
        <v>92</v>
      </c>
      <c r="J4" s="166"/>
      <c r="K4" s="36" t="s">
        <v>94</v>
      </c>
    </row>
    <row r="5" spans="1:11" s="45" customFormat="1" x14ac:dyDescent="0.2">
      <c r="A5" s="7" t="s">
        <v>678</v>
      </c>
      <c r="B5" s="7" t="s">
        <v>675</v>
      </c>
      <c r="C5" s="17">
        <v>28</v>
      </c>
      <c r="D5" s="6" t="s">
        <v>676</v>
      </c>
      <c r="E5" s="83"/>
      <c r="F5" s="10">
        <v>44119</v>
      </c>
      <c r="G5" s="10">
        <v>44301</v>
      </c>
      <c r="H5" s="6"/>
      <c r="I5" s="6"/>
      <c r="J5" s="17"/>
      <c r="K5" s="7"/>
    </row>
    <row r="6" spans="1:11" s="45" customFormat="1" x14ac:dyDescent="0.2">
      <c r="A6" s="7"/>
      <c r="B6" s="7"/>
      <c r="C6" s="17">
        <v>1</v>
      </c>
      <c r="D6" s="6" t="s">
        <v>677</v>
      </c>
      <c r="E6" s="83"/>
      <c r="F6" s="10">
        <v>44119</v>
      </c>
      <c r="G6" s="10">
        <v>44301</v>
      </c>
      <c r="H6" s="6"/>
      <c r="I6" s="6"/>
      <c r="J6" s="17"/>
      <c r="K6" s="7"/>
    </row>
    <row r="7" spans="1:11" x14ac:dyDescent="0.2">
      <c r="A7" s="6"/>
      <c r="B7" s="6"/>
      <c r="C7" s="17">
        <v>1</v>
      </c>
      <c r="D7" s="6" t="s">
        <v>113</v>
      </c>
      <c r="E7" s="83"/>
      <c r="F7" s="10">
        <v>44119</v>
      </c>
      <c r="G7" s="10">
        <v>44301</v>
      </c>
      <c r="H7" s="6"/>
      <c r="I7" s="6"/>
      <c r="J7" s="17"/>
      <c r="K7" s="6"/>
    </row>
    <row r="8" spans="1:11" x14ac:dyDescent="0.2">
      <c r="A8" s="6"/>
      <c r="B8" s="6"/>
      <c r="C8" s="25">
        <v>1</v>
      </c>
      <c r="D8" s="7" t="s">
        <v>414</v>
      </c>
      <c r="E8" s="82"/>
      <c r="F8" s="10">
        <v>44119</v>
      </c>
      <c r="G8" s="10">
        <v>44301</v>
      </c>
      <c r="H8" s="25"/>
      <c r="I8" s="7"/>
      <c r="J8" s="46"/>
      <c r="K8" s="6"/>
    </row>
    <row r="9" spans="1:11" x14ac:dyDescent="0.2">
      <c r="A9" s="6"/>
      <c r="B9" s="6"/>
      <c r="C9" s="17">
        <v>1</v>
      </c>
      <c r="D9" s="6" t="s">
        <v>89</v>
      </c>
      <c r="E9" s="83"/>
      <c r="F9" s="10">
        <v>44119</v>
      </c>
      <c r="G9" s="10">
        <v>44301</v>
      </c>
      <c r="H9" s="6"/>
      <c r="I9" s="6"/>
      <c r="J9" s="17"/>
      <c r="K9" s="6"/>
    </row>
    <row r="10" spans="1:11" x14ac:dyDescent="0.2">
      <c r="A10" s="6"/>
      <c r="B10" s="6"/>
      <c r="C10" s="17">
        <v>32</v>
      </c>
      <c r="D10" s="6" t="s">
        <v>474</v>
      </c>
      <c r="E10" s="83"/>
      <c r="F10" s="10">
        <v>44119</v>
      </c>
      <c r="G10" s="10">
        <v>44301</v>
      </c>
      <c r="H10" s="6"/>
      <c r="I10" s="6"/>
      <c r="J10" s="17"/>
      <c r="K10" s="6"/>
    </row>
    <row r="11" spans="1:11" x14ac:dyDescent="0.2">
      <c r="A11" s="19"/>
      <c r="B11" s="19"/>
      <c r="C11" s="31"/>
      <c r="D11" s="19"/>
      <c r="E11" s="142"/>
      <c r="F11" s="143"/>
      <c r="G11" s="143"/>
      <c r="H11" s="19"/>
      <c r="I11" s="19"/>
      <c r="J11" s="64"/>
      <c r="K11" s="19"/>
    </row>
    <row r="12" spans="1:11" x14ac:dyDescent="0.2">
      <c r="A12" s="6" t="s">
        <v>678</v>
      </c>
      <c r="B12" s="6" t="s">
        <v>679</v>
      </c>
      <c r="C12" s="17">
        <v>7</v>
      </c>
      <c r="D12" s="6" t="s">
        <v>680</v>
      </c>
      <c r="E12" s="83"/>
      <c r="F12" s="10">
        <v>44119</v>
      </c>
      <c r="G12" s="10">
        <v>44301</v>
      </c>
      <c r="H12" s="6"/>
      <c r="I12" s="6"/>
      <c r="J12" s="17"/>
      <c r="K12" s="6"/>
    </row>
    <row r="13" spans="1:11" x14ac:dyDescent="0.2">
      <c r="A13" s="6"/>
      <c r="B13" s="6"/>
      <c r="C13" s="17">
        <v>1</v>
      </c>
      <c r="D13" s="6" t="s">
        <v>414</v>
      </c>
      <c r="E13" s="83"/>
      <c r="F13" s="10">
        <v>44119</v>
      </c>
      <c r="G13" s="10">
        <v>44301</v>
      </c>
      <c r="H13" s="6"/>
      <c r="I13" s="6"/>
      <c r="J13" s="17"/>
      <c r="K13" s="6"/>
    </row>
    <row r="14" spans="1:11" x14ac:dyDescent="0.2">
      <c r="A14" s="6"/>
      <c r="B14" s="6"/>
      <c r="C14" s="17">
        <v>52</v>
      </c>
      <c r="D14" s="6" t="s">
        <v>681</v>
      </c>
      <c r="E14" s="83"/>
      <c r="F14" s="10">
        <v>44119</v>
      </c>
      <c r="G14" s="10">
        <v>44301</v>
      </c>
      <c r="H14" s="6"/>
      <c r="I14" s="6"/>
      <c r="J14" s="17"/>
      <c r="K14" s="6"/>
    </row>
    <row r="15" spans="1:11" x14ac:dyDescent="0.2">
      <c r="A15" s="6"/>
      <c r="B15" s="6"/>
      <c r="C15" s="17">
        <v>29</v>
      </c>
      <c r="D15" s="6" t="s">
        <v>82</v>
      </c>
      <c r="E15" s="83"/>
      <c r="F15" s="10">
        <v>44119</v>
      </c>
      <c r="G15" s="10">
        <v>44301</v>
      </c>
      <c r="H15" s="6"/>
      <c r="I15" s="6"/>
      <c r="J15" s="17"/>
      <c r="K15" s="6"/>
    </row>
    <row r="16" spans="1:11" x14ac:dyDescent="0.2">
      <c r="A16" s="6"/>
      <c r="B16" s="6"/>
      <c r="C16" s="17">
        <v>30</v>
      </c>
      <c r="D16" s="6" t="s">
        <v>83</v>
      </c>
      <c r="E16" s="83"/>
      <c r="F16" s="10">
        <v>44119</v>
      </c>
      <c r="G16" s="10">
        <v>44301</v>
      </c>
      <c r="H16" s="6"/>
      <c r="I16" s="6"/>
      <c r="J16" s="17"/>
      <c r="K16" s="6"/>
    </row>
    <row r="17" spans="1:11" x14ac:dyDescent="0.2">
      <c r="A17" s="6"/>
      <c r="B17" s="6"/>
      <c r="C17" s="17">
        <v>3900</v>
      </c>
      <c r="D17" s="6" t="s">
        <v>682</v>
      </c>
      <c r="E17" s="83"/>
      <c r="F17" s="10">
        <v>44119</v>
      </c>
      <c r="G17" s="10">
        <v>44301</v>
      </c>
      <c r="H17" s="6"/>
      <c r="I17" s="6"/>
      <c r="J17" s="46"/>
      <c r="K17" s="6"/>
    </row>
    <row r="18" spans="1:11" x14ac:dyDescent="0.2">
      <c r="A18" s="6"/>
      <c r="B18" s="6"/>
      <c r="C18" s="17">
        <v>130</v>
      </c>
      <c r="D18" s="6" t="s">
        <v>444</v>
      </c>
      <c r="E18" s="83"/>
      <c r="F18" s="10">
        <v>44119</v>
      </c>
      <c r="G18" s="10">
        <v>44301</v>
      </c>
      <c r="H18" s="6"/>
      <c r="I18" s="6"/>
      <c r="J18" s="17"/>
      <c r="K18" s="6"/>
    </row>
    <row r="19" spans="1:11" x14ac:dyDescent="0.2">
      <c r="A19" s="6"/>
      <c r="B19" s="6"/>
      <c r="C19" s="17">
        <v>1</v>
      </c>
      <c r="D19" s="6" t="s">
        <v>10</v>
      </c>
      <c r="E19" s="83"/>
      <c r="F19" s="10">
        <v>44119</v>
      </c>
      <c r="G19" s="10">
        <v>44301</v>
      </c>
      <c r="H19" s="6"/>
      <c r="I19" s="6"/>
      <c r="J19" s="17"/>
      <c r="K19" s="6"/>
    </row>
    <row r="20" spans="1:11" x14ac:dyDescent="0.2">
      <c r="A20" s="6"/>
      <c r="B20" s="6"/>
      <c r="C20" s="17">
        <v>8</v>
      </c>
      <c r="D20" s="6" t="s">
        <v>474</v>
      </c>
      <c r="E20" s="83"/>
      <c r="F20" s="10">
        <v>44119</v>
      </c>
      <c r="G20" s="10">
        <v>44301</v>
      </c>
      <c r="H20" s="6"/>
      <c r="I20" s="6"/>
      <c r="J20" s="17"/>
      <c r="K20" s="6"/>
    </row>
    <row r="21" spans="1:11" x14ac:dyDescent="0.2">
      <c r="A21" s="6"/>
      <c r="B21" s="6"/>
      <c r="C21" s="17">
        <v>53</v>
      </c>
      <c r="D21" s="6" t="s">
        <v>89</v>
      </c>
      <c r="E21" s="83"/>
      <c r="F21" s="10">
        <v>44119</v>
      </c>
      <c r="G21" s="10">
        <v>44301</v>
      </c>
      <c r="H21" s="6"/>
      <c r="I21" s="6"/>
      <c r="J21" s="17"/>
      <c r="K21" s="6"/>
    </row>
    <row r="22" spans="1:11" x14ac:dyDescent="0.2">
      <c r="A22" s="19"/>
      <c r="B22" s="19"/>
      <c r="C22" s="31"/>
      <c r="D22" s="19"/>
      <c r="E22" s="142"/>
      <c r="F22" s="29"/>
      <c r="G22" s="29"/>
      <c r="H22" s="19"/>
      <c r="I22" s="19"/>
      <c r="J22" s="64"/>
      <c r="K22" s="19"/>
    </row>
    <row r="23" spans="1:11" x14ac:dyDescent="0.2">
      <c r="A23" s="6" t="s">
        <v>678</v>
      </c>
      <c r="B23" s="6" t="s">
        <v>773</v>
      </c>
      <c r="C23" s="17">
        <v>1</v>
      </c>
      <c r="D23" s="6" t="s">
        <v>20</v>
      </c>
      <c r="E23" s="83"/>
      <c r="F23" s="10">
        <v>44242</v>
      </c>
      <c r="G23" s="10">
        <v>44423</v>
      </c>
      <c r="H23" s="6"/>
      <c r="I23" s="6"/>
      <c r="J23" s="46"/>
      <c r="K23" s="6"/>
    </row>
    <row r="24" spans="1:11" x14ac:dyDescent="0.2">
      <c r="A24" s="6"/>
      <c r="B24" s="6"/>
      <c r="C24" s="17">
        <v>1</v>
      </c>
      <c r="D24" s="6" t="s">
        <v>774</v>
      </c>
      <c r="E24" s="83"/>
      <c r="F24" s="10">
        <v>44242</v>
      </c>
      <c r="G24" s="10">
        <v>44423</v>
      </c>
      <c r="H24" s="6"/>
      <c r="I24" s="6"/>
      <c r="J24" s="17"/>
      <c r="K24" s="6"/>
    </row>
    <row r="25" spans="1:11" x14ac:dyDescent="0.2">
      <c r="A25" s="6"/>
      <c r="B25" s="6"/>
      <c r="C25" s="25">
        <v>1</v>
      </c>
      <c r="D25" s="7" t="s">
        <v>441</v>
      </c>
      <c r="E25" s="82"/>
      <c r="F25" s="10">
        <v>44242</v>
      </c>
      <c r="G25" s="10">
        <v>44423</v>
      </c>
      <c r="H25" s="7"/>
      <c r="I25" s="7"/>
      <c r="J25" s="25"/>
      <c r="K25" s="6"/>
    </row>
    <row r="26" spans="1:11" x14ac:dyDescent="0.2">
      <c r="A26" s="19"/>
      <c r="B26" s="19"/>
      <c r="C26" s="31"/>
      <c r="D26" s="30"/>
      <c r="E26" s="142"/>
      <c r="F26" s="29"/>
      <c r="G26" s="29"/>
      <c r="H26" s="19"/>
      <c r="I26" s="19"/>
      <c r="J26" s="31"/>
      <c r="K26" s="19"/>
    </row>
    <row r="27" spans="1:11" x14ac:dyDescent="0.2">
      <c r="A27" s="8" t="s">
        <v>807</v>
      </c>
      <c r="B27" s="8" t="s">
        <v>1161</v>
      </c>
      <c r="C27" s="17">
        <v>23</v>
      </c>
      <c r="D27" s="8" t="s">
        <v>413</v>
      </c>
      <c r="E27" s="83"/>
      <c r="F27" s="10">
        <v>44544</v>
      </c>
      <c r="G27" s="10">
        <v>44695</v>
      </c>
      <c r="H27" s="6"/>
      <c r="I27" s="6"/>
      <c r="J27" s="17"/>
      <c r="K27" s="6"/>
    </row>
    <row r="28" spans="1:11" x14ac:dyDescent="0.2">
      <c r="A28" s="6"/>
      <c r="B28" s="6"/>
      <c r="C28" s="17">
        <v>3</v>
      </c>
      <c r="D28" s="8" t="s">
        <v>248</v>
      </c>
      <c r="E28" s="83"/>
      <c r="F28" s="10">
        <v>44544</v>
      </c>
      <c r="G28" s="10">
        <v>44695</v>
      </c>
      <c r="H28" s="6"/>
      <c r="I28" s="6"/>
      <c r="J28" s="46"/>
      <c r="K28" s="6"/>
    </row>
    <row r="29" spans="1:11" x14ac:dyDescent="0.2">
      <c r="A29" s="6"/>
      <c r="B29" s="6"/>
      <c r="C29" s="17">
        <v>1</v>
      </c>
      <c r="D29" s="8" t="s">
        <v>443</v>
      </c>
      <c r="E29" s="83"/>
      <c r="F29" s="10">
        <v>44544</v>
      </c>
      <c r="G29" s="10">
        <v>44695</v>
      </c>
      <c r="H29" s="6"/>
      <c r="I29" s="6"/>
      <c r="J29" s="17"/>
      <c r="K29" s="6"/>
    </row>
    <row r="30" spans="1:11" x14ac:dyDescent="0.2">
      <c r="A30" s="6"/>
      <c r="B30" s="6"/>
      <c r="C30" s="17">
        <v>3</v>
      </c>
      <c r="D30" s="8" t="s">
        <v>115</v>
      </c>
      <c r="E30" s="83"/>
      <c r="F30" s="10">
        <v>44544</v>
      </c>
      <c r="G30" s="10">
        <v>44695</v>
      </c>
      <c r="H30" s="6"/>
      <c r="I30" s="6"/>
      <c r="J30" s="17"/>
      <c r="K30" s="6"/>
    </row>
    <row r="31" spans="1:11" x14ac:dyDescent="0.2">
      <c r="A31" s="6"/>
      <c r="B31" s="6"/>
      <c r="C31" s="17">
        <v>1</v>
      </c>
      <c r="D31" s="8" t="s">
        <v>10</v>
      </c>
      <c r="E31" s="83"/>
      <c r="F31" s="10">
        <v>44544</v>
      </c>
      <c r="G31" s="10">
        <v>44695</v>
      </c>
      <c r="H31" s="6"/>
      <c r="I31" s="6"/>
      <c r="J31" s="17"/>
      <c r="K31" s="6"/>
    </row>
    <row r="32" spans="1:11" x14ac:dyDescent="0.2">
      <c r="A32" s="6"/>
      <c r="B32" s="6"/>
      <c r="C32" s="17">
        <v>30</v>
      </c>
      <c r="D32" s="8" t="s">
        <v>89</v>
      </c>
      <c r="E32" s="83"/>
      <c r="F32" s="10">
        <v>44544</v>
      </c>
      <c r="G32" s="10">
        <v>44695</v>
      </c>
      <c r="H32" s="6"/>
      <c r="I32" s="6"/>
      <c r="J32" s="17"/>
      <c r="K32" s="6"/>
    </row>
    <row r="33" spans="1:11" x14ac:dyDescent="0.2">
      <c r="A33" s="6"/>
      <c r="B33" s="6"/>
      <c r="C33" s="17">
        <v>960</v>
      </c>
      <c r="D33" s="8" t="s">
        <v>485</v>
      </c>
      <c r="E33" s="83"/>
      <c r="F33" s="10">
        <v>44544</v>
      </c>
      <c r="G33" s="10">
        <v>44695</v>
      </c>
      <c r="H33" s="6"/>
      <c r="I33" s="6"/>
      <c r="J33" s="17"/>
      <c r="K33" s="6"/>
    </row>
    <row r="34" spans="1:11" x14ac:dyDescent="0.2">
      <c r="A34" s="6"/>
      <c r="B34" s="6"/>
      <c r="C34" s="17">
        <v>23</v>
      </c>
      <c r="D34" s="8" t="s">
        <v>82</v>
      </c>
      <c r="E34" s="83"/>
      <c r="F34" s="10">
        <v>44544</v>
      </c>
      <c r="G34" s="10">
        <v>44695</v>
      </c>
      <c r="H34" s="6"/>
      <c r="I34" s="6"/>
      <c r="J34" s="17"/>
      <c r="K34" s="6"/>
    </row>
    <row r="35" spans="1:11" x14ac:dyDescent="0.2">
      <c r="A35" s="6"/>
      <c r="B35" s="6"/>
      <c r="C35" s="17">
        <v>23</v>
      </c>
      <c r="D35" s="8" t="s">
        <v>71</v>
      </c>
      <c r="E35" s="83"/>
      <c r="F35" s="10">
        <v>44544</v>
      </c>
      <c r="G35" s="10">
        <v>44695</v>
      </c>
      <c r="H35" s="6"/>
      <c r="I35" s="6"/>
      <c r="J35" s="17"/>
      <c r="K35" s="6"/>
    </row>
    <row r="36" spans="1:11" x14ac:dyDescent="0.2">
      <c r="A36" s="6"/>
      <c r="B36" s="6"/>
      <c r="C36" s="17">
        <v>46</v>
      </c>
      <c r="D36" s="6" t="s">
        <v>444</v>
      </c>
      <c r="E36" s="83"/>
      <c r="F36" s="10">
        <v>44544</v>
      </c>
      <c r="G36" s="10">
        <v>44695</v>
      </c>
      <c r="H36" s="6"/>
      <c r="I36" s="6"/>
      <c r="J36" s="46"/>
      <c r="K36" s="6"/>
    </row>
    <row r="37" spans="1:11" x14ac:dyDescent="0.2">
      <c r="A37" s="19"/>
      <c r="B37" s="19"/>
      <c r="C37" s="31"/>
      <c r="D37" s="19"/>
      <c r="E37" s="142"/>
      <c r="F37" s="29"/>
      <c r="G37" s="29"/>
      <c r="H37" s="19"/>
      <c r="I37" s="19"/>
      <c r="J37" s="31"/>
      <c r="K37" s="19"/>
    </row>
    <row r="38" spans="1:11" x14ac:dyDescent="0.2">
      <c r="A38" s="6" t="s">
        <v>1162</v>
      </c>
      <c r="B38" s="6" t="s">
        <v>1163</v>
      </c>
      <c r="C38" s="17">
        <v>28</v>
      </c>
      <c r="D38" s="6" t="s">
        <v>413</v>
      </c>
      <c r="E38" s="83"/>
      <c r="F38" s="10">
        <v>44544</v>
      </c>
      <c r="G38" s="10">
        <v>44695</v>
      </c>
      <c r="H38" s="6"/>
      <c r="I38" s="6"/>
      <c r="J38" s="17"/>
      <c r="K38" s="6"/>
    </row>
    <row r="39" spans="1:11" x14ac:dyDescent="0.2">
      <c r="A39" s="6"/>
      <c r="B39" s="6"/>
      <c r="C39" s="17">
        <v>18</v>
      </c>
      <c r="D39" s="6" t="s">
        <v>478</v>
      </c>
      <c r="E39" s="83"/>
      <c r="F39" s="10">
        <v>44544</v>
      </c>
      <c r="G39" s="10">
        <v>44695</v>
      </c>
      <c r="H39" s="6"/>
      <c r="I39" s="6"/>
      <c r="J39" s="17"/>
      <c r="K39" s="6"/>
    </row>
    <row r="40" spans="1:11" x14ac:dyDescent="0.2">
      <c r="A40" s="6"/>
      <c r="B40" s="6"/>
      <c r="C40" s="17">
        <v>8</v>
      </c>
      <c r="D40" s="6" t="s">
        <v>247</v>
      </c>
      <c r="E40" s="83"/>
      <c r="F40" s="10">
        <v>44544</v>
      </c>
      <c r="G40" s="10">
        <v>44695</v>
      </c>
      <c r="H40" s="6"/>
      <c r="I40" s="6"/>
      <c r="J40" s="17"/>
      <c r="K40" s="6"/>
    </row>
    <row r="41" spans="1:11" x14ac:dyDescent="0.2">
      <c r="A41" s="6"/>
      <c r="B41" s="6"/>
      <c r="C41" s="17">
        <v>1</v>
      </c>
      <c r="D41" s="6" t="s">
        <v>442</v>
      </c>
      <c r="E41" s="83"/>
      <c r="F41" s="10">
        <v>44544</v>
      </c>
      <c r="G41" s="10">
        <v>44695</v>
      </c>
      <c r="H41" s="6"/>
      <c r="I41" s="6"/>
      <c r="J41" s="17"/>
      <c r="K41" s="6"/>
    </row>
    <row r="42" spans="1:11" x14ac:dyDescent="0.2">
      <c r="A42" s="6"/>
      <c r="B42" s="6"/>
      <c r="C42" s="17">
        <v>1</v>
      </c>
      <c r="D42" s="6" t="s">
        <v>414</v>
      </c>
      <c r="E42" s="83"/>
      <c r="F42" s="10">
        <v>44544</v>
      </c>
      <c r="G42" s="10">
        <v>44695</v>
      </c>
      <c r="H42" s="6"/>
      <c r="I42" s="6"/>
      <c r="J42" s="46"/>
      <c r="K42" s="6"/>
    </row>
    <row r="43" spans="1:11" x14ac:dyDescent="0.2">
      <c r="A43" s="6"/>
      <c r="B43" s="6"/>
      <c r="C43" s="17">
        <v>1</v>
      </c>
      <c r="D43" s="8" t="s">
        <v>415</v>
      </c>
      <c r="E43" s="83"/>
      <c r="F43" s="10">
        <v>44544</v>
      </c>
      <c r="G43" s="10">
        <v>44695</v>
      </c>
      <c r="H43" s="6"/>
      <c r="I43" s="6"/>
      <c r="J43" s="17"/>
      <c r="K43" s="6"/>
    </row>
    <row r="44" spans="1:11" x14ac:dyDescent="0.2">
      <c r="A44" s="6"/>
      <c r="B44" s="6"/>
      <c r="C44" s="17">
        <v>1</v>
      </c>
      <c r="D44" s="8" t="s">
        <v>39</v>
      </c>
      <c r="E44" s="83"/>
      <c r="F44" s="10">
        <v>44544</v>
      </c>
      <c r="G44" s="10">
        <v>44695</v>
      </c>
      <c r="H44" s="6"/>
      <c r="I44" s="6"/>
      <c r="J44" s="46"/>
      <c r="K44" s="6"/>
    </row>
    <row r="45" spans="1:11" x14ac:dyDescent="0.2">
      <c r="A45" s="6"/>
      <c r="B45" s="6"/>
      <c r="C45" s="17">
        <v>30</v>
      </c>
      <c r="D45" s="6" t="s">
        <v>89</v>
      </c>
      <c r="E45" s="83"/>
      <c r="F45" s="10">
        <v>44544</v>
      </c>
      <c r="G45" s="10">
        <v>44695</v>
      </c>
      <c r="H45" s="6"/>
      <c r="I45" s="6"/>
      <c r="J45" s="17"/>
      <c r="K45" s="6"/>
    </row>
    <row r="46" spans="1:11" x14ac:dyDescent="0.2">
      <c r="A46" s="6"/>
      <c r="B46" s="6"/>
      <c r="C46" s="25">
        <v>19</v>
      </c>
      <c r="D46" s="7" t="s">
        <v>474</v>
      </c>
      <c r="E46" s="82"/>
      <c r="F46" s="10">
        <v>44544</v>
      </c>
      <c r="G46" s="10">
        <v>44695</v>
      </c>
      <c r="H46" s="7"/>
      <c r="I46" s="7"/>
      <c r="J46" s="25"/>
      <c r="K46" s="6"/>
    </row>
    <row r="47" spans="1:11" x14ac:dyDescent="0.2">
      <c r="A47" s="6"/>
      <c r="B47" s="6"/>
      <c r="C47" s="17">
        <v>9</v>
      </c>
      <c r="D47" s="6" t="s">
        <v>111</v>
      </c>
      <c r="E47" s="83"/>
      <c r="F47" s="10">
        <v>44544</v>
      </c>
      <c r="G47" s="10">
        <v>44695</v>
      </c>
      <c r="H47" s="6"/>
      <c r="I47" s="6"/>
      <c r="J47" s="17"/>
      <c r="K47" s="6"/>
    </row>
    <row r="48" spans="1:11" x14ac:dyDescent="0.2">
      <c r="A48" s="6"/>
      <c r="B48" s="6"/>
      <c r="C48" s="17">
        <v>54</v>
      </c>
      <c r="D48" s="6" t="s">
        <v>82</v>
      </c>
      <c r="E48" s="83"/>
      <c r="F48" s="10">
        <v>44544</v>
      </c>
      <c r="G48" s="10">
        <v>44695</v>
      </c>
      <c r="H48" s="6"/>
      <c r="I48" s="6"/>
      <c r="J48" s="17"/>
      <c r="K48" s="6"/>
    </row>
    <row r="49" spans="1:11" x14ac:dyDescent="0.2">
      <c r="A49" s="6"/>
      <c r="B49" s="6"/>
      <c r="C49" s="17">
        <v>54</v>
      </c>
      <c r="D49" s="6" t="s">
        <v>71</v>
      </c>
      <c r="E49" s="83"/>
      <c r="F49" s="10">
        <v>44544</v>
      </c>
      <c r="G49" s="10">
        <v>44695</v>
      </c>
      <c r="H49" s="6"/>
      <c r="I49" s="6"/>
      <c r="J49" s="17"/>
      <c r="K49" s="6"/>
    </row>
    <row r="50" spans="1:11" x14ac:dyDescent="0.2">
      <c r="A50" s="6"/>
      <c r="B50" s="6"/>
      <c r="C50" s="17">
        <v>150</v>
      </c>
      <c r="D50" s="6" t="s">
        <v>444</v>
      </c>
      <c r="E50" s="83"/>
      <c r="F50" s="10">
        <v>44544</v>
      </c>
      <c r="G50" s="10">
        <v>44695</v>
      </c>
      <c r="H50" s="6"/>
      <c r="I50" s="6"/>
      <c r="J50" s="17"/>
      <c r="K50" s="6"/>
    </row>
    <row r="51" spans="1:11" x14ac:dyDescent="0.2">
      <c r="A51" s="6"/>
      <c r="B51" s="6"/>
      <c r="C51" s="17">
        <v>2300</v>
      </c>
      <c r="D51" s="6" t="s">
        <v>485</v>
      </c>
      <c r="E51" s="83"/>
      <c r="F51" s="10">
        <v>44544</v>
      </c>
      <c r="G51" s="10">
        <v>44695</v>
      </c>
      <c r="H51" s="6"/>
      <c r="I51" s="6"/>
      <c r="J51" s="17"/>
      <c r="K51" s="6"/>
    </row>
    <row r="52" spans="1:11" x14ac:dyDescent="0.2">
      <c r="A52" s="19"/>
      <c r="B52" s="19"/>
      <c r="C52" s="31"/>
      <c r="D52" s="19"/>
      <c r="E52" s="142"/>
      <c r="F52" s="19"/>
      <c r="G52" s="19"/>
      <c r="H52" s="19"/>
      <c r="I52" s="19"/>
      <c r="J52" s="31"/>
      <c r="K52" s="19"/>
    </row>
    <row r="53" spans="1:11" x14ac:dyDescent="0.2">
      <c r="A53" s="6"/>
      <c r="B53" s="6"/>
      <c r="C53" s="17"/>
      <c r="D53" s="6"/>
      <c r="E53" s="83"/>
      <c r="F53" s="6"/>
      <c r="G53" s="6"/>
      <c r="H53" s="6"/>
      <c r="I53" s="6"/>
      <c r="J53" s="17"/>
      <c r="K53" s="6"/>
    </row>
    <row r="54" spans="1:11" x14ac:dyDescent="0.2">
      <c r="A54" s="6"/>
      <c r="B54" s="6"/>
      <c r="C54" s="17"/>
      <c r="D54" s="6"/>
      <c r="E54" s="83"/>
      <c r="F54" s="6"/>
      <c r="G54" s="6"/>
      <c r="H54" s="6"/>
      <c r="I54" s="6"/>
      <c r="J54" s="17"/>
      <c r="K54" s="6"/>
    </row>
    <row r="55" spans="1:11" x14ac:dyDescent="0.2">
      <c r="A55" s="6"/>
      <c r="B55" s="6"/>
      <c r="C55" s="17"/>
      <c r="D55" s="6"/>
      <c r="E55" s="83"/>
      <c r="F55" s="6"/>
      <c r="G55" s="6"/>
      <c r="H55" s="6"/>
      <c r="I55" s="6"/>
      <c r="J55" s="17"/>
      <c r="K55" s="6"/>
    </row>
    <row r="56" spans="1:11" x14ac:dyDescent="0.2">
      <c r="A56" s="6"/>
      <c r="B56" s="6"/>
      <c r="C56" s="17"/>
      <c r="D56" s="6"/>
      <c r="E56" s="83"/>
      <c r="F56" s="6"/>
      <c r="G56" s="6"/>
      <c r="H56" s="6"/>
      <c r="I56" s="6"/>
      <c r="J56" s="17"/>
      <c r="K56" s="6"/>
    </row>
    <row r="57" spans="1:11" x14ac:dyDescent="0.2">
      <c r="A57" s="8"/>
      <c r="B57" s="8"/>
      <c r="C57" s="17"/>
      <c r="D57" s="6"/>
      <c r="E57" s="83"/>
      <c r="F57" s="6"/>
      <c r="G57" s="6"/>
      <c r="H57" s="6"/>
      <c r="I57" s="6"/>
      <c r="J57" s="17"/>
      <c r="K57" s="6"/>
    </row>
    <row r="58" spans="1:11" x14ac:dyDescent="0.2">
      <c r="A58" s="8"/>
      <c r="B58" s="6"/>
      <c r="C58" s="17"/>
      <c r="D58" s="6"/>
      <c r="E58" s="83"/>
      <c r="F58" s="6"/>
      <c r="G58" s="6"/>
      <c r="H58" s="6"/>
      <c r="I58" s="6"/>
      <c r="J58" s="17"/>
      <c r="K58" s="6"/>
    </row>
    <row r="59" spans="1:11" x14ac:dyDescent="0.2">
      <c r="A59" s="6"/>
      <c r="B59" s="6"/>
      <c r="C59" s="17"/>
      <c r="D59" s="6"/>
      <c r="E59" s="83"/>
      <c r="F59" s="6"/>
      <c r="G59" s="6"/>
      <c r="H59" s="6"/>
      <c r="I59" s="6"/>
      <c r="J59" s="17"/>
      <c r="K59" s="6"/>
    </row>
    <row r="60" spans="1:11" x14ac:dyDescent="0.2">
      <c r="A60" s="6"/>
      <c r="B60" s="6"/>
      <c r="C60" s="17"/>
      <c r="D60" s="6"/>
      <c r="E60" s="83"/>
      <c r="F60" s="6"/>
      <c r="G60" s="6"/>
      <c r="H60" s="6"/>
      <c r="I60" s="6"/>
      <c r="J60" s="17"/>
      <c r="K60" s="6"/>
    </row>
    <row r="61" spans="1:11" x14ac:dyDescent="0.2">
      <c r="A61" s="6"/>
      <c r="B61" s="6"/>
      <c r="C61" s="17"/>
      <c r="D61" s="6"/>
      <c r="E61" s="83"/>
      <c r="F61" s="6"/>
      <c r="G61" s="6"/>
      <c r="H61" s="6"/>
      <c r="I61" s="6"/>
      <c r="J61" s="17"/>
      <c r="K61" s="6"/>
    </row>
    <row r="62" spans="1:11" x14ac:dyDescent="0.2">
      <c r="A62" s="6"/>
      <c r="B62" s="6"/>
      <c r="C62" s="17"/>
      <c r="D62" s="6"/>
      <c r="E62" s="83"/>
      <c r="F62" s="6"/>
      <c r="G62" s="6"/>
      <c r="H62" s="6"/>
      <c r="I62" s="6"/>
      <c r="J62" s="17"/>
      <c r="K62" s="6"/>
    </row>
    <row r="63" spans="1:11" x14ac:dyDescent="0.2">
      <c r="A63" s="6"/>
      <c r="B63" s="6"/>
      <c r="C63" s="17"/>
      <c r="D63" s="6"/>
      <c r="E63" s="83"/>
      <c r="F63" s="6"/>
      <c r="G63" s="6"/>
      <c r="H63" s="6"/>
      <c r="I63" s="6"/>
      <c r="J63" s="17"/>
      <c r="K63" s="6"/>
    </row>
    <row r="64" spans="1:11" x14ac:dyDescent="0.2">
      <c r="A64" s="6"/>
      <c r="B64" s="6"/>
      <c r="C64" s="17"/>
      <c r="D64" s="6"/>
      <c r="E64" s="83"/>
      <c r="F64" s="6"/>
      <c r="G64" s="6"/>
      <c r="H64" s="6"/>
      <c r="I64" s="6"/>
      <c r="J64" s="17"/>
      <c r="K64" s="6"/>
    </row>
    <row r="65" spans="1:11" x14ac:dyDescent="0.2">
      <c r="A65" s="6"/>
      <c r="B65" s="6"/>
      <c r="C65" s="17"/>
      <c r="D65" s="6"/>
      <c r="E65" s="83"/>
      <c r="F65" s="6"/>
      <c r="G65" s="6"/>
      <c r="H65" s="6"/>
      <c r="I65" s="6"/>
      <c r="J65" s="17"/>
      <c r="K65" s="6"/>
    </row>
    <row r="66" spans="1:11" x14ac:dyDescent="0.2">
      <c r="A66" s="6"/>
      <c r="B66" s="6"/>
      <c r="C66" s="17"/>
      <c r="D66" s="6"/>
      <c r="E66" s="83"/>
      <c r="F66" s="6"/>
      <c r="G66" s="6"/>
      <c r="H66" s="6"/>
      <c r="I66" s="6"/>
      <c r="J66" s="17"/>
      <c r="K66" s="6"/>
    </row>
    <row r="67" spans="1:11" x14ac:dyDescent="0.2">
      <c r="A67" s="6"/>
      <c r="B67" s="6"/>
      <c r="C67" s="17"/>
      <c r="D67" s="6"/>
      <c r="E67" s="83"/>
      <c r="F67" s="6"/>
      <c r="G67" s="6"/>
      <c r="H67" s="6"/>
      <c r="I67" s="6"/>
      <c r="J67" s="17"/>
      <c r="K67" s="6"/>
    </row>
    <row r="68" spans="1:11" x14ac:dyDescent="0.2">
      <c r="A68" s="6"/>
      <c r="B68" s="6"/>
      <c r="C68" s="17"/>
      <c r="D68" s="6"/>
      <c r="E68" s="83"/>
      <c r="F68" s="6"/>
      <c r="G68" s="6"/>
      <c r="H68" s="6"/>
      <c r="I68" s="6"/>
      <c r="J68" s="17"/>
      <c r="K68" s="6"/>
    </row>
  </sheetData>
  <sortState xmlns:xlrd2="http://schemas.microsoft.com/office/spreadsheetml/2017/richdata2" ref="C5:J62">
    <sortCondition ref="D5:D62"/>
  </sortState>
  <mergeCells count="1">
    <mergeCell ref="J3:J4"/>
  </mergeCells>
  <pageMargins left="0.7" right="0.7" top="0.75" bottom="0.75" header="0.3" footer="0.3"/>
  <pageSetup scale="89" fitToHeight="6" orientation="landscape" horizontalDpi="300" r:id="rId1"/>
  <headerFooter>
    <oddFooter>&amp;R&amp;D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BBB43-B229-4759-92A6-A599ACE48F34}">
  <sheetPr>
    <tabColor theme="0" tint="-0.34998626667073579"/>
    <pageSetUpPr fitToPage="1"/>
  </sheetPr>
  <dimension ref="A1:J52"/>
  <sheetViews>
    <sheetView workbookViewId="0">
      <pane ySplit="4" topLeftCell="A5" activePane="bottomLeft" state="frozen"/>
      <selection pane="bottomLeft"/>
    </sheetView>
  </sheetViews>
  <sheetFormatPr defaultRowHeight="12.75" x14ac:dyDescent="0.2"/>
  <cols>
    <col min="1" max="1" width="23.42578125" customWidth="1"/>
    <col min="2" max="2" width="14.7109375" customWidth="1"/>
    <col min="3" max="3" width="6.5703125" customWidth="1"/>
    <col min="4" max="4" width="23.140625" customWidth="1"/>
    <col min="5" max="5" width="12.140625" customWidth="1"/>
    <col min="6" max="6" width="11" customWidth="1"/>
    <col min="7" max="7" width="10.85546875" customWidth="1"/>
    <col min="8" max="8" width="10.5703125" customWidth="1"/>
    <col min="9" max="9" width="12" customWidth="1"/>
  </cols>
  <sheetData>
    <row r="1" spans="1:10" ht="15" x14ac:dyDescent="0.2">
      <c r="A1" s="5" t="str">
        <f ca="1">MID(CELL("filename",$A$1),FIND("]",CELL("filename",$A$1),1)+1,1024)</f>
        <v>OLD RIVER FARMING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8" t="s">
        <v>797</v>
      </c>
      <c r="B5" s="8" t="s">
        <v>798</v>
      </c>
      <c r="C5" s="6">
        <v>78</v>
      </c>
      <c r="D5" s="8" t="s">
        <v>705</v>
      </c>
      <c r="E5" s="10">
        <v>44253</v>
      </c>
      <c r="F5" s="10">
        <v>44403</v>
      </c>
      <c r="G5" s="6"/>
      <c r="H5" s="6"/>
      <c r="I5" s="6"/>
      <c r="J5" s="6"/>
    </row>
    <row r="6" spans="1:10" x14ac:dyDescent="0.2">
      <c r="A6" s="6"/>
      <c r="B6" s="6"/>
      <c r="C6" s="6">
        <v>1</v>
      </c>
      <c r="D6" s="8" t="s">
        <v>54</v>
      </c>
      <c r="E6" s="10">
        <v>44253</v>
      </c>
      <c r="F6" s="10">
        <v>44403</v>
      </c>
      <c r="G6" s="6"/>
      <c r="H6" s="6"/>
      <c r="I6" s="6"/>
      <c r="J6" s="6"/>
    </row>
    <row r="7" spans="1:10" x14ac:dyDescent="0.2">
      <c r="A7" s="6"/>
      <c r="B7" s="6"/>
      <c r="C7" s="6">
        <v>1</v>
      </c>
      <c r="D7" s="8" t="s">
        <v>115</v>
      </c>
      <c r="E7" s="10">
        <v>44253</v>
      </c>
      <c r="F7" s="10">
        <v>44403</v>
      </c>
      <c r="G7" s="6"/>
      <c r="H7" s="6"/>
      <c r="I7" s="6"/>
      <c r="J7" s="6"/>
    </row>
    <row r="8" spans="1:10" x14ac:dyDescent="0.2">
      <c r="A8" s="6"/>
      <c r="B8" s="6"/>
      <c r="C8" s="6">
        <v>4</v>
      </c>
      <c r="D8" s="8" t="s">
        <v>248</v>
      </c>
      <c r="E8" s="10">
        <v>44253</v>
      </c>
      <c r="F8" s="10">
        <v>44403</v>
      </c>
      <c r="G8" s="6"/>
      <c r="H8" s="6"/>
      <c r="I8" s="6"/>
      <c r="J8" s="6"/>
    </row>
    <row r="9" spans="1:10" x14ac:dyDescent="0.2">
      <c r="A9" s="6"/>
      <c r="B9" s="6"/>
      <c r="C9" s="6">
        <v>1</v>
      </c>
      <c r="D9" s="8" t="s">
        <v>10</v>
      </c>
      <c r="E9" s="10">
        <v>44253</v>
      </c>
      <c r="F9" s="10">
        <v>44403</v>
      </c>
      <c r="G9" s="6"/>
      <c r="H9" s="6"/>
      <c r="I9" s="6"/>
      <c r="J9" s="6"/>
    </row>
    <row r="10" spans="1:10" x14ac:dyDescent="0.2">
      <c r="A10" s="6"/>
      <c r="B10" s="6"/>
      <c r="C10" s="6">
        <v>85</v>
      </c>
      <c r="D10" s="8" t="s">
        <v>89</v>
      </c>
      <c r="E10" s="10">
        <v>44253</v>
      </c>
      <c r="F10" s="10">
        <v>44403</v>
      </c>
      <c r="G10" s="6"/>
      <c r="H10" s="6"/>
      <c r="I10" s="6"/>
      <c r="J10" s="6"/>
    </row>
    <row r="11" spans="1:10" x14ac:dyDescent="0.2">
      <c r="A11" s="6"/>
      <c r="B11" s="6"/>
      <c r="C11" s="6">
        <v>95</v>
      </c>
      <c r="D11" s="8" t="s">
        <v>82</v>
      </c>
      <c r="E11" s="10">
        <v>44253</v>
      </c>
      <c r="F11" s="10">
        <v>44403</v>
      </c>
      <c r="G11" s="6"/>
      <c r="H11" s="6"/>
      <c r="I11" s="6"/>
      <c r="J11" s="6"/>
    </row>
    <row r="12" spans="1:10" x14ac:dyDescent="0.2">
      <c r="A12" s="6"/>
      <c r="B12" s="6"/>
      <c r="C12" s="6">
        <v>110</v>
      </c>
      <c r="D12" s="8" t="s">
        <v>71</v>
      </c>
      <c r="E12" s="10">
        <v>44253</v>
      </c>
      <c r="F12" s="10">
        <v>44403</v>
      </c>
      <c r="G12" s="6"/>
      <c r="H12" s="6"/>
      <c r="I12" s="6"/>
      <c r="J12" s="6"/>
    </row>
    <row r="13" spans="1:10" x14ac:dyDescent="0.2">
      <c r="A13" s="6"/>
      <c r="B13" s="6"/>
      <c r="C13" s="6">
        <v>140</v>
      </c>
      <c r="D13" s="8" t="s">
        <v>682</v>
      </c>
      <c r="E13" s="10">
        <v>44253</v>
      </c>
      <c r="F13" s="10">
        <v>44403</v>
      </c>
      <c r="G13" s="6"/>
      <c r="H13" s="6"/>
      <c r="I13" s="6"/>
      <c r="J13" s="6"/>
    </row>
    <row r="14" spans="1:10" x14ac:dyDescent="0.2">
      <c r="A14" s="6"/>
      <c r="B14" s="6"/>
      <c r="C14" s="6">
        <v>1</v>
      </c>
      <c r="D14" s="8" t="s">
        <v>17</v>
      </c>
      <c r="E14" s="10">
        <v>44253</v>
      </c>
      <c r="F14" s="10">
        <v>44403</v>
      </c>
      <c r="G14" s="6"/>
      <c r="H14" s="6"/>
      <c r="I14" s="6"/>
      <c r="J14" s="6"/>
    </row>
    <row r="15" spans="1:10" x14ac:dyDescent="0.2">
      <c r="A15" s="6"/>
      <c r="B15" s="6"/>
      <c r="C15" s="6">
        <v>1</v>
      </c>
      <c r="D15" s="8" t="s">
        <v>422</v>
      </c>
      <c r="E15" s="10">
        <v>44253</v>
      </c>
      <c r="F15" s="10">
        <v>44403</v>
      </c>
      <c r="G15" s="6"/>
      <c r="H15" s="6"/>
      <c r="I15" s="6"/>
      <c r="J15" s="6"/>
    </row>
    <row r="16" spans="1:10" x14ac:dyDescent="0.2">
      <c r="A16" s="6"/>
      <c r="B16" s="6"/>
      <c r="C16" s="6">
        <v>100</v>
      </c>
      <c r="D16" s="8" t="s">
        <v>444</v>
      </c>
      <c r="E16" s="10">
        <v>44253</v>
      </c>
      <c r="F16" s="10">
        <v>44403</v>
      </c>
      <c r="G16" s="6"/>
      <c r="H16" s="6"/>
      <c r="I16" s="6"/>
      <c r="J16" s="6"/>
    </row>
    <row r="17" spans="1:10" x14ac:dyDescent="0.2">
      <c r="A17" s="19"/>
      <c r="B17" s="19"/>
      <c r="C17" s="19"/>
      <c r="D17" s="19"/>
      <c r="E17" s="163"/>
      <c r="F17" s="163"/>
      <c r="G17" s="19"/>
      <c r="H17" s="19"/>
      <c r="I17" s="19"/>
      <c r="J17" s="19"/>
    </row>
    <row r="18" spans="1:10" x14ac:dyDescent="0.2">
      <c r="A18" s="6" t="s">
        <v>1199</v>
      </c>
      <c r="B18" s="6" t="s">
        <v>1201</v>
      </c>
      <c r="C18" s="6">
        <v>30</v>
      </c>
      <c r="D18" s="6" t="s">
        <v>1202</v>
      </c>
      <c r="E18" s="10">
        <v>44610</v>
      </c>
      <c r="F18" s="10">
        <v>44760</v>
      </c>
      <c r="G18" s="6"/>
      <c r="H18" s="6"/>
      <c r="I18" s="6"/>
      <c r="J18" s="6"/>
    </row>
    <row r="19" spans="1:10" x14ac:dyDescent="0.2">
      <c r="A19" s="6" t="s">
        <v>1200</v>
      </c>
      <c r="B19" s="6"/>
      <c r="C19" s="6">
        <v>2</v>
      </c>
      <c r="D19" s="6" t="s">
        <v>859</v>
      </c>
      <c r="E19" s="10">
        <v>44610</v>
      </c>
      <c r="F19" s="10">
        <v>44760</v>
      </c>
      <c r="G19" s="6"/>
      <c r="H19" s="6"/>
      <c r="I19" s="6"/>
      <c r="J19" s="6"/>
    </row>
    <row r="20" spans="1:10" x14ac:dyDescent="0.2">
      <c r="A20" s="6"/>
      <c r="B20" s="6"/>
      <c r="C20" s="6">
        <v>2</v>
      </c>
      <c r="D20" s="6" t="s">
        <v>415</v>
      </c>
      <c r="E20" s="10">
        <v>44610</v>
      </c>
      <c r="F20" s="10">
        <v>44760</v>
      </c>
      <c r="G20" s="6"/>
      <c r="H20" s="6"/>
      <c r="I20" s="6"/>
      <c r="J20" s="6"/>
    </row>
    <row r="21" spans="1:10" x14ac:dyDescent="0.2">
      <c r="A21" s="6"/>
      <c r="B21" s="6"/>
      <c r="C21" s="6">
        <v>6</v>
      </c>
      <c r="D21" s="6" t="s">
        <v>82</v>
      </c>
      <c r="E21" s="10">
        <v>44610</v>
      </c>
      <c r="F21" s="10">
        <v>44760</v>
      </c>
      <c r="G21" s="6"/>
      <c r="H21" s="6"/>
      <c r="I21" s="6"/>
      <c r="J21" s="6"/>
    </row>
    <row r="22" spans="1:10" x14ac:dyDescent="0.2">
      <c r="A22" s="6"/>
      <c r="B22" s="6"/>
      <c r="C22" s="6">
        <v>2</v>
      </c>
      <c r="D22" s="6" t="s">
        <v>22</v>
      </c>
      <c r="E22" s="10">
        <v>44610</v>
      </c>
      <c r="F22" s="10">
        <v>44760</v>
      </c>
      <c r="G22" s="6"/>
      <c r="H22" s="6"/>
      <c r="I22" s="6"/>
      <c r="J22" s="6"/>
    </row>
    <row r="23" spans="1:10" x14ac:dyDescent="0.2">
      <c r="A23" s="6"/>
      <c r="B23" s="6"/>
      <c r="C23" s="6">
        <v>2</v>
      </c>
      <c r="D23" s="6" t="s">
        <v>1203</v>
      </c>
      <c r="E23" s="10">
        <v>44610</v>
      </c>
      <c r="F23" s="10">
        <v>44760</v>
      </c>
      <c r="G23" s="6"/>
      <c r="H23" s="6"/>
      <c r="I23" s="6"/>
      <c r="J23" s="6"/>
    </row>
    <row r="24" spans="1:10" x14ac:dyDescent="0.2">
      <c r="A24" s="6"/>
      <c r="B24" s="6"/>
      <c r="C24" s="6">
        <v>24</v>
      </c>
      <c r="D24" s="6" t="s">
        <v>1204</v>
      </c>
      <c r="E24" s="10">
        <v>44610</v>
      </c>
      <c r="F24" s="10">
        <v>44760</v>
      </c>
      <c r="G24" s="6"/>
      <c r="H24" s="6"/>
      <c r="I24" s="6"/>
      <c r="J24" s="6"/>
    </row>
    <row r="25" spans="1:10" x14ac:dyDescent="0.2">
      <c r="A25" s="6"/>
      <c r="B25" s="6"/>
      <c r="C25" s="6">
        <v>34</v>
      </c>
      <c r="D25" s="6" t="s">
        <v>1205</v>
      </c>
      <c r="E25" s="10">
        <v>44610</v>
      </c>
      <c r="F25" s="10">
        <v>44760</v>
      </c>
      <c r="G25" s="6"/>
      <c r="H25" s="6"/>
      <c r="I25" s="6"/>
      <c r="J25" s="6"/>
    </row>
    <row r="26" spans="1:10" x14ac:dyDescent="0.2">
      <c r="A26" s="6"/>
      <c r="B26" s="6"/>
      <c r="C26" s="6">
        <v>26</v>
      </c>
      <c r="D26" s="6" t="s">
        <v>111</v>
      </c>
      <c r="E26" s="10">
        <v>44610</v>
      </c>
      <c r="F26" s="10">
        <v>44760</v>
      </c>
      <c r="G26" s="6"/>
      <c r="H26" s="6"/>
      <c r="I26" s="6"/>
      <c r="J26" s="6"/>
    </row>
    <row r="27" spans="1:10" x14ac:dyDescent="0.2">
      <c r="A27" s="6"/>
      <c r="B27" s="6"/>
      <c r="C27" s="6">
        <v>20</v>
      </c>
      <c r="D27" s="6" t="s">
        <v>1145</v>
      </c>
      <c r="E27" s="10">
        <v>44610</v>
      </c>
      <c r="F27" s="10">
        <v>44760</v>
      </c>
      <c r="G27" s="6"/>
      <c r="H27" s="6"/>
      <c r="I27" s="6"/>
      <c r="J27" s="6"/>
    </row>
    <row r="28" spans="1:10" x14ac:dyDescent="0.2">
      <c r="A28" s="6"/>
      <c r="B28" s="6"/>
      <c r="C28" s="6">
        <v>20</v>
      </c>
      <c r="D28" s="6" t="s">
        <v>89</v>
      </c>
      <c r="E28" s="10">
        <v>44610</v>
      </c>
      <c r="F28" s="10">
        <v>44760</v>
      </c>
      <c r="G28" s="6"/>
      <c r="H28" s="6"/>
      <c r="I28" s="6"/>
      <c r="J28" s="6"/>
    </row>
    <row r="29" spans="1:10" x14ac:dyDescent="0.2">
      <c r="A29" s="8"/>
      <c r="B29" s="8"/>
      <c r="C29" s="6"/>
      <c r="D29" s="8"/>
      <c r="E29" s="106"/>
      <c r="F29" s="106"/>
      <c r="G29" s="6"/>
      <c r="H29" s="6"/>
      <c r="I29" s="6"/>
      <c r="J29" s="6"/>
    </row>
    <row r="30" spans="1:10" x14ac:dyDescent="0.2">
      <c r="A30" s="6"/>
      <c r="B30" s="6"/>
      <c r="C30" s="6"/>
      <c r="D30" s="8"/>
      <c r="E30" s="106"/>
      <c r="F30" s="106"/>
      <c r="G30" s="6"/>
      <c r="H30" s="6"/>
      <c r="I30" s="6"/>
      <c r="J30" s="6"/>
    </row>
    <row r="31" spans="1:10" x14ac:dyDescent="0.2">
      <c r="A31" s="6"/>
      <c r="B31" s="6"/>
      <c r="C31" s="6"/>
      <c r="D31" s="8"/>
      <c r="E31" s="106"/>
      <c r="F31" s="106"/>
      <c r="G31" s="6"/>
      <c r="H31" s="6"/>
      <c r="I31" s="6"/>
      <c r="J31" s="6"/>
    </row>
    <row r="32" spans="1:10" x14ac:dyDescent="0.2">
      <c r="A32" s="6"/>
      <c r="B32" s="6"/>
      <c r="C32" s="6"/>
      <c r="D32" s="8"/>
      <c r="E32" s="106"/>
      <c r="F32" s="106"/>
      <c r="G32" s="6"/>
      <c r="H32" s="6"/>
      <c r="I32" s="6"/>
      <c r="J32" s="6"/>
    </row>
    <row r="33" spans="1:10" x14ac:dyDescent="0.2">
      <c r="A33" s="6"/>
      <c r="B33" s="6"/>
      <c r="C33" s="6"/>
      <c r="D33" s="8"/>
      <c r="E33" s="106"/>
      <c r="F33" s="106"/>
      <c r="G33" s="6"/>
      <c r="H33" s="6"/>
      <c r="I33" s="6"/>
      <c r="J33" s="6"/>
    </row>
    <row r="34" spans="1:10" x14ac:dyDescent="0.2">
      <c r="A34" s="6"/>
      <c r="B34" s="6"/>
      <c r="C34" s="6"/>
      <c r="D34" s="8"/>
      <c r="E34" s="106"/>
      <c r="F34" s="106"/>
      <c r="G34" s="6"/>
      <c r="H34" s="6"/>
      <c r="I34" s="6"/>
      <c r="J34" s="6"/>
    </row>
    <row r="35" spans="1:10" x14ac:dyDescent="0.2">
      <c r="A35" s="6"/>
      <c r="B35" s="6"/>
      <c r="C35" s="6"/>
      <c r="D35" s="8"/>
      <c r="E35" s="106"/>
      <c r="F35" s="106"/>
      <c r="G35" s="6"/>
      <c r="H35" s="6"/>
      <c r="I35" s="6"/>
      <c r="J35" s="6"/>
    </row>
    <row r="36" spans="1:10" x14ac:dyDescent="0.2">
      <c r="A36" s="6"/>
      <c r="B36" s="6"/>
      <c r="C36" s="6"/>
      <c r="D36" s="8"/>
      <c r="E36" s="106"/>
      <c r="F36" s="106"/>
      <c r="G36" s="6"/>
      <c r="H36" s="6"/>
      <c r="I36" s="6"/>
      <c r="J36" s="6"/>
    </row>
    <row r="37" spans="1:10" x14ac:dyDescent="0.2">
      <c r="A37" s="6"/>
      <c r="B37" s="6"/>
      <c r="C37" s="6"/>
      <c r="D37" s="8"/>
      <c r="E37" s="106"/>
      <c r="F37" s="106"/>
      <c r="G37" s="6"/>
      <c r="H37" s="6"/>
      <c r="I37" s="6"/>
      <c r="J37" s="6"/>
    </row>
    <row r="38" spans="1:10" x14ac:dyDescent="0.2">
      <c r="A38" s="6"/>
      <c r="B38" s="6"/>
      <c r="C38" s="6"/>
      <c r="D38" s="8"/>
      <c r="E38" s="106"/>
      <c r="F38" s="106"/>
      <c r="G38" s="6"/>
      <c r="H38" s="6"/>
      <c r="I38" s="6"/>
      <c r="J38" s="6"/>
    </row>
    <row r="39" spans="1:10" x14ac:dyDescent="0.2">
      <c r="A39" s="6"/>
      <c r="B39" s="6"/>
      <c r="C39" s="6"/>
      <c r="D39" s="8"/>
      <c r="E39" s="106"/>
      <c r="F39" s="106"/>
      <c r="G39" s="6"/>
      <c r="H39" s="6"/>
      <c r="I39" s="6"/>
      <c r="J39" s="6"/>
    </row>
    <row r="40" spans="1:10" x14ac:dyDescent="0.2">
      <c r="A40" s="6"/>
      <c r="B40" s="6"/>
      <c r="C40" s="6"/>
      <c r="D40" s="8"/>
      <c r="E40" s="106"/>
      <c r="F40" s="106"/>
      <c r="G40" s="6"/>
      <c r="H40" s="6"/>
      <c r="I40" s="6"/>
      <c r="J40" s="6"/>
    </row>
    <row r="41" spans="1:10" x14ac:dyDescent="0.2">
      <c r="A41" s="6"/>
      <c r="B41" s="6"/>
      <c r="C41" s="6"/>
      <c r="D41" s="8"/>
      <c r="E41" s="106"/>
      <c r="F41" s="106"/>
      <c r="G41" s="6"/>
      <c r="H41" s="6"/>
      <c r="I41" s="6"/>
      <c r="J41" s="6"/>
    </row>
    <row r="42" spans="1:10" x14ac:dyDescent="0.2">
      <c r="A42" s="6"/>
      <c r="B42" s="6"/>
      <c r="C42" s="6"/>
      <c r="D42" s="8"/>
      <c r="E42" s="106"/>
      <c r="F42" s="106"/>
      <c r="G42" s="6"/>
      <c r="H42" s="6"/>
      <c r="I42" s="6"/>
      <c r="J42" s="6"/>
    </row>
    <row r="43" spans="1:10" x14ac:dyDescent="0.2">
      <c r="A43" s="6"/>
      <c r="B43" s="6"/>
      <c r="C43" s="6"/>
      <c r="D43" s="8"/>
      <c r="E43" s="106"/>
      <c r="F43" s="106"/>
      <c r="G43" s="6"/>
      <c r="H43" s="6"/>
      <c r="I43" s="6"/>
      <c r="J43" s="6"/>
    </row>
    <row r="44" spans="1:10" x14ac:dyDescent="0.2">
      <c r="A44" s="6"/>
      <c r="B44" s="6"/>
      <c r="C44" s="6"/>
      <c r="D44" s="8"/>
      <c r="E44" s="106"/>
      <c r="F44" s="106"/>
      <c r="G44" s="6"/>
      <c r="H44" s="6"/>
      <c r="I44" s="6"/>
      <c r="J44" s="6"/>
    </row>
    <row r="45" spans="1:10" x14ac:dyDescent="0.2">
      <c r="A45" s="6"/>
      <c r="B45" s="6"/>
      <c r="C45" s="6"/>
      <c r="D45" s="8"/>
      <c r="E45" s="106"/>
      <c r="F45" s="106"/>
      <c r="G45" s="6"/>
      <c r="H45" s="6"/>
      <c r="I45" s="6"/>
      <c r="J45" s="6"/>
    </row>
    <row r="46" spans="1:10" x14ac:dyDescent="0.2">
      <c r="A46" s="6"/>
      <c r="B46" s="6"/>
      <c r="C46" s="6"/>
      <c r="D46" s="8"/>
      <c r="E46" s="106"/>
      <c r="F46" s="106"/>
      <c r="G46" s="6"/>
      <c r="H46" s="6"/>
      <c r="I46" s="6"/>
      <c r="J46" s="6"/>
    </row>
    <row r="47" spans="1:10" x14ac:dyDescent="0.2">
      <c r="A47" s="6"/>
      <c r="B47" s="6"/>
      <c r="C47" s="6"/>
      <c r="D47" s="8"/>
      <c r="E47" s="106"/>
      <c r="F47" s="106"/>
      <c r="G47" s="6"/>
      <c r="H47" s="6"/>
      <c r="I47" s="6"/>
      <c r="J47" s="6"/>
    </row>
    <row r="48" spans="1:10" x14ac:dyDescent="0.2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 x14ac:dyDescent="0.2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 x14ac:dyDescent="0.2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2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 x14ac:dyDescent="0.2">
      <c r="A52" s="6"/>
      <c r="B52" s="6"/>
      <c r="C52" s="6"/>
      <c r="D52" s="6"/>
      <c r="E52" s="6"/>
      <c r="F52" s="6"/>
      <c r="G52" s="6"/>
      <c r="H52" s="6"/>
      <c r="I52" s="6"/>
      <c r="J52" s="6"/>
    </row>
  </sheetData>
  <mergeCells count="1">
    <mergeCell ref="I3:I4"/>
  </mergeCells>
  <pageMargins left="0.7" right="0.7" top="0.75" bottom="0.75" header="0.3" footer="0.3"/>
  <pageSetup scale="87" fitToHeight="6" orientation="landscape" horizontalDpi="300" r:id="rId1"/>
  <headerFooter>
    <oddFooter>&amp;R&amp;D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57">
    <tabColor theme="0" tint="-0.34998626667073579"/>
    <pageSetUpPr fitToPage="1"/>
  </sheetPr>
  <dimension ref="A1:J17"/>
  <sheetViews>
    <sheetView workbookViewId="0"/>
  </sheetViews>
  <sheetFormatPr defaultRowHeight="12.75" x14ac:dyDescent="0.2"/>
  <cols>
    <col min="1" max="1" width="20" customWidth="1"/>
    <col min="2" max="2" width="13.7109375" customWidth="1"/>
    <col min="3" max="3" width="6.5703125" customWidth="1"/>
    <col min="4" max="4" width="24" customWidth="1"/>
    <col min="5" max="5" width="13.85546875" customWidth="1"/>
    <col min="6" max="6" width="11.5703125" customWidth="1"/>
    <col min="7" max="7" width="11" customWidth="1"/>
    <col min="8" max="8" width="11.28515625" customWidth="1"/>
    <col min="9" max="9" width="13" customWidth="1"/>
  </cols>
  <sheetData>
    <row r="1" spans="1:10" ht="15" x14ac:dyDescent="0.2">
      <c r="A1" s="5" t="str">
        <f ca="1">MID(CELL("filename",$A$1),FIND("]",CELL("filename",$A$1),1)+1,1024)</f>
        <v>Joe Paesano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/>
      <c r="B5" s="6"/>
      <c r="C5" s="6"/>
      <c r="D5" s="11"/>
      <c r="E5" s="10"/>
      <c r="F5" s="10"/>
      <c r="G5" s="6"/>
      <c r="H5" s="6"/>
      <c r="I5" s="6"/>
      <c r="J5" s="8"/>
    </row>
    <row r="6" spans="1:10" x14ac:dyDescent="0.2">
      <c r="A6" s="6"/>
      <c r="B6" s="6"/>
      <c r="C6" s="6"/>
      <c r="D6" s="11"/>
      <c r="E6" s="10"/>
      <c r="F6" s="10"/>
      <c r="G6" s="6"/>
      <c r="H6" s="6"/>
      <c r="I6" s="6"/>
      <c r="J6" s="6"/>
    </row>
    <row r="7" spans="1:10" x14ac:dyDescent="0.2">
      <c r="A7" s="6"/>
      <c r="B7" s="6"/>
      <c r="C7" s="6"/>
      <c r="D7" s="11"/>
      <c r="E7" s="10"/>
      <c r="F7" s="10"/>
      <c r="G7" s="6"/>
      <c r="H7" s="6"/>
      <c r="I7" s="6"/>
      <c r="J7" s="6"/>
    </row>
    <row r="8" spans="1:10" x14ac:dyDescent="0.2">
      <c r="A8" s="6"/>
      <c r="B8" s="6"/>
      <c r="C8" s="6"/>
      <c r="D8" s="11"/>
      <c r="E8" s="10"/>
      <c r="F8" s="10"/>
      <c r="G8" s="6"/>
      <c r="H8" s="6"/>
      <c r="I8" s="6"/>
      <c r="J8" s="6"/>
    </row>
    <row r="9" spans="1:10" x14ac:dyDescent="0.2">
      <c r="A9" s="6"/>
      <c r="B9" s="6"/>
      <c r="C9" s="6"/>
      <c r="D9" s="11"/>
      <c r="E9" s="10"/>
      <c r="F9" s="10"/>
      <c r="G9" s="6"/>
      <c r="H9" s="6"/>
      <c r="I9" s="6"/>
      <c r="J9" s="6"/>
    </row>
    <row r="10" spans="1:10" x14ac:dyDescent="0.2">
      <c r="A10" s="6"/>
      <c r="B10" s="6"/>
      <c r="C10" s="6"/>
      <c r="D10" s="11"/>
      <c r="E10" s="10"/>
      <c r="F10" s="10"/>
      <c r="G10" s="6"/>
      <c r="H10" s="6"/>
      <c r="I10" s="6"/>
      <c r="J10" s="6"/>
    </row>
    <row r="11" spans="1:10" x14ac:dyDescent="0.2">
      <c r="A11" s="6"/>
      <c r="B11" s="6"/>
      <c r="C11" s="6"/>
      <c r="D11" s="11"/>
      <c r="E11" s="10"/>
      <c r="F11" s="10"/>
      <c r="G11" s="6"/>
      <c r="H11" s="6"/>
      <c r="I11" s="6"/>
      <c r="J11" s="6"/>
    </row>
    <row r="12" spans="1:10" x14ac:dyDescent="0.2">
      <c r="A12" s="6"/>
      <c r="B12" s="6"/>
      <c r="C12" s="6"/>
      <c r="D12" s="11"/>
      <c r="E12" s="101"/>
      <c r="F12" s="6"/>
      <c r="G12" s="6"/>
      <c r="H12" s="6"/>
      <c r="I12" s="6"/>
      <c r="J12" s="6"/>
    </row>
    <row r="13" spans="1:10" x14ac:dyDescent="0.2">
      <c r="A13" s="6"/>
      <c r="B13" s="6"/>
      <c r="C13" s="6"/>
      <c r="D13" s="11"/>
      <c r="E13" s="10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6"/>
      <c r="F17" s="6"/>
      <c r="G17" s="6"/>
      <c r="H17" s="6"/>
      <c r="I17" s="6"/>
      <c r="J17" s="6"/>
    </row>
  </sheetData>
  <sortState xmlns:xlrd2="http://schemas.microsoft.com/office/spreadsheetml/2017/richdata2" ref="A5:I71">
    <sortCondition ref="D5:D71"/>
  </sortState>
  <mergeCells count="1">
    <mergeCell ref="I3:I4"/>
  </mergeCells>
  <pageMargins left="0.7" right="0.7" top="0.75" bottom="0.75" header="0.3" footer="0.3"/>
  <pageSetup scale="87" fitToHeight="6" orientation="landscape" horizontalDpi="300" r:id="rId1"/>
  <headerFooter>
    <oddFooter>&amp;R&amp;D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60">
    <tabColor theme="0" tint="-0.34998626667073579"/>
    <pageSetUpPr fitToPage="1"/>
  </sheetPr>
  <dimension ref="A1:J95"/>
  <sheetViews>
    <sheetView workbookViewId="0"/>
  </sheetViews>
  <sheetFormatPr defaultRowHeight="12.75" x14ac:dyDescent="0.2"/>
  <cols>
    <col min="1" max="1" width="22" customWidth="1"/>
    <col min="2" max="2" width="10.140625" customWidth="1"/>
    <col min="3" max="3" width="5.140625" customWidth="1"/>
    <col min="4" max="4" width="26.42578125" customWidth="1"/>
    <col min="5" max="5" width="11.7109375" customWidth="1"/>
    <col min="6" max="6" width="10" customWidth="1"/>
    <col min="7" max="7" width="11.42578125" customWidth="1"/>
    <col min="8" max="8" width="10.42578125" customWidth="1"/>
    <col min="9" max="9" width="12.140625" customWidth="1"/>
    <col min="10" max="10" width="11.140625" customWidth="1"/>
  </cols>
  <sheetData>
    <row r="1" spans="1:10" ht="15" x14ac:dyDescent="0.2">
      <c r="A1" s="5" t="str">
        <f ca="1">MID(CELL("filename",$A$1),FIND("]",CELL("filename",$A$1),1)+1,1024)</f>
        <v>PETER RABBIT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16"/>
      <c r="J2" s="6"/>
    </row>
    <row r="3" spans="1:10" x14ac:dyDescent="0.2">
      <c r="A3" s="16"/>
      <c r="B3" s="16"/>
      <c r="C3" s="16"/>
      <c r="D3" s="16"/>
      <c r="E3" s="16"/>
      <c r="F3" s="16"/>
      <c r="G3" s="16"/>
      <c r="H3" s="20"/>
      <c r="I3" s="167" t="s">
        <v>112</v>
      </c>
      <c r="J3" s="21"/>
    </row>
    <row r="4" spans="1:10" s="42" customFormat="1" ht="14.25" customHeight="1" x14ac:dyDescent="0.2">
      <c r="A4" s="39" t="s">
        <v>0</v>
      </c>
      <c r="B4" s="39" t="s">
        <v>100</v>
      </c>
      <c r="C4" s="39" t="s">
        <v>2</v>
      </c>
      <c r="D4" s="40" t="s">
        <v>3</v>
      </c>
      <c r="E4" s="41" t="s">
        <v>4</v>
      </c>
      <c r="F4" s="39" t="s">
        <v>5</v>
      </c>
      <c r="G4" s="39" t="s">
        <v>95</v>
      </c>
      <c r="H4" s="43" t="s">
        <v>92</v>
      </c>
      <c r="I4" s="167"/>
      <c r="J4" s="44" t="s">
        <v>94</v>
      </c>
    </row>
    <row r="5" spans="1:10" x14ac:dyDescent="0.2">
      <c r="A5" s="6" t="s">
        <v>43</v>
      </c>
      <c r="B5" s="6">
        <v>123610</v>
      </c>
      <c r="C5" s="6">
        <v>1593</v>
      </c>
      <c r="D5" s="6" t="s">
        <v>68</v>
      </c>
      <c r="E5" s="10">
        <v>43739</v>
      </c>
      <c r="F5" s="10">
        <v>43921</v>
      </c>
      <c r="G5" s="6"/>
      <c r="H5" s="6"/>
      <c r="I5" s="17"/>
      <c r="J5" s="6" t="s">
        <v>405</v>
      </c>
    </row>
    <row r="6" spans="1:10" x14ac:dyDescent="0.2">
      <c r="A6" s="6" t="s">
        <v>157</v>
      </c>
      <c r="B6" s="6"/>
      <c r="C6" s="6">
        <v>36</v>
      </c>
      <c r="D6" s="6" t="s">
        <v>84</v>
      </c>
      <c r="E6" s="10">
        <v>43739</v>
      </c>
      <c r="F6" s="10">
        <v>43921</v>
      </c>
      <c r="G6" s="6"/>
      <c r="H6" s="6"/>
      <c r="I6" s="17"/>
      <c r="J6" s="6" t="s">
        <v>406</v>
      </c>
    </row>
    <row r="7" spans="1:10" x14ac:dyDescent="0.2">
      <c r="A7" s="6" t="s">
        <v>158</v>
      </c>
      <c r="B7" s="6"/>
      <c r="C7" s="6">
        <v>16</v>
      </c>
      <c r="D7" s="6" t="s">
        <v>160</v>
      </c>
      <c r="E7" s="10">
        <v>43739</v>
      </c>
      <c r="F7" s="10">
        <v>43921</v>
      </c>
      <c r="G7" s="6"/>
      <c r="H7" s="6"/>
      <c r="I7" s="17"/>
      <c r="J7" s="12" t="s">
        <v>400</v>
      </c>
    </row>
    <row r="8" spans="1:10" x14ac:dyDescent="0.2">
      <c r="A8" s="6"/>
      <c r="B8" s="6"/>
      <c r="C8" s="6">
        <v>19</v>
      </c>
      <c r="D8" s="6" t="s">
        <v>161</v>
      </c>
      <c r="E8" s="10">
        <v>43739</v>
      </c>
      <c r="F8" s="10">
        <v>43921</v>
      </c>
      <c r="G8" s="6"/>
      <c r="H8" s="6"/>
      <c r="I8" s="17"/>
      <c r="J8" s="6" t="s">
        <v>640</v>
      </c>
    </row>
    <row r="9" spans="1:10" x14ac:dyDescent="0.2">
      <c r="A9" s="6"/>
      <c r="B9" s="6"/>
      <c r="C9" s="6">
        <v>13</v>
      </c>
      <c r="D9" s="6" t="s">
        <v>162</v>
      </c>
      <c r="E9" s="10">
        <v>43739</v>
      </c>
      <c r="F9" s="10">
        <v>43921</v>
      </c>
      <c r="G9" s="6"/>
      <c r="H9" s="6"/>
      <c r="I9" s="17"/>
      <c r="J9" s="6" t="s">
        <v>641</v>
      </c>
    </row>
    <row r="10" spans="1:10" x14ac:dyDescent="0.2">
      <c r="A10" s="6"/>
      <c r="B10" s="6"/>
      <c r="C10" s="6">
        <v>32</v>
      </c>
      <c r="D10" s="6" t="s">
        <v>163</v>
      </c>
      <c r="E10" s="10">
        <v>43739</v>
      </c>
      <c r="F10" s="10">
        <v>43921</v>
      </c>
      <c r="G10" s="6"/>
      <c r="H10" s="6"/>
      <c r="I10" s="17"/>
      <c r="J10" s="6" t="s">
        <v>642</v>
      </c>
    </row>
    <row r="11" spans="1:10" x14ac:dyDescent="0.2">
      <c r="A11" s="6"/>
      <c r="B11" s="6"/>
      <c r="C11" s="6">
        <v>1625</v>
      </c>
      <c r="D11" s="6" t="s">
        <v>164</v>
      </c>
      <c r="E11" s="10">
        <v>43739</v>
      </c>
      <c r="F11" s="10">
        <v>43921</v>
      </c>
      <c r="G11" s="6"/>
      <c r="H11" s="6"/>
      <c r="I11" s="17"/>
      <c r="J11" s="6" t="s">
        <v>643</v>
      </c>
    </row>
    <row r="12" spans="1:10" x14ac:dyDescent="0.2">
      <c r="A12" s="6"/>
      <c r="B12" s="6"/>
      <c r="C12" s="6">
        <v>17</v>
      </c>
      <c r="D12" s="6" t="s">
        <v>59</v>
      </c>
      <c r="E12" s="10">
        <v>43739</v>
      </c>
      <c r="F12" s="10">
        <v>43921</v>
      </c>
      <c r="G12" s="6"/>
      <c r="H12" s="6"/>
      <c r="I12" s="17"/>
      <c r="J12" s="6"/>
    </row>
    <row r="13" spans="1:10" x14ac:dyDescent="0.2">
      <c r="A13" s="6"/>
      <c r="B13" s="6"/>
      <c r="C13" s="6">
        <v>120</v>
      </c>
      <c r="D13" s="6" t="s">
        <v>165</v>
      </c>
      <c r="E13" s="10">
        <v>43739</v>
      </c>
      <c r="F13" s="10">
        <v>43921</v>
      </c>
      <c r="G13" s="6"/>
      <c r="H13" s="6"/>
      <c r="I13" s="17"/>
      <c r="J13" s="6"/>
    </row>
    <row r="14" spans="1:10" x14ac:dyDescent="0.2">
      <c r="A14" s="6"/>
      <c r="B14" s="6"/>
      <c r="C14" s="6">
        <v>20</v>
      </c>
      <c r="D14" s="6" t="s">
        <v>166</v>
      </c>
      <c r="E14" s="10">
        <v>43739</v>
      </c>
      <c r="F14" s="10">
        <v>43921</v>
      </c>
      <c r="G14" s="6"/>
      <c r="H14" s="6"/>
      <c r="I14" s="17"/>
      <c r="J14" s="6"/>
    </row>
    <row r="15" spans="1:10" x14ac:dyDescent="0.2">
      <c r="A15" s="6"/>
      <c r="B15" s="6"/>
      <c r="C15" s="6"/>
      <c r="D15" s="6"/>
      <c r="E15" s="6"/>
      <c r="F15" s="6"/>
      <c r="G15" s="6"/>
      <c r="H15" s="6"/>
      <c r="I15" s="17"/>
      <c r="J15" s="6"/>
    </row>
    <row r="16" spans="1:10" x14ac:dyDescent="0.2">
      <c r="A16" s="6"/>
      <c r="B16" s="6"/>
      <c r="C16" s="6"/>
      <c r="D16" s="6"/>
      <c r="E16" s="6"/>
      <c r="F16" s="6"/>
      <c r="G16" s="6"/>
      <c r="H16" s="6"/>
      <c r="I16" s="17"/>
      <c r="J16" s="6"/>
    </row>
    <row r="17" spans="1:10" x14ac:dyDescent="0.2">
      <c r="A17" s="6"/>
      <c r="B17" s="6"/>
      <c r="C17" s="6"/>
      <c r="D17" s="6"/>
      <c r="E17" s="6"/>
      <c r="F17" s="6"/>
      <c r="G17" s="6"/>
      <c r="H17" s="6"/>
      <c r="I17" s="12"/>
      <c r="J17" s="6"/>
    </row>
    <row r="18" spans="1:10" x14ac:dyDescent="0.2">
      <c r="A18" s="6"/>
      <c r="B18" s="6"/>
      <c r="C18" s="6"/>
      <c r="D18" s="6"/>
      <c r="E18" s="6"/>
      <c r="F18" s="6"/>
      <c r="G18" s="6"/>
      <c r="H18" s="6"/>
      <c r="I18" s="12"/>
      <c r="J18" s="6"/>
    </row>
    <row r="19" spans="1:10" x14ac:dyDescent="0.2">
      <c r="A19" s="6"/>
      <c r="B19" s="6"/>
      <c r="C19" s="6"/>
      <c r="D19" s="6"/>
      <c r="E19" s="6"/>
      <c r="F19" s="6"/>
      <c r="G19" s="6"/>
      <c r="H19" s="6"/>
      <c r="I19" s="12"/>
      <c r="J19" s="6"/>
    </row>
    <row r="20" spans="1:10" x14ac:dyDescent="0.2">
      <c r="A20" s="6"/>
      <c r="B20" s="6"/>
      <c r="C20" s="6"/>
      <c r="D20" s="6"/>
      <c r="E20" s="6"/>
      <c r="F20" s="6"/>
      <c r="G20" s="6"/>
      <c r="H20" s="6"/>
      <c r="I20" s="12"/>
      <c r="J20" s="6"/>
    </row>
    <row r="21" spans="1:10" x14ac:dyDescent="0.2">
      <c r="A21" s="6"/>
      <c r="B21" s="6"/>
      <c r="C21" s="6"/>
      <c r="D21" s="6"/>
      <c r="E21" s="6"/>
      <c r="F21" s="6"/>
      <c r="G21" s="6"/>
      <c r="H21" s="6"/>
      <c r="I21" s="12"/>
      <c r="J21" s="6"/>
    </row>
    <row r="22" spans="1:10" x14ac:dyDescent="0.2">
      <c r="A22" s="6"/>
      <c r="B22" s="6"/>
      <c r="C22" s="6"/>
      <c r="D22" s="6"/>
      <c r="E22" s="6"/>
      <c r="F22" s="6"/>
      <c r="G22" s="6"/>
      <c r="H22" s="6"/>
      <c r="I22" s="12"/>
      <c r="J22" s="6"/>
    </row>
    <row r="23" spans="1:10" x14ac:dyDescent="0.2">
      <c r="A23" s="6"/>
      <c r="B23" s="6"/>
      <c r="C23" s="6"/>
      <c r="D23" s="6"/>
      <c r="E23" s="6"/>
      <c r="F23" s="6"/>
      <c r="G23" s="6"/>
      <c r="H23" s="6"/>
      <c r="I23" s="12"/>
      <c r="J23" s="6"/>
    </row>
    <row r="24" spans="1:10" x14ac:dyDescent="0.2">
      <c r="A24" s="6"/>
      <c r="B24" s="6"/>
      <c r="C24" s="6"/>
      <c r="D24" s="6"/>
      <c r="E24" s="6"/>
      <c r="F24" s="6"/>
      <c r="G24" s="6"/>
      <c r="H24" s="6"/>
      <c r="I24" s="12"/>
      <c r="J24" s="6"/>
    </row>
    <row r="25" spans="1:10" x14ac:dyDescent="0.2">
      <c r="A25" s="6"/>
      <c r="B25" s="6"/>
      <c r="C25" s="6"/>
      <c r="D25" s="6"/>
      <c r="E25" s="6"/>
      <c r="F25" s="6"/>
      <c r="G25" s="6"/>
      <c r="H25" s="6"/>
      <c r="I25" s="12"/>
      <c r="J25" s="6"/>
    </row>
    <row r="26" spans="1:10" x14ac:dyDescent="0.2">
      <c r="A26" s="6"/>
      <c r="B26" s="6"/>
      <c r="C26" s="6"/>
      <c r="D26" s="6"/>
      <c r="E26" s="6"/>
      <c r="F26" s="6"/>
      <c r="G26" s="6"/>
      <c r="H26" s="6"/>
      <c r="I26" s="12"/>
      <c r="J26" s="6"/>
    </row>
    <row r="27" spans="1:10" x14ac:dyDescent="0.2">
      <c r="A27" s="6"/>
      <c r="B27" s="6"/>
      <c r="C27" s="6"/>
      <c r="D27" s="6"/>
      <c r="E27" s="6"/>
      <c r="F27" s="6"/>
      <c r="G27" s="6"/>
      <c r="H27" s="6"/>
      <c r="I27" s="12"/>
      <c r="J27" s="6"/>
    </row>
    <row r="28" spans="1:10" x14ac:dyDescent="0.2">
      <c r="A28" s="6"/>
      <c r="B28" s="6"/>
      <c r="C28" s="6"/>
      <c r="D28" s="6"/>
      <c r="E28" s="6"/>
      <c r="F28" s="6"/>
      <c r="G28" s="6"/>
      <c r="H28" s="6"/>
      <c r="I28" s="12"/>
      <c r="J28" s="6"/>
    </row>
    <row r="29" spans="1:10" x14ac:dyDescent="0.2">
      <c r="A29" s="6"/>
      <c r="B29" s="6"/>
      <c r="C29" s="6"/>
      <c r="D29" s="6"/>
      <c r="E29" s="6"/>
      <c r="F29" s="6"/>
      <c r="G29" s="6"/>
      <c r="H29" s="6"/>
      <c r="I29" s="12"/>
      <c r="J29" s="6"/>
    </row>
    <row r="30" spans="1:10" x14ac:dyDescent="0.2">
      <c r="A30" s="6"/>
      <c r="B30" s="6"/>
      <c r="C30" s="6"/>
      <c r="D30" s="6"/>
      <c r="E30" s="6"/>
      <c r="F30" s="6"/>
      <c r="G30" s="6"/>
      <c r="H30" s="6"/>
      <c r="I30" s="12"/>
      <c r="J30" s="6"/>
    </row>
    <row r="31" spans="1:10" x14ac:dyDescent="0.2">
      <c r="A31" s="6"/>
      <c r="B31" s="6"/>
      <c r="C31" s="6"/>
      <c r="D31" s="6"/>
      <c r="E31" s="6"/>
      <c r="F31" s="6"/>
      <c r="G31" s="6"/>
      <c r="H31" s="6"/>
      <c r="I31" s="12"/>
      <c r="J31" s="6"/>
    </row>
    <row r="32" spans="1:10" x14ac:dyDescent="0.2">
      <c r="A32" s="6"/>
      <c r="B32" s="6"/>
      <c r="C32" s="6"/>
      <c r="D32" s="6"/>
      <c r="E32" s="6"/>
      <c r="F32" s="6"/>
      <c r="G32" s="6"/>
      <c r="H32" s="6"/>
      <c r="I32" s="12"/>
      <c r="J32" s="6"/>
    </row>
    <row r="33" spans="1:10" x14ac:dyDescent="0.2">
      <c r="A33" s="6"/>
      <c r="B33" s="6"/>
      <c r="C33" s="6"/>
      <c r="D33" s="6"/>
      <c r="E33" s="6"/>
      <c r="F33" s="6"/>
      <c r="G33" s="6"/>
      <c r="H33" s="6"/>
      <c r="I33" s="12"/>
      <c r="J33" s="6"/>
    </row>
    <row r="34" spans="1:10" x14ac:dyDescent="0.2">
      <c r="A34" s="6"/>
      <c r="B34" s="6"/>
      <c r="C34" s="6"/>
      <c r="D34" s="6"/>
      <c r="E34" s="6"/>
      <c r="F34" s="6"/>
      <c r="G34" s="6"/>
      <c r="H34" s="6"/>
      <c r="I34" s="12"/>
      <c r="J34" s="6"/>
    </row>
    <row r="35" spans="1:10" x14ac:dyDescent="0.2">
      <c r="A35" s="6"/>
      <c r="B35" s="6"/>
      <c r="C35" s="6"/>
      <c r="D35" s="6"/>
      <c r="E35" s="6"/>
      <c r="F35" s="6"/>
      <c r="G35" s="6"/>
      <c r="H35" s="6"/>
      <c r="I35" s="12"/>
      <c r="J35" s="6"/>
    </row>
    <row r="36" spans="1:10" x14ac:dyDescent="0.2">
      <c r="I36" s="2"/>
    </row>
    <row r="37" spans="1:10" x14ac:dyDescent="0.2">
      <c r="I37" s="2"/>
    </row>
    <row r="38" spans="1:10" x14ac:dyDescent="0.2">
      <c r="I38" s="2"/>
    </row>
    <row r="39" spans="1:10" x14ac:dyDescent="0.2">
      <c r="I39" s="2"/>
    </row>
    <row r="40" spans="1:10" x14ac:dyDescent="0.2">
      <c r="I40" s="2"/>
    </row>
    <row r="41" spans="1:10" x14ac:dyDescent="0.2">
      <c r="I41" s="2"/>
    </row>
    <row r="42" spans="1:10" x14ac:dyDescent="0.2">
      <c r="I42" s="2"/>
    </row>
    <row r="43" spans="1:10" x14ac:dyDescent="0.2">
      <c r="I43" s="2"/>
    </row>
    <row r="44" spans="1:10" x14ac:dyDescent="0.2">
      <c r="I44" s="2"/>
    </row>
    <row r="45" spans="1:10" x14ac:dyDescent="0.2">
      <c r="I45" s="2"/>
    </row>
    <row r="46" spans="1:10" x14ac:dyDescent="0.2">
      <c r="I46" s="2"/>
    </row>
    <row r="47" spans="1:10" x14ac:dyDescent="0.2">
      <c r="I47" s="2"/>
    </row>
    <row r="48" spans="1:10" x14ac:dyDescent="0.2">
      <c r="I48" s="2"/>
    </row>
    <row r="49" spans="9:9" x14ac:dyDescent="0.2">
      <c r="I49" s="2"/>
    </row>
    <row r="50" spans="9:9" x14ac:dyDescent="0.2">
      <c r="I50" s="2"/>
    </row>
    <row r="51" spans="9:9" x14ac:dyDescent="0.2">
      <c r="I51" s="2"/>
    </row>
    <row r="52" spans="9:9" x14ac:dyDescent="0.2">
      <c r="I52" s="2"/>
    </row>
    <row r="53" spans="9:9" x14ac:dyDescent="0.2">
      <c r="I53" s="2"/>
    </row>
    <row r="54" spans="9:9" x14ac:dyDescent="0.2">
      <c r="I54" s="2"/>
    </row>
    <row r="55" spans="9:9" x14ac:dyDescent="0.2">
      <c r="I55" s="2"/>
    </row>
    <row r="56" spans="9:9" x14ac:dyDescent="0.2">
      <c r="I56" s="2"/>
    </row>
    <row r="57" spans="9:9" x14ac:dyDescent="0.2">
      <c r="I57" s="2"/>
    </row>
    <row r="58" spans="9:9" x14ac:dyDescent="0.2">
      <c r="I58" s="2"/>
    </row>
    <row r="59" spans="9:9" x14ac:dyDescent="0.2">
      <c r="I59" s="2"/>
    </row>
    <row r="60" spans="9:9" x14ac:dyDescent="0.2">
      <c r="I60" s="2"/>
    </row>
    <row r="61" spans="9:9" x14ac:dyDescent="0.2">
      <c r="I61" s="2"/>
    </row>
    <row r="62" spans="9:9" x14ac:dyDescent="0.2">
      <c r="I62" s="2"/>
    </row>
    <row r="63" spans="9:9" x14ac:dyDescent="0.2">
      <c r="I63" s="2"/>
    </row>
    <row r="64" spans="9:9" x14ac:dyDescent="0.2">
      <c r="I64" s="2"/>
    </row>
    <row r="65" spans="9:9" x14ac:dyDescent="0.2">
      <c r="I65" s="2"/>
    </row>
    <row r="66" spans="9:9" x14ac:dyDescent="0.2">
      <c r="I66" s="2"/>
    </row>
    <row r="67" spans="9:9" x14ac:dyDescent="0.2">
      <c r="I67" s="2"/>
    </row>
    <row r="68" spans="9:9" x14ac:dyDescent="0.2">
      <c r="I68" s="2"/>
    </row>
    <row r="69" spans="9:9" x14ac:dyDescent="0.2">
      <c r="I69" s="2"/>
    </row>
    <row r="70" spans="9:9" x14ac:dyDescent="0.2">
      <c r="I70" s="2"/>
    </row>
    <row r="71" spans="9:9" x14ac:dyDescent="0.2">
      <c r="I71" s="2"/>
    </row>
    <row r="72" spans="9:9" x14ac:dyDescent="0.2">
      <c r="I72" s="2"/>
    </row>
    <row r="73" spans="9:9" x14ac:dyDescent="0.2">
      <c r="I73" s="2"/>
    </row>
    <row r="74" spans="9:9" x14ac:dyDescent="0.2">
      <c r="I74" s="2"/>
    </row>
    <row r="75" spans="9:9" x14ac:dyDescent="0.2">
      <c r="I75" s="2"/>
    </row>
    <row r="76" spans="9:9" x14ac:dyDescent="0.2">
      <c r="I76" s="2"/>
    </row>
    <row r="77" spans="9:9" x14ac:dyDescent="0.2">
      <c r="I77" s="2"/>
    </row>
    <row r="78" spans="9:9" x14ac:dyDescent="0.2">
      <c r="I78" s="2"/>
    </row>
    <row r="79" spans="9:9" x14ac:dyDescent="0.2">
      <c r="I79" s="2"/>
    </row>
    <row r="80" spans="9:9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</sheetData>
  <mergeCells count="1">
    <mergeCell ref="I3:I4"/>
  </mergeCells>
  <pageMargins left="0.7" right="0.7" top="0.75" bottom="0.75" header="0.3" footer="0.3"/>
  <pageSetup scale="89" fitToHeight="6" orientation="landscape" horizontalDpi="300" r:id="rId1"/>
  <headerFooter>
    <oddFooter>&amp;R&amp;D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0" tint="-0.34998626667073579"/>
    <pageSetUpPr fitToPage="1"/>
  </sheetPr>
  <dimension ref="A1:L49"/>
  <sheetViews>
    <sheetView zoomScaleNormal="100" workbookViewId="0"/>
  </sheetViews>
  <sheetFormatPr defaultRowHeight="12.75" x14ac:dyDescent="0.2"/>
  <cols>
    <col min="1" max="1" width="22.42578125" style="2" customWidth="1"/>
    <col min="2" max="2" width="16.140625" style="38" bestFit="1" customWidth="1"/>
    <col min="3" max="3" width="6.5703125" style="38" customWidth="1"/>
    <col min="4" max="4" width="33.140625" style="2" customWidth="1"/>
    <col min="5" max="5" width="12.140625" style="90" hidden="1" customWidth="1"/>
    <col min="6" max="6" width="11.140625" style="90" hidden="1" customWidth="1"/>
    <col min="7" max="7" width="11" style="2" customWidth="1"/>
    <col min="8" max="10" width="11.42578125" customWidth="1"/>
    <col min="11" max="11" width="13.85546875" style="38" customWidth="1"/>
    <col min="12" max="12" width="11.28515625" customWidth="1"/>
  </cols>
  <sheetData>
    <row r="1" spans="1:12" ht="15" x14ac:dyDescent="0.2">
      <c r="A1" s="86" t="str">
        <f ca="1">MID(CELL("filename",$A$1),FIND("]",CELL("filename",$A$1),1)+1,1024)</f>
        <v>Poso Ridge N.</v>
      </c>
      <c r="B1" s="17"/>
      <c r="C1" s="17"/>
      <c r="D1" s="12"/>
      <c r="E1" s="88"/>
      <c r="F1" s="88"/>
      <c r="G1" s="12"/>
      <c r="H1" s="6"/>
      <c r="I1" s="6"/>
      <c r="J1" s="6"/>
      <c r="K1" s="17"/>
      <c r="L1" s="6"/>
    </row>
    <row r="2" spans="1:12" x14ac:dyDescent="0.2">
      <c r="A2" s="12"/>
      <c r="B2" s="17"/>
      <c r="C2" s="17"/>
      <c r="D2" s="12"/>
      <c r="E2" s="88"/>
      <c r="F2" s="88"/>
      <c r="G2" s="12"/>
      <c r="H2" s="6"/>
      <c r="I2" s="6"/>
      <c r="J2" s="6"/>
      <c r="K2" s="17"/>
      <c r="L2" s="6"/>
    </row>
    <row r="3" spans="1:12" x14ac:dyDescent="0.2">
      <c r="A3" s="12"/>
      <c r="B3" s="17"/>
      <c r="C3" s="17"/>
      <c r="D3" s="12"/>
      <c r="E3" s="88"/>
      <c r="F3" s="88"/>
      <c r="G3" s="12"/>
      <c r="H3" s="6"/>
      <c r="I3" s="6"/>
      <c r="J3" s="6"/>
      <c r="K3" s="166" t="s">
        <v>112</v>
      </c>
      <c r="L3" s="6"/>
    </row>
    <row r="4" spans="1:12" s="42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3" t="s">
        <v>416</v>
      </c>
      <c r="H4" s="33" t="s">
        <v>417</v>
      </c>
      <c r="I4" s="33" t="s">
        <v>95</v>
      </c>
      <c r="J4" s="33" t="s">
        <v>92</v>
      </c>
      <c r="K4" s="166"/>
      <c r="L4" s="33" t="s">
        <v>94</v>
      </c>
    </row>
    <row r="5" spans="1:12" s="1" customFormat="1" x14ac:dyDescent="0.2">
      <c r="A5" s="7" t="s">
        <v>410</v>
      </c>
      <c r="B5" s="25" t="s">
        <v>687</v>
      </c>
      <c r="C5" s="25">
        <v>1</v>
      </c>
      <c r="D5" s="15" t="s">
        <v>412</v>
      </c>
      <c r="E5" s="92"/>
      <c r="F5" s="37"/>
      <c r="G5" s="94">
        <v>44228</v>
      </c>
      <c r="H5" s="58">
        <v>44316</v>
      </c>
      <c r="I5" s="8"/>
      <c r="J5" s="8"/>
      <c r="K5" s="46"/>
      <c r="L5" s="8"/>
    </row>
    <row r="6" spans="1:12" s="1" customFormat="1" x14ac:dyDescent="0.2">
      <c r="A6" s="27"/>
      <c r="B6" s="47"/>
      <c r="C6" s="47"/>
      <c r="D6" s="48"/>
      <c r="E6" s="54"/>
      <c r="F6" s="55"/>
      <c r="G6" s="49"/>
      <c r="H6" s="60"/>
      <c r="I6" s="30"/>
      <c r="J6" s="30"/>
      <c r="K6" s="64"/>
      <c r="L6" s="30"/>
    </row>
    <row r="7" spans="1:12" s="1" customFormat="1" x14ac:dyDescent="0.2">
      <c r="A7" s="7" t="s">
        <v>716</v>
      </c>
      <c r="B7" s="25" t="s">
        <v>715</v>
      </c>
      <c r="C7" s="25">
        <v>1</v>
      </c>
      <c r="D7" s="15" t="s">
        <v>717</v>
      </c>
      <c r="E7" s="92"/>
      <c r="F7" s="37"/>
      <c r="G7" s="94">
        <v>44270</v>
      </c>
      <c r="H7" s="58">
        <v>44423</v>
      </c>
      <c r="I7" s="8"/>
      <c r="J7" s="8"/>
      <c r="K7" s="46"/>
      <c r="L7" s="8"/>
    </row>
    <row r="8" spans="1:12" s="1" customFormat="1" ht="13.5" customHeight="1" x14ac:dyDescent="0.2">
      <c r="A8" s="27"/>
      <c r="B8" s="47"/>
      <c r="C8" s="47"/>
      <c r="D8" s="48"/>
      <c r="E8" s="61"/>
      <c r="F8" s="61"/>
      <c r="G8" s="49"/>
      <c r="H8" s="60"/>
      <c r="I8" s="30"/>
      <c r="J8" s="30"/>
      <c r="K8" s="64"/>
      <c r="L8" s="30"/>
    </row>
    <row r="9" spans="1:12" s="1" customFormat="1" x14ac:dyDescent="0.2">
      <c r="A9" s="7" t="s">
        <v>718</v>
      </c>
      <c r="B9" s="25" t="s">
        <v>719</v>
      </c>
      <c r="C9" s="25">
        <v>1</v>
      </c>
      <c r="D9" s="15" t="s">
        <v>720</v>
      </c>
      <c r="E9" s="57"/>
      <c r="F9" s="57"/>
      <c r="G9" s="94">
        <v>44256</v>
      </c>
      <c r="H9" s="58">
        <v>44409</v>
      </c>
      <c r="I9" s="8"/>
      <c r="J9" s="8"/>
      <c r="K9" s="46"/>
      <c r="L9" s="8"/>
    </row>
    <row r="10" spans="1:12" s="1" customFormat="1" x14ac:dyDescent="0.2">
      <c r="A10" s="27"/>
      <c r="B10" s="47"/>
      <c r="C10" s="47"/>
      <c r="D10" s="48"/>
      <c r="E10" s="61"/>
      <c r="F10" s="61"/>
      <c r="G10" s="49"/>
      <c r="H10" s="60"/>
      <c r="I10" s="30"/>
      <c r="J10" s="30"/>
      <c r="K10" s="64"/>
      <c r="L10" s="30"/>
    </row>
    <row r="11" spans="1:12" s="1" customFormat="1" x14ac:dyDescent="0.2">
      <c r="A11" s="7" t="s">
        <v>758</v>
      </c>
      <c r="B11" s="25" t="s">
        <v>759</v>
      </c>
      <c r="C11" s="25">
        <v>1</v>
      </c>
      <c r="D11" s="15" t="s">
        <v>54</v>
      </c>
      <c r="E11" s="57"/>
      <c r="F11" s="57"/>
      <c r="G11" s="94">
        <v>44256</v>
      </c>
      <c r="H11" s="58">
        <v>44409</v>
      </c>
      <c r="I11" s="8"/>
      <c r="J11" s="8"/>
      <c r="K11" s="46"/>
      <c r="L11" s="8"/>
    </row>
    <row r="12" spans="1:12" s="1" customFormat="1" x14ac:dyDescent="0.2">
      <c r="A12" s="146"/>
      <c r="B12" s="47"/>
      <c r="C12" s="47"/>
      <c r="D12" s="48"/>
      <c r="E12" s="61"/>
      <c r="F12" s="61"/>
      <c r="G12" s="27"/>
      <c r="H12" s="27"/>
      <c r="I12" s="27"/>
      <c r="J12" s="27"/>
      <c r="K12" s="64"/>
      <c r="L12" s="27"/>
    </row>
    <row r="13" spans="1:12" s="1" customFormat="1" x14ac:dyDescent="0.2">
      <c r="A13" s="7" t="s">
        <v>760</v>
      </c>
      <c r="B13" s="25" t="s">
        <v>761</v>
      </c>
      <c r="C13" s="25">
        <v>1</v>
      </c>
      <c r="D13" s="15" t="s">
        <v>54</v>
      </c>
      <c r="E13" s="57"/>
      <c r="F13" s="57"/>
      <c r="G13" s="94">
        <v>44256</v>
      </c>
      <c r="H13" s="26">
        <v>44409</v>
      </c>
      <c r="I13" s="7"/>
      <c r="J13" s="7"/>
      <c r="K13" s="46"/>
      <c r="L13" s="7"/>
    </row>
    <row r="14" spans="1:12" s="1" customFormat="1" x14ac:dyDescent="0.2">
      <c r="A14" s="147"/>
      <c r="B14" s="147"/>
      <c r="C14" s="147"/>
      <c r="D14" s="147"/>
      <c r="E14" s="147"/>
      <c r="F14" s="147"/>
      <c r="G14" s="147"/>
      <c r="H14" s="147"/>
      <c r="I14" s="147"/>
      <c r="J14" s="147"/>
      <c r="K14" s="147"/>
      <c r="L14" s="27"/>
    </row>
    <row r="15" spans="1:12" s="1" customFormat="1" x14ac:dyDescent="0.2">
      <c r="A15" s="7" t="s">
        <v>832</v>
      </c>
      <c r="B15" s="25" t="s">
        <v>833</v>
      </c>
      <c r="C15" s="25">
        <v>33</v>
      </c>
      <c r="D15" s="15" t="s">
        <v>834</v>
      </c>
      <c r="E15" s="57"/>
      <c r="F15" s="57"/>
      <c r="G15" s="94">
        <v>44256</v>
      </c>
      <c r="H15" s="94">
        <v>44440</v>
      </c>
      <c r="I15" s="7"/>
      <c r="J15" s="7"/>
      <c r="K15" s="46"/>
      <c r="L15" s="7"/>
    </row>
    <row r="16" spans="1:12" s="1" customFormat="1" x14ac:dyDescent="0.2">
      <c r="A16" s="7" t="s">
        <v>235</v>
      </c>
      <c r="B16" s="25"/>
      <c r="C16" s="25">
        <v>33</v>
      </c>
      <c r="D16" s="15" t="s">
        <v>167</v>
      </c>
      <c r="E16" s="57"/>
      <c r="F16" s="57"/>
      <c r="G16" s="94">
        <v>44256</v>
      </c>
      <c r="H16" s="94">
        <v>44440</v>
      </c>
      <c r="I16" s="7"/>
      <c r="J16" s="7"/>
      <c r="K16" s="46"/>
      <c r="L16" s="7"/>
    </row>
    <row r="17" spans="1:12" s="1" customFormat="1" x14ac:dyDescent="0.2">
      <c r="A17" s="27"/>
      <c r="B17" s="47"/>
      <c r="C17" s="47"/>
      <c r="D17" s="48"/>
      <c r="E17" s="61"/>
      <c r="F17" s="61"/>
      <c r="G17" s="27"/>
      <c r="H17" s="27"/>
      <c r="I17" s="27"/>
      <c r="J17" s="27"/>
      <c r="K17" s="64"/>
      <c r="L17" s="27"/>
    </row>
    <row r="18" spans="1:12" s="1" customFormat="1" x14ac:dyDescent="0.2">
      <c r="A18" s="7" t="s">
        <v>835</v>
      </c>
      <c r="B18" s="25" t="s">
        <v>836</v>
      </c>
      <c r="C18" s="25">
        <v>1</v>
      </c>
      <c r="D18" s="15" t="s">
        <v>592</v>
      </c>
      <c r="E18" s="57"/>
      <c r="F18" s="57"/>
      <c r="G18" s="94">
        <v>44270</v>
      </c>
      <c r="H18" s="94">
        <v>44454</v>
      </c>
      <c r="I18" s="7"/>
      <c r="J18" s="7"/>
      <c r="K18" s="46"/>
      <c r="L18" s="7"/>
    </row>
    <row r="19" spans="1:12" s="1" customFormat="1" x14ac:dyDescent="0.2">
      <c r="A19" s="27"/>
      <c r="B19" s="47"/>
      <c r="C19" s="47"/>
      <c r="D19" s="48"/>
      <c r="E19" s="61"/>
      <c r="F19" s="61"/>
      <c r="G19" s="27"/>
      <c r="H19" s="27"/>
      <c r="I19" s="27"/>
      <c r="J19" s="27"/>
      <c r="K19" s="64"/>
      <c r="L19" s="27"/>
    </row>
    <row r="20" spans="1:12" s="1" customFormat="1" x14ac:dyDescent="0.2">
      <c r="A20" s="7" t="s">
        <v>1143</v>
      </c>
      <c r="B20" s="25" t="s">
        <v>1144</v>
      </c>
      <c r="C20" s="25">
        <v>32</v>
      </c>
      <c r="D20" s="15" t="s">
        <v>1145</v>
      </c>
      <c r="E20" s="57"/>
      <c r="F20" s="57"/>
      <c r="G20" s="94">
        <v>44501</v>
      </c>
      <c r="H20" s="94">
        <v>44773</v>
      </c>
      <c r="I20" s="7"/>
      <c r="J20" s="7"/>
      <c r="K20" s="46"/>
      <c r="L20" s="7"/>
    </row>
    <row r="21" spans="1:12" s="1" customFormat="1" x14ac:dyDescent="0.2">
      <c r="A21" s="7"/>
      <c r="B21" s="25"/>
      <c r="C21" s="25">
        <v>29</v>
      </c>
      <c r="D21" s="15" t="s">
        <v>413</v>
      </c>
      <c r="E21" s="57"/>
      <c r="F21" s="57"/>
      <c r="G21" s="94">
        <v>44501</v>
      </c>
      <c r="H21" s="94">
        <v>44773</v>
      </c>
      <c r="I21" s="7"/>
      <c r="J21" s="7"/>
      <c r="K21" s="46"/>
      <c r="L21" s="7"/>
    </row>
    <row r="22" spans="1:12" s="1" customFormat="1" x14ac:dyDescent="0.2">
      <c r="A22" s="7"/>
      <c r="B22" s="25"/>
      <c r="C22" s="25">
        <v>29</v>
      </c>
      <c r="D22" s="15" t="s">
        <v>247</v>
      </c>
      <c r="E22" s="57"/>
      <c r="F22" s="57"/>
      <c r="G22" s="94">
        <v>44501</v>
      </c>
      <c r="H22" s="94">
        <v>44773</v>
      </c>
      <c r="I22" s="7"/>
      <c r="J22" s="7"/>
      <c r="K22" s="46"/>
      <c r="L22" s="7"/>
    </row>
    <row r="23" spans="1:12" s="1" customFormat="1" x14ac:dyDescent="0.2">
      <c r="A23" s="22"/>
      <c r="B23" s="31"/>
      <c r="C23" s="31"/>
      <c r="D23" s="22"/>
      <c r="E23" s="162"/>
      <c r="F23" s="162"/>
      <c r="G23" s="27"/>
      <c r="H23" s="27"/>
      <c r="I23" s="27"/>
      <c r="J23" s="27"/>
      <c r="K23" s="64"/>
      <c r="L23" s="27"/>
    </row>
    <row r="24" spans="1:12" s="1" customFormat="1" x14ac:dyDescent="0.2">
      <c r="A24" s="7" t="s">
        <v>1189</v>
      </c>
      <c r="B24" s="25" t="s">
        <v>1190</v>
      </c>
      <c r="C24" s="25">
        <v>30</v>
      </c>
      <c r="D24" s="15" t="s">
        <v>446</v>
      </c>
      <c r="E24" s="57"/>
      <c r="F24" s="57"/>
      <c r="G24" s="94">
        <v>44566</v>
      </c>
      <c r="H24" s="94">
        <v>44717</v>
      </c>
      <c r="I24" s="7"/>
      <c r="J24" s="7"/>
      <c r="K24" s="46"/>
      <c r="L24" s="7"/>
    </row>
    <row r="25" spans="1:12" s="1" customFormat="1" x14ac:dyDescent="0.2">
      <c r="A25" s="7"/>
      <c r="B25" s="25"/>
      <c r="C25" s="25">
        <v>27</v>
      </c>
      <c r="D25" s="15" t="s">
        <v>198</v>
      </c>
      <c r="E25" s="57"/>
      <c r="F25" s="57"/>
      <c r="G25" s="94">
        <v>44566</v>
      </c>
      <c r="H25" s="94">
        <v>44717</v>
      </c>
      <c r="I25" s="6"/>
      <c r="J25" s="6"/>
      <c r="K25" s="46"/>
      <c r="L25" s="6"/>
    </row>
    <row r="26" spans="1:12" s="3" customFormat="1" ht="12.75" hidden="1" customHeight="1" x14ac:dyDescent="0.2">
      <c r="A26" s="7"/>
      <c r="B26" s="25"/>
      <c r="C26" s="25"/>
      <c r="D26" s="15"/>
      <c r="E26" s="57"/>
      <c r="F26" s="57"/>
      <c r="G26" s="94">
        <v>44566</v>
      </c>
      <c r="H26" s="94">
        <v>44717</v>
      </c>
      <c r="I26" s="6"/>
      <c r="J26" s="6"/>
      <c r="K26" s="46"/>
      <c r="L26" s="6"/>
    </row>
    <row r="27" spans="1:12" s="3" customFormat="1" ht="12.75" customHeight="1" x14ac:dyDescent="0.2">
      <c r="A27" s="12"/>
      <c r="B27" s="17"/>
      <c r="C27" s="25">
        <v>3</v>
      </c>
      <c r="D27" s="15" t="s">
        <v>325</v>
      </c>
      <c r="E27" s="89"/>
      <c r="F27" s="89"/>
      <c r="G27" s="94">
        <v>44566</v>
      </c>
      <c r="H27" s="94">
        <v>44717</v>
      </c>
      <c r="I27" s="6"/>
      <c r="J27" s="6"/>
      <c r="K27" s="46"/>
      <c r="L27" s="6"/>
    </row>
    <row r="28" spans="1:12" s="3" customFormat="1" ht="12.75" customHeight="1" x14ac:dyDescent="0.2">
      <c r="A28" s="7"/>
      <c r="B28" s="25"/>
      <c r="C28" s="25">
        <v>1</v>
      </c>
      <c r="D28" s="15" t="s">
        <v>42</v>
      </c>
      <c r="E28" s="57"/>
      <c r="F28" s="57"/>
      <c r="G28" s="94">
        <v>44566</v>
      </c>
      <c r="H28" s="94">
        <v>44717</v>
      </c>
      <c r="I28" s="6"/>
      <c r="J28" s="6"/>
      <c r="K28" s="46"/>
      <c r="L28" s="6"/>
    </row>
    <row r="29" spans="1:12" s="3" customFormat="1" ht="12.75" customHeight="1" x14ac:dyDescent="0.2">
      <c r="A29" s="7"/>
      <c r="B29" s="25"/>
      <c r="C29" s="25"/>
      <c r="D29" s="15"/>
      <c r="E29" s="57"/>
      <c r="F29" s="57"/>
      <c r="G29" s="12"/>
      <c r="H29" s="6"/>
      <c r="I29" s="6"/>
      <c r="J29" s="6"/>
      <c r="K29" s="46"/>
      <c r="L29" s="6"/>
    </row>
    <row r="30" spans="1:12" s="3" customFormat="1" ht="12.75" customHeight="1" x14ac:dyDescent="0.2">
      <c r="A30" s="12"/>
      <c r="B30" s="17"/>
      <c r="C30" s="25"/>
      <c r="D30" s="15"/>
      <c r="E30" s="89"/>
      <c r="F30" s="89"/>
      <c r="G30" s="12"/>
      <c r="H30" s="6"/>
      <c r="I30" s="6"/>
      <c r="J30" s="6"/>
      <c r="K30" s="46"/>
      <c r="L30" s="6"/>
    </row>
    <row r="31" spans="1:12" s="3" customFormat="1" ht="12.75" customHeight="1" x14ac:dyDescent="0.2">
      <c r="A31" s="7"/>
      <c r="B31" s="25"/>
      <c r="C31" s="25"/>
      <c r="D31" s="15"/>
      <c r="E31" s="57"/>
      <c r="F31" s="57"/>
      <c r="G31" s="12"/>
      <c r="H31" s="6"/>
      <c r="I31" s="6"/>
      <c r="J31" s="6"/>
      <c r="K31" s="46"/>
      <c r="L31" s="6"/>
    </row>
    <row r="32" spans="1:12" s="3" customFormat="1" ht="12.75" customHeight="1" x14ac:dyDescent="0.2">
      <c r="A32" s="12"/>
      <c r="B32" s="17"/>
      <c r="C32" s="17"/>
      <c r="D32" s="87"/>
      <c r="E32" s="89"/>
      <c r="F32" s="89"/>
      <c r="G32" s="12"/>
      <c r="H32" s="6"/>
      <c r="I32" s="6"/>
      <c r="J32" s="6"/>
      <c r="K32" s="17"/>
      <c r="L32" s="6"/>
    </row>
    <row r="33" spans="1:12" s="3" customFormat="1" ht="12.75" customHeight="1" x14ac:dyDescent="0.2">
      <c r="A33" s="12"/>
      <c r="B33" s="17"/>
      <c r="C33" s="17"/>
      <c r="D33" s="12"/>
      <c r="E33" s="88"/>
      <c r="F33" s="88"/>
      <c r="G33" s="12"/>
      <c r="H33" s="6"/>
      <c r="I33" s="6"/>
      <c r="J33" s="6"/>
      <c r="K33" s="17"/>
      <c r="L33" s="6"/>
    </row>
    <row r="34" spans="1:12" s="3" customFormat="1" ht="12.75" customHeight="1" x14ac:dyDescent="0.2">
      <c r="A34" s="12"/>
      <c r="B34" s="17"/>
      <c r="C34" s="17"/>
      <c r="D34" s="12"/>
      <c r="E34" s="88"/>
      <c r="F34" s="88"/>
      <c r="G34" s="12"/>
      <c r="H34" s="6"/>
      <c r="I34" s="6"/>
      <c r="J34" s="6"/>
      <c r="K34" s="17"/>
      <c r="L34" s="6"/>
    </row>
    <row r="35" spans="1:12" s="3" customFormat="1" ht="12.75" customHeight="1" x14ac:dyDescent="0.2">
      <c r="A35" s="12"/>
      <c r="B35" s="17"/>
      <c r="C35" s="17"/>
      <c r="D35" s="12"/>
      <c r="E35" s="88"/>
      <c r="F35" s="88"/>
      <c r="G35" s="12"/>
      <c r="H35" s="6"/>
      <c r="I35" s="6"/>
      <c r="J35" s="6"/>
      <c r="K35" s="17"/>
      <c r="L35" s="6"/>
    </row>
    <row r="36" spans="1:12" s="3" customFormat="1" ht="12.75" customHeight="1" x14ac:dyDescent="0.2">
      <c r="A36" s="12"/>
      <c r="B36" s="17"/>
      <c r="C36" s="17"/>
      <c r="D36" s="12"/>
      <c r="E36" s="88"/>
      <c r="F36" s="88"/>
      <c r="G36" s="12"/>
      <c r="H36" s="6"/>
      <c r="I36" s="6"/>
      <c r="J36" s="6"/>
      <c r="K36" s="17"/>
      <c r="L36" s="6"/>
    </row>
    <row r="37" spans="1:12" s="3" customFormat="1" ht="12.75" customHeight="1" x14ac:dyDescent="0.2">
      <c r="A37" s="12"/>
      <c r="B37" s="17"/>
      <c r="C37" s="17"/>
      <c r="D37" s="12"/>
      <c r="E37" s="88"/>
      <c r="F37" s="88"/>
      <c r="G37" s="12"/>
      <c r="H37" s="6"/>
      <c r="I37" s="6"/>
      <c r="J37" s="6"/>
      <c r="K37" s="17"/>
      <c r="L37" s="6"/>
    </row>
    <row r="38" spans="1:12" s="3" customFormat="1" ht="12.75" customHeight="1" x14ac:dyDescent="0.2">
      <c r="A38" s="12"/>
      <c r="B38" s="17"/>
      <c r="C38" s="17"/>
      <c r="D38" s="12"/>
      <c r="E38" s="88"/>
      <c r="F38" s="88"/>
      <c r="G38" s="12"/>
      <c r="H38" s="6"/>
      <c r="I38" s="6"/>
      <c r="J38" s="6"/>
      <c r="K38" s="17"/>
      <c r="L38" s="6"/>
    </row>
    <row r="39" spans="1:12" s="3" customFormat="1" ht="12.75" customHeight="1" x14ac:dyDescent="0.2">
      <c r="A39" s="12"/>
      <c r="B39" s="17"/>
      <c r="C39" s="17"/>
      <c r="D39" s="12"/>
      <c r="E39" s="88"/>
      <c r="F39" s="88"/>
      <c r="G39" s="12"/>
      <c r="H39" s="6"/>
      <c r="I39" s="6"/>
      <c r="J39" s="6"/>
      <c r="K39" s="17"/>
      <c r="L39" s="6"/>
    </row>
    <row r="40" spans="1:12" s="3" customFormat="1" ht="12.75" customHeight="1" x14ac:dyDescent="0.2">
      <c r="A40" s="12"/>
      <c r="B40" s="17"/>
      <c r="C40" s="17"/>
      <c r="D40" s="12"/>
      <c r="E40" s="88"/>
      <c r="F40" s="88"/>
      <c r="G40" s="12"/>
      <c r="H40" s="6"/>
      <c r="I40" s="6"/>
      <c r="J40" s="6"/>
      <c r="K40" s="17"/>
      <c r="L40" s="6"/>
    </row>
    <row r="41" spans="1:12" s="3" customFormat="1" ht="12.75" customHeight="1" x14ac:dyDescent="0.2">
      <c r="A41" s="12"/>
      <c r="B41" s="17"/>
      <c r="C41" s="17"/>
      <c r="D41" s="12"/>
      <c r="E41" s="88"/>
      <c r="F41" s="88"/>
      <c r="G41" s="12"/>
      <c r="H41" s="6"/>
      <c r="I41" s="6"/>
      <c r="J41" s="6"/>
      <c r="K41" s="17"/>
      <c r="L41" s="6"/>
    </row>
    <row r="42" spans="1:12" s="3" customFormat="1" ht="12.75" customHeight="1" x14ac:dyDescent="0.2">
      <c r="A42" s="12"/>
      <c r="B42" s="17"/>
      <c r="C42" s="17"/>
      <c r="D42" s="12"/>
      <c r="E42" s="88"/>
      <c r="F42" s="88"/>
      <c r="G42" s="12"/>
      <c r="H42" s="6"/>
      <c r="I42" s="6"/>
      <c r="J42" s="6"/>
      <c r="K42" s="17"/>
      <c r="L42" s="6"/>
    </row>
    <row r="43" spans="1:12" s="3" customFormat="1" ht="12.75" hidden="1" customHeight="1" x14ac:dyDescent="0.2">
      <c r="A43" s="12"/>
      <c r="B43" s="17"/>
      <c r="C43" s="17"/>
      <c r="D43" s="12"/>
      <c r="E43" s="88"/>
      <c r="F43" s="88"/>
      <c r="G43" s="12"/>
      <c r="H43" s="6"/>
      <c r="I43" s="6"/>
      <c r="J43" s="6"/>
      <c r="K43" s="17"/>
      <c r="L43" s="6"/>
    </row>
    <row r="44" spans="1:12" s="3" customFormat="1" ht="12.75" customHeight="1" x14ac:dyDescent="0.2">
      <c r="A44" s="12"/>
      <c r="B44" s="17"/>
      <c r="C44" s="17"/>
      <c r="D44" s="12"/>
      <c r="E44" s="88"/>
      <c r="F44" s="88"/>
      <c r="G44" s="12"/>
      <c r="H44" s="6"/>
      <c r="I44" s="6"/>
      <c r="J44" s="6"/>
      <c r="K44" s="17"/>
      <c r="L44" s="6"/>
    </row>
    <row r="45" spans="1:12" x14ac:dyDescent="0.2">
      <c r="A45" s="12"/>
      <c r="B45" s="17"/>
      <c r="C45" s="17"/>
      <c r="D45" s="12"/>
      <c r="E45" s="88"/>
      <c r="F45" s="88"/>
      <c r="G45" s="12"/>
      <c r="H45" s="6"/>
      <c r="I45" s="6"/>
      <c r="J45" s="6"/>
      <c r="K45" s="17"/>
      <c r="L45" s="6"/>
    </row>
    <row r="46" spans="1:12" x14ac:dyDescent="0.2">
      <c r="A46" s="12"/>
      <c r="B46" s="17"/>
      <c r="C46" s="17"/>
      <c r="D46" s="12"/>
      <c r="E46" s="88"/>
      <c r="F46" s="88"/>
      <c r="G46" s="12"/>
      <c r="H46" s="6"/>
      <c r="I46" s="6"/>
      <c r="J46" s="6"/>
      <c r="K46" s="17"/>
      <c r="L46" s="6"/>
    </row>
    <row r="48" spans="1:12" hidden="1" x14ac:dyDescent="0.2"/>
    <row r="49" hidden="1" x14ac:dyDescent="0.2"/>
  </sheetData>
  <sortState xmlns:xlrd2="http://schemas.microsoft.com/office/spreadsheetml/2017/richdata2" ref="A5:L7">
    <sortCondition ref="D5:D7"/>
  </sortState>
  <mergeCells count="1">
    <mergeCell ref="K3:K4"/>
  </mergeCells>
  <pageMargins left="0.7" right="0.7" top="0.75" bottom="0.75" header="0.3" footer="0.3"/>
  <pageSetup scale="84" fitToHeight="6" orientation="landscape" horizontalDpi="300" r:id="rId1"/>
  <headerFooter>
    <oddFooter>&amp;R&amp;D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2FDD3-1BC8-454C-BA5C-24339206B615}">
  <sheetPr>
    <tabColor theme="0" tint="-0.34998626667073579"/>
    <pageSetUpPr fitToPage="1"/>
  </sheetPr>
  <dimension ref="A1:K39"/>
  <sheetViews>
    <sheetView workbookViewId="0"/>
  </sheetViews>
  <sheetFormatPr defaultRowHeight="12.75" x14ac:dyDescent="0.2"/>
  <cols>
    <col min="1" max="1" width="17.140625" customWidth="1"/>
    <col min="2" max="2" width="13.7109375" bestFit="1" customWidth="1"/>
    <col min="3" max="3" width="5.140625" customWidth="1"/>
    <col min="4" max="4" width="25.28515625" customWidth="1"/>
    <col min="5" max="5" width="16.5703125" style="81" hidden="1" customWidth="1"/>
    <col min="6" max="6" width="12.140625" customWidth="1"/>
    <col min="7" max="7" width="10.5703125" customWidth="1"/>
    <col min="8" max="8" width="11" customWidth="1"/>
    <col min="9" max="9" width="9.85546875" customWidth="1"/>
    <col min="10" max="10" width="12.85546875" customWidth="1"/>
    <col min="11" max="11" width="10.7109375" customWidth="1"/>
  </cols>
  <sheetData>
    <row r="1" spans="1:11" ht="15" x14ac:dyDescent="0.2">
      <c r="A1" s="5" t="str">
        <f ca="1">MID(CELL("filename",$A$1),FIND("]",CELL("filename",$A$1),1)+1,1024)</f>
        <v>PROGENY ADVANCED GENETICS</v>
      </c>
      <c r="B1" s="6"/>
      <c r="C1" s="6"/>
      <c r="D1" s="6"/>
      <c r="E1" s="76"/>
      <c r="F1" s="6"/>
      <c r="G1" s="6"/>
      <c r="H1" s="6"/>
      <c r="I1" s="6"/>
      <c r="J1" s="6"/>
      <c r="K1" s="6"/>
    </row>
    <row r="2" spans="1:11" x14ac:dyDescent="0.2">
      <c r="A2" s="6"/>
      <c r="B2" s="6"/>
      <c r="C2" s="6"/>
      <c r="D2" s="6"/>
      <c r="E2" s="76"/>
      <c r="F2" s="6"/>
      <c r="G2" s="6"/>
      <c r="H2" s="6"/>
      <c r="I2" s="6"/>
      <c r="J2" s="6"/>
      <c r="K2" s="6"/>
    </row>
    <row r="3" spans="1:11" x14ac:dyDescent="0.2">
      <c r="A3" s="6"/>
      <c r="B3" s="6"/>
      <c r="C3" s="6"/>
      <c r="D3" s="6"/>
      <c r="E3" s="76"/>
      <c r="F3" s="6"/>
      <c r="G3" s="6"/>
      <c r="H3" s="6"/>
      <c r="I3" s="6"/>
      <c r="J3" s="164" t="s">
        <v>96</v>
      </c>
      <c r="K3" s="6"/>
    </row>
    <row r="4" spans="1:11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77" t="s">
        <v>349</v>
      </c>
      <c r="F4" s="35" t="s">
        <v>4</v>
      </c>
      <c r="G4" s="33" t="s">
        <v>5</v>
      </c>
      <c r="H4" s="36" t="s">
        <v>95</v>
      </c>
      <c r="I4" s="36" t="s">
        <v>92</v>
      </c>
      <c r="J4" s="164"/>
      <c r="K4" s="36" t="s">
        <v>94</v>
      </c>
    </row>
    <row r="5" spans="1:11" x14ac:dyDescent="0.2">
      <c r="A5" s="6" t="s">
        <v>688</v>
      </c>
      <c r="B5" s="8" t="s">
        <v>689</v>
      </c>
      <c r="C5" s="6">
        <v>854</v>
      </c>
      <c r="D5" s="9" t="s">
        <v>682</v>
      </c>
      <c r="E5" s="78"/>
      <c r="F5" s="10">
        <v>44270</v>
      </c>
      <c r="G5" s="10">
        <v>44362</v>
      </c>
      <c r="H5" s="6"/>
      <c r="I5" s="6"/>
      <c r="J5" s="6"/>
      <c r="K5" s="6"/>
    </row>
    <row r="6" spans="1:11" x14ac:dyDescent="0.2">
      <c r="A6" s="6"/>
      <c r="B6" s="8"/>
      <c r="C6" s="6">
        <v>15</v>
      </c>
      <c r="D6" s="9" t="s">
        <v>82</v>
      </c>
      <c r="E6" s="78"/>
      <c r="F6" s="10">
        <v>44270</v>
      </c>
      <c r="G6" s="10">
        <v>44362</v>
      </c>
      <c r="H6" s="6"/>
      <c r="I6" s="6"/>
      <c r="J6" s="6"/>
      <c r="K6" s="6"/>
    </row>
    <row r="7" spans="1:11" x14ac:dyDescent="0.2">
      <c r="A7" s="6"/>
      <c r="B7" s="8"/>
      <c r="C7" s="6">
        <v>15</v>
      </c>
      <c r="D7" s="9" t="s">
        <v>71</v>
      </c>
      <c r="E7" s="78"/>
      <c r="F7" s="10">
        <v>44270</v>
      </c>
      <c r="G7" s="10">
        <v>44362</v>
      </c>
      <c r="H7" s="6"/>
      <c r="I7" s="6"/>
      <c r="J7" s="6"/>
      <c r="K7" s="18"/>
    </row>
    <row r="8" spans="1:11" x14ac:dyDescent="0.2">
      <c r="A8" s="6"/>
      <c r="B8" s="8"/>
      <c r="C8" s="6">
        <v>1</v>
      </c>
      <c r="D8" s="9" t="s">
        <v>443</v>
      </c>
      <c r="E8" s="78"/>
      <c r="F8" s="10">
        <v>44270</v>
      </c>
      <c r="G8" s="10">
        <v>44362</v>
      </c>
      <c r="H8" s="6"/>
      <c r="I8" s="6"/>
      <c r="J8" s="6"/>
      <c r="K8" s="6"/>
    </row>
    <row r="9" spans="1:11" x14ac:dyDescent="0.2">
      <c r="A9" s="6"/>
      <c r="B9" s="8"/>
      <c r="C9" s="6">
        <v>1</v>
      </c>
      <c r="D9" s="9" t="s">
        <v>427</v>
      </c>
      <c r="E9" s="78"/>
      <c r="F9" s="10">
        <v>44270</v>
      </c>
      <c r="G9" s="10">
        <v>44362</v>
      </c>
      <c r="H9" s="6"/>
      <c r="I9" s="6"/>
      <c r="J9" s="6"/>
      <c r="K9" s="6"/>
    </row>
    <row r="10" spans="1:11" x14ac:dyDescent="0.2">
      <c r="A10" s="6"/>
      <c r="B10" s="8"/>
      <c r="C10" s="6">
        <v>2</v>
      </c>
      <c r="D10" s="9" t="s">
        <v>248</v>
      </c>
      <c r="E10" s="78"/>
      <c r="F10" s="10">
        <v>44270</v>
      </c>
      <c r="G10" s="10">
        <v>44362</v>
      </c>
      <c r="H10" s="6"/>
      <c r="I10" s="6"/>
      <c r="J10" s="6"/>
      <c r="K10" s="6"/>
    </row>
    <row r="11" spans="1:11" x14ac:dyDescent="0.2">
      <c r="A11" s="6"/>
      <c r="B11" s="8"/>
      <c r="C11" s="6">
        <v>3</v>
      </c>
      <c r="D11" s="9" t="s">
        <v>89</v>
      </c>
      <c r="E11" s="78"/>
      <c r="F11" s="10">
        <v>44270</v>
      </c>
      <c r="G11" s="10">
        <v>44362</v>
      </c>
      <c r="H11" s="6"/>
      <c r="I11" s="6"/>
      <c r="J11" s="6"/>
      <c r="K11" s="6"/>
    </row>
    <row r="12" spans="1:11" x14ac:dyDescent="0.2">
      <c r="A12" s="6"/>
      <c r="B12" s="8"/>
      <c r="C12" s="6"/>
      <c r="D12" s="9"/>
      <c r="E12" s="78"/>
      <c r="F12" s="10"/>
      <c r="G12" s="10"/>
      <c r="H12" s="6"/>
      <c r="I12" s="6"/>
      <c r="J12" s="6"/>
      <c r="K12" s="6"/>
    </row>
    <row r="13" spans="1:11" x14ac:dyDescent="0.2">
      <c r="A13" s="6"/>
      <c r="B13" s="8"/>
      <c r="C13" s="6"/>
      <c r="D13" s="9"/>
      <c r="E13" s="78"/>
      <c r="F13" s="10"/>
      <c r="G13" s="10"/>
      <c r="H13" s="6"/>
      <c r="I13" s="6"/>
      <c r="J13" s="6"/>
      <c r="K13" s="6"/>
    </row>
    <row r="14" spans="1:11" x14ac:dyDescent="0.2">
      <c r="A14" s="6"/>
      <c r="B14" s="8"/>
      <c r="C14" s="6"/>
      <c r="D14" s="9"/>
      <c r="E14" s="78"/>
      <c r="F14" s="10"/>
      <c r="G14" s="10"/>
      <c r="H14" s="6"/>
      <c r="I14" s="6"/>
      <c r="J14" s="6"/>
      <c r="K14" s="6"/>
    </row>
    <row r="15" spans="1:11" x14ac:dyDescent="0.2">
      <c r="A15" s="6"/>
      <c r="B15" s="8"/>
      <c r="C15" s="6"/>
      <c r="D15" s="9"/>
      <c r="E15" s="78"/>
      <c r="F15" s="10"/>
      <c r="G15" s="10"/>
      <c r="H15" s="6"/>
      <c r="I15" s="6"/>
      <c r="J15" s="6"/>
      <c r="K15" s="6"/>
    </row>
    <row r="16" spans="1:11" x14ac:dyDescent="0.2">
      <c r="A16" s="6"/>
      <c r="B16" s="8"/>
      <c r="C16" s="6"/>
      <c r="D16" s="9"/>
      <c r="E16" s="78"/>
      <c r="F16" s="10"/>
      <c r="G16" s="10"/>
      <c r="H16" s="6"/>
      <c r="I16" s="6"/>
      <c r="J16" s="6"/>
      <c r="K16" s="6"/>
    </row>
    <row r="17" spans="1:11" x14ac:dyDescent="0.2">
      <c r="A17" s="6"/>
      <c r="B17" s="8"/>
      <c r="C17" s="6"/>
      <c r="D17" s="9"/>
      <c r="E17" s="78"/>
      <c r="F17" s="10"/>
      <c r="G17" s="10"/>
      <c r="H17" s="6"/>
      <c r="I17" s="6"/>
      <c r="J17" s="6"/>
      <c r="K17" s="6"/>
    </row>
    <row r="18" spans="1:11" x14ac:dyDescent="0.2">
      <c r="A18" s="6"/>
      <c r="B18" s="8"/>
      <c r="C18" s="6"/>
      <c r="D18" s="9"/>
      <c r="E18" s="78"/>
      <c r="F18" s="10"/>
      <c r="G18" s="10"/>
      <c r="H18" s="6"/>
      <c r="I18" s="6"/>
      <c r="J18" s="6"/>
      <c r="K18" s="6"/>
    </row>
    <row r="19" spans="1:11" x14ac:dyDescent="0.2">
      <c r="A19" s="6"/>
      <c r="B19" s="8"/>
      <c r="C19" s="6"/>
      <c r="D19" s="9"/>
      <c r="E19" s="78"/>
      <c r="F19" s="10"/>
      <c r="G19" s="10"/>
      <c r="H19" s="6"/>
      <c r="I19" s="6"/>
      <c r="J19" s="6"/>
      <c r="K19" s="6"/>
    </row>
    <row r="20" spans="1:11" x14ac:dyDescent="0.2">
      <c r="A20" s="6"/>
      <c r="B20" s="8"/>
      <c r="C20" s="6"/>
      <c r="D20" s="9"/>
      <c r="E20" s="78"/>
      <c r="F20" s="10"/>
      <c r="G20" s="10"/>
      <c r="H20" s="6"/>
      <c r="I20" s="6"/>
      <c r="J20" s="6"/>
      <c r="K20" s="6"/>
    </row>
    <row r="21" spans="1:11" x14ac:dyDescent="0.2">
      <c r="A21" s="6"/>
      <c r="B21" s="6"/>
      <c r="C21" s="6"/>
      <c r="D21" s="6"/>
      <c r="E21" s="76"/>
      <c r="F21" s="10"/>
      <c r="G21" s="10"/>
      <c r="H21" s="6"/>
      <c r="I21" s="6"/>
      <c r="J21" s="6"/>
      <c r="K21" s="6"/>
    </row>
    <row r="22" spans="1:11" x14ac:dyDescent="0.2">
      <c r="A22" s="6"/>
      <c r="B22" s="6"/>
      <c r="C22" s="6"/>
      <c r="D22" s="6"/>
      <c r="E22" s="76"/>
      <c r="F22" s="10"/>
      <c r="G22" s="10"/>
      <c r="H22" s="6"/>
      <c r="I22" s="6"/>
      <c r="J22" s="6"/>
      <c r="K22" s="6"/>
    </row>
    <row r="23" spans="1:11" x14ac:dyDescent="0.2">
      <c r="A23" s="6"/>
      <c r="B23" s="6"/>
      <c r="C23" s="6"/>
      <c r="D23" s="6"/>
      <c r="E23" s="76"/>
      <c r="F23" s="10"/>
      <c r="G23" s="10"/>
      <c r="H23" s="6"/>
      <c r="I23" s="6"/>
      <c r="J23" s="6"/>
      <c r="K23" s="6"/>
    </row>
    <row r="24" spans="1:11" x14ac:dyDescent="0.2">
      <c r="A24" s="6"/>
      <c r="B24" s="6"/>
      <c r="C24" s="6"/>
      <c r="D24" s="6"/>
      <c r="E24" s="76"/>
      <c r="F24" s="10"/>
      <c r="G24" s="10"/>
      <c r="H24" s="6"/>
      <c r="I24" s="6"/>
      <c r="J24" s="6"/>
      <c r="K24" s="6"/>
    </row>
    <row r="25" spans="1:11" x14ac:dyDescent="0.2">
      <c r="A25" s="6"/>
      <c r="B25" s="6"/>
      <c r="C25" s="6"/>
      <c r="D25" s="6"/>
      <c r="E25" s="76"/>
      <c r="F25" s="10"/>
      <c r="G25" s="10"/>
      <c r="H25" s="6"/>
      <c r="I25" s="6"/>
      <c r="J25" s="6"/>
      <c r="K25" s="6"/>
    </row>
    <row r="26" spans="1:11" x14ac:dyDescent="0.2">
      <c r="A26" s="6"/>
      <c r="B26" s="6"/>
      <c r="C26" s="6"/>
      <c r="D26" s="6"/>
      <c r="E26" s="76"/>
      <c r="F26" s="6"/>
      <c r="G26" s="6"/>
      <c r="H26" s="6"/>
      <c r="I26" s="6"/>
      <c r="J26" s="6"/>
      <c r="K26" s="6"/>
    </row>
    <row r="27" spans="1:11" x14ac:dyDescent="0.2">
      <c r="A27" s="6"/>
      <c r="B27" s="6"/>
      <c r="C27" s="6"/>
      <c r="D27" s="6"/>
      <c r="E27" s="76"/>
      <c r="F27" s="10"/>
      <c r="G27" s="10"/>
      <c r="H27" s="6"/>
      <c r="I27" s="6"/>
      <c r="J27" s="6"/>
      <c r="K27" s="6"/>
    </row>
    <row r="28" spans="1:11" x14ac:dyDescent="0.2">
      <c r="A28" s="6"/>
      <c r="B28" s="6"/>
      <c r="C28" s="6"/>
      <c r="D28" s="6"/>
      <c r="E28" s="76"/>
      <c r="F28" s="6"/>
      <c r="G28" s="6"/>
      <c r="H28" s="6"/>
      <c r="I28" s="6"/>
      <c r="J28" s="6"/>
      <c r="K28" s="6"/>
    </row>
    <row r="29" spans="1:11" x14ac:dyDescent="0.2">
      <c r="A29" s="6"/>
      <c r="B29" s="6"/>
      <c r="C29" s="6"/>
      <c r="D29" s="6"/>
      <c r="E29" s="76"/>
      <c r="F29" s="6"/>
      <c r="G29" s="6"/>
      <c r="H29" s="6"/>
      <c r="I29" s="6"/>
      <c r="J29" s="6"/>
      <c r="K29" s="6"/>
    </row>
    <row r="30" spans="1:11" x14ac:dyDescent="0.2">
      <c r="A30" s="6"/>
      <c r="B30" s="6"/>
      <c r="C30" s="6"/>
      <c r="D30" s="6"/>
      <c r="E30" s="76"/>
      <c r="F30" s="6"/>
      <c r="G30" s="6"/>
      <c r="H30" s="6"/>
      <c r="I30" s="6"/>
      <c r="J30" s="6"/>
      <c r="K30" s="6"/>
    </row>
    <row r="31" spans="1:11" x14ac:dyDescent="0.2">
      <c r="A31" s="6"/>
      <c r="B31" s="6"/>
      <c r="C31" s="6"/>
      <c r="D31" s="6"/>
      <c r="E31" s="76"/>
      <c r="F31" s="6"/>
      <c r="G31" s="6"/>
      <c r="H31" s="6"/>
      <c r="I31" s="6"/>
      <c r="J31" s="6"/>
      <c r="K31" s="6"/>
    </row>
    <row r="32" spans="1:11" x14ac:dyDescent="0.2">
      <c r="A32" s="6"/>
      <c r="B32" s="6"/>
      <c r="C32" s="6"/>
      <c r="D32" s="6"/>
      <c r="E32" s="76"/>
      <c r="F32" s="6"/>
      <c r="G32" s="6"/>
      <c r="H32" s="6"/>
      <c r="I32" s="6"/>
      <c r="J32" s="6"/>
      <c r="K32" s="6"/>
    </row>
    <row r="33" spans="1:11" x14ac:dyDescent="0.2">
      <c r="A33" s="6"/>
      <c r="B33" s="6"/>
      <c r="C33" s="6"/>
      <c r="D33" s="6"/>
      <c r="E33" s="76"/>
      <c r="F33" s="6"/>
      <c r="G33" s="6"/>
      <c r="H33" s="6"/>
      <c r="I33" s="6"/>
      <c r="J33" s="6"/>
      <c r="K33" s="6"/>
    </row>
    <row r="34" spans="1:11" x14ac:dyDescent="0.2">
      <c r="A34" s="6"/>
      <c r="B34" s="6"/>
      <c r="C34" s="6"/>
      <c r="D34" s="6"/>
      <c r="E34" s="76"/>
      <c r="F34" s="6"/>
      <c r="G34" s="6"/>
      <c r="H34" s="6"/>
      <c r="I34" s="6"/>
      <c r="J34" s="6"/>
      <c r="K34" s="6"/>
    </row>
    <row r="35" spans="1:11" x14ac:dyDescent="0.2">
      <c r="A35" s="6"/>
      <c r="B35" s="6"/>
      <c r="C35" s="6"/>
      <c r="D35" s="6"/>
      <c r="E35" s="76"/>
      <c r="F35" s="6"/>
      <c r="G35" s="6"/>
      <c r="H35" s="6"/>
      <c r="I35" s="6"/>
      <c r="J35" s="6"/>
      <c r="K35" s="6"/>
    </row>
    <row r="36" spans="1:11" x14ac:dyDescent="0.2">
      <c r="A36" s="6"/>
      <c r="B36" s="6"/>
      <c r="C36" s="6"/>
      <c r="D36" s="6"/>
      <c r="E36" s="76"/>
      <c r="F36" s="6"/>
      <c r="G36" s="6"/>
      <c r="H36" s="6"/>
      <c r="I36" s="6"/>
      <c r="J36" s="6"/>
      <c r="K36" s="6"/>
    </row>
    <row r="37" spans="1:11" x14ac:dyDescent="0.2">
      <c r="A37" s="6"/>
      <c r="B37" s="6"/>
      <c r="C37" s="6"/>
      <c r="D37" s="6"/>
      <c r="E37" s="76"/>
      <c r="F37" s="6"/>
      <c r="G37" s="6"/>
      <c r="H37" s="6"/>
      <c r="I37" s="6"/>
      <c r="J37" s="6"/>
      <c r="K37" s="6"/>
    </row>
    <row r="38" spans="1:11" x14ac:dyDescent="0.2">
      <c r="A38" s="6"/>
      <c r="B38" s="6"/>
      <c r="C38" s="6"/>
      <c r="D38" s="6"/>
      <c r="E38" s="76"/>
      <c r="F38" s="6"/>
      <c r="G38" s="6"/>
      <c r="H38" s="6"/>
      <c r="I38" s="6"/>
      <c r="J38" s="6"/>
      <c r="K38" s="6"/>
    </row>
    <row r="39" spans="1:11" x14ac:dyDescent="0.2">
      <c r="A39" s="6"/>
      <c r="B39" s="6"/>
      <c r="C39" s="6"/>
      <c r="D39" s="6"/>
      <c r="E39" s="76"/>
      <c r="F39" s="6"/>
      <c r="G39" s="6"/>
      <c r="H39" s="6"/>
      <c r="I39" s="6"/>
      <c r="J39" s="6"/>
      <c r="K39" s="6"/>
    </row>
  </sheetData>
  <mergeCells count="1">
    <mergeCell ref="J3:J4"/>
  </mergeCells>
  <pageMargins left="0.7" right="0.7" top="0.75" bottom="0.75" header="0.3" footer="0.3"/>
  <pageSetup scale="90" fitToHeight="6" orientation="landscape" horizontalDpi="300" r:id="rId1"/>
  <headerFooter>
    <oddFooter>&amp;R&amp;D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0" tint="-0.34998626667073579"/>
    <pageSetUpPr fitToPage="1"/>
  </sheetPr>
  <dimension ref="A1:K28"/>
  <sheetViews>
    <sheetView workbookViewId="0"/>
  </sheetViews>
  <sheetFormatPr defaultRowHeight="12.75" x14ac:dyDescent="0.2"/>
  <cols>
    <col min="1" max="1" width="17.140625" customWidth="1"/>
    <col min="2" max="2" width="10" customWidth="1"/>
    <col min="3" max="3" width="5.140625" customWidth="1"/>
    <col min="4" max="4" width="25.28515625" customWidth="1"/>
    <col min="5" max="5" width="16.5703125" style="81" hidden="1" customWidth="1"/>
    <col min="6" max="6" width="12.140625" customWidth="1"/>
    <col min="7" max="7" width="10.5703125" customWidth="1"/>
    <col min="8" max="8" width="11" customWidth="1"/>
    <col min="9" max="9" width="9.85546875" customWidth="1"/>
    <col min="10" max="10" width="12.85546875" customWidth="1"/>
    <col min="11" max="11" width="10.7109375" customWidth="1"/>
  </cols>
  <sheetData>
    <row r="1" spans="1:11" ht="15" x14ac:dyDescent="0.2">
      <c r="A1" s="5" t="str">
        <f ca="1">MID(CELL("filename",$A$1),FIND("]",CELL("filename",$A$1),1)+1,1024)</f>
        <v>RIO RANCHO 2005</v>
      </c>
      <c r="B1" s="6"/>
      <c r="C1" s="6"/>
      <c r="D1" s="6"/>
      <c r="E1" s="76"/>
      <c r="F1" s="6"/>
      <c r="G1" s="6"/>
      <c r="H1" s="6"/>
      <c r="I1" s="6"/>
      <c r="J1" s="6"/>
      <c r="K1" s="6"/>
    </row>
    <row r="2" spans="1:11" x14ac:dyDescent="0.2">
      <c r="A2" s="6"/>
      <c r="B2" s="6"/>
      <c r="C2" s="6"/>
      <c r="D2" s="6"/>
      <c r="E2" s="76"/>
      <c r="F2" s="6"/>
      <c r="G2" s="6"/>
      <c r="H2" s="6"/>
      <c r="I2" s="6"/>
      <c r="J2" s="6"/>
      <c r="K2" s="6"/>
    </row>
    <row r="3" spans="1:11" x14ac:dyDescent="0.2">
      <c r="A3" s="6"/>
      <c r="B3" s="6"/>
      <c r="C3" s="6"/>
      <c r="D3" s="6"/>
      <c r="E3" s="76"/>
      <c r="F3" s="6"/>
      <c r="G3" s="6"/>
      <c r="H3" s="6"/>
      <c r="I3" s="6"/>
      <c r="J3" s="164" t="s">
        <v>96</v>
      </c>
      <c r="K3" s="6"/>
    </row>
    <row r="4" spans="1:11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77" t="s">
        <v>349</v>
      </c>
      <c r="F4" s="35" t="s">
        <v>4</v>
      </c>
      <c r="G4" s="33" t="s">
        <v>5</v>
      </c>
      <c r="H4" s="36" t="s">
        <v>95</v>
      </c>
      <c r="I4" s="36" t="s">
        <v>92</v>
      </c>
      <c r="J4" s="164"/>
      <c r="K4" s="36" t="s">
        <v>94</v>
      </c>
    </row>
    <row r="5" spans="1:11" x14ac:dyDescent="0.2">
      <c r="A5" s="6" t="s">
        <v>205</v>
      </c>
      <c r="B5" s="8">
        <v>121645</v>
      </c>
      <c r="C5" s="6">
        <v>8400</v>
      </c>
      <c r="D5" s="9" t="s">
        <v>57</v>
      </c>
      <c r="E5" s="78"/>
      <c r="F5" s="10">
        <v>43678</v>
      </c>
      <c r="G5" s="10">
        <v>44043</v>
      </c>
      <c r="H5" s="6"/>
      <c r="I5" s="6"/>
      <c r="J5" s="6"/>
      <c r="K5" s="6"/>
    </row>
    <row r="6" spans="1:11" x14ac:dyDescent="0.2">
      <c r="A6" s="6" t="s">
        <v>232</v>
      </c>
      <c r="B6" s="8"/>
      <c r="C6" s="6">
        <v>82</v>
      </c>
      <c r="D6" s="9" t="s">
        <v>33</v>
      </c>
      <c r="E6" s="78"/>
      <c r="F6" s="10">
        <v>43678</v>
      </c>
      <c r="G6" s="10">
        <v>44043</v>
      </c>
      <c r="H6" s="6"/>
      <c r="I6" s="6"/>
      <c r="J6" s="6"/>
      <c r="K6" s="6"/>
    </row>
    <row r="7" spans="1:11" x14ac:dyDescent="0.2">
      <c r="A7" s="6"/>
      <c r="B7" s="8"/>
      <c r="C7" s="6">
        <v>82</v>
      </c>
      <c r="D7" s="9" t="s">
        <v>136</v>
      </c>
      <c r="E7" s="78"/>
      <c r="F7" s="10">
        <v>43678</v>
      </c>
      <c r="G7" s="10">
        <v>44043</v>
      </c>
      <c r="H7" s="6"/>
      <c r="I7" s="6"/>
      <c r="J7" s="6"/>
      <c r="K7" s="18"/>
    </row>
    <row r="8" spans="1:11" x14ac:dyDescent="0.2">
      <c r="A8" s="6"/>
      <c r="B8" s="8"/>
      <c r="C8" s="6">
        <v>41</v>
      </c>
      <c r="D8" s="9" t="s">
        <v>207</v>
      </c>
      <c r="E8" s="78"/>
      <c r="F8" s="10">
        <v>43678</v>
      </c>
      <c r="G8" s="10">
        <v>44043</v>
      </c>
      <c r="H8" s="6"/>
      <c r="I8" s="6"/>
      <c r="J8" s="6"/>
      <c r="K8" s="6"/>
    </row>
    <row r="9" spans="1:11" x14ac:dyDescent="0.2">
      <c r="A9" s="6"/>
      <c r="B9" s="8"/>
      <c r="C9" s="6">
        <v>41</v>
      </c>
      <c r="D9" s="9" t="s">
        <v>99</v>
      </c>
      <c r="E9" s="78"/>
      <c r="F9" s="10">
        <v>43678</v>
      </c>
      <c r="G9" s="10">
        <v>44043</v>
      </c>
      <c r="H9" s="6"/>
      <c r="I9" s="6"/>
      <c r="J9" s="6"/>
      <c r="K9" s="6"/>
    </row>
    <row r="10" spans="1:11" x14ac:dyDescent="0.2">
      <c r="A10" s="6"/>
      <c r="B10" s="8"/>
      <c r="C10" s="6">
        <v>82</v>
      </c>
      <c r="D10" s="9" t="s">
        <v>85</v>
      </c>
      <c r="E10" s="78"/>
      <c r="F10" s="10">
        <v>43678</v>
      </c>
      <c r="G10" s="10">
        <v>44043</v>
      </c>
      <c r="H10" s="6"/>
      <c r="I10" s="6"/>
      <c r="J10" s="6"/>
      <c r="K10" s="6"/>
    </row>
    <row r="11" spans="1:11" x14ac:dyDescent="0.2">
      <c r="A11" s="6"/>
      <c r="B11" s="8"/>
      <c r="C11" s="6">
        <v>41</v>
      </c>
      <c r="D11" s="9" t="s">
        <v>208</v>
      </c>
      <c r="E11" s="78"/>
      <c r="F11" s="10">
        <v>43678</v>
      </c>
      <c r="G11" s="10">
        <v>44043</v>
      </c>
      <c r="H11" s="6"/>
      <c r="I11" s="6"/>
      <c r="J11" s="6"/>
      <c r="K11" s="6"/>
    </row>
    <row r="12" spans="1:11" x14ac:dyDescent="0.2">
      <c r="A12" s="6"/>
      <c r="B12" s="8"/>
      <c r="C12" s="6">
        <v>2</v>
      </c>
      <c r="D12" s="9" t="s">
        <v>10</v>
      </c>
      <c r="E12" s="78"/>
      <c r="F12" s="10">
        <v>43678</v>
      </c>
      <c r="G12" s="10">
        <v>44043</v>
      </c>
      <c r="H12" s="6"/>
      <c r="I12" s="6"/>
      <c r="J12" s="6"/>
      <c r="K12" s="6"/>
    </row>
    <row r="13" spans="1:11" x14ac:dyDescent="0.2">
      <c r="A13" s="6"/>
      <c r="B13" s="8"/>
      <c r="C13" s="6">
        <v>164</v>
      </c>
      <c r="D13" s="9" t="s">
        <v>209</v>
      </c>
      <c r="E13" s="78"/>
      <c r="F13" s="10">
        <v>43678</v>
      </c>
      <c r="G13" s="10">
        <v>44043</v>
      </c>
      <c r="H13" s="6"/>
      <c r="I13" s="6"/>
      <c r="J13" s="6"/>
      <c r="K13" s="6"/>
    </row>
    <row r="14" spans="1:11" x14ac:dyDescent="0.2">
      <c r="A14" s="6"/>
      <c r="B14" s="8"/>
      <c r="C14" s="6">
        <v>2</v>
      </c>
      <c r="D14" s="9" t="s">
        <v>210</v>
      </c>
      <c r="E14" s="78"/>
      <c r="F14" s="10">
        <v>43678</v>
      </c>
      <c r="G14" s="10">
        <v>44043</v>
      </c>
      <c r="H14" s="6"/>
      <c r="I14" s="6"/>
      <c r="J14" s="6"/>
      <c r="K14" s="6"/>
    </row>
    <row r="15" spans="1:11" x14ac:dyDescent="0.2">
      <c r="A15" s="6"/>
      <c r="B15" s="8"/>
      <c r="C15" s="6">
        <v>2</v>
      </c>
      <c r="D15" s="9" t="s">
        <v>211</v>
      </c>
      <c r="E15" s="78"/>
      <c r="F15" s="10">
        <v>43678</v>
      </c>
      <c r="G15" s="10">
        <v>44043</v>
      </c>
      <c r="H15" s="6"/>
      <c r="I15" s="6"/>
      <c r="J15" s="6"/>
      <c r="K15" s="6"/>
    </row>
    <row r="16" spans="1:11" x14ac:dyDescent="0.2">
      <c r="A16" s="6"/>
      <c r="B16" s="8"/>
      <c r="C16" s="6">
        <v>82</v>
      </c>
      <c r="D16" s="9" t="s">
        <v>199</v>
      </c>
      <c r="E16" s="78">
        <v>72000</v>
      </c>
      <c r="F16" s="10">
        <v>43678</v>
      </c>
      <c r="G16" s="10">
        <v>44043</v>
      </c>
      <c r="H16" s="6"/>
      <c r="I16" s="6"/>
      <c r="J16" s="6"/>
      <c r="K16" s="6"/>
    </row>
    <row r="17" spans="1:11" x14ac:dyDescent="0.2">
      <c r="A17" s="19"/>
      <c r="B17" s="30"/>
      <c r="C17" s="19"/>
      <c r="D17" s="28"/>
      <c r="E17" s="79"/>
      <c r="F17" s="29"/>
      <c r="G17" s="29"/>
      <c r="H17" s="19"/>
      <c r="I17" s="19"/>
      <c r="J17" s="19"/>
      <c r="K17" s="19"/>
    </row>
    <row r="18" spans="1:11" x14ac:dyDescent="0.2">
      <c r="A18" s="6"/>
      <c r="B18" s="6"/>
      <c r="C18" s="6"/>
      <c r="D18" s="6"/>
      <c r="E18" s="76"/>
      <c r="F18" s="6"/>
      <c r="G18" s="6"/>
      <c r="H18" s="6"/>
      <c r="I18" s="6"/>
      <c r="J18" s="6"/>
      <c r="K18" s="6"/>
    </row>
    <row r="19" spans="1:11" x14ac:dyDescent="0.2">
      <c r="A19" s="6"/>
      <c r="B19" s="6"/>
      <c r="C19" s="6"/>
      <c r="D19" s="6"/>
      <c r="E19" s="76"/>
      <c r="F19" s="6"/>
      <c r="G19" s="6"/>
      <c r="H19" s="6"/>
      <c r="I19" s="6"/>
      <c r="J19" s="6"/>
      <c r="K19" s="6"/>
    </row>
    <row r="20" spans="1:11" x14ac:dyDescent="0.2">
      <c r="A20" s="6"/>
      <c r="B20" s="6"/>
      <c r="C20" s="6"/>
      <c r="D20" s="6"/>
      <c r="E20" s="76"/>
      <c r="F20" s="6"/>
      <c r="G20" s="6"/>
      <c r="H20" s="6"/>
      <c r="I20" s="6"/>
      <c r="J20" s="6"/>
      <c r="K20" s="6"/>
    </row>
    <row r="21" spans="1:11" x14ac:dyDescent="0.2">
      <c r="A21" s="6"/>
      <c r="B21" s="6"/>
      <c r="C21" s="6"/>
      <c r="D21" s="6"/>
      <c r="E21" s="76"/>
      <c r="F21" s="6"/>
      <c r="G21" s="6"/>
      <c r="H21" s="6"/>
      <c r="I21" s="6"/>
      <c r="J21" s="6"/>
      <c r="K21" s="6"/>
    </row>
    <row r="22" spans="1:11" x14ac:dyDescent="0.2">
      <c r="A22" s="6"/>
      <c r="B22" s="6"/>
      <c r="C22" s="6"/>
      <c r="D22" s="6"/>
      <c r="E22" s="76"/>
      <c r="F22" s="6"/>
      <c r="G22" s="6"/>
      <c r="H22" s="6"/>
      <c r="I22" s="6"/>
      <c r="J22" s="6"/>
      <c r="K22" s="6"/>
    </row>
    <row r="23" spans="1:11" x14ac:dyDescent="0.2">
      <c r="A23" s="6"/>
      <c r="B23" s="6"/>
      <c r="C23" s="6"/>
      <c r="D23" s="6"/>
      <c r="E23" s="76"/>
      <c r="F23" s="6"/>
      <c r="G23" s="6"/>
      <c r="H23" s="6"/>
      <c r="I23" s="6"/>
      <c r="J23" s="6"/>
      <c r="K23" s="6"/>
    </row>
    <row r="24" spans="1:11" x14ac:dyDescent="0.2">
      <c r="A24" s="6"/>
      <c r="B24" s="6"/>
      <c r="C24" s="6"/>
      <c r="D24" s="6"/>
      <c r="E24" s="76"/>
      <c r="F24" s="6"/>
      <c r="G24" s="6"/>
      <c r="H24" s="6"/>
      <c r="I24" s="6"/>
      <c r="J24" s="6"/>
      <c r="K24" s="6"/>
    </row>
    <row r="25" spans="1:11" x14ac:dyDescent="0.2">
      <c r="A25" s="6"/>
      <c r="B25" s="6"/>
      <c r="C25" s="6"/>
      <c r="D25" s="6"/>
      <c r="E25" s="76"/>
      <c r="F25" s="6"/>
      <c r="G25" s="6"/>
      <c r="H25" s="6"/>
      <c r="I25" s="6"/>
      <c r="J25" s="6"/>
      <c r="K25" s="6"/>
    </row>
    <row r="26" spans="1:11" x14ac:dyDescent="0.2">
      <c r="A26" s="6"/>
      <c r="B26" s="6"/>
      <c r="C26" s="6"/>
      <c r="D26" s="6"/>
      <c r="E26" s="76"/>
      <c r="F26" s="6"/>
      <c r="G26" s="6"/>
      <c r="H26" s="6"/>
      <c r="I26" s="6"/>
      <c r="J26" s="6"/>
      <c r="K26" s="6"/>
    </row>
    <row r="27" spans="1:11" x14ac:dyDescent="0.2">
      <c r="A27" s="6"/>
      <c r="B27" s="6"/>
      <c r="C27" s="6"/>
      <c r="D27" s="6"/>
      <c r="E27" s="76"/>
      <c r="F27" s="6"/>
      <c r="G27" s="6"/>
      <c r="H27" s="6"/>
      <c r="I27" s="6"/>
      <c r="J27" s="6"/>
      <c r="K27" s="6"/>
    </row>
    <row r="28" spans="1:11" x14ac:dyDescent="0.2">
      <c r="A28" s="6"/>
      <c r="B28" s="6"/>
      <c r="C28" s="6"/>
      <c r="D28" s="6"/>
      <c r="E28" s="76"/>
      <c r="F28" s="6"/>
      <c r="G28" s="6"/>
      <c r="H28" s="6"/>
      <c r="I28" s="6"/>
      <c r="J28" s="6"/>
      <c r="K28" s="6"/>
    </row>
  </sheetData>
  <mergeCells count="1">
    <mergeCell ref="J3:J4"/>
  </mergeCells>
  <pageMargins left="0.7" right="0.7" top="0.75" bottom="0.75" header="0.3" footer="0.3"/>
  <pageSetup scale="93" fitToHeight="6" orientation="landscape" horizontalDpi="300" r:id="rId1"/>
  <headerFooter>
    <oddFooter>&amp;R&amp;D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0" tint="-0.34998626667073579"/>
    <pageSetUpPr fitToPage="1"/>
  </sheetPr>
  <dimension ref="A1:K37"/>
  <sheetViews>
    <sheetView workbookViewId="0"/>
  </sheetViews>
  <sheetFormatPr defaultRowHeight="12.75" x14ac:dyDescent="0.2"/>
  <cols>
    <col min="1" max="1" width="22.42578125" customWidth="1"/>
    <col min="2" max="2" width="14.7109375" customWidth="1"/>
    <col min="3" max="3" width="7.7109375" customWidth="1"/>
    <col min="4" max="4" width="27.42578125" customWidth="1"/>
    <col min="5" max="5" width="27.42578125" style="81" hidden="1" customWidth="1"/>
    <col min="6" max="6" width="12.140625" customWidth="1"/>
    <col min="7" max="7" width="11.5703125" customWidth="1"/>
    <col min="8" max="8" width="11.28515625" customWidth="1"/>
    <col min="9" max="9" width="11.140625" customWidth="1"/>
    <col min="10" max="10" width="12.7109375" customWidth="1"/>
  </cols>
  <sheetData>
    <row r="1" spans="1:11" ht="18" x14ac:dyDescent="0.25">
      <c r="A1" s="13" t="str">
        <f ca="1">MID(CELL("filename",$A$1),FIND("]",CELL("filename",$A$1),1)+1,1024)</f>
        <v>RV FARMS</v>
      </c>
      <c r="B1" s="6"/>
      <c r="C1" s="6"/>
      <c r="D1" s="6"/>
      <c r="E1" s="76"/>
      <c r="F1" s="6"/>
      <c r="G1" s="6"/>
      <c r="H1" s="6"/>
      <c r="I1" s="6"/>
      <c r="J1" s="6"/>
      <c r="K1" s="6"/>
    </row>
    <row r="2" spans="1:11" x14ac:dyDescent="0.2">
      <c r="A2" s="6"/>
      <c r="B2" s="6"/>
      <c r="C2" s="6"/>
      <c r="D2" s="6"/>
      <c r="E2" s="76"/>
      <c r="F2" s="6"/>
      <c r="G2" s="6"/>
      <c r="H2" s="6"/>
      <c r="I2" s="6"/>
      <c r="J2" s="6"/>
      <c r="K2" s="6"/>
    </row>
    <row r="3" spans="1:11" x14ac:dyDescent="0.2">
      <c r="A3" s="6"/>
      <c r="B3" s="6"/>
      <c r="C3" s="6"/>
      <c r="D3" s="6"/>
      <c r="E3" s="76"/>
      <c r="F3" s="6"/>
      <c r="G3" s="6"/>
      <c r="H3" s="6"/>
      <c r="I3" s="6"/>
      <c r="J3" s="168" t="s">
        <v>93</v>
      </c>
      <c r="K3" s="6"/>
    </row>
    <row r="4" spans="1:11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77" t="s">
        <v>349</v>
      </c>
      <c r="F4" s="35" t="s">
        <v>4</v>
      </c>
      <c r="G4" s="33" t="s">
        <v>5</v>
      </c>
      <c r="H4" s="33" t="s">
        <v>95</v>
      </c>
      <c r="I4" s="36" t="s">
        <v>92</v>
      </c>
      <c r="J4" s="168"/>
      <c r="K4" s="36" t="s">
        <v>94</v>
      </c>
    </row>
    <row r="5" spans="1:11" x14ac:dyDescent="0.2">
      <c r="A5" s="6" t="s">
        <v>740</v>
      </c>
      <c r="B5" s="6" t="s">
        <v>741</v>
      </c>
      <c r="C5" s="6">
        <v>21</v>
      </c>
      <c r="D5" s="6" t="s">
        <v>742</v>
      </c>
      <c r="E5" s="76"/>
      <c r="F5" s="10">
        <v>44260</v>
      </c>
      <c r="G5" s="10">
        <v>44413</v>
      </c>
      <c r="H5" s="6"/>
      <c r="I5" s="6"/>
      <c r="J5" s="12"/>
      <c r="K5" s="6"/>
    </row>
    <row r="6" spans="1:11" x14ac:dyDescent="0.2">
      <c r="A6" s="6"/>
      <c r="B6" s="6"/>
      <c r="C6" s="6">
        <v>1</v>
      </c>
      <c r="D6" s="6" t="s">
        <v>743</v>
      </c>
      <c r="E6" s="76"/>
      <c r="F6" s="10">
        <v>44260</v>
      </c>
      <c r="G6" s="10">
        <v>44413</v>
      </c>
      <c r="H6" s="6"/>
      <c r="I6" s="6"/>
      <c r="J6" s="12"/>
      <c r="K6" s="6"/>
    </row>
    <row r="7" spans="1:11" x14ac:dyDescent="0.2">
      <c r="A7" s="6"/>
      <c r="B7" s="6"/>
      <c r="C7" s="6">
        <v>1</v>
      </c>
      <c r="D7" s="6" t="s">
        <v>744</v>
      </c>
      <c r="E7" s="76"/>
      <c r="F7" s="10">
        <v>44260</v>
      </c>
      <c r="G7" s="10">
        <v>44413</v>
      </c>
      <c r="H7" s="6"/>
      <c r="I7" s="6"/>
      <c r="J7" s="12"/>
      <c r="K7" s="6"/>
    </row>
    <row r="8" spans="1:11" x14ac:dyDescent="0.2">
      <c r="A8" s="6"/>
      <c r="B8" s="6"/>
      <c r="C8" s="6">
        <v>2</v>
      </c>
      <c r="D8" s="6" t="s">
        <v>745</v>
      </c>
      <c r="E8" s="76"/>
      <c r="F8" s="10">
        <v>44260</v>
      </c>
      <c r="G8" s="10">
        <v>44413</v>
      </c>
      <c r="H8" s="6"/>
      <c r="I8" s="6"/>
      <c r="J8" s="12"/>
      <c r="K8" s="6"/>
    </row>
    <row r="9" spans="1:11" x14ac:dyDescent="0.2">
      <c r="A9" s="6"/>
      <c r="B9" s="6"/>
      <c r="C9" s="6">
        <v>1</v>
      </c>
      <c r="D9" s="6" t="s">
        <v>746</v>
      </c>
      <c r="E9" s="76"/>
      <c r="F9" s="10">
        <v>44260</v>
      </c>
      <c r="G9" s="10">
        <v>44413</v>
      </c>
      <c r="H9" s="6"/>
      <c r="I9" s="6"/>
      <c r="J9" s="12"/>
      <c r="K9" s="6"/>
    </row>
    <row r="10" spans="1:11" x14ac:dyDescent="0.2">
      <c r="A10" s="6"/>
      <c r="B10" s="6"/>
      <c r="C10" s="6">
        <v>1</v>
      </c>
      <c r="D10" s="6" t="s">
        <v>747</v>
      </c>
      <c r="E10" s="76"/>
      <c r="F10" s="10">
        <v>44260</v>
      </c>
      <c r="G10" s="10">
        <v>44413</v>
      </c>
      <c r="H10" s="6"/>
      <c r="I10" s="6"/>
      <c r="J10" s="12"/>
      <c r="K10" s="6"/>
    </row>
    <row r="11" spans="1:11" x14ac:dyDescent="0.2">
      <c r="A11" s="6"/>
      <c r="B11" s="6"/>
      <c r="C11" s="6">
        <v>1</v>
      </c>
      <c r="D11" s="6" t="s">
        <v>111</v>
      </c>
      <c r="E11" s="76"/>
      <c r="F11" s="10">
        <v>44260</v>
      </c>
      <c r="G11" s="10">
        <v>44413</v>
      </c>
      <c r="H11" s="6"/>
      <c r="I11" s="6"/>
      <c r="J11" s="12"/>
      <c r="K11" s="6"/>
    </row>
    <row r="12" spans="1:11" x14ac:dyDescent="0.2">
      <c r="A12" s="6"/>
      <c r="B12" s="6"/>
      <c r="C12" s="6">
        <v>26</v>
      </c>
      <c r="D12" s="6" t="s">
        <v>748</v>
      </c>
      <c r="E12" s="76"/>
      <c r="F12" s="10">
        <v>44260</v>
      </c>
      <c r="G12" s="10">
        <v>44413</v>
      </c>
      <c r="H12" s="6"/>
      <c r="I12" s="6"/>
      <c r="J12" s="12"/>
      <c r="K12" s="6"/>
    </row>
    <row r="13" spans="1:11" x14ac:dyDescent="0.2">
      <c r="A13" s="6"/>
      <c r="B13" s="6"/>
      <c r="C13" s="6"/>
      <c r="D13" s="6"/>
      <c r="E13" s="76"/>
      <c r="F13" s="6"/>
      <c r="G13" s="6"/>
      <c r="H13" s="6"/>
      <c r="I13" s="6"/>
      <c r="J13" s="12"/>
      <c r="K13" s="6"/>
    </row>
    <row r="14" spans="1:11" x14ac:dyDescent="0.2">
      <c r="A14" s="6"/>
      <c r="B14" s="6"/>
      <c r="C14" s="6"/>
      <c r="D14" s="6"/>
      <c r="E14" s="76"/>
      <c r="F14" s="6"/>
      <c r="G14" s="6"/>
      <c r="H14" s="6"/>
      <c r="I14" s="6"/>
      <c r="J14" s="12"/>
      <c r="K14" s="6"/>
    </row>
    <row r="15" spans="1:11" x14ac:dyDescent="0.2">
      <c r="A15" s="6"/>
      <c r="B15" s="6"/>
      <c r="C15" s="6"/>
      <c r="D15" s="6"/>
      <c r="E15" s="76"/>
      <c r="F15" s="6"/>
      <c r="G15" s="6"/>
      <c r="H15" s="6"/>
      <c r="I15" s="6"/>
      <c r="J15" s="12"/>
      <c r="K15" s="6"/>
    </row>
    <row r="16" spans="1:11" x14ac:dyDescent="0.2">
      <c r="A16" s="6"/>
      <c r="B16" s="6"/>
      <c r="C16" s="6"/>
      <c r="D16" s="6"/>
      <c r="E16" s="76"/>
      <c r="F16" s="6"/>
      <c r="G16" s="6"/>
      <c r="H16" s="6"/>
      <c r="I16" s="6"/>
      <c r="J16" s="12"/>
      <c r="K16" s="6"/>
    </row>
    <row r="17" spans="1:11" x14ac:dyDescent="0.2">
      <c r="A17" s="6"/>
      <c r="B17" s="6"/>
      <c r="C17" s="6"/>
      <c r="D17" s="6"/>
      <c r="E17" s="76"/>
      <c r="F17" s="6"/>
      <c r="G17" s="6"/>
      <c r="H17" s="6"/>
      <c r="I17" s="6"/>
      <c r="J17" s="12"/>
      <c r="K17" s="6"/>
    </row>
    <row r="18" spans="1:11" x14ac:dyDescent="0.2">
      <c r="A18" s="6"/>
      <c r="B18" s="6"/>
      <c r="C18" s="6"/>
      <c r="D18" s="6"/>
      <c r="E18" s="76"/>
      <c r="F18" s="6"/>
      <c r="G18" s="6"/>
      <c r="H18" s="6"/>
      <c r="I18" s="6"/>
      <c r="J18" s="12"/>
      <c r="K18" s="6"/>
    </row>
    <row r="19" spans="1:11" x14ac:dyDescent="0.2">
      <c r="A19" s="6"/>
      <c r="B19" s="6"/>
      <c r="C19" s="6"/>
      <c r="D19" s="6"/>
      <c r="E19" s="76"/>
      <c r="F19" s="6"/>
      <c r="G19" s="6"/>
      <c r="H19" s="6"/>
      <c r="I19" s="6"/>
      <c r="J19" s="6"/>
      <c r="K19" s="6"/>
    </row>
    <row r="20" spans="1:11" x14ac:dyDescent="0.2">
      <c r="A20" s="6"/>
      <c r="B20" s="6"/>
      <c r="C20" s="6"/>
      <c r="D20" s="6"/>
      <c r="E20" s="76"/>
      <c r="F20" s="6"/>
      <c r="G20" s="6"/>
      <c r="H20" s="6"/>
      <c r="I20" s="6"/>
      <c r="J20" s="6"/>
      <c r="K20" s="6"/>
    </row>
    <row r="21" spans="1:11" x14ac:dyDescent="0.2">
      <c r="A21" s="6"/>
      <c r="B21" s="6"/>
      <c r="C21" s="6"/>
      <c r="D21" s="6"/>
      <c r="E21" s="76"/>
      <c r="F21" s="6"/>
      <c r="G21" s="6"/>
      <c r="H21" s="6"/>
      <c r="I21" s="6"/>
      <c r="J21" s="6"/>
      <c r="K21" s="6"/>
    </row>
    <row r="22" spans="1:11" x14ac:dyDescent="0.2">
      <c r="A22" s="6"/>
      <c r="B22" s="6"/>
      <c r="C22" s="6"/>
      <c r="D22" s="6"/>
      <c r="E22" s="76"/>
      <c r="F22" s="6"/>
      <c r="G22" s="6"/>
      <c r="H22" s="6"/>
      <c r="I22" s="6"/>
      <c r="J22" s="6"/>
      <c r="K22" s="6"/>
    </row>
    <row r="23" spans="1:11" x14ac:dyDescent="0.2">
      <c r="A23" s="6"/>
      <c r="B23" s="6"/>
      <c r="C23" s="6"/>
      <c r="D23" s="6"/>
      <c r="E23" s="76"/>
      <c r="F23" s="6"/>
      <c r="G23" s="6"/>
      <c r="H23" s="6"/>
      <c r="I23" s="6"/>
      <c r="J23" s="6"/>
      <c r="K23" s="6"/>
    </row>
    <row r="24" spans="1:11" x14ac:dyDescent="0.2">
      <c r="A24" s="6"/>
      <c r="B24" s="6"/>
      <c r="C24" s="6"/>
      <c r="D24" s="6"/>
      <c r="E24" s="76"/>
      <c r="F24" s="6"/>
      <c r="G24" s="6"/>
      <c r="H24" s="6"/>
      <c r="I24" s="6"/>
      <c r="J24" s="6"/>
      <c r="K24" s="6"/>
    </row>
    <row r="25" spans="1:11" x14ac:dyDescent="0.2">
      <c r="A25" s="6"/>
      <c r="B25" s="6"/>
      <c r="C25" s="6"/>
      <c r="D25" s="6"/>
      <c r="E25" s="76"/>
      <c r="F25" s="6"/>
      <c r="G25" s="6"/>
      <c r="H25" s="6"/>
      <c r="I25" s="6"/>
      <c r="J25" s="6"/>
      <c r="K25" s="6"/>
    </row>
    <row r="26" spans="1:11" x14ac:dyDescent="0.2">
      <c r="A26" s="6"/>
      <c r="B26" s="6"/>
      <c r="C26" s="6"/>
      <c r="D26" s="6"/>
      <c r="E26" s="76"/>
      <c r="F26" s="6"/>
      <c r="G26" s="6"/>
      <c r="H26" s="6"/>
      <c r="I26" s="6"/>
      <c r="J26" s="6"/>
      <c r="K26" s="6"/>
    </row>
    <row r="27" spans="1:11" x14ac:dyDescent="0.2">
      <c r="A27" s="6"/>
      <c r="B27" s="6"/>
      <c r="C27" s="6"/>
      <c r="D27" s="6"/>
      <c r="E27" s="76"/>
      <c r="F27" s="6"/>
      <c r="G27" s="6"/>
      <c r="H27" s="6"/>
      <c r="I27" s="6"/>
      <c r="J27" s="6"/>
      <c r="K27" s="6"/>
    </row>
    <row r="28" spans="1:11" x14ac:dyDescent="0.2">
      <c r="A28" s="6"/>
      <c r="B28" s="6"/>
      <c r="C28" s="6"/>
      <c r="D28" s="6"/>
      <c r="E28" s="76"/>
      <c r="F28" s="6"/>
      <c r="G28" s="6"/>
      <c r="H28" s="6"/>
      <c r="I28" s="6"/>
      <c r="J28" s="6"/>
      <c r="K28" s="6"/>
    </row>
    <row r="29" spans="1:11" x14ac:dyDescent="0.2">
      <c r="A29" s="6"/>
      <c r="B29" s="6"/>
      <c r="C29" s="6"/>
      <c r="D29" s="6"/>
      <c r="E29" s="76"/>
      <c r="F29" s="6"/>
      <c r="G29" s="6"/>
      <c r="H29" s="6"/>
      <c r="I29" s="6"/>
      <c r="J29" s="6"/>
      <c r="K29" s="6"/>
    </row>
    <row r="30" spans="1:11" x14ac:dyDescent="0.2">
      <c r="A30" s="6"/>
      <c r="B30" s="6"/>
      <c r="C30" s="6"/>
      <c r="D30" s="6"/>
      <c r="E30" s="76"/>
      <c r="F30" s="6"/>
      <c r="G30" s="6"/>
      <c r="H30" s="6"/>
      <c r="I30" s="6"/>
      <c r="J30" s="6"/>
      <c r="K30" s="6"/>
    </row>
    <row r="31" spans="1:11" x14ac:dyDescent="0.2">
      <c r="A31" s="6"/>
      <c r="B31" s="6"/>
      <c r="C31" s="6"/>
      <c r="D31" s="6"/>
      <c r="E31" s="76"/>
      <c r="F31" s="6"/>
      <c r="G31" s="6"/>
      <c r="H31" s="6"/>
      <c r="I31" s="6"/>
      <c r="J31" s="6"/>
      <c r="K31" s="6"/>
    </row>
    <row r="32" spans="1:11" x14ac:dyDescent="0.2">
      <c r="A32" s="6"/>
      <c r="B32" s="6"/>
      <c r="C32" s="6"/>
      <c r="D32" s="6"/>
      <c r="E32" s="76"/>
      <c r="F32" s="6"/>
      <c r="G32" s="6"/>
      <c r="H32" s="6"/>
      <c r="I32" s="6"/>
      <c r="J32" s="6"/>
      <c r="K32" s="6"/>
    </row>
    <row r="33" spans="1:11" x14ac:dyDescent="0.2">
      <c r="A33" s="6"/>
      <c r="B33" s="6"/>
      <c r="C33" s="6"/>
      <c r="D33" s="6"/>
      <c r="E33" s="76"/>
      <c r="F33" s="6"/>
      <c r="G33" s="6"/>
      <c r="H33" s="6"/>
      <c r="I33" s="6"/>
      <c r="J33" s="6"/>
      <c r="K33" s="6"/>
    </row>
    <row r="34" spans="1:11" x14ac:dyDescent="0.2">
      <c r="A34" s="6"/>
      <c r="B34" s="6"/>
      <c r="C34" s="6"/>
      <c r="D34" s="6"/>
      <c r="E34" s="76"/>
      <c r="F34" s="6"/>
      <c r="G34" s="6"/>
      <c r="H34" s="6"/>
      <c r="I34" s="6"/>
      <c r="J34" s="6"/>
      <c r="K34" s="6"/>
    </row>
    <row r="35" spans="1:11" x14ac:dyDescent="0.2">
      <c r="A35" s="6"/>
      <c r="B35" s="6"/>
      <c r="C35" s="6"/>
      <c r="D35" s="6"/>
      <c r="E35" s="76"/>
      <c r="F35" s="6"/>
      <c r="G35" s="6"/>
      <c r="H35" s="6"/>
      <c r="I35" s="6"/>
      <c r="J35" s="6"/>
      <c r="K35" s="6"/>
    </row>
    <row r="36" spans="1:11" x14ac:dyDescent="0.2">
      <c r="A36" s="6"/>
      <c r="B36" s="6"/>
      <c r="C36" s="6"/>
      <c r="D36" s="6"/>
      <c r="E36" s="76"/>
      <c r="F36" s="6"/>
      <c r="G36" s="6"/>
      <c r="H36" s="6"/>
      <c r="I36" s="6"/>
      <c r="J36" s="6"/>
      <c r="K36" s="6"/>
    </row>
    <row r="37" spans="1:11" x14ac:dyDescent="0.2">
      <c r="A37" s="6"/>
      <c r="B37" s="6"/>
      <c r="C37" s="6"/>
      <c r="D37" s="6"/>
      <c r="E37" s="76"/>
      <c r="F37" s="6"/>
      <c r="G37" s="6"/>
      <c r="H37" s="6"/>
      <c r="I37" s="6"/>
      <c r="J37" s="6"/>
      <c r="K37" s="6"/>
    </row>
  </sheetData>
  <mergeCells count="1">
    <mergeCell ref="J3:J4"/>
  </mergeCells>
  <pageMargins left="0.7" right="0.7" top="0.75" bottom="0.75" header="0.3" footer="0.3"/>
  <pageSetup scale="83" fitToHeight="6" orientation="landscape" horizontalDpi="300" r:id="rId1"/>
  <headerFooter>
    <oddFooter>&amp;R&amp;D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69">
    <tabColor theme="0" tint="-0.34998626667073579"/>
    <pageSetUpPr fitToPage="1"/>
  </sheetPr>
  <dimension ref="A1:J74"/>
  <sheetViews>
    <sheetView workbookViewId="0"/>
  </sheetViews>
  <sheetFormatPr defaultRowHeight="12.75" x14ac:dyDescent="0.2"/>
  <cols>
    <col min="1" max="1" width="22.42578125" customWidth="1"/>
    <col min="2" max="2" width="14.7109375" customWidth="1"/>
    <col min="3" max="3" width="5.5703125" customWidth="1"/>
    <col min="4" max="4" width="19" customWidth="1"/>
    <col min="5" max="5" width="12.140625" customWidth="1"/>
    <col min="6" max="6" width="11.5703125" customWidth="1"/>
    <col min="7" max="7" width="11.28515625" customWidth="1"/>
    <col min="8" max="8" width="11.140625" customWidth="1"/>
    <col min="9" max="9" width="12.7109375" customWidth="1"/>
  </cols>
  <sheetData>
    <row r="1" spans="1:10" ht="18" x14ac:dyDescent="0.25">
      <c r="A1" s="13" t="str">
        <f ca="1">MID(CELL("filename",$A$1),FIND("]",CELL("filename",$A$1),1)+1,1024)</f>
        <v>JERRY SLOUGH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8" t="s">
        <v>93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3" t="s">
        <v>95</v>
      </c>
      <c r="H4" s="36" t="s">
        <v>92</v>
      </c>
      <c r="I4" s="168"/>
      <c r="J4" s="36" t="s">
        <v>94</v>
      </c>
    </row>
    <row r="5" spans="1:10" s="3" customFormat="1" ht="12.75" customHeight="1" x14ac:dyDescent="0.2">
      <c r="A5" s="7" t="s">
        <v>808</v>
      </c>
      <c r="B5" s="25" t="s">
        <v>809</v>
      </c>
      <c r="C5" s="25">
        <v>33</v>
      </c>
      <c r="D5" s="15" t="s">
        <v>705</v>
      </c>
      <c r="E5" s="58">
        <v>44230</v>
      </c>
      <c r="F5" s="58">
        <v>44380</v>
      </c>
      <c r="G5" s="7"/>
      <c r="H5" s="7"/>
      <c r="I5" s="91"/>
      <c r="J5" s="36"/>
    </row>
    <row r="6" spans="1:10" s="3" customFormat="1" ht="12.75" customHeight="1" x14ac:dyDescent="0.2">
      <c r="A6" s="7"/>
      <c r="B6" s="25"/>
      <c r="C6" s="25">
        <v>33</v>
      </c>
      <c r="D6" s="15" t="s">
        <v>89</v>
      </c>
      <c r="E6" s="58">
        <v>44230</v>
      </c>
      <c r="F6" s="58">
        <v>44380</v>
      </c>
      <c r="G6" s="7"/>
      <c r="H6" s="7"/>
      <c r="I6" s="91"/>
      <c r="J6" s="36"/>
    </row>
    <row r="7" spans="1:10" s="3" customFormat="1" ht="12.75" customHeight="1" x14ac:dyDescent="0.2">
      <c r="A7" s="27"/>
      <c r="B7" s="47"/>
      <c r="C7" s="47"/>
      <c r="D7" s="48"/>
      <c r="E7" s="60"/>
      <c r="F7" s="60"/>
      <c r="G7" s="27"/>
      <c r="H7" s="27"/>
      <c r="I7" s="160"/>
      <c r="J7" s="161"/>
    </row>
    <row r="8" spans="1:10" s="3" customFormat="1" ht="12.75" customHeight="1" x14ac:dyDescent="0.2">
      <c r="A8" s="7" t="s">
        <v>1186</v>
      </c>
      <c r="B8" s="25" t="s">
        <v>1187</v>
      </c>
      <c r="C8" s="25">
        <v>58</v>
      </c>
      <c r="D8" s="15" t="s">
        <v>413</v>
      </c>
      <c r="E8" s="58">
        <v>44575</v>
      </c>
      <c r="F8" s="58">
        <v>44726</v>
      </c>
      <c r="G8" s="7"/>
      <c r="H8" s="7"/>
      <c r="I8" s="91"/>
      <c r="J8" s="36"/>
    </row>
    <row r="9" spans="1:10" s="3" customFormat="1" ht="12.75" customHeight="1" x14ac:dyDescent="0.2">
      <c r="A9" s="7"/>
      <c r="B9" s="25"/>
      <c r="C9" s="25">
        <v>59</v>
      </c>
      <c r="D9" s="15" t="s">
        <v>89</v>
      </c>
      <c r="E9" s="58">
        <v>44575</v>
      </c>
      <c r="F9" s="58">
        <v>44726</v>
      </c>
      <c r="G9" s="7"/>
      <c r="H9" s="7"/>
      <c r="I9" s="91"/>
      <c r="J9" s="36"/>
    </row>
    <row r="10" spans="1:10" s="3" customFormat="1" ht="12.75" customHeight="1" x14ac:dyDescent="0.2">
      <c r="A10" s="7"/>
      <c r="B10" s="25"/>
      <c r="C10" s="25">
        <v>1</v>
      </c>
      <c r="D10" s="15" t="s">
        <v>10</v>
      </c>
      <c r="E10" s="58">
        <v>44575</v>
      </c>
      <c r="F10" s="58">
        <v>44726</v>
      </c>
      <c r="G10" s="7"/>
      <c r="H10" s="7"/>
      <c r="I10" s="91"/>
      <c r="J10" s="36"/>
    </row>
    <row r="11" spans="1:10" s="3" customFormat="1" ht="12.75" customHeight="1" x14ac:dyDescent="0.2">
      <c r="A11" s="7"/>
      <c r="B11" s="25"/>
      <c r="C11" s="25"/>
      <c r="D11" s="15"/>
      <c r="E11" s="58"/>
      <c r="F11" s="58"/>
      <c r="G11" s="7"/>
      <c r="H11" s="7"/>
      <c r="I11" s="91"/>
      <c r="J11" s="36"/>
    </row>
    <row r="12" spans="1:10" s="3" customFormat="1" ht="12.75" customHeight="1" x14ac:dyDescent="0.2">
      <c r="A12" s="7"/>
      <c r="B12" s="25"/>
      <c r="C12" s="25"/>
      <c r="D12" s="15"/>
      <c r="E12" s="58"/>
      <c r="F12" s="58"/>
      <c r="G12" s="7"/>
      <c r="H12" s="7"/>
      <c r="I12" s="91"/>
      <c r="J12" s="36"/>
    </row>
    <row r="13" spans="1:10" s="3" customFormat="1" ht="12.75" customHeight="1" x14ac:dyDescent="0.2">
      <c r="A13" s="7"/>
      <c r="B13" s="25"/>
      <c r="C13" s="25"/>
      <c r="D13" s="15"/>
      <c r="E13" s="58"/>
      <c r="F13" s="58"/>
      <c r="G13" s="7"/>
      <c r="H13" s="7"/>
      <c r="I13" s="91"/>
      <c r="J13" s="36"/>
    </row>
    <row r="14" spans="1:10" s="3" customFormat="1" ht="12.75" customHeight="1" x14ac:dyDescent="0.2">
      <c r="A14" s="7"/>
      <c r="B14" s="25"/>
      <c r="C14" s="25"/>
      <c r="D14" s="15"/>
      <c r="E14" s="58"/>
      <c r="F14" s="58"/>
      <c r="G14" s="7"/>
      <c r="H14" s="7"/>
      <c r="I14" s="91"/>
      <c r="J14" s="36"/>
    </row>
    <row r="15" spans="1:10" s="3" customFormat="1" ht="12.75" customHeight="1" x14ac:dyDescent="0.2">
      <c r="A15" s="7"/>
      <c r="B15" s="25"/>
      <c r="C15" s="25"/>
      <c r="D15" s="15"/>
      <c r="E15" s="58"/>
      <c r="F15" s="58"/>
      <c r="G15" s="7"/>
      <c r="H15" s="7"/>
      <c r="I15" s="91"/>
      <c r="J15" s="36"/>
    </row>
    <row r="16" spans="1:10" s="3" customFormat="1" ht="12.75" customHeight="1" x14ac:dyDescent="0.2">
      <c r="A16" s="7"/>
      <c r="B16" s="25"/>
      <c r="C16" s="25"/>
      <c r="D16" s="15"/>
      <c r="E16" s="58"/>
      <c r="F16" s="58"/>
      <c r="G16" s="7"/>
      <c r="H16" s="7"/>
      <c r="I16" s="91"/>
      <c r="J16" s="36"/>
    </row>
    <row r="17" spans="1:10" s="3" customFormat="1" ht="12.75" customHeight="1" x14ac:dyDescent="0.2">
      <c r="A17" s="7"/>
      <c r="B17" s="25"/>
      <c r="C17" s="25"/>
      <c r="D17" s="15"/>
      <c r="E17" s="58"/>
      <c r="F17" s="58"/>
      <c r="G17" s="7"/>
      <c r="H17" s="7"/>
      <c r="I17" s="91"/>
      <c r="J17" s="36"/>
    </row>
    <row r="18" spans="1:10" s="3" customFormat="1" ht="12.75" customHeight="1" x14ac:dyDescent="0.2">
      <c r="A18" s="7"/>
      <c r="B18" s="25"/>
      <c r="C18" s="25"/>
      <c r="D18" s="15"/>
      <c r="E18" s="148"/>
      <c r="F18" s="8"/>
      <c r="G18" s="7"/>
      <c r="H18" s="7"/>
      <c r="I18" s="91"/>
      <c r="J18" s="36"/>
    </row>
    <row r="19" spans="1:10" s="3" customFormat="1" ht="12.75" customHeight="1" x14ac:dyDescent="0.2">
      <c r="A19" s="7"/>
      <c r="B19" s="25"/>
      <c r="C19" s="25"/>
      <c r="D19" s="15"/>
      <c r="E19" s="58"/>
      <c r="F19" s="58"/>
      <c r="G19" s="7"/>
      <c r="H19" s="7"/>
      <c r="I19" s="91"/>
      <c r="J19" s="36"/>
    </row>
    <row r="20" spans="1:10" s="3" customFormat="1" ht="12.75" customHeight="1" x14ac:dyDescent="0.2">
      <c r="A20" s="7"/>
      <c r="B20" s="25"/>
      <c r="C20" s="25"/>
      <c r="D20" s="15"/>
      <c r="E20" s="58"/>
      <c r="F20" s="58"/>
      <c r="G20" s="7"/>
      <c r="H20" s="7"/>
      <c r="I20" s="91"/>
      <c r="J20" s="36"/>
    </row>
    <row r="21" spans="1:10" s="3" customFormat="1" ht="12.75" customHeight="1" x14ac:dyDescent="0.2">
      <c r="A21" s="7"/>
      <c r="B21" s="25"/>
      <c r="C21" s="25"/>
      <c r="D21" s="15"/>
      <c r="E21" s="58"/>
      <c r="F21" s="58"/>
      <c r="G21" s="7"/>
      <c r="H21" s="7"/>
      <c r="I21" s="91"/>
      <c r="J21" s="36"/>
    </row>
    <row r="22" spans="1:10" s="3" customFormat="1" ht="12.75" customHeight="1" x14ac:dyDescent="0.2">
      <c r="A22" s="7"/>
      <c r="B22" s="25"/>
      <c r="C22" s="25"/>
      <c r="D22" s="15"/>
      <c r="E22" s="58"/>
      <c r="F22" s="58"/>
      <c r="G22" s="37"/>
      <c r="H22" s="8"/>
      <c r="I22" s="91"/>
      <c r="J22" s="36"/>
    </row>
    <row r="23" spans="1:10" x14ac:dyDescent="0.2">
      <c r="A23" s="6"/>
      <c r="B23" s="17"/>
      <c r="C23" s="6"/>
      <c r="D23" s="6"/>
      <c r="E23" s="58"/>
      <c r="F23" s="58"/>
      <c r="G23" s="6"/>
      <c r="H23" s="6"/>
      <c r="I23" s="91"/>
      <c r="J23" s="6"/>
    </row>
    <row r="24" spans="1:10" x14ac:dyDescent="0.2">
      <c r="A24" s="6"/>
      <c r="B24" s="17"/>
      <c r="C24" s="6"/>
      <c r="D24" s="6"/>
      <c r="E24" s="58"/>
      <c r="F24" s="58"/>
      <c r="G24" s="6"/>
      <c r="H24" s="6"/>
      <c r="I24" s="91"/>
      <c r="J24" s="6"/>
    </row>
    <row r="25" spans="1:10" x14ac:dyDescent="0.2">
      <c r="A25" s="6"/>
      <c r="B25" s="17"/>
      <c r="C25" s="6"/>
      <c r="D25" s="6"/>
      <c r="E25" s="6"/>
      <c r="F25" s="6"/>
      <c r="G25" s="6"/>
      <c r="H25" s="6"/>
      <c r="I25" s="12"/>
      <c r="J25" s="6"/>
    </row>
    <row r="26" spans="1:10" x14ac:dyDescent="0.2">
      <c r="A26" s="6"/>
      <c r="B26" s="17"/>
      <c r="C26" s="6"/>
      <c r="D26" s="6"/>
      <c r="E26" s="10"/>
      <c r="F26" s="10"/>
      <c r="G26" s="6"/>
      <c r="H26" s="6"/>
      <c r="I26" s="91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91"/>
      <c r="J27" s="6"/>
    </row>
    <row r="28" spans="1:10" x14ac:dyDescent="0.2">
      <c r="A28" s="6"/>
      <c r="B28" s="6"/>
      <c r="C28" s="6"/>
      <c r="D28" s="6"/>
      <c r="E28" s="10"/>
      <c r="F28" s="10"/>
      <c r="G28" s="6"/>
      <c r="H28" s="6"/>
      <c r="I28" s="91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91"/>
      <c r="J29" s="6"/>
    </row>
    <row r="30" spans="1:10" x14ac:dyDescent="0.2">
      <c r="A30" s="6"/>
      <c r="B30" s="6"/>
      <c r="C30" s="6"/>
      <c r="D30" s="6"/>
      <c r="E30" s="6"/>
      <c r="F30" s="6"/>
      <c r="G30" s="6"/>
      <c r="H30" s="6"/>
      <c r="I30" s="12"/>
      <c r="J30" s="6"/>
    </row>
    <row r="31" spans="1:10" x14ac:dyDescent="0.2">
      <c r="A31" s="6"/>
      <c r="B31" s="6"/>
      <c r="C31" s="6"/>
      <c r="D31" s="6"/>
      <c r="E31" s="10"/>
      <c r="F31" s="10"/>
      <c r="G31" s="6"/>
      <c r="H31" s="6"/>
      <c r="I31" s="12"/>
      <c r="J31" s="6"/>
    </row>
    <row r="32" spans="1:10" x14ac:dyDescent="0.2">
      <c r="A32" s="6"/>
      <c r="B32" s="6"/>
      <c r="C32" s="6"/>
      <c r="D32" s="6"/>
      <c r="E32" s="10"/>
      <c r="F32" s="10"/>
      <c r="G32" s="6"/>
      <c r="H32" s="6"/>
      <c r="I32" s="12"/>
      <c r="J32" s="6"/>
    </row>
    <row r="33" spans="1:10" x14ac:dyDescent="0.2">
      <c r="A33" s="6"/>
      <c r="B33" s="6"/>
      <c r="C33" s="6"/>
      <c r="D33" s="6"/>
      <c r="E33" s="10"/>
      <c r="F33" s="10"/>
      <c r="G33" s="6"/>
      <c r="H33" s="6"/>
      <c r="I33" s="12"/>
      <c r="J33" s="6"/>
    </row>
    <row r="34" spans="1:10" x14ac:dyDescent="0.2">
      <c r="A34" s="6"/>
      <c r="B34" s="6"/>
      <c r="C34" s="6"/>
      <c r="D34" s="6"/>
      <c r="E34" s="10"/>
      <c r="F34" s="10"/>
      <c r="G34" s="6"/>
      <c r="H34" s="6"/>
      <c r="I34" s="12"/>
      <c r="J34" s="6"/>
    </row>
    <row r="35" spans="1:10" x14ac:dyDescent="0.2">
      <c r="A35" s="6"/>
      <c r="B35" s="6"/>
      <c r="C35" s="6"/>
      <c r="D35" s="6"/>
      <c r="E35" s="10"/>
      <c r="F35" s="10"/>
      <c r="G35" s="6"/>
      <c r="H35" s="6"/>
      <c r="I35" s="12"/>
      <c r="J35" s="6"/>
    </row>
    <row r="36" spans="1:10" x14ac:dyDescent="0.2">
      <c r="A36" s="6"/>
      <c r="B36" s="6"/>
      <c r="C36" s="6"/>
      <c r="D36" s="6"/>
      <c r="E36" s="10"/>
      <c r="F36" s="10"/>
      <c r="G36" s="6"/>
      <c r="H36" s="6"/>
      <c r="I36" s="12"/>
      <c r="J36" s="6"/>
    </row>
    <row r="37" spans="1:10" x14ac:dyDescent="0.2">
      <c r="A37" s="6"/>
      <c r="B37" s="6"/>
      <c r="C37" s="6"/>
      <c r="D37" s="6"/>
      <c r="E37" s="10"/>
      <c r="F37" s="10"/>
      <c r="G37" s="6"/>
      <c r="H37" s="6"/>
      <c r="I37" s="12"/>
      <c r="J37" s="6"/>
    </row>
    <row r="38" spans="1:10" x14ac:dyDescent="0.2">
      <c r="A38" s="6"/>
      <c r="B38" s="6"/>
      <c r="C38" s="6"/>
      <c r="D38" s="6"/>
      <c r="E38" s="6"/>
      <c r="F38" s="6"/>
      <c r="G38" s="6"/>
      <c r="H38" s="6"/>
      <c r="I38" s="12"/>
      <c r="J38" s="6"/>
    </row>
    <row r="39" spans="1:10" x14ac:dyDescent="0.2">
      <c r="A39" s="6"/>
      <c r="B39" s="6"/>
      <c r="C39" s="6"/>
      <c r="D39" s="6"/>
      <c r="E39" s="6"/>
      <c r="F39" s="6"/>
      <c r="G39" s="6"/>
      <c r="H39" s="6"/>
      <c r="I39" s="12"/>
      <c r="J39" s="6"/>
    </row>
    <row r="40" spans="1:10" x14ac:dyDescent="0.2">
      <c r="A40" s="6"/>
      <c r="B40" s="6"/>
      <c r="C40" s="6"/>
      <c r="D40" s="6"/>
      <c r="E40" s="6"/>
      <c r="F40" s="6"/>
      <c r="G40" s="6"/>
      <c r="H40" s="6"/>
      <c r="I40" s="12"/>
      <c r="J40" s="6"/>
    </row>
    <row r="41" spans="1:10" x14ac:dyDescent="0.2">
      <c r="I41" s="2"/>
    </row>
    <row r="42" spans="1:10" x14ac:dyDescent="0.2">
      <c r="I42" s="2"/>
    </row>
    <row r="43" spans="1:10" x14ac:dyDescent="0.2">
      <c r="I43" s="2"/>
    </row>
    <row r="44" spans="1:10" x14ac:dyDescent="0.2">
      <c r="I44" s="2"/>
    </row>
    <row r="45" spans="1:10" x14ac:dyDescent="0.2">
      <c r="I45" s="2"/>
    </row>
    <row r="46" spans="1:10" x14ac:dyDescent="0.2">
      <c r="I46" s="2"/>
    </row>
    <row r="47" spans="1:10" x14ac:dyDescent="0.2">
      <c r="I47" s="2"/>
    </row>
    <row r="48" spans="1:10" x14ac:dyDescent="0.2">
      <c r="I48" s="2"/>
    </row>
    <row r="49" spans="9:9" x14ac:dyDescent="0.2">
      <c r="I49" s="2"/>
    </row>
    <row r="50" spans="9:9" x14ac:dyDescent="0.2">
      <c r="I50" s="2"/>
    </row>
    <row r="51" spans="9:9" x14ac:dyDescent="0.2">
      <c r="I51" s="2"/>
    </row>
    <row r="52" spans="9:9" x14ac:dyDescent="0.2">
      <c r="I52" s="2"/>
    </row>
    <row r="53" spans="9:9" x14ac:dyDescent="0.2">
      <c r="I53" s="2"/>
    </row>
    <row r="54" spans="9:9" x14ac:dyDescent="0.2">
      <c r="I54" s="2"/>
    </row>
    <row r="55" spans="9:9" x14ac:dyDescent="0.2">
      <c r="I55" s="2"/>
    </row>
    <row r="56" spans="9:9" x14ac:dyDescent="0.2">
      <c r="I56" s="2"/>
    </row>
    <row r="57" spans="9:9" x14ac:dyDescent="0.2">
      <c r="I57" s="2"/>
    </row>
    <row r="58" spans="9:9" x14ac:dyDescent="0.2">
      <c r="I58" s="2"/>
    </row>
    <row r="59" spans="9:9" x14ac:dyDescent="0.2">
      <c r="I59" s="2"/>
    </row>
    <row r="60" spans="9:9" x14ac:dyDescent="0.2">
      <c r="I60" s="2"/>
    </row>
    <row r="61" spans="9:9" x14ac:dyDescent="0.2">
      <c r="I61" s="2"/>
    </row>
    <row r="62" spans="9:9" x14ac:dyDescent="0.2">
      <c r="I62" s="2"/>
    </row>
    <row r="63" spans="9:9" x14ac:dyDescent="0.2">
      <c r="I63" s="2"/>
    </row>
    <row r="64" spans="9:9" x14ac:dyDescent="0.2">
      <c r="I64" s="2"/>
    </row>
    <row r="65" spans="9:9" x14ac:dyDescent="0.2">
      <c r="I65" s="2"/>
    </row>
    <row r="66" spans="9:9" x14ac:dyDescent="0.2">
      <c r="I66" s="2"/>
    </row>
    <row r="67" spans="9:9" x14ac:dyDescent="0.2">
      <c r="I67" s="2"/>
    </row>
    <row r="68" spans="9:9" x14ac:dyDescent="0.2">
      <c r="I68" s="2"/>
    </row>
    <row r="69" spans="9:9" x14ac:dyDescent="0.2">
      <c r="I69" s="2"/>
    </row>
    <row r="70" spans="9:9" x14ac:dyDescent="0.2">
      <c r="I70" s="2"/>
    </row>
    <row r="71" spans="9:9" x14ac:dyDescent="0.2">
      <c r="I71" s="2"/>
    </row>
    <row r="72" spans="9:9" x14ac:dyDescent="0.2">
      <c r="I72" s="2"/>
    </row>
    <row r="73" spans="9:9" x14ac:dyDescent="0.2">
      <c r="I73" s="2"/>
    </row>
    <row r="74" spans="9:9" x14ac:dyDescent="0.2">
      <c r="I74" s="2"/>
    </row>
  </sheetData>
  <sortState xmlns:xlrd2="http://schemas.microsoft.com/office/spreadsheetml/2017/richdata2" ref="C5:I28">
    <sortCondition ref="D5:D28"/>
  </sortState>
  <mergeCells count="1">
    <mergeCell ref="I3:I4"/>
  </mergeCells>
  <pageMargins left="0.7" right="0.7" top="0.75" bottom="0.75" header="0.3" footer="0.3"/>
  <pageSetup scale="90" fitToHeight="6" orientation="landscape" horizontalDpi="300" r:id="rId1"/>
  <headerFooter>
    <oddFooter>&amp;R&amp;D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71">
    <tabColor theme="0" tint="-0.34998626667073579"/>
    <pageSetUpPr fitToPage="1"/>
  </sheetPr>
  <dimension ref="A1:J20"/>
  <sheetViews>
    <sheetView workbookViewId="0"/>
  </sheetViews>
  <sheetFormatPr defaultRowHeight="12.75" x14ac:dyDescent="0.2"/>
  <cols>
    <col min="1" max="1" width="22.42578125" customWidth="1"/>
    <col min="2" max="2" width="14.7109375" customWidth="1"/>
    <col min="3" max="3" width="5.5703125" customWidth="1"/>
    <col min="4" max="4" width="26.5703125" customWidth="1"/>
    <col min="5" max="5" width="12.140625" customWidth="1"/>
    <col min="6" max="6" width="11.5703125" customWidth="1"/>
    <col min="7" max="7" width="11.28515625" customWidth="1"/>
    <col min="8" max="8" width="11.140625" customWidth="1"/>
    <col min="9" max="9" width="12.7109375" customWidth="1"/>
  </cols>
  <sheetData>
    <row r="1" spans="1:10" ht="18" x14ac:dyDescent="0.25">
      <c r="A1" s="13" t="str">
        <f ca="1">MID(CELL("filename",$A$1),FIND("]",CELL("filename",$A$1),1)+1,1024)</f>
        <v>SYNGENTA SEEDS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8" t="s">
        <v>93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3" t="s">
        <v>95</v>
      </c>
      <c r="H4" s="36" t="s">
        <v>92</v>
      </c>
      <c r="I4" s="168"/>
      <c r="J4" s="36" t="s">
        <v>94</v>
      </c>
    </row>
    <row r="5" spans="1:10" x14ac:dyDescent="0.2">
      <c r="A5" s="6"/>
      <c r="B5" s="6"/>
      <c r="C5" s="6"/>
      <c r="D5" s="6"/>
      <c r="E5" s="10"/>
      <c r="F5" s="10"/>
      <c r="G5" s="6"/>
      <c r="H5" s="6"/>
      <c r="I5" s="6"/>
      <c r="J5" s="6"/>
    </row>
    <row r="6" spans="1:10" x14ac:dyDescent="0.2">
      <c r="A6" s="6"/>
      <c r="B6" s="6"/>
      <c r="C6" s="6"/>
      <c r="D6" s="6"/>
      <c r="E6" s="10"/>
      <c r="F6" s="10"/>
      <c r="G6" s="6"/>
      <c r="H6" s="6"/>
      <c r="I6" s="6"/>
      <c r="J6" s="6"/>
    </row>
    <row r="7" spans="1:10" x14ac:dyDescent="0.2">
      <c r="A7" s="6"/>
      <c r="B7" s="6"/>
      <c r="C7" s="6"/>
      <c r="D7" s="6"/>
      <c r="E7" s="10"/>
      <c r="F7" s="10"/>
      <c r="G7" s="6"/>
      <c r="H7" s="6"/>
      <c r="I7" s="6"/>
      <c r="J7" s="6"/>
    </row>
    <row r="8" spans="1:10" x14ac:dyDescent="0.2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x14ac:dyDescent="0.2">
      <c r="A9" s="6"/>
      <c r="B9" s="6"/>
      <c r="C9" s="6"/>
      <c r="D9" s="6"/>
      <c r="E9" s="10"/>
      <c r="F9" s="10"/>
      <c r="G9" s="6"/>
      <c r="H9" s="6"/>
      <c r="I9" s="6"/>
      <c r="J9" s="6"/>
    </row>
    <row r="10" spans="1:10" x14ac:dyDescent="0.2">
      <c r="A10" s="6"/>
      <c r="B10" s="6"/>
      <c r="C10" s="6"/>
      <c r="D10" s="6"/>
      <c r="E10" s="10"/>
      <c r="F10" s="10"/>
      <c r="G10" s="6"/>
      <c r="H10" s="6"/>
      <c r="I10" s="6"/>
      <c r="J10" s="6"/>
    </row>
    <row r="11" spans="1:10" x14ac:dyDescent="0.2">
      <c r="A11" s="6"/>
      <c r="B11" s="6"/>
      <c r="C11" s="6"/>
      <c r="D11" s="6"/>
      <c r="E11" s="10"/>
      <c r="F11" s="10"/>
      <c r="G11" s="6"/>
      <c r="H11" s="6"/>
      <c r="I11" s="6"/>
      <c r="J11" s="6"/>
    </row>
    <row r="12" spans="1:10" x14ac:dyDescent="0.2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6"/>
      <c r="F20" s="6"/>
      <c r="G20" s="6"/>
      <c r="H20" s="6"/>
      <c r="I20" s="6"/>
      <c r="J20" s="6"/>
    </row>
  </sheetData>
  <mergeCells count="1">
    <mergeCell ref="I3:I4"/>
  </mergeCells>
  <pageMargins left="0.7" right="0.7" top="0.75" bottom="0.75" header="0.3" footer="0.3"/>
  <pageSetup scale="85" fitToHeight="6" orientation="landscape" horizontalDpi="300" r:id="rId1"/>
  <headerFooter>
    <oddFooter>&amp;R&amp;D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72">
    <tabColor theme="0" tint="-0.34998626667073579"/>
    <pageSetUpPr fitToPage="1"/>
  </sheetPr>
  <dimension ref="A1:L202"/>
  <sheetViews>
    <sheetView topLeftCell="A49" workbookViewId="0"/>
  </sheetViews>
  <sheetFormatPr defaultRowHeight="12.75" x14ac:dyDescent="0.2"/>
  <cols>
    <col min="1" max="1" width="26.28515625" customWidth="1"/>
    <col min="2" max="2" width="15" style="2" customWidth="1"/>
    <col min="3" max="3" width="6.5703125" customWidth="1"/>
    <col min="4" max="4" width="25.28515625" customWidth="1"/>
    <col min="5" max="5" width="18.28515625" style="81" hidden="1" customWidth="1"/>
    <col min="6" max="6" width="12.42578125" customWidth="1"/>
    <col min="7" max="7" width="10" customWidth="1"/>
    <col min="8" max="8" width="10.7109375" customWidth="1"/>
    <col min="10" max="10" width="13.42578125" customWidth="1"/>
    <col min="11" max="11" width="11.140625" customWidth="1"/>
  </cols>
  <sheetData>
    <row r="1" spans="1:11" ht="15" x14ac:dyDescent="0.2">
      <c r="A1" s="5" t="str">
        <f ca="1">MID(CELL("filename",$A$1),FIND("]",CELL("filename",$A$1),1)+1,1024)</f>
        <v>TASTEFUL SELECTIONS</v>
      </c>
      <c r="B1" s="12"/>
      <c r="C1" s="6"/>
      <c r="D1" s="6"/>
      <c r="E1" s="76"/>
      <c r="F1" s="6"/>
      <c r="G1" s="6"/>
      <c r="H1" s="6"/>
      <c r="I1" s="6"/>
      <c r="J1" s="6"/>
      <c r="K1" s="6"/>
    </row>
    <row r="2" spans="1:11" x14ac:dyDescent="0.2">
      <c r="A2" s="6"/>
      <c r="B2" s="12"/>
      <c r="C2" s="6"/>
      <c r="D2" s="6"/>
      <c r="E2" s="76"/>
      <c r="F2" s="6"/>
      <c r="G2" s="6"/>
      <c r="H2" s="6"/>
      <c r="I2" s="6"/>
      <c r="J2" s="6"/>
      <c r="K2" s="6"/>
    </row>
    <row r="3" spans="1:11" x14ac:dyDescent="0.2">
      <c r="A3" s="6"/>
      <c r="B3" s="102"/>
      <c r="C3" s="6"/>
      <c r="D3" s="6"/>
      <c r="E3" s="76"/>
      <c r="F3" s="6"/>
      <c r="G3" s="6"/>
      <c r="H3" s="6"/>
      <c r="I3" s="6"/>
      <c r="J3" s="164" t="s">
        <v>96</v>
      </c>
      <c r="K3" s="6"/>
    </row>
    <row r="4" spans="1:11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77" t="s">
        <v>349</v>
      </c>
      <c r="F4" s="35" t="s">
        <v>4</v>
      </c>
      <c r="G4" s="33" t="s">
        <v>5</v>
      </c>
      <c r="H4" s="36" t="s">
        <v>95</v>
      </c>
      <c r="I4" s="36" t="s">
        <v>92</v>
      </c>
      <c r="J4" s="164"/>
      <c r="K4" s="36" t="s">
        <v>94</v>
      </c>
    </row>
    <row r="5" spans="1:11" x14ac:dyDescent="0.2">
      <c r="A5" s="8" t="s">
        <v>788</v>
      </c>
      <c r="B5" s="7" t="s">
        <v>789</v>
      </c>
      <c r="C5" s="6">
        <v>3035</v>
      </c>
      <c r="D5" s="11" t="s">
        <v>57</v>
      </c>
      <c r="E5" s="76"/>
      <c r="F5" s="10">
        <v>44211</v>
      </c>
      <c r="G5" s="10">
        <v>44392</v>
      </c>
      <c r="H5" s="6"/>
      <c r="I5" s="6"/>
      <c r="J5" s="6">
        <f>C5-H5</f>
        <v>3035</v>
      </c>
      <c r="K5" s="6"/>
    </row>
    <row r="6" spans="1:11" x14ac:dyDescent="0.2">
      <c r="A6" s="6"/>
      <c r="B6" s="12"/>
      <c r="C6" s="6">
        <v>37</v>
      </c>
      <c r="D6" s="11" t="s">
        <v>84</v>
      </c>
      <c r="E6" s="76"/>
      <c r="F6" s="10">
        <v>44211</v>
      </c>
      <c r="G6" s="10">
        <v>44392</v>
      </c>
      <c r="H6" s="6"/>
      <c r="I6" s="6"/>
      <c r="J6" s="6">
        <f>C6-H6</f>
        <v>37</v>
      </c>
      <c r="K6" s="6"/>
    </row>
    <row r="7" spans="1:11" x14ac:dyDescent="0.2">
      <c r="A7" s="6"/>
      <c r="B7" s="12"/>
      <c r="C7" s="6">
        <v>6</v>
      </c>
      <c r="D7" s="11" t="s">
        <v>88</v>
      </c>
      <c r="E7" s="76">
        <v>20705.11</v>
      </c>
      <c r="F7" s="10">
        <v>44211</v>
      </c>
      <c r="G7" s="10">
        <v>44392</v>
      </c>
      <c r="H7" s="6"/>
      <c r="I7" s="6"/>
      <c r="J7" s="6">
        <f>C7-H7</f>
        <v>6</v>
      </c>
      <c r="K7" s="6"/>
    </row>
    <row r="8" spans="1:11" x14ac:dyDescent="0.2">
      <c r="A8" s="19"/>
      <c r="B8" s="22"/>
      <c r="C8" s="19"/>
      <c r="D8" s="19"/>
      <c r="E8" s="80"/>
      <c r="F8" s="19"/>
      <c r="G8" s="19"/>
      <c r="H8" s="19"/>
      <c r="I8" s="19"/>
      <c r="J8" s="19"/>
      <c r="K8" s="19"/>
    </row>
    <row r="9" spans="1:11" x14ac:dyDescent="0.2">
      <c r="A9" s="6" t="s">
        <v>580</v>
      </c>
      <c r="B9" s="7" t="s">
        <v>588</v>
      </c>
      <c r="C9" s="6">
        <v>72</v>
      </c>
      <c r="D9" s="6" t="s">
        <v>33</v>
      </c>
      <c r="E9" s="76"/>
      <c r="F9" s="10">
        <v>44053</v>
      </c>
      <c r="G9" s="10">
        <v>44418</v>
      </c>
      <c r="H9" s="6"/>
      <c r="I9" s="6"/>
      <c r="J9" s="6">
        <f t="shared" ref="J9:J15" si="0">C9-H9</f>
        <v>72</v>
      </c>
      <c r="K9" s="6"/>
    </row>
    <row r="10" spans="1:11" x14ac:dyDescent="0.2">
      <c r="A10" s="6" t="s">
        <v>108</v>
      </c>
      <c r="B10" s="12"/>
      <c r="C10" s="6">
        <v>72</v>
      </c>
      <c r="D10" s="6" t="s">
        <v>105</v>
      </c>
      <c r="E10" s="76"/>
      <c r="F10" s="10">
        <v>44053</v>
      </c>
      <c r="G10" s="10">
        <v>44418</v>
      </c>
      <c r="H10" s="6"/>
      <c r="I10" s="6"/>
      <c r="J10" s="6">
        <f t="shared" si="0"/>
        <v>72</v>
      </c>
      <c r="K10" s="6"/>
    </row>
    <row r="11" spans="1:11" x14ac:dyDescent="0.2">
      <c r="A11" s="6"/>
      <c r="B11" s="12"/>
      <c r="C11" s="6">
        <v>6</v>
      </c>
      <c r="D11" s="6" t="s">
        <v>106</v>
      </c>
      <c r="E11" s="76"/>
      <c r="F11" s="10">
        <v>44053</v>
      </c>
      <c r="G11" s="10">
        <v>44418</v>
      </c>
      <c r="H11" s="6"/>
      <c r="I11" s="6"/>
      <c r="J11" s="6">
        <f t="shared" si="0"/>
        <v>6</v>
      </c>
      <c r="K11" s="6"/>
    </row>
    <row r="12" spans="1:11" x14ac:dyDescent="0.2">
      <c r="A12" s="6"/>
      <c r="B12" s="12"/>
      <c r="C12" s="6">
        <v>66</v>
      </c>
      <c r="D12" s="6" t="s">
        <v>107</v>
      </c>
      <c r="E12" s="76"/>
      <c r="F12" s="10">
        <v>44053</v>
      </c>
      <c r="G12" s="10">
        <v>44418</v>
      </c>
      <c r="H12" s="6"/>
      <c r="I12" s="6"/>
      <c r="J12" s="6">
        <f t="shared" si="0"/>
        <v>66</v>
      </c>
      <c r="K12" s="6"/>
    </row>
    <row r="13" spans="1:11" x14ac:dyDescent="0.2">
      <c r="A13" s="6"/>
      <c r="B13" s="12"/>
      <c r="C13" s="6">
        <v>1</v>
      </c>
      <c r="D13" s="6" t="s">
        <v>74</v>
      </c>
      <c r="E13" s="76"/>
      <c r="F13" s="10">
        <v>44053</v>
      </c>
      <c r="G13" s="10">
        <v>44418</v>
      </c>
      <c r="H13" s="6"/>
      <c r="I13" s="6"/>
      <c r="J13" s="6">
        <f t="shared" si="0"/>
        <v>1</v>
      </c>
      <c r="K13" s="6"/>
    </row>
    <row r="14" spans="1:11" x14ac:dyDescent="0.2">
      <c r="A14" s="6"/>
      <c r="B14" s="12"/>
      <c r="C14" s="6">
        <v>66</v>
      </c>
      <c r="D14" s="6" t="s">
        <v>99</v>
      </c>
      <c r="E14" s="76"/>
      <c r="F14" s="10">
        <v>44053</v>
      </c>
      <c r="G14" s="10">
        <v>44418</v>
      </c>
      <c r="H14" s="6"/>
      <c r="I14" s="6"/>
      <c r="J14" s="6">
        <f t="shared" si="0"/>
        <v>66</v>
      </c>
      <c r="K14" s="6"/>
    </row>
    <row r="15" spans="1:11" x14ac:dyDescent="0.2">
      <c r="A15" s="6"/>
      <c r="B15" s="12"/>
      <c r="C15" s="6">
        <v>1</v>
      </c>
      <c r="D15" s="6" t="s">
        <v>103</v>
      </c>
      <c r="E15" s="76"/>
      <c r="F15" s="10">
        <v>44053</v>
      </c>
      <c r="G15" s="10">
        <v>44418</v>
      </c>
      <c r="H15" s="6"/>
      <c r="I15" s="6"/>
      <c r="J15" s="6">
        <f t="shared" si="0"/>
        <v>1</v>
      </c>
      <c r="K15" s="6"/>
    </row>
    <row r="16" spans="1:11" x14ac:dyDescent="0.2">
      <c r="A16" s="19"/>
      <c r="B16" s="22"/>
      <c r="C16" s="19"/>
      <c r="D16" s="19"/>
      <c r="E16" s="80"/>
      <c r="F16" s="19"/>
      <c r="G16" s="19"/>
      <c r="H16" s="19"/>
      <c r="I16" s="19"/>
      <c r="J16" s="19"/>
      <c r="K16" s="19"/>
    </row>
    <row r="17" spans="1:11" x14ac:dyDescent="0.2">
      <c r="A17" s="6" t="s">
        <v>581</v>
      </c>
      <c r="B17" s="12">
        <v>121629</v>
      </c>
      <c r="C17" s="6">
        <v>2</v>
      </c>
      <c r="D17" s="6" t="s">
        <v>97</v>
      </c>
      <c r="E17" s="76"/>
      <c r="F17" s="10">
        <v>43695</v>
      </c>
      <c r="G17" s="10">
        <v>44061</v>
      </c>
      <c r="H17" s="6"/>
      <c r="I17" s="6"/>
      <c r="J17" s="6">
        <f t="shared" ref="J17:J23" si="1">C17-H17</f>
        <v>2</v>
      </c>
      <c r="K17" s="6"/>
    </row>
    <row r="18" spans="1:11" x14ac:dyDescent="0.2">
      <c r="A18" s="6"/>
      <c r="B18" s="12"/>
      <c r="C18" s="6">
        <v>1</v>
      </c>
      <c r="D18" s="6" t="s">
        <v>98</v>
      </c>
      <c r="E18" s="76"/>
      <c r="F18" s="10">
        <v>43695</v>
      </c>
      <c r="G18" s="10">
        <v>44061</v>
      </c>
      <c r="H18" s="6"/>
      <c r="I18" s="6"/>
      <c r="J18" s="6">
        <f t="shared" si="1"/>
        <v>1</v>
      </c>
      <c r="K18" s="6"/>
    </row>
    <row r="19" spans="1:11" x14ac:dyDescent="0.2">
      <c r="A19" s="6"/>
      <c r="B19" s="12"/>
      <c r="C19" s="6">
        <v>4</v>
      </c>
      <c r="D19" s="6" t="s">
        <v>109</v>
      </c>
      <c r="E19" s="76"/>
      <c r="F19" s="10">
        <v>43695</v>
      </c>
      <c r="G19" s="10">
        <v>44061</v>
      </c>
      <c r="H19" s="6"/>
      <c r="I19" s="6"/>
      <c r="J19" s="6">
        <f t="shared" si="1"/>
        <v>4</v>
      </c>
      <c r="K19" s="6"/>
    </row>
    <row r="20" spans="1:11" x14ac:dyDescent="0.2">
      <c r="A20" s="6"/>
      <c r="B20" s="12"/>
      <c r="C20" s="6">
        <v>1</v>
      </c>
      <c r="D20" s="6" t="s">
        <v>110</v>
      </c>
      <c r="E20" s="76"/>
      <c r="F20" s="10">
        <v>43695</v>
      </c>
      <c r="G20" s="10">
        <v>44061</v>
      </c>
      <c r="H20" s="6"/>
      <c r="I20" s="6"/>
      <c r="J20" s="6">
        <f t="shared" si="1"/>
        <v>1</v>
      </c>
      <c r="K20" s="6"/>
    </row>
    <row r="21" spans="1:11" x14ac:dyDescent="0.2">
      <c r="B21" s="12"/>
      <c r="C21" s="6">
        <v>6</v>
      </c>
      <c r="D21" s="6" t="s">
        <v>34</v>
      </c>
      <c r="E21" s="76"/>
      <c r="F21" s="10">
        <v>43695</v>
      </c>
      <c r="G21" s="10">
        <v>44061</v>
      </c>
      <c r="H21" s="6"/>
      <c r="I21" s="6"/>
      <c r="J21" s="6">
        <f t="shared" si="1"/>
        <v>6</v>
      </c>
      <c r="K21" s="6"/>
    </row>
    <row r="22" spans="1:11" x14ac:dyDescent="0.2">
      <c r="A22" s="6"/>
      <c r="B22" s="12"/>
      <c r="C22" s="6">
        <v>24</v>
      </c>
      <c r="D22" s="6" t="s">
        <v>99</v>
      </c>
      <c r="E22" s="76"/>
      <c r="F22" s="10">
        <v>43695</v>
      </c>
      <c r="G22" s="10">
        <v>44061</v>
      </c>
      <c r="H22" s="6">
        <v>1</v>
      </c>
      <c r="I22" s="6"/>
      <c r="J22" s="6">
        <f t="shared" si="1"/>
        <v>23</v>
      </c>
      <c r="K22" s="6"/>
    </row>
    <row r="23" spans="1:11" x14ac:dyDescent="0.2">
      <c r="A23" s="6"/>
      <c r="B23" s="12"/>
      <c r="C23" s="6">
        <v>24</v>
      </c>
      <c r="D23" s="6" t="s">
        <v>104</v>
      </c>
      <c r="E23" s="76">
        <v>1901.5</v>
      </c>
      <c r="F23" s="10">
        <v>43695</v>
      </c>
      <c r="G23" s="10">
        <v>44061</v>
      </c>
      <c r="H23" s="6"/>
      <c r="I23" s="6"/>
      <c r="J23" s="6">
        <f t="shared" si="1"/>
        <v>24</v>
      </c>
      <c r="K23" s="6"/>
    </row>
    <row r="24" spans="1:11" x14ac:dyDescent="0.2">
      <c r="A24" s="19"/>
      <c r="B24" s="22"/>
      <c r="C24" s="19"/>
      <c r="D24" s="19"/>
      <c r="E24" s="80"/>
      <c r="F24" s="19"/>
      <c r="G24" s="19"/>
      <c r="H24" s="19"/>
      <c r="I24" s="19"/>
      <c r="J24" s="19"/>
      <c r="K24" s="19"/>
    </row>
    <row r="25" spans="1:11" x14ac:dyDescent="0.2">
      <c r="A25" s="8" t="s">
        <v>144</v>
      </c>
      <c r="B25" s="103" t="s">
        <v>706</v>
      </c>
      <c r="C25" s="6">
        <v>2604</v>
      </c>
      <c r="D25" s="8" t="s">
        <v>68</v>
      </c>
      <c r="E25" s="78"/>
      <c r="F25" s="10">
        <v>44197</v>
      </c>
      <c r="G25" s="10">
        <v>44377</v>
      </c>
      <c r="H25" s="8"/>
      <c r="I25" s="6"/>
      <c r="J25" s="6">
        <f t="shared" ref="J25:J32" si="2">C25-H25</f>
        <v>2604</v>
      </c>
      <c r="K25" s="6"/>
    </row>
    <row r="26" spans="1:11" x14ac:dyDescent="0.2">
      <c r="A26" s="6"/>
      <c r="B26" s="7"/>
      <c r="C26" s="6">
        <v>22</v>
      </c>
      <c r="D26" s="8" t="s">
        <v>131</v>
      </c>
      <c r="E26" s="78"/>
      <c r="F26" s="10">
        <v>44197</v>
      </c>
      <c r="G26" s="10">
        <v>44377</v>
      </c>
      <c r="H26" s="6"/>
      <c r="I26" s="6"/>
      <c r="J26" s="6">
        <f t="shared" si="2"/>
        <v>22</v>
      </c>
      <c r="K26" s="6"/>
    </row>
    <row r="27" spans="1:11" x14ac:dyDescent="0.2">
      <c r="A27" s="6"/>
      <c r="B27" s="7"/>
      <c r="C27" s="6">
        <v>32</v>
      </c>
      <c r="D27" s="8" t="s">
        <v>119</v>
      </c>
      <c r="E27" s="78"/>
      <c r="F27" s="10">
        <v>44197</v>
      </c>
      <c r="G27" s="10">
        <v>44377</v>
      </c>
      <c r="H27" s="6"/>
      <c r="I27" s="6"/>
      <c r="J27" s="6">
        <f t="shared" si="2"/>
        <v>32</v>
      </c>
      <c r="K27" s="6"/>
    </row>
    <row r="28" spans="1:11" x14ac:dyDescent="0.2">
      <c r="A28" s="6"/>
      <c r="B28" s="12"/>
      <c r="C28" s="6">
        <v>44</v>
      </c>
      <c r="D28" s="8" t="s">
        <v>102</v>
      </c>
      <c r="E28" s="78"/>
      <c r="F28" s="10">
        <v>44197</v>
      </c>
      <c r="G28" s="10">
        <v>44377</v>
      </c>
      <c r="H28" s="6"/>
      <c r="I28" s="6"/>
      <c r="J28" s="6">
        <f t="shared" si="2"/>
        <v>44</v>
      </c>
      <c r="K28" s="6"/>
    </row>
    <row r="29" spans="1:11" x14ac:dyDescent="0.2">
      <c r="A29" s="6"/>
      <c r="B29" s="12"/>
      <c r="C29" s="6">
        <v>5304</v>
      </c>
      <c r="D29" s="8" t="s">
        <v>58</v>
      </c>
      <c r="E29" s="78"/>
      <c r="F29" s="10">
        <v>44197</v>
      </c>
      <c r="G29" s="10">
        <v>44377</v>
      </c>
      <c r="H29" s="6"/>
      <c r="I29" s="6"/>
      <c r="J29" s="6">
        <f t="shared" si="2"/>
        <v>5304</v>
      </c>
      <c r="K29" s="6"/>
    </row>
    <row r="30" spans="1:11" x14ac:dyDescent="0.2">
      <c r="A30" s="6"/>
      <c r="B30" s="12"/>
      <c r="C30" s="6">
        <v>10</v>
      </c>
      <c r="D30" s="8" t="s">
        <v>69</v>
      </c>
      <c r="E30" s="78"/>
      <c r="F30" s="10">
        <v>44197</v>
      </c>
      <c r="G30" s="10">
        <v>44377</v>
      </c>
      <c r="H30" s="6"/>
      <c r="I30" s="6"/>
      <c r="J30" s="6">
        <f t="shared" si="2"/>
        <v>10</v>
      </c>
      <c r="K30" s="6"/>
    </row>
    <row r="31" spans="1:11" x14ac:dyDescent="0.2">
      <c r="A31" s="6"/>
      <c r="B31" s="12"/>
      <c r="C31" s="6">
        <v>1</v>
      </c>
      <c r="D31" s="8" t="s">
        <v>115</v>
      </c>
      <c r="E31" s="78"/>
      <c r="F31" s="10">
        <v>44197</v>
      </c>
      <c r="G31" s="10">
        <v>44377</v>
      </c>
      <c r="H31" s="6"/>
      <c r="I31" s="6"/>
      <c r="J31" s="6">
        <f t="shared" si="2"/>
        <v>1</v>
      </c>
      <c r="K31" s="6"/>
    </row>
    <row r="32" spans="1:11" x14ac:dyDescent="0.2">
      <c r="A32" s="6"/>
      <c r="B32" s="12"/>
      <c r="C32" s="6">
        <v>1</v>
      </c>
      <c r="D32" s="8" t="s">
        <v>132</v>
      </c>
      <c r="E32" s="78"/>
      <c r="F32" s="10">
        <v>44197</v>
      </c>
      <c r="G32" s="10">
        <v>44377</v>
      </c>
      <c r="H32" s="6"/>
      <c r="I32" s="6"/>
      <c r="J32" s="6">
        <f t="shared" si="2"/>
        <v>1</v>
      </c>
      <c r="K32" s="6"/>
    </row>
    <row r="33" spans="1:11" x14ac:dyDescent="0.2">
      <c r="A33" s="19"/>
      <c r="B33" s="22"/>
      <c r="C33" s="19"/>
      <c r="D33" s="19"/>
      <c r="E33" s="80"/>
      <c r="F33" s="19"/>
      <c r="G33" s="19"/>
      <c r="H33" s="19"/>
      <c r="I33" s="19"/>
      <c r="J33" s="19"/>
      <c r="K33" s="19"/>
    </row>
    <row r="34" spans="1:11" x14ac:dyDescent="0.2">
      <c r="A34" s="8" t="s">
        <v>133</v>
      </c>
      <c r="B34" s="7" t="s">
        <v>587</v>
      </c>
      <c r="C34" s="8">
        <v>57</v>
      </c>
      <c r="D34" s="8" t="s">
        <v>67</v>
      </c>
      <c r="E34" s="78"/>
      <c r="F34" s="10">
        <v>44053</v>
      </c>
      <c r="G34" s="10">
        <v>44418</v>
      </c>
      <c r="H34" s="6"/>
      <c r="I34" s="6"/>
      <c r="J34" s="6">
        <f>C34-H34</f>
        <v>57</v>
      </c>
      <c r="K34" s="6"/>
    </row>
    <row r="35" spans="1:11" x14ac:dyDescent="0.2">
      <c r="A35" s="6"/>
      <c r="B35" s="12"/>
      <c r="C35" s="6">
        <v>27</v>
      </c>
      <c r="D35" s="8" t="s">
        <v>48</v>
      </c>
      <c r="E35" s="78"/>
      <c r="F35" s="10">
        <v>44053</v>
      </c>
      <c r="G35" s="10">
        <v>44418</v>
      </c>
      <c r="H35" s="6"/>
      <c r="I35" s="6"/>
      <c r="J35" s="6">
        <f>C35-H35</f>
        <v>27</v>
      </c>
      <c r="K35" s="6"/>
    </row>
    <row r="36" spans="1:11" x14ac:dyDescent="0.2">
      <c r="A36" s="6"/>
      <c r="B36" s="12"/>
      <c r="C36" s="6">
        <v>31</v>
      </c>
      <c r="D36" s="8" t="s">
        <v>91</v>
      </c>
      <c r="E36" s="78"/>
      <c r="F36" s="10">
        <v>44053</v>
      </c>
      <c r="G36" s="10">
        <v>44418</v>
      </c>
      <c r="H36" s="6"/>
      <c r="I36" s="6"/>
      <c r="J36" s="6">
        <f>C36-H36</f>
        <v>31</v>
      </c>
      <c r="K36" s="6"/>
    </row>
    <row r="37" spans="1:11" x14ac:dyDescent="0.2">
      <c r="A37" s="6"/>
      <c r="B37" s="12"/>
      <c r="C37" s="6">
        <v>84</v>
      </c>
      <c r="D37" s="8" t="s">
        <v>64</v>
      </c>
      <c r="E37" s="78"/>
      <c r="F37" s="10">
        <v>44053</v>
      </c>
      <c r="G37" s="10">
        <v>44418</v>
      </c>
      <c r="H37" s="6"/>
      <c r="I37" s="6"/>
      <c r="J37" s="6">
        <f>C37-H37</f>
        <v>84</v>
      </c>
      <c r="K37" s="6"/>
    </row>
    <row r="38" spans="1:11" x14ac:dyDescent="0.2">
      <c r="A38" s="6"/>
      <c r="B38" s="12"/>
      <c r="C38" s="6">
        <v>124</v>
      </c>
      <c r="D38" s="8" t="s">
        <v>134</v>
      </c>
      <c r="E38" s="78">
        <v>8850</v>
      </c>
      <c r="F38" s="10">
        <v>44053</v>
      </c>
      <c r="G38" s="10">
        <v>44418</v>
      </c>
      <c r="H38" s="6"/>
      <c r="I38" s="6"/>
      <c r="J38" s="6">
        <f>C38-H38</f>
        <v>124</v>
      </c>
      <c r="K38" s="6"/>
    </row>
    <row r="39" spans="1:11" x14ac:dyDescent="0.2">
      <c r="A39" s="19"/>
      <c r="B39" s="22"/>
      <c r="C39" s="19"/>
      <c r="D39" s="19"/>
      <c r="E39" s="80"/>
      <c r="F39" s="19"/>
      <c r="G39" s="19"/>
      <c r="H39" s="19"/>
      <c r="I39" s="19"/>
      <c r="J39" s="19"/>
      <c r="K39" s="19"/>
    </row>
    <row r="40" spans="1:11" x14ac:dyDescent="0.2">
      <c r="A40" s="6" t="s">
        <v>179</v>
      </c>
      <c r="B40" s="103" t="s">
        <v>584</v>
      </c>
      <c r="C40" s="6">
        <v>2385</v>
      </c>
      <c r="D40" s="6" t="s">
        <v>180</v>
      </c>
      <c r="E40" s="76"/>
      <c r="F40" s="10">
        <v>44013</v>
      </c>
      <c r="G40" s="10">
        <v>44196</v>
      </c>
      <c r="H40" s="6"/>
      <c r="I40" s="6"/>
      <c r="J40" s="6">
        <f>C40-H40</f>
        <v>2385</v>
      </c>
      <c r="K40" s="6"/>
    </row>
    <row r="41" spans="1:11" x14ac:dyDescent="0.2">
      <c r="A41" s="6"/>
      <c r="B41" s="7"/>
      <c r="C41" s="6">
        <v>32</v>
      </c>
      <c r="D41" s="6" t="s">
        <v>181</v>
      </c>
      <c r="E41" s="76"/>
      <c r="F41" s="10">
        <v>44013</v>
      </c>
      <c r="G41" s="10">
        <v>44196</v>
      </c>
      <c r="H41" s="6"/>
      <c r="I41" s="6"/>
      <c r="J41" s="6">
        <f>C41-H41</f>
        <v>32</v>
      </c>
      <c r="K41" s="6"/>
    </row>
    <row r="42" spans="1:11" x14ac:dyDescent="0.2">
      <c r="A42" s="6"/>
      <c r="B42" s="7"/>
      <c r="C42" s="6">
        <v>64</v>
      </c>
      <c r="D42" s="6" t="s">
        <v>86</v>
      </c>
      <c r="E42" s="76"/>
      <c r="F42" s="10">
        <v>44013</v>
      </c>
      <c r="G42" s="10">
        <v>44196</v>
      </c>
      <c r="H42" s="6"/>
      <c r="I42" s="6"/>
      <c r="J42" s="6">
        <f>C42-H42</f>
        <v>64</v>
      </c>
      <c r="K42" s="6"/>
    </row>
    <row r="43" spans="1:11" x14ac:dyDescent="0.2">
      <c r="A43" s="6"/>
      <c r="B43" s="12"/>
      <c r="C43" s="6">
        <v>4770</v>
      </c>
      <c r="D43" s="6" t="s">
        <v>58</v>
      </c>
      <c r="E43" s="76"/>
      <c r="F43" s="10">
        <v>44013</v>
      </c>
      <c r="G43" s="10">
        <v>44196</v>
      </c>
      <c r="H43" s="6"/>
      <c r="I43" s="6"/>
      <c r="J43" s="6">
        <f>C43-H43</f>
        <v>4770</v>
      </c>
      <c r="K43" s="6"/>
    </row>
    <row r="44" spans="1:11" x14ac:dyDescent="0.2">
      <c r="A44" s="19"/>
      <c r="B44" s="22"/>
      <c r="C44" s="19"/>
      <c r="D44" s="19"/>
      <c r="E44" s="80"/>
      <c r="F44" s="19"/>
      <c r="G44" s="19"/>
      <c r="H44" s="19"/>
      <c r="I44" s="19"/>
      <c r="J44" s="19"/>
      <c r="K44" s="19"/>
    </row>
    <row r="45" spans="1:11" x14ac:dyDescent="0.2">
      <c r="A45" s="6" t="s">
        <v>151</v>
      </c>
      <c r="B45" s="103" t="s">
        <v>714</v>
      </c>
      <c r="C45" s="6">
        <v>66</v>
      </c>
      <c r="D45" s="6" t="s">
        <v>67</v>
      </c>
      <c r="E45" s="76"/>
      <c r="F45" s="10">
        <v>44279</v>
      </c>
      <c r="G45" s="10">
        <v>44644</v>
      </c>
      <c r="H45" s="6"/>
      <c r="I45" s="6"/>
      <c r="J45" s="6">
        <f t="shared" ref="J45:J55" si="3">C45-H45</f>
        <v>66</v>
      </c>
      <c r="K45" s="6"/>
    </row>
    <row r="46" spans="1:11" x14ac:dyDescent="0.2">
      <c r="A46" s="6" t="s">
        <v>187</v>
      </c>
      <c r="B46" s="7"/>
      <c r="C46" s="6">
        <v>1</v>
      </c>
      <c r="D46" s="6" t="s">
        <v>41</v>
      </c>
      <c r="E46" s="76"/>
      <c r="F46" s="10">
        <v>44279</v>
      </c>
      <c r="G46" s="10">
        <v>44644</v>
      </c>
      <c r="H46" s="6"/>
      <c r="I46" s="6"/>
      <c r="J46" s="6">
        <f t="shared" si="3"/>
        <v>1</v>
      </c>
      <c r="K46" s="6"/>
    </row>
    <row r="47" spans="1:11" x14ac:dyDescent="0.2">
      <c r="A47" s="6"/>
      <c r="B47" s="7"/>
      <c r="C47" s="6">
        <v>33</v>
      </c>
      <c r="D47" s="6" t="s">
        <v>48</v>
      </c>
      <c r="E47" s="76"/>
      <c r="F47" s="10">
        <v>44279</v>
      </c>
      <c r="G47" s="10">
        <v>44644</v>
      </c>
      <c r="H47" s="6"/>
      <c r="I47" s="6"/>
      <c r="J47" s="6">
        <f t="shared" si="3"/>
        <v>33</v>
      </c>
      <c r="K47" s="6"/>
    </row>
    <row r="48" spans="1:11" x14ac:dyDescent="0.2">
      <c r="A48" s="6"/>
      <c r="B48" s="12"/>
      <c r="C48" s="6">
        <v>33</v>
      </c>
      <c r="D48" s="6" t="s">
        <v>184</v>
      </c>
      <c r="E48" s="76"/>
      <c r="F48" s="10">
        <v>44279</v>
      </c>
      <c r="G48" s="10">
        <v>44644</v>
      </c>
      <c r="H48" s="6"/>
      <c r="I48" s="6"/>
      <c r="J48" s="6">
        <f t="shared" si="3"/>
        <v>33</v>
      </c>
      <c r="K48" s="6"/>
    </row>
    <row r="49" spans="1:11" x14ac:dyDescent="0.2">
      <c r="A49" s="6"/>
      <c r="B49" s="12"/>
      <c r="C49" s="6">
        <v>33</v>
      </c>
      <c r="D49" s="6" t="s">
        <v>99</v>
      </c>
      <c r="E49" s="76"/>
      <c r="F49" s="10">
        <v>44279</v>
      </c>
      <c r="G49" s="10">
        <v>44644</v>
      </c>
      <c r="H49" s="6"/>
      <c r="I49" s="6"/>
      <c r="J49" s="6">
        <f t="shared" si="3"/>
        <v>33</v>
      </c>
      <c r="K49" s="6"/>
    </row>
    <row r="50" spans="1:11" x14ac:dyDescent="0.2">
      <c r="A50" s="6"/>
      <c r="B50" s="12"/>
      <c r="C50" s="6">
        <v>33</v>
      </c>
      <c r="D50" s="6" t="s">
        <v>91</v>
      </c>
      <c r="E50" s="76"/>
      <c r="F50" s="10">
        <v>44279</v>
      </c>
      <c r="G50" s="10">
        <v>44644</v>
      </c>
      <c r="H50" s="6"/>
      <c r="I50" s="6"/>
      <c r="J50" s="6">
        <f t="shared" si="3"/>
        <v>33</v>
      </c>
      <c r="K50" s="6"/>
    </row>
    <row r="51" spans="1:11" x14ac:dyDescent="0.2">
      <c r="A51" s="6"/>
      <c r="B51" s="12"/>
      <c r="C51" s="6">
        <v>66</v>
      </c>
      <c r="D51" s="6" t="s">
        <v>185</v>
      </c>
      <c r="E51" s="76"/>
      <c r="F51" s="10">
        <v>44279</v>
      </c>
      <c r="G51" s="10">
        <v>44644</v>
      </c>
      <c r="H51" s="6"/>
      <c r="I51" s="6"/>
      <c r="J51" s="6">
        <f t="shared" si="3"/>
        <v>66</v>
      </c>
      <c r="K51" s="6"/>
    </row>
    <row r="52" spans="1:11" x14ac:dyDescent="0.2">
      <c r="A52" s="6"/>
      <c r="B52" s="12"/>
      <c r="C52" s="6">
        <v>66</v>
      </c>
      <c r="D52" s="6" t="s">
        <v>186</v>
      </c>
      <c r="E52" s="76"/>
      <c r="F52" s="10">
        <v>44279</v>
      </c>
      <c r="G52" s="10">
        <v>44644</v>
      </c>
      <c r="H52" s="6"/>
      <c r="I52" s="6"/>
      <c r="J52" s="6">
        <f t="shared" si="3"/>
        <v>66</v>
      </c>
      <c r="K52" s="6"/>
    </row>
    <row r="53" spans="1:11" x14ac:dyDescent="0.2">
      <c r="A53" s="6"/>
      <c r="B53" s="12"/>
      <c r="C53" s="6">
        <v>132</v>
      </c>
      <c r="D53" s="6" t="s">
        <v>183</v>
      </c>
      <c r="E53" s="76"/>
      <c r="F53" s="10">
        <v>44279</v>
      </c>
      <c r="G53" s="10">
        <v>44644</v>
      </c>
      <c r="H53" s="6"/>
      <c r="I53" s="6"/>
      <c r="J53" s="6">
        <f t="shared" si="3"/>
        <v>132</v>
      </c>
      <c r="K53" s="6"/>
    </row>
    <row r="54" spans="1:11" x14ac:dyDescent="0.2">
      <c r="A54" s="6"/>
      <c r="B54" s="12"/>
      <c r="C54" s="6">
        <v>73</v>
      </c>
      <c r="D54" s="6" t="s">
        <v>84</v>
      </c>
      <c r="E54" s="76"/>
      <c r="F54" s="10">
        <v>44279</v>
      </c>
      <c r="G54" s="10">
        <v>44644</v>
      </c>
      <c r="H54" s="6"/>
      <c r="I54" s="6"/>
      <c r="J54" s="6">
        <f t="shared" si="3"/>
        <v>73</v>
      </c>
      <c r="K54" s="6"/>
    </row>
    <row r="55" spans="1:11" x14ac:dyDescent="0.2">
      <c r="A55" s="6"/>
      <c r="B55" s="12"/>
      <c r="C55" s="6">
        <v>5735</v>
      </c>
      <c r="D55" s="6" t="s">
        <v>68</v>
      </c>
      <c r="E55" s="76">
        <v>58900</v>
      </c>
      <c r="F55" s="10">
        <v>44279</v>
      </c>
      <c r="G55" s="10">
        <v>44644</v>
      </c>
      <c r="H55" s="6"/>
      <c r="I55" s="6"/>
      <c r="J55" s="6">
        <f t="shared" si="3"/>
        <v>5735</v>
      </c>
      <c r="K55" s="6"/>
    </row>
    <row r="56" spans="1:11" x14ac:dyDescent="0.2">
      <c r="A56" s="19"/>
      <c r="B56" s="22"/>
      <c r="C56" s="19"/>
      <c r="D56" s="19"/>
      <c r="E56" s="80"/>
      <c r="F56" s="19"/>
      <c r="G56" s="19"/>
      <c r="H56" s="19"/>
      <c r="I56" s="19"/>
      <c r="J56" s="19"/>
      <c r="K56" s="19"/>
    </row>
    <row r="57" spans="1:11" x14ac:dyDescent="0.2">
      <c r="A57" s="6" t="s">
        <v>151</v>
      </c>
      <c r="B57" s="103" t="s">
        <v>790</v>
      </c>
      <c r="C57" s="6">
        <v>80</v>
      </c>
      <c r="D57" s="8" t="s">
        <v>446</v>
      </c>
      <c r="E57" s="76"/>
      <c r="F57" s="10">
        <v>44235</v>
      </c>
      <c r="G57" s="10">
        <v>44385</v>
      </c>
      <c r="H57" s="6"/>
      <c r="I57" s="6"/>
      <c r="J57" s="6">
        <f t="shared" ref="J57:J67" si="4">C57-H57</f>
        <v>80</v>
      </c>
      <c r="K57" s="6"/>
    </row>
    <row r="58" spans="1:11" x14ac:dyDescent="0.2">
      <c r="A58" s="6"/>
      <c r="B58" s="7"/>
      <c r="C58" s="6">
        <v>10</v>
      </c>
      <c r="D58" s="8" t="s">
        <v>785</v>
      </c>
      <c r="E58" s="76"/>
      <c r="F58" s="10">
        <v>44235</v>
      </c>
      <c r="G58" s="10">
        <v>44385</v>
      </c>
      <c r="H58" s="6"/>
      <c r="I58" s="6"/>
      <c r="J58" s="6">
        <f t="shared" si="4"/>
        <v>10</v>
      </c>
      <c r="K58" s="6"/>
    </row>
    <row r="59" spans="1:11" x14ac:dyDescent="0.2">
      <c r="A59" s="6"/>
      <c r="B59" s="7"/>
      <c r="C59" s="6">
        <v>73</v>
      </c>
      <c r="D59" s="8" t="s">
        <v>325</v>
      </c>
      <c r="E59" s="76"/>
      <c r="F59" s="10">
        <v>44235</v>
      </c>
      <c r="G59" s="10">
        <v>44385</v>
      </c>
      <c r="H59" s="6"/>
      <c r="I59" s="6"/>
      <c r="J59" s="6">
        <f t="shared" si="4"/>
        <v>73</v>
      </c>
      <c r="K59" s="6"/>
    </row>
    <row r="60" spans="1:11" x14ac:dyDescent="0.2">
      <c r="A60" s="6"/>
      <c r="B60" s="12"/>
      <c r="C60" s="6">
        <v>17</v>
      </c>
      <c r="D60" s="8" t="s">
        <v>198</v>
      </c>
      <c r="E60" s="76"/>
      <c r="F60" s="10">
        <v>44235</v>
      </c>
      <c r="G60" s="10">
        <v>44385</v>
      </c>
      <c r="H60" s="6"/>
      <c r="I60" s="6"/>
      <c r="J60" s="6">
        <f t="shared" si="4"/>
        <v>17</v>
      </c>
      <c r="K60" s="6"/>
    </row>
    <row r="61" spans="1:11" x14ac:dyDescent="0.2">
      <c r="A61" s="6"/>
      <c r="B61" s="12"/>
      <c r="C61" s="6">
        <v>34</v>
      </c>
      <c r="D61" s="8" t="s">
        <v>791</v>
      </c>
      <c r="E61" s="76"/>
      <c r="F61" s="10">
        <v>44235</v>
      </c>
      <c r="G61" s="10">
        <v>44385</v>
      </c>
      <c r="H61" s="6"/>
      <c r="I61" s="6"/>
      <c r="J61" s="6">
        <f t="shared" si="4"/>
        <v>34</v>
      </c>
      <c r="K61" s="6"/>
    </row>
    <row r="62" spans="1:11" x14ac:dyDescent="0.2">
      <c r="A62" s="6"/>
      <c r="B62" s="12"/>
      <c r="C62" s="6">
        <v>1</v>
      </c>
      <c r="D62" s="8" t="s">
        <v>792</v>
      </c>
      <c r="E62" s="76"/>
      <c r="F62" s="10">
        <v>44235</v>
      </c>
      <c r="G62" s="10">
        <v>44385</v>
      </c>
      <c r="H62" s="6"/>
      <c r="I62" s="6"/>
      <c r="J62" s="6">
        <f t="shared" si="4"/>
        <v>1</v>
      </c>
      <c r="K62" s="6"/>
    </row>
    <row r="63" spans="1:11" x14ac:dyDescent="0.2">
      <c r="A63" s="6"/>
      <c r="B63" s="12"/>
      <c r="C63" s="6">
        <v>1</v>
      </c>
      <c r="D63" s="8" t="s">
        <v>793</v>
      </c>
      <c r="E63" s="76"/>
      <c r="F63" s="10">
        <v>44235</v>
      </c>
      <c r="G63" s="10">
        <v>44385</v>
      </c>
      <c r="H63" s="6"/>
      <c r="I63" s="6"/>
      <c r="J63" s="6">
        <f t="shared" si="4"/>
        <v>1</v>
      </c>
      <c r="K63" s="6"/>
    </row>
    <row r="64" spans="1:11" x14ac:dyDescent="0.2">
      <c r="A64" s="6"/>
      <c r="B64" s="12"/>
      <c r="C64" s="6">
        <v>1</v>
      </c>
      <c r="D64" s="8" t="s">
        <v>441</v>
      </c>
      <c r="E64" s="76"/>
      <c r="F64" s="10">
        <v>44235</v>
      </c>
      <c r="G64" s="10">
        <v>44385</v>
      </c>
      <c r="H64" s="6"/>
      <c r="I64" s="6"/>
      <c r="J64" s="6">
        <f t="shared" si="4"/>
        <v>1</v>
      </c>
      <c r="K64" s="6"/>
    </row>
    <row r="65" spans="1:11" x14ac:dyDescent="0.2">
      <c r="A65" s="6"/>
      <c r="B65" s="12"/>
      <c r="C65" s="6">
        <v>1</v>
      </c>
      <c r="D65" s="8" t="s">
        <v>725</v>
      </c>
      <c r="E65" s="76"/>
      <c r="F65" s="10">
        <v>44235</v>
      </c>
      <c r="G65" s="10">
        <v>44385</v>
      </c>
      <c r="H65" s="6"/>
      <c r="I65" s="6"/>
      <c r="J65" s="6">
        <f t="shared" si="4"/>
        <v>1</v>
      </c>
      <c r="K65" s="6"/>
    </row>
    <row r="66" spans="1:11" x14ac:dyDescent="0.2">
      <c r="A66" s="6"/>
      <c r="B66" s="12"/>
      <c r="C66" s="6">
        <v>2</v>
      </c>
      <c r="D66" s="8" t="s">
        <v>116</v>
      </c>
      <c r="E66" s="76"/>
      <c r="F66" s="10">
        <v>44235</v>
      </c>
      <c r="G66" s="10">
        <v>44385</v>
      </c>
      <c r="H66" s="6"/>
      <c r="I66" s="6"/>
      <c r="J66" s="6">
        <f t="shared" si="4"/>
        <v>2</v>
      </c>
      <c r="K66" s="6"/>
    </row>
    <row r="67" spans="1:11" x14ac:dyDescent="0.2">
      <c r="A67" s="6"/>
      <c r="B67" s="12"/>
      <c r="C67" s="6">
        <v>2</v>
      </c>
      <c r="D67" s="8" t="s">
        <v>42</v>
      </c>
      <c r="E67" s="76"/>
      <c r="F67" s="10">
        <v>44235</v>
      </c>
      <c r="G67" s="10">
        <v>44385</v>
      </c>
      <c r="H67" s="6"/>
      <c r="I67" s="6"/>
      <c r="J67" s="6">
        <f t="shared" si="4"/>
        <v>2</v>
      </c>
      <c r="K67" s="6"/>
    </row>
    <row r="68" spans="1:11" x14ac:dyDescent="0.2">
      <c r="A68" s="19"/>
      <c r="B68" s="22"/>
      <c r="C68" s="19"/>
      <c r="D68" s="19"/>
      <c r="E68" s="80"/>
      <c r="F68" s="29"/>
      <c r="G68" s="29"/>
      <c r="H68" s="19"/>
      <c r="I68" s="19"/>
      <c r="J68" s="19"/>
      <c r="K68" s="19"/>
    </row>
    <row r="69" spans="1:11" x14ac:dyDescent="0.2">
      <c r="A69" s="8" t="s">
        <v>151</v>
      </c>
      <c r="B69" s="7" t="s">
        <v>784</v>
      </c>
      <c r="C69" s="6">
        <v>16</v>
      </c>
      <c r="D69" s="8" t="s">
        <v>446</v>
      </c>
      <c r="E69" s="76"/>
      <c r="F69" s="10">
        <v>44253</v>
      </c>
      <c r="G69" s="10">
        <v>44403</v>
      </c>
      <c r="H69" s="6"/>
      <c r="I69" s="6"/>
      <c r="J69" s="6"/>
      <c r="K69" s="6"/>
    </row>
    <row r="70" spans="1:11" x14ac:dyDescent="0.2">
      <c r="A70" s="8" t="s">
        <v>118</v>
      </c>
      <c r="B70" s="12"/>
      <c r="C70" s="6">
        <v>5</v>
      </c>
      <c r="D70" s="8" t="s">
        <v>785</v>
      </c>
      <c r="E70" s="76"/>
      <c r="F70" s="10">
        <v>44253</v>
      </c>
      <c r="G70" s="10">
        <v>44403</v>
      </c>
      <c r="H70" s="6"/>
      <c r="I70" s="6"/>
      <c r="J70" s="6"/>
      <c r="K70" s="6"/>
    </row>
    <row r="71" spans="1:11" x14ac:dyDescent="0.2">
      <c r="A71" s="6"/>
      <c r="B71" s="12"/>
      <c r="C71" s="6">
        <v>1</v>
      </c>
      <c r="D71" s="8" t="s">
        <v>786</v>
      </c>
      <c r="E71" s="76"/>
      <c r="F71" s="10">
        <v>44253</v>
      </c>
      <c r="G71" s="10">
        <v>44403</v>
      </c>
      <c r="H71" s="6"/>
      <c r="I71" s="6"/>
      <c r="J71" s="6"/>
      <c r="K71" s="6"/>
    </row>
    <row r="72" spans="1:11" x14ac:dyDescent="0.2">
      <c r="A72" s="6"/>
      <c r="B72" s="12"/>
      <c r="C72" s="6">
        <v>1</v>
      </c>
      <c r="D72" s="8" t="s">
        <v>116</v>
      </c>
      <c r="E72" s="76"/>
      <c r="F72" s="10">
        <v>44253</v>
      </c>
      <c r="G72" s="10">
        <v>44403</v>
      </c>
      <c r="H72" s="6"/>
      <c r="I72" s="6"/>
      <c r="J72" s="6"/>
      <c r="K72" s="6"/>
    </row>
    <row r="73" spans="1:11" x14ac:dyDescent="0.2">
      <c r="A73" s="6"/>
      <c r="B73" s="12"/>
      <c r="C73" s="6">
        <v>1</v>
      </c>
      <c r="D73" s="8" t="s">
        <v>787</v>
      </c>
      <c r="E73" s="76"/>
      <c r="F73" s="10">
        <v>44253</v>
      </c>
      <c r="G73" s="10">
        <v>44403</v>
      </c>
      <c r="H73" s="6"/>
      <c r="I73" s="6"/>
      <c r="J73" s="6"/>
      <c r="K73" s="6"/>
    </row>
    <row r="74" spans="1:11" x14ac:dyDescent="0.2">
      <c r="A74" s="6"/>
      <c r="B74" s="12"/>
      <c r="C74" s="6">
        <v>25</v>
      </c>
      <c r="D74" s="8" t="s">
        <v>198</v>
      </c>
      <c r="E74" s="76"/>
      <c r="F74" s="10">
        <v>44253</v>
      </c>
      <c r="G74" s="10">
        <v>44403</v>
      </c>
      <c r="H74" s="6"/>
      <c r="I74" s="6"/>
      <c r="J74" s="6"/>
      <c r="K74" s="6"/>
    </row>
    <row r="75" spans="1:11" x14ac:dyDescent="0.2">
      <c r="A75" s="19"/>
      <c r="B75" s="22"/>
      <c r="C75" s="19"/>
      <c r="D75" s="19"/>
      <c r="E75" s="80"/>
      <c r="F75" s="19"/>
      <c r="G75" s="19"/>
      <c r="H75" s="19"/>
      <c r="I75" s="19"/>
      <c r="J75" s="19"/>
      <c r="K75" s="19"/>
    </row>
    <row r="76" spans="1:11" x14ac:dyDescent="0.2">
      <c r="A76" s="6" t="s">
        <v>188</v>
      </c>
      <c r="B76" s="12">
        <v>123146</v>
      </c>
      <c r="C76" s="6">
        <v>66</v>
      </c>
      <c r="D76" s="6" t="s">
        <v>67</v>
      </c>
      <c r="E76" s="76"/>
      <c r="F76" s="10">
        <v>44256</v>
      </c>
      <c r="G76" s="10">
        <v>44409</v>
      </c>
      <c r="H76" s="6"/>
      <c r="I76" s="6"/>
      <c r="J76" s="6">
        <f>C76-H76</f>
        <v>66</v>
      </c>
      <c r="K76" s="6"/>
    </row>
    <row r="77" spans="1:11" x14ac:dyDescent="0.2">
      <c r="A77" s="6"/>
      <c r="B77" s="12"/>
      <c r="C77" s="6">
        <v>31</v>
      </c>
      <c r="D77" s="6" t="s">
        <v>91</v>
      </c>
      <c r="E77" s="76"/>
      <c r="F77" s="10">
        <v>44256</v>
      </c>
      <c r="G77" s="10">
        <v>44409</v>
      </c>
      <c r="H77" s="6"/>
      <c r="I77" s="6"/>
      <c r="J77" s="6">
        <f>C77-H77</f>
        <v>31</v>
      </c>
      <c r="K77" s="6"/>
    </row>
    <row r="78" spans="1:11" x14ac:dyDescent="0.2">
      <c r="A78" s="6"/>
      <c r="B78" s="12"/>
      <c r="C78" s="6">
        <v>44</v>
      </c>
      <c r="D78" s="6" t="s">
        <v>87</v>
      </c>
      <c r="E78" s="76">
        <v>10610</v>
      </c>
      <c r="F78" s="10">
        <v>44256</v>
      </c>
      <c r="G78" s="10">
        <v>44409</v>
      </c>
      <c r="H78" s="6"/>
      <c r="I78" s="6"/>
      <c r="J78" s="6">
        <f>C78-H78</f>
        <v>44</v>
      </c>
      <c r="K78" s="6"/>
    </row>
    <row r="79" spans="1:11" x14ac:dyDescent="0.2">
      <c r="A79" s="19"/>
      <c r="B79" s="22"/>
      <c r="C79" s="19"/>
      <c r="D79" s="19"/>
      <c r="E79" s="80"/>
      <c r="F79" s="19"/>
      <c r="G79" s="19"/>
      <c r="H79" s="19"/>
      <c r="I79" s="19"/>
      <c r="J79" s="19"/>
      <c r="K79" s="19"/>
    </row>
    <row r="80" spans="1:11" x14ac:dyDescent="0.2">
      <c r="A80" s="6" t="s">
        <v>216</v>
      </c>
      <c r="B80" s="7" t="s">
        <v>586</v>
      </c>
      <c r="C80" s="6">
        <v>18</v>
      </c>
      <c r="D80" s="6" t="s">
        <v>67</v>
      </c>
      <c r="E80" s="76"/>
      <c r="F80" s="10">
        <v>44105</v>
      </c>
      <c r="G80" s="10">
        <v>44255</v>
      </c>
      <c r="H80" s="6"/>
      <c r="I80" s="6"/>
      <c r="J80" s="6">
        <f t="shared" ref="J80:J86" si="5">C80-H80</f>
        <v>18</v>
      </c>
      <c r="K80" s="6"/>
    </row>
    <row r="81" spans="1:12" x14ac:dyDescent="0.2">
      <c r="A81" s="6"/>
      <c r="B81" s="12"/>
      <c r="C81" s="6">
        <v>11</v>
      </c>
      <c r="D81" s="6" t="s">
        <v>48</v>
      </c>
      <c r="E81" s="76"/>
      <c r="F81" s="10">
        <v>44105</v>
      </c>
      <c r="G81" s="10">
        <v>44255</v>
      </c>
      <c r="H81" s="6"/>
      <c r="I81" s="6"/>
      <c r="J81" s="6">
        <f t="shared" si="5"/>
        <v>11</v>
      </c>
      <c r="K81" s="6"/>
    </row>
    <row r="82" spans="1:12" x14ac:dyDescent="0.2">
      <c r="A82" s="6"/>
      <c r="B82" s="12"/>
      <c r="C82" s="6">
        <v>10</v>
      </c>
      <c r="D82" s="6" t="s">
        <v>91</v>
      </c>
      <c r="E82" s="76"/>
      <c r="F82" s="10">
        <v>44105</v>
      </c>
      <c r="G82" s="10">
        <v>44255</v>
      </c>
      <c r="H82" s="6"/>
      <c r="I82" s="6"/>
      <c r="J82" s="6">
        <f t="shared" si="5"/>
        <v>10</v>
      </c>
      <c r="K82" s="6"/>
    </row>
    <row r="83" spans="1:12" x14ac:dyDescent="0.2">
      <c r="A83" s="6"/>
      <c r="B83" s="12"/>
      <c r="C83" s="6">
        <v>21</v>
      </c>
      <c r="D83" s="6" t="s">
        <v>126</v>
      </c>
      <c r="E83" s="76"/>
      <c r="F83" s="10">
        <v>44105</v>
      </c>
      <c r="G83" s="10">
        <v>44255</v>
      </c>
      <c r="H83" s="6"/>
      <c r="I83" s="6"/>
      <c r="J83" s="6">
        <f t="shared" si="5"/>
        <v>21</v>
      </c>
      <c r="K83" s="6"/>
    </row>
    <row r="84" spans="1:12" x14ac:dyDescent="0.2">
      <c r="A84" s="6"/>
      <c r="B84" s="12"/>
      <c r="C84" s="6">
        <v>15</v>
      </c>
      <c r="D84" s="6" t="s">
        <v>125</v>
      </c>
      <c r="E84" s="76"/>
      <c r="F84" s="10">
        <v>44105</v>
      </c>
      <c r="G84" s="10">
        <v>44255</v>
      </c>
      <c r="H84" s="6"/>
      <c r="I84" s="6"/>
      <c r="J84" s="6">
        <f t="shared" si="5"/>
        <v>15</v>
      </c>
      <c r="K84" s="6"/>
    </row>
    <row r="85" spans="1:12" x14ac:dyDescent="0.2">
      <c r="A85" s="6"/>
      <c r="B85" s="12"/>
      <c r="C85" s="6">
        <v>36</v>
      </c>
      <c r="D85" s="6" t="s">
        <v>135</v>
      </c>
      <c r="E85" s="76"/>
      <c r="F85" s="10">
        <v>44105</v>
      </c>
      <c r="G85" s="10">
        <v>44255</v>
      </c>
      <c r="H85" s="6"/>
      <c r="I85" s="6"/>
      <c r="J85" s="6">
        <f t="shared" si="5"/>
        <v>36</v>
      </c>
      <c r="K85" s="6"/>
    </row>
    <row r="86" spans="1:12" x14ac:dyDescent="0.2">
      <c r="A86" s="6"/>
      <c r="B86" s="12"/>
      <c r="C86" s="6">
        <v>1</v>
      </c>
      <c r="D86" s="6" t="s">
        <v>217</v>
      </c>
      <c r="E86" s="76">
        <v>5291</v>
      </c>
      <c r="F86" s="10">
        <v>44105</v>
      </c>
      <c r="G86" s="10">
        <v>44255</v>
      </c>
      <c r="H86" s="6"/>
      <c r="I86" s="6"/>
      <c r="J86" s="6">
        <f t="shared" si="5"/>
        <v>1</v>
      </c>
      <c r="K86" s="6"/>
    </row>
    <row r="87" spans="1:12" x14ac:dyDescent="0.2">
      <c r="A87" s="19"/>
      <c r="B87" s="22"/>
      <c r="C87" s="19"/>
      <c r="D87" s="19"/>
      <c r="E87" s="80"/>
      <c r="F87" s="19"/>
      <c r="G87" s="19"/>
      <c r="H87" s="19"/>
      <c r="I87" s="19"/>
      <c r="J87" s="19"/>
      <c r="K87" s="19"/>
    </row>
    <row r="88" spans="1:12" x14ac:dyDescent="0.2">
      <c r="A88" s="96" t="s">
        <v>224</v>
      </c>
      <c r="B88" s="97">
        <v>119126</v>
      </c>
      <c r="C88" s="96">
        <v>1</v>
      </c>
      <c r="D88" s="96" t="s">
        <v>218</v>
      </c>
      <c r="E88" s="98"/>
      <c r="F88" s="99">
        <v>43596</v>
      </c>
      <c r="G88" s="99">
        <v>43719</v>
      </c>
      <c r="H88" s="96"/>
      <c r="I88" s="96"/>
      <c r="J88" s="96">
        <f>C88-H88</f>
        <v>1</v>
      </c>
      <c r="K88" s="96" t="s">
        <v>400</v>
      </c>
      <c r="L88" s="100"/>
    </row>
    <row r="89" spans="1:12" ht="12.75" customHeight="1" x14ac:dyDescent="0.2">
      <c r="A89" s="96"/>
      <c r="B89" s="97"/>
      <c r="C89" s="96">
        <v>1</v>
      </c>
      <c r="D89" s="96" t="s">
        <v>9</v>
      </c>
      <c r="E89" s="98"/>
      <c r="F89" s="99">
        <v>43596</v>
      </c>
      <c r="G89" s="99">
        <v>43719</v>
      </c>
      <c r="H89" s="96"/>
      <c r="I89" s="96"/>
      <c r="J89" s="96">
        <f>C89-H89</f>
        <v>1</v>
      </c>
      <c r="K89" s="96" t="s">
        <v>400</v>
      </c>
      <c r="L89" s="100"/>
    </row>
    <row r="90" spans="1:12" ht="12.75" customHeight="1" x14ac:dyDescent="0.2">
      <c r="A90" s="19"/>
      <c r="B90" s="22"/>
      <c r="C90" s="19"/>
      <c r="D90" s="19"/>
      <c r="E90" s="80"/>
      <c r="F90" s="19"/>
      <c r="G90" s="19"/>
      <c r="H90" s="19"/>
      <c r="I90" s="19"/>
      <c r="J90" s="19"/>
      <c r="K90" s="19"/>
    </row>
    <row r="91" spans="1:12" ht="15.75" customHeight="1" x14ac:dyDescent="0.2">
      <c r="A91" s="6" t="s">
        <v>228</v>
      </c>
      <c r="B91" s="12">
        <v>1777</v>
      </c>
      <c r="C91" s="6">
        <v>1</v>
      </c>
      <c r="D91" s="6" t="s">
        <v>229</v>
      </c>
      <c r="E91" s="76">
        <v>300</v>
      </c>
      <c r="F91" s="10">
        <v>43324</v>
      </c>
      <c r="G91" s="10">
        <v>43508</v>
      </c>
      <c r="H91" s="6"/>
      <c r="I91" s="6"/>
      <c r="J91" s="6">
        <f>C91-H91</f>
        <v>1</v>
      </c>
      <c r="K91" s="6" t="s">
        <v>379</v>
      </c>
    </row>
    <row r="92" spans="1:12" x14ac:dyDescent="0.2">
      <c r="A92" s="19"/>
      <c r="B92" s="22"/>
      <c r="C92" s="19"/>
      <c r="D92" s="19"/>
      <c r="E92" s="80"/>
      <c r="F92" s="19"/>
      <c r="G92" s="19"/>
      <c r="H92" s="19"/>
      <c r="I92" s="19"/>
      <c r="J92" s="19"/>
      <c r="K92" s="19"/>
    </row>
    <row r="93" spans="1:12" x14ac:dyDescent="0.2">
      <c r="A93" s="6" t="s">
        <v>169</v>
      </c>
      <c r="B93" s="12">
        <v>1781</v>
      </c>
      <c r="C93" s="6">
        <v>1</v>
      </c>
      <c r="D93" s="6" t="s">
        <v>212</v>
      </c>
      <c r="E93" s="76">
        <v>300</v>
      </c>
      <c r="F93" s="10">
        <v>43338</v>
      </c>
      <c r="G93" s="10">
        <v>43522</v>
      </c>
      <c r="H93" s="6"/>
      <c r="I93" s="6"/>
      <c r="J93" s="6">
        <f>C93-H93</f>
        <v>1</v>
      </c>
      <c r="K93" s="6" t="s">
        <v>379</v>
      </c>
    </row>
    <row r="94" spans="1:12" x14ac:dyDescent="0.2">
      <c r="A94" s="19"/>
      <c r="B94" s="22"/>
      <c r="C94" s="19"/>
      <c r="D94" s="19"/>
      <c r="E94" s="80"/>
      <c r="F94" s="29"/>
      <c r="G94" s="29"/>
      <c r="H94" s="19"/>
      <c r="I94" s="19"/>
      <c r="J94" s="19"/>
      <c r="K94" s="19"/>
    </row>
    <row r="95" spans="1:12" x14ac:dyDescent="0.2">
      <c r="A95" s="8" t="s">
        <v>133</v>
      </c>
      <c r="B95" s="95" t="s">
        <v>399</v>
      </c>
      <c r="C95" s="6">
        <v>33</v>
      </c>
      <c r="D95" s="8" t="s">
        <v>24</v>
      </c>
      <c r="E95" s="76"/>
      <c r="F95" s="10">
        <v>43838</v>
      </c>
      <c r="G95" s="10">
        <v>44020</v>
      </c>
      <c r="H95" s="6"/>
      <c r="I95" s="6"/>
      <c r="J95" s="6">
        <f t="shared" ref="J95:J100" si="6">C95-H95</f>
        <v>33</v>
      </c>
      <c r="K95" s="6"/>
    </row>
    <row r="96" spans="1:12" x14ac:dyDescent="0.2">
      <c r="A96" s="6"/>
      <c r="B96" s="7" t="s">
        <v>408</v>
      </c>
      <c r="C96" s="6">
        <v>36</v>
      </c>
      <c r="D96" s="8" t="s">
        <v>69</v>
      </c>
      <c r="E96" s="76"/>
      <c r="F96" s="10">
        <v>43838</v>
      </c>
      <c r="G96" s="10">
        <v>44020</v>
      </c>
      <c r="H96" s="6"/>
      <c r="I96" s="6"/>
      <c r="J96" s="6">
        <f t="shared" si="6"/>
        <v>36</v>
      </c>
      <c r="K96" s="6"/>
    </row>
    <row r="97" spans="1:11" x14ac:dyDescent="0.2">
      <c r="A97" s="6" t="s">
        <v>401</v>
      </c>
      <c r="B97" s="12"/>
      <c r="C97" s="6">
        <v>16</v>
      </c>
      <c r="D97" s="8" t="s">
        <v>83</v>
      </c>
      <c r="E97" s="76"/>
      <c r="F97" s="10">
        <v>43838</v>
      </c>
      <c r="G97" s="10">
        <v>44020</v>
      </c>
      <c r="H97" s="6">
        <v>2</v>
      </c>
      <c r="I97" s="6"/>
      <c r="J97" s="6">
        <f t="shared" si="6"/>
        <v>14</v>
      </c>
      <c r="K97" s="6"/>
    </row>
    <row r="98" spans="1:11" x14ac:dyDescent="0.2">
      <c r="A98" s="6"/>
      <c r="B98" s="12"/>
      <c r="C98" s="6">
        <v>1</v>
      </c>
      <c r="D98" s="8" t="s">
        <v>41</v>
      </c>
      <c r="E98" s="76"/>
      <c r="F98" s="10">
        <v>43838</v>
      </c>
      <c r="G98" s="10">
        <v>44020</v>
      </c>
      <c r="H98" s="6"/>
      <c r="I98" s="6"/>
      <c r="J98" s="6">
        <f t="shared" si="6"/>
        <v>1</v>
      </c>
      <c r="K98" s="6"/>
    </row>
    <row r="99" spans="1:11" x14ac:dyDescent="0.2">
      <c r="A99" s="6"/>
      <c r="B99" s="12"/>
      <c r="C99" s="6">
        <v>1</v>
      </c>
      <c r="D99" s="8" t="s">
        <v>115</v>
      </c>
      <c r="E99" s="76"/>
      <c r="F99" s="10">
        <v>43838</v>
      </c>
      <c r="G99" s="10">
        <v>44020</v>
      </c>
      <c r="H99" s="6"/>
      <c r="I99" s="6"/>
      <c r="J99" s="6">
        <f t="shared" si="6"/>
        <v>1</v>
      </c>
      <c r="K99" s="6"/>
    </row>
    <row r="100" spans="1:11" x14ac:dyDescent="0.2">
      <c r="A100" s="6"/>
      <c r="B100" s="12"/>
      <c r="C100" s="6">
        <v>1</v>
      </c>
      <c r="D100" s="8" t="s">
        <v>120</v>
      </c>
      <c r="E100" s="76"/>
      <c r="F100" s="10">
        <v>43838</v>
      </c>
      <c r="G100" s="10">
        <v>44020</v>
      </c>
      <c r="H100" s="6"/>
      <c r="I100" s="6"/>
      <c r="J100" s="6">
        <f t="shared" si="6"/>
        <v>1</v>
      </c>
      <c r="K100" s="6"/>
    </row>
    <row r="101" spans="1:11" x14ac:dyDescent="0.2">
      <c r="A101" s="19"/>
      <c r="B101" s="22"/>
      <c r="C101" s="19"/>
      <c r="D101" s="19"/>
      <c r="E101" s="80"/>
      <c r="F101" s="19"/>
      <c r="G101" s="19"/>
      <c r="H101" s="19"/>
      <c r="I101" s="19"/>
      <c r="J101" s="19"/>
      <c r="K101" s="19"/>
    </row>
    <row r="102" spans="1:11" x14ac:dyDescent="0.2">
      <c r="A102" s="6" t="s">
        <v>380</v>
      </c>
      <c r="B102" s="103" t="s">
        <v>500</v>
      </c>
      <c r="C102" s="6">
        <v>1</v>
      </c>
      <c r="D102" s="6" t="s">
        <v>381</v>
      </c>
      <c r="E102" s="76"/>
      <c r="F102" s="10">
        <v>43891</v>
      </c>
      <c r="G102" s="10">
        <v>44012</v>
      </c>
      <c r="H102" s="6"/>
      <c r="I102" s="6"/>
      <c r="J102" s="6">
        <f>C102-H102</f>
        <v>1</v>
      </c>
      <c r="K102" s="6"/>
    </row>
    <row r="103" spans="1:11" x14ac:dyDescent="0.2">
      <c r="A103" s="19"/>
      <c r="B103" s="22"/>
      <c r="C103" s="19"/>
      <c r="D103" s="19"/>
      <c r="E103" s="80"/>
      <c r="F103" s="19"/>
      <c r="G103" s="19"/>
      <c r="H103" s="19"/>
      <c r="I103" s="19"/>
      <c r="J103" s="19"/>
      <c r="K103" s="19"/>
    </row>
    <row r="104" spans="1:11" x14ac:dyDescent="0.2">
      <c r="A104" s="6" t="s">
        <v>382</v>
      </c>
      <c r="B104" s="12">
        <v>124529</v>
      </c>
      <c r="C104" s="6">
        <v>1</v>
      </c>
      <c r="D104" s="6" t="s">
        <v>14</v>
      </c>
      <c r="E104" s="76"/>
      <c r="F104" s="10">
        <v>43816</v>
      </c>
      <c r="G104" s="10">
        <v>43999</v>
      </c>
      <c r="H104" s="6"/>
      <c r="I104" s="6"/>
      <c r="J104" s="6">
        <f>C104-H104</f>
        <v>1</v>
      </c>
      <c r="K104" s="6"/>
    </row>
    <row r="105" spans="1:11" x14ac:dyDescent="0.2">
      <c r="A105" s="6"/>
      <c r="B105" s="12"/>
      <c r="C105" s="6">
        <v>1</v>
      </c>
      <c r="D105" s="6" t="s">
        <v>383</v>
      </c>
      <c r="E105" s="76"/>
      <c r="F105" s="10">
        <v>43816</v>
      </c>
      <c r="G105" s="10">
        <v>43999</v>
      </c>
      <c r="H105" s="6"/>
      <c r="I105" s="6"/>
      <c r="J105" s="6">
        <f>C105-H105</f>
        <v>1</v>
      </c>
      <c r="K105" s="6"/>
    </row>
    <row r="106" spans="1:11" x14ac:dyDescent="0.2">
      <c r="A106" s="19"/>
      <c r="B106" s="22"/>
      <c r="C106" s="19"/>
      <c r="D106" s="19"/>
      <c r="E106" s="80"/>
      <c r="F106" s="19"/>
      <c r="G106" s="19"/>
      <c r="H106" s="19"/>
      <c r="I106" s="19"/>
      <c r="J106" s="19"/>
      <c r="K106" s="19"/>
    </row>
    <row r="107" spans="1:11" x14ac:dyDescent="0.2">
      <c r="A107" s="6" t="s">
        <v>384</v>
      </c>
      <c r="B107" s="12">
        <v>122550</v>
      </c>
      <c r="C107" s="6">
        <v>1</v>
      </c>
      <c r="D107" s="6" t="s">
        <v>89</v>
      </c>
      <c r="E107" s="76"/>
      <c r="F107" s="10">
        <v>43709</v>
      </c>
      <c r="G107" s="10">
        <v>43890</v>
      </c>
      <c r="H107" s="6"/>
      <c r="I107" s="6"/>
      <c r="J107" s="6">
        <f t="shared" ref="J107:J113" si="7">C107-H107</f>
        <v>1</v>
      </c>
      <c r="K107" s="6"/>
    </row>
    <row r="108" spans="1:11" x14ac:dyDescent="0.2">
      <c r="A108" s="6"/>
      <c r="B108" s="12"/>
      <c r="C108" s="6">
        <v>1</v>
      </c>
      <c r="D108" s="6" t="s">
        <v>385</v>
      </c>
      <c r="E108" s="76"/>
      <c r="F108" s="10">
        <v>43709</v>
      </c>
      <c r="G108" s="10">
        <v>43890</v>
      </c>
      <c r="H108" s="6"/>
      <c r="I108" s="6"/>
      <c r="J108" s="6">
        <f t="shared" si="7"/>
        <v>1</v>
      </c>
      <c r="K108" s="6"/>
    </row>
    <row r="109" spans="1:11" x14ac:dyDescent="0.2">
      <c r="A109" s="6"/>
      <c r="B109" s="12"/>
      <c r="C109" s="6">
        <v>1</v>
      </c>
      <c r="D109" s="6" t="s">
        <v>386</v>
      </c>
      <c r="E109" s="76"/>
      <c r="F109" s="10">
        <v>43709</v>
      </c>
      <c r="G109" s="10">
        <v>43890</v>
      </c>
      <c r="H109" s="6"/>
      <c r="I109" s="6"/>
      <c r="J109" s="6">
        <f t="shared" si="7"/>
        <v>1</v>
      </c>
      <c r="K109" s="6"/>
    </row>
    <row r="110" spans="1:11" x14ac:dyDescent="0.2">
      <c r="A110" s="6"/>
      <c r="B110" s="12"/>
      <c r="C110" s="6">
        <v>1</v>
      </c>
      <c r="D110" s="6" t="s">
        <v>223</v>
      </c>
      <c r="E110" s="76"/>
      <c r="F110" s="10">
        <v>43709</v>
      </c>
      <c r="G110" s="10">
        <v>43890</v>
      </c>
      <c r="H110" s="6"/>
      <c r="I110" s="6"/>
      <c r="J110" s="6">
        <f t="shared" si="7"/>
        <v>1</v>
      </c>
      <c r="K110" s="6"/>
    </row>
    <row r="111" spans="1:11" x14ac:dyDescent="0.2">
      <c r="A111" s="6"/>
      <c r="B111" s="12"/>
      <c r="C111" s="6">
        <v>3</v>
      </c>
      <c r="D111" s="6" t="s">
        <v>387</v>
      </c>
      <c r="E111" s="76"/>
      <c r="F111" s="10">
        <v>43709</v>
      </c>
      <c r="G111" s="10">
        <v>43890</v>
      </c>
      <c r="H111" s="6">
        <v>2</v>
      </c>
      <c r="I111" s="6"/>
      <c r="J111" s="6">
        <f t="shared" si="7"/>
        <v>1</v>
      </c>
      <c r="K111" s="6"/>
    </row>
    <row r="112" spans="1:11" x14ac:dyDescent="0.2">
      <c r="A112" s="6"/>
      <c r="B112" s="12"/>
      <c r="C112" s="6">
        <v>1</v>
      </c>
      <c r="D112" s="6" t="s">
        <v>50</v>
      </c>
      <c r="E112" s="76"/>
      <c r="F112" s="10">
        <v>43709</v>
      </c>
      <c r="G112" s="10">
        <v>43890</v>
      </c>
      <c r="H112" s="6"/>
      <c r="I112" s="6"/>
      <c r="J112" s="6">
        <f t="shared" si="7"/>
        <v>1</v>
      </c>
      <c r="K112" s="6"/>
    </row>
    <row r="113" spans="1:11" x14ac:dyDescent="0.2">
      <c r="A113" s="6"/>
      <c r="B113" s="12"/>
      <c r="C113" s="6">
        <v>1</v>
      </c>
      <c r="D113" s="18" t="s">
        <v>56</v>
      </c>
      <c r="E113" s="76"/>
      <c r="F113" s="10">
        <v>43709</v>
      </c>
      <c r="G113" s="10">
        <v>43890</v>
      </c>
      <c r="H113" s="6"/>
      <c r="I113" s="6"/>
      <c r="J113" s="6">
        <f t="shared" si="7"/>
        <v>1</v>
      </c>
      <c r="K113" s="6"/>
    </row>
    <row r="114" spans="1:11" x14ac:dyDescent="0.2">
      <c r="A114" s="19"/>
      <c r="B114" s="22"/>
      <c r="C114" s="19"/>
      <c r="D114" s="19"/>
      <c r="E114" s="80"/>
      <c r="F114" s="19"/>
      <c r="G114" s="19"/>
      <c r="H114" s="19"/>
      <c r="I114" s="19"/>
      <c r="J114" s="19"/>
      <c r="K114" s="19"/>
    </row>
    <row r="115" spans="1:11" x14ac:dyDescent="0.2">
      <c r="A115" s="6" t="s">
        <v>498</v>
      </c>
      <c r="B115" s="7" t="s">
        <v>583</v>
      </c>
      <c r="C115" s="6">
        <v>10</v>
      </c>
      <c r="D115" s="6" t="s">
        <v>499</v>
      </c>
      <c r="E115" s="76"/>
      <c r="F115" s="10">
        <v>44080</v>
      </c>
      <c r="G115" s="10">
        <v>44110</v>
      </c>
      <c r="H115" s="6"/>
      <c r="I115" s="6"/>
      <c r="J115" s="6"/>
      <c r="K115" s="6"/>
    </row>
    <row r="116" spans="1:11" x14ac:dyDescent="0.2">
      <c r="A116" s="6"/>
      <c r="B116" s="12"/>
      <c r="C116" s="6">
        <v>8</v>
      </c>
      <c r="D116" s="6" t="s">
        <v>440</v>
      </c>
      <c r="E116" s="76"/>
      <c r="F116" s="10">
        <v>44080</v>
      </c>
      <c r="G116" s="10">
        <v>44110</v>
      </c>
      <c r="H116" s="6">
        <v>3</v>
      </c>
      <c r="I116" s="6"/>
      <c r="J116" s="6"/>
      <c r="K116" s="6"/>
    </row>
    <row r="117" spans="1:11" x14ac:dyDescent="0.2">
      <c r="A117" s="19"/>
      <c r="B117" s="22"/>
      <c r="C117" s="19"/>
      <c r="D117" s="19"/>
      <c r="E117" s="80"/>
      <c r="F117" s="19"/>
      <c r="G117" s="19"/>
      <c r="H117" s="19"/>
      <c r="I117" s="19"/>
      <c r="J117" s="19"/>
      <c r="K117" s="19"/>
    </row>
    <row r="118" spans="1:11" x14ac:dyDescent="0.2">
      <c r="A118" s="8" t="s">
        <v>498</v>
      </c>
      <c r="B118" s="7" t="s">
        <v>585</v>
      </c>
      <c r="C118" s="6">
        <v>40</v>
      </c>
      <c r="D118" s="8" t="s">
        <v>483</v>
      </c>
      <c r="E118" s="76"/>
      <c r="F118" s="10">
        <v>44040</v>
      </c>
      <c r="G118" s="10">
        <v>44193</v>
      </c>
      <c r="H118" s="6"/>
      <c r="I118" s="6"/>
      <c r="J118" s="6"/>
      <c r="K118" s="6"/>
    </row>
    <row r="119" spans="1:11" x14ac:dyDescent="0.2">
      <c r="A119" s="19"/>
      <c r="B119" s="22"/>
      <c r="C119" s="19"/>
      <c r="D119" s="19"/>
      <c r="E119" s="80"/>
      <c r="F119" s="19"/>
      <c r="G119" s="19"/>
      <c r="H119" s="19"/>
      <c r="I119" s="19"/>
      <c r="J119" s="19"/>
      <c r="K119" s="19"/>
    </row>
    <row r="120" spans="1:11" x14ac:dyDescent="0.2">
      <c r="A120" s="8" t="s">
        <v>589</v>
      </c>
      <c r="B120" s="7" t="s">
        <v>591</v>
      </c>
      <c r="C120" s="6">
        <v>1</v>
      </c>
      <c r="D120" s="8" t="s">
        <v>592</v>
      </c>
      <c r="E120" s="76"/>
      <c r="F120" s="10" t="s">
        <v>703</v>
      </c>
      <c r="G120" s="10" t="s">
        <v>683</v>
      </c>
      <c r="H120" s="6"/>
      <c r="I120" s="6"/>
      <c r="J120" s="6"/>
      <c r="K120" s="6"/>
    </row>
    <row r="121" spans="1:11" x14ac:dyDescent="0.2">
      <c r="A121" s="8" t="s">
        <v>590</v>
      </c>
      <c r="B121" s="12"/>
      <c r="C121" s="6"/>
      <c r="D121" s="6"/>
      <c r="E121" s="76"/>
      <c r="F121" s="6"/>
      <c r="G121" s="6"/>
      <c r="H121" s="6"/>
      <c r="I121" s="6"/>
      <c r="J121" s="6"/>
      <c r="K121" s="6"/>
    </row>
    <row r="122" spans="1:11" x14ac:dyDescent="0.2">
      <c r="A122" s="19"/>
      <c r="B122" s="22"/>
      <c r="C122" s="19"/>
      <c r="D122" s="19"/>
      <c r="E122" s="80"/>
      <c r="F122" s="19"/>
      <c r="G122" s="19"/>
      <c r="H122" s="19"/>
      <c r="I122" s="19"/>
      <c r="J122" s="19"/>
      <c r="K122" s="19"/>
    </row>
    <row r="123" spans="1:11" x14ac:dyDescent="0.2">
      <c r="A123" s="8" t="s">
        <v>498</v>
      </c>
      <c r="B123" s="7" t="s">
        <v>593</v>
      </c>
      <c r="C123" s="6">
        <v>30</v>
      </c>
      <c r="D123" s="8" t="s">
        <v>594</v>
      </c>
      <c r="E123" s="76"/>
      <c r="F123" s="10">
        <v>43994</v>
      </c>
      <c r="G123" s="8" t="s">
        <v>595</v>
      </c>
      <c r="H123" s="6"/>
      <c r="I123" s="6"/>
      <c r="J123" s="6"/>
      <c r="K123" s="6"/>
    </row>
    <row r="124" spans="1:11" x14ac:dyDescent="0.2">
      <c r="A124" s="19"/>
      <c r="B124" s="22"/>
      <c r="C124" s="19"/>
      <c r="D124" s="19"/>
      <c r="E124" s="80"/>
      <c r="F124" s="19"/>
      <c r="G124" s="19"/>
      <c r="H124" s="19"/>
      <c r="I124" s="19"/>
      <c r="J124" s="19"/>
      <c r="K124" s="19"/>
    </row>
    <row r="125" spans="1:11" x14ac:dyDescent="0.2">
      <c r="A125" s="6" t="s">
        <v>251</v>
      </c>
      <c r="B125" s="12" t="s">
        <v>596</v>
      </c>
      <c r="C125" s="6">
        <v>76</v>
      </c>
      <c r="D125" s="6" t="s">
        <v>24</v>
      </c>
      <c r="E125" s="76"/>
      <c r="F125" s="10">
        <v>44026</v>
      </c>
      <c r="G125" s="10">
        <v>44210</v>
      </c>
      <c r="H125" s="6"/>
      <c r="I125" s="6"/>
      <c r="J125" s="6"/>
      <c r="K125" s="6"/>
    </row>
    <row r="126" spans="1:11" x14ac:dyDescent="0.2">
      <c r="A126" s="6"/>
      <c r="B126" s="12" t="s">
        <v>597</v>
      </c>
      <c r="C126" s="6">
        <v>10</v>
      </c>
      <c r="D126" s="6" t="s">
        <v>30</v>
      </c>
      <c r="E126" s="76"/>
      <c r="F126" s="10">
        <v>44026</v>
      </c>
      <c r="G126" s="10">
        <v>44210</v>
      </c>
      <c r="H126" s="6"/>
      <c r="I126" s="6"/>
      <c r="J126" s="6"/>
      <c r="K126" s="6"/>
    </row>
    <row r="127" spans="1:11" x14ac:dyDescent="0.2">
      <c r="A127" s="6"/>
      <c r="B127" s="12"/>
      <c r="C127" s="6">
        <v>1</v>
      </c>
      <c r="D127" s="6" t="s">
        <v>12</v>
      </c>
      <c r="E127" s="76"/>
      <c r="F127" s="10">
        <v>44026</v>
      </c>
      <c r="G127" s="10">
        <v>44210</v>
      </c>
      <c r="H127" s="6"/>
      <c r="I127" s="6"/>
      <c r="J127" s="6"/>
      <c r="K127" s="6"/>
    </row>
    <row r="128" spans="1:11" x14ac:dyDescent="0.2">
      <c r="A128" s="6"/>
      <c r="B128" s="12"/>
      <c r="C128" s="6">
        <v>3</v>
      </c>
      <c r="D128" s="6" t="s">
        <v>115</v>
      </c>
      <c r="E128" s="76"/>
      <c r="F128" s="10">
        <v>44026</v>
      </c>
      <c r="G128" s="10">
        <v>44210</v>
      </c>
      <c r="H128" s="6"/>
      <c r="I128" s="6"/>
      <c r="J128" s="6"/>
      <c r="K128" s="6"/>
    </row>
    <row r="129" spans="1:11" x14ac:dyDescent="0.2">
      <c r="A129" s="6"/>
      <c r="B129" s="12"/>
      <c r="C129" s="6">
        <v>1</v>
      </c>
      <c r="D129" s="6" t="s">
        <v>152</v>
      </c>
      <c r="E129" s="76"/>
      <c r="F129" s="10">
        <v>44026</v>
      </c>
      <c r="G129" s="10">
        <v>44210</v>
      </c>
      <c r="H129" s="6"/>
      <c r="I129" s="6"/>
      <c r="J129" s="6"/>
      <c r="K129" s="6"/>
    </row>
    <row r="130" spans="1:11" x14ac:dyDescent="0.2">
      <c r="A130" s="6"/>
      <c r="B130" s="12"/>
      <c r="C130" s="6">
        <v>1</v>
      </c>
      <c r="D130" s="6" t="s">
        <v>598</v>
      </c>
      <c r="E130" s="76"/>
      <c r="F130" s="10">
        <v>44026</v>
      </c>
      <c r="G130" s="10">
        <v>44210</v>
      </c>
      <c r="H130" s="6"/>
      <c r="I130" s="6"/>
      <c r="J130" s="6"/>
      <c r="K130" s="6"/>
    </row>
    <row r="131" spans="1:11" x14ac:dyDescent="0.2">
      <c r="A131" s="6"/>
      <c r="B131" s="12"/>
      <c r="C131" s="6">
        <v>13</v>
      </c>
      <c r="D131" s="6" t="s">
        <v>474</v>
      </c>
      <c r="E131" s="76"/>
      <c r="F131" s="10">
        <v>44026</v>
      </c>
      <c r="G131" s="10">
        <v>44210</v>
      </c>
      <c r="H131" s="6"/>
      <c r="I131" s="6"/>
      <c r="J131" s="6"/>
      <c r="K131" s="6"/>
    </row>
    <row r="132" spans="1:11" x14ac:dyDescent="0.2">
      <c r="A132" s="6"/>
      <c r="B132" s="12"/>
      <c r="C132" s="6">
        <v>83</v>
      </c>
      <c r="D132" s="6" t="s">
        <v>89</v>
      </c>
      <c r="E132" s="76"/>
      <c r="F132" s="10">
        <v>44026</v>
      </c>
      <c r="G132" s="10">
        <v>44210</v>
      </c>
      <c r="H132" s="6"/>
      <c r="I132" s="6"/>
      <c r="J132" s="6"/>
      <c r="K132" s="6"/>
    </row>
    <row r="133" spans="1:11" x14ac:dyDescent="0.2">
      <c r="A133" s="6"/>
      <c r="B133" s="12"/>
      <c r="C133" s="6">
        <v>42</v>
      </c>
      <c r="D133" s="6" t="s">
        <v>83</v>
      </c>
      <c r="E133" s="76"/>
      <c r="F133" s="10">
        <v>44026</v>
      </c>
      <c r="G133" s="10">
        <v>44210</v>
      </c>
      <c r="H133" s="6"/>
      <c r="I133" s="6"/>
      <c r="J133" s="6"/>
      <c r="K133" s="6"/>
    </row>
    <row r="134" spans="1:11" x14ac:dyDescent="0.2">
      <c r="A134" s="19"/>
      <c r="B134" s="22"/>
      <c r="C134" s="19"/>
      <c r="D134" s="19"/>
      <c r="E134" s="80"/>
      <c r="F134" s="19"/>
      <c r="G134" s="19"/>
      <c r="H134" s="19"/>
      <c r="I134" s="19"/>
      <c r="J134" s="19"/>
      <c r="K134" s="19"/>
    </row>
    <row r="135" spans="1:11" x14ac:dyDescent="0.2">
      <c r="A135" s="6" t="s">
        <v>599</v>
      </c>
      <c r="B135" s="12" t="s">
        <v>600</v>
      </c>
      <c r="C135" s="6">
        <v>77</v>
      </c>
      <c r="D135" s="6" t="s">
        <v>24</v>
      </c>
      <c r="E135" s="76"/>
      <c r="F135" s="10">
        <v>44014</v>
      </c>
      <c r="G135" s="10">
        <v>44167</v>
      </c>
      <c r="H135" s="6"/>
      <c r="I135" s="6"/>
      <c r="J135" s="6"/>
      <c r="K135" s="6"/>
    </row>
    <row r="136" spans="1:11" x14ac:dyDescent="0.2">
      <c r="A136" s="6"/>
      <c r="B136" s="12" t="s">
        <v>601</v>
      </c>
      <c r="C136" s="6">
        <v>33</v>
      </c>
      <c r="D136" s="6" t="s">
        <v>83</v>
      </c>
      <c r="E136" s="76"/>
      <c r="F136" s="10">
        <v>44014</v>
      </c>
      <c r="G136" s="10">
        <v>44167</v>
      </c>
      <c r="H136" s="6"/>
      <c r="I136" s="6"/>
      <c r="J136" s="6"/>
      <c r="K136" s="6"/>
    </row>
    <row r="137" spans="1:11" x14ac:dyDescent="0.2">
      <c r="A137" s="6"/>
      <c r="B137" s="12"/>
      <c r="C137" s="6">
        <v>6</v>
      </c>
      <c r="D137" s="6" t="s">
        <v>115</v>
      </c>
      <c r="E137" s="76"/>
      <c r="F137" s="10">
        <v>44014</v>
      </c>
      <c r="G137" s="10">
        <v>44167</v>
      </c>
      <c r="H137" s="6"/>
      <c r="I137" s="6"/>
      <c r="J137" s="6"/>
      <c r="K137" s="6"/>
    </row>
    <row r="138" spans="1:11" x14ac:dyDescent="0.2">
      <c r="A138" s="6"/>
      <c r="B138" s="12"/>
      <c r="C138" s="6">
        <v>86</v>
      </c>
      <c r="D138" s="6" t="s">
        <v>89</v>
      </c>
      <c r="E138" s="76"/>
      <c r="F138" s="10">
        <v>44014</v>
      </c>
      <c r="G138" s="10">
        <v>44167</v>
      </c>
      <c r="H138" s="6"/>
      <c r="I138" s="6"/>
      <c r="J138" s="6"/>
      <c r="K138" s="6"/>
    </row>
    <row r="139" spans="1:11" x14ac:dyDescent="0.2">
      <c r="A139" s="6"/>
      <c r="B139" s="12"/>
      <c r="C139" s="6">
        <v>1</v>
      </c>
      <c r="D139" s="6" t="s">
        <v>602</v>
      </c>
      <c r="E139" s="76"/>
      <c r="F139" s="10">
        <v>44014</v>
      </c>
      <c r="G139" s="10">
        <v>44167</v>
      </c>
      <c r="H139" s="6"/>
      <c r="I139" s="6"/>
      <c r="J139" s="6"/>
      <c r="K139" s="6"/>
    </row>
    <row r="140" spans="1:11" x14ac:dyDescent="0.2">
      <c r="A140" s="6"/>
      <c r="B140" s="12"/>
      <c r="C140" s="6">
        <v>1</v>
      </c>
      <c r="D140" s="6" t="s">
        <v>598</v>
      </c>
      <c r="E140" s="76"/>
      <c r="F140" s="10">
        <v>44014</v>
      </c>
      <c r="G140" s="10">
        <v>44167</v>
      </c>
      <c r="H140" s="6"/>
      <c r="I140" s="6"/>
      <c r="J140" s="6"/>
      <c r="K140" s="6"/>
    </row>
    <row r="141" spans="1:11" x14ac:dyDescent="0.2">
      <c r="A141" s="6"/>
      <c r="B141" s="12"/>
      <c r="C141" s="6">
        <v>1</v>
      </c>
      <c r="D141" s="6" t="s">
        <v>54</v>
      </c>
      <c r="E141" s="76"/>
      <c r="F141" s="10">
        <v>44014</v>
      </c>
      <c r="G141" s="10">
        <v>44167</v>
      </c>
      <c r="H141" s="6"/>
      <c r="I141" s="6"/>
      <c r="J141" s="6"/>
      <c r="K141" s="6"/>
    </row>
    <row r="142" spans="1:11" x14ac:dyDescent="0.2">
      <c r="A142" s="6"/>
      <c r="B142" s="12"/>
      <c r="C142" s="6">
        <v>1</v>
      </c>
      <c r="D142" s="6" t="s">
        <v>412</v>
      </c>
      <c r="E142" s="76"/>
      <c r="F142" s="10">
        <v>44014</v>
      </c>
      <c r="G142" s="10">
        <v>44167</v>
      </c>
      <c r="H142" s="6"/>
      <c r="I142" s="6"/>
      <c r="J142" s="6"/>
      <c r="K142" s="6"/>
    </row>
    <row r="143" spans="1:11" x14ac:dyDescent="0.2">
      <c r="A143" s="6"/>
      <c r="B143" s="12"/>
      <c r="C143" s="6">
        <v>1</v>
      </c>
      <c r="D143" s="6" t="s">
        <v>137</v>
      </c>
      <c r="E143" s="76"/>
      <c r="F143" s="10">
        <v>44014</v>
      </c>
      <c r="G143" s="10">
        <v>44167</v>
      </c>
      <c r="H143" s="6"/>
      <c r="I143" s="6"/>
      <c r="J143" s="6"/>
      <c r="K143" s="6"/>
    </row>
    <row r="144" spans="1:11" x14ac:dyDescent="0.2">
      <c r="A144" s="19"/>
      <c r="B144" s="22"/>
      <c r="C144" s="19"/>
      <c r="D144" s="19"/>
      <c r="E144" s="80"/>
      <c r="F144" s="19"/>
      <c r="G144" s="19"/>
      <c r="H144" s="19"/>
      <c r="I144" s="19"/>
      <c r="J144" s="19"/>
      <c r="K144" s="19"/>
    </row>
    <row r="145" spans="1:11" x14ac:dyDescent="0.2">
      <c r="A145" s="6" t="s">
        <v>1180</v>
      </c>
      <c r="B145" s="12" t="s">
        <v>1181</v>
      </c>
      <c r="C145" s="6">
        <v>73</v>
      </c>
      <c r="D145" s="6" t="s">
        <v>24</v>
      </c>
      <c r="E145" s="76"/>
      <c r="F145" s="10">
        <v>44574</v>
      </c>
      <c r="G145" s="10">
        <v>44694</v>
      </c>
      <c r="H145" s="6"/>
      <c r="I145" s="6"/>
      <c r="J145" s="6"/>
      <c r="K145" s="6"/>
    </row>
    <row r="146" spans="1:11" x14ac:dyDescent="0.2">
      <c r="A146" s="6"/>
      <c r="B146" s="12"/>
      <c r="C146" s="6">
        <v>33</v>
      </c>
      <c r="D146" s="6" t="s">
        <v>83</v>
      </c>
      <c r="E146" s="76"/>
      <c r="F146" s="10">
        <v>44574</v>
      </c>
      <c r="G146" s="10">
        <v>44694</v>
      </c>
      <c r="H146" s="6"/>
      <c r="I146" s="6"/>
      <c r="J146" s="6"/>
      <c r="K146" s="6"/>
    </row>
    <row r="147" spans="1:11" x14ac:dyDescent="0.2">
      <c r="A147" s="6"/>
      <c r="B147" s="12"/>
      <c r="C147" s="6">
        <v>6</v>
      </c>
      <c r="D147" s="6" t="s">
        <v>115</v>
      </c>
      <c r="E147" s="76"/>
      <c r="F147" s="10">
        <v>44574</v>
      </c>
      <c r="G147" s="10">
        <v>44694</v>
      </c>
      <c r="H147" s="6"/>
      <c r="I147" s="6"/>
      <c r="J147" s="6"/>
      <c r="K147" s="6"/>
    </row>
    <row r="148" spans="1:11" x14ac:dyDescent="0.2">
      <c r="A148" s="6"/>
      <c r="B148" s="12"/>
      <c r="C148" s="6">
        <v>80</v>
      </c>
      <c r="D148" s="6" t="s">
        <v>89</v>
      </c>
      <c r="E148" s="76"/>
      <c r="F148" s="10">
        <v>44574</v>
      </c>
      <c r="G148" s="10">
        <v>44694</v>
      </c>
      <c r="H148" s="6"/>
      <c r="I148" s="6"/>
      <c r="J148" s="6"/>
      <c r="K148" s="6"/>
    </row>
    <row r="149" spans="1:11" x14ac:dyDescent="0.2">
      <c r="A149" s="6"/>
      <c r="B149" s="12"/>
      <c r="C149" s="6">
        <v>1</v>
      </c>
      <c r="D149" s="6" t="s">
        <v>602</v>
      </c>
      <c r="E149" s="76"/>
      <c r="F149" s="10">
        <v>44574</v>
      </c>
      <c r="G149" s="10">
        <v>44694</v>
      </c>
      <c r="H149" s="6"/>
      <c r="I149" s="6"/>
      <c r="J149" s="6"/>
      <c r="K149" s="6"/>
    </row>
    <row r="150" spans="1:11" x14ac:dyDescent="0.2">
      <c r="A150" s="6"/>
      <c r="B150" s="12"/>
      <c r="C150" s="6">
        <v>1</v>
      </c>
      <c r="D150" s="6" t="s">
        <v>598</v>
      </c>
      <c r="E150" s="76"/>
      <c r="F150" s="10">
        <v>44574</v>
      </c>
      <c r="G150" s="10">
        <v>44694</v>
      </c>
      <c r="H150" s="6"/>
      <c r="I150" s="6"/>
      <c r="J150" s="6"/>
      <c r="K150" s="6"/>
    </row>
    <row r="151" spans="1:11" x14ac:dyDescent="0.2">
      <c r="A151" s="6"/>
      <c r="B151" s="12"/>
      <c r="C151" s="6">
        <v>1</v>
      </c>
      <c r="D151" s="6" t="s">
        <v>54</v>
      </c>
      <c r="E151" s="76"/>
      <c r="F151" s="10">
        <v>44574</v>
      </c>
      <c r="G151" s="10">
        <v>44694</v>
      </c>
      <c r="H151" s="6"/>
      <c r="I151" s="6"/>
      <c r="J151" s="6"/>
      <c r="K151" s="6"/>
    </row>
    <row r="152" spans="1:11" x14ac:dyDescent="0.2">
      <c r="A152" s="19"/>
      <c r="B152" s="22"/>
      <c r="C152" s="19"/>
      <c r="D152" s="19"/>
      <c r="E152" s="80"/>
      <c r="F152" s="19"/>
      <c r="G152" s="19"/>
      <c r="H152" s="19"/>
      <c r="I152" s="19"/>
      <c r="J152" s="19"/>
      <c r="K152" s="19"/>
    </row>
    <row r="153" spans="1:11" x14ac:dyDescent="0.2">
      <c r="A153" s="6" t="s">
        <v>169</v>
      </c>
      <c r="B153" s="12" t="s">
        <v>704</v>
      </c>
      <c r="C153" s="6">
        <v>63</v>
      </c>
      <c r="D153" s="6" t="s">
        <v>705</v>
      </c>
      <c r="E153" s="76"/>
      <c r="F153" s="10">
        <v>44211</v>
      </c>
      <c r="G153" s="10">
        <v>44362</v>
      </c>
      <c r="H153" s="6"/>
      <c r="I153" s="6"/>
      <c r="J153" s="6"/>
      <c r="K153" s="6"/>
    </row>
    <row r="154" spans="1:11" x14ac:dyDescent="0.2">
      <c r="A154" s="6"/>
      <c r="B154" s="12"/>
      <c r="C154" s="6">
        <v>63</v>
      </c>
      <c r="D154" s="6" t="s">
        <v>10</v>
      </c>
      <c r="E154" s="76"/>
      <c r="F154" s="10">
        <v>44211</v>
      </c>
      <c r="G154" s="10">
        <v>44362</v>
      </c>
      <c r="H154" s="6"/>
      <c r="I154" s="6"/>
      <c r="J154" s="6"/>
      <c r="K154" s="6"/>
    </row>
    <row r="155" spans="1:11" x14ac:dyDescent="0.2">
      <c r="A155" s="6"/>
      <c r="B155" s="12"/>
      <c r="C155" s="6">
        <v>64</v>
      </c>
      <c r="D155" s="6" t="s">
        <v>89</v>
      </c>
      <c r="E155" s="76"/>
      <c r="F155" s="10">
        <v>44211</v>
      </c>
      <c r="G155" s="10">
        <v>44362</v>
      </c>
      <c r="H155" s="6"/>
      <c r="I155" s="6"/>
      <c r="J155" s="6"/>
      <c r="K155" s="6"/>
    </row>
    <row r="156" spans="1:11" x14ac:dyDescent="0.2">
      <c r="A156" s="19"/>
      <c r="B156" s="22"/>
      <c r="C156" s="19"/>
      <c r="D156" s="19"/>
      <c r="E156" s="80"/>
      <c r="F156" s="19"/>
      <c r="G156" s="19"/>
      <c r="H156" s="19"/>
      <c r="I156" s="19"/>
      <c r="J156" s="19"/>
      <c r="K156" s="19"/>
    </row>
    <row r="157" spans="1:11" x14ac:dyDescent="0.2">
      <c r="A157" s="6" t="s">
        <v>752</v>
      </c>
      <c r="B157" s="12" t="s">
        <v>1171</v>
      </c>
      <c r="C157" s="6">
        <v>36</v>
      </c>
      <c r="D157" s="6" t="s">
        <v>220</v>
      </c>
      <c r="E157" s="76"/>
      <c r="F157" s="10">
        <v>44542</v>
      </c>
      <c r="G157" s="10">
        <v>44663</v>
      </c>
      <c r="H157" s="6"/>
      <c r="I157" s="6"/>
      <c r="J157" s="6"/>
      <c r="K157" s="6"/>
    </row>
    <row r="158" spans="1:11" x14ac:dyDescent="0.2">
      <c r="A158" s="6"/>
      <c r="B158" s="12"/>
      <c r="C158" s="6">
        <v>8</v>
      </c>
      <c r="D158" s="6" t="s">
        <v>167</v>
      </c>
      <c r="E158" s="76"/>
      <c r="F158" s="10">
        <v>44542</v>
      </c>
      <c r="G158" s="10">
        <v>44663</v>
      </c>
      <c r="H158" s="6"/>
      <c r="I158" s="6"/>
      <c r="J158" s="6"/>
      <c r="K158" s="6"/>
    </row>
    <row r="159" spans="1:11" x14ac:dyDescent="0.2">
      <c r="A159" s="6"/>
      <c r="B159" s="12"/>
      <c r="C159" s="6">
        <v>28</v>
      </c>
      <c r="D159" s="6" t="s">
        <v>136</v>
      </c>
      <c r="E159" s="76"/>
      <c r="F159" s="10">
        <v>44542</v>
      </c>
      <c r="G159" s="10">
        <v>44663</v>
      </c>
      <c r="H159" s="6"/>
      <c r="I159" s="6"/>
      <c r="J159" s="6"/>
      <c r="K159" s="6"/>
    </row>
    <row r="160" spans="1:11" x14ac:dyDescent="0.2">
      <c r="A160" s="6"/>
      <c r="B160" s="12"/>
      <c r="C160" s="6">
        <v>28</v>
      </c>
      <c r="D160" s="6" t="s">
        <v>753</v>
      </c>
      <c r="E160" s="76"/>
      <c r="F160" s="10">
        <v>44542</v>
      </c>
      <c r="G160" s="10">
        <v>44663</v>
      </c>
      <c r="H160" s="6"/>
      <c r="I160" s="6"/>
      <c r="J160" s="6"/>
      <c r="K160" s="6"/>
    </row>
    <row r="161" spans="1:11" x14ac:dyDescent="0.2">
      <c r="A161" s="6"/>
      <c r="B161" s="12"/>
      <c r="C161" s="6">
        <v>28</v>
      </c>
      <c r="D161" s="6" t="s">
        <v>754</v>
      </c>
      <c r="E161" s="76"/>
      <c r="F161" s="10">
        <v>44542</v>
      </c>
      <c r="G161" s="10">
        <v>44663</v>
      </c>
      <c r="H161" s="6"/>
      <c r="I161" s="6"/>
      <c r="J161" s="6"/>
      <c r="K161" s="6"/>
    </row>
    <row r="162" spans="1:11" x14ac:dyDescent="0.2">
      <c r="A162" s="6"/>
      <c r="B162" s="12"/>
      <c r="C162" s="6">
        <v>45</v>
      </c>
      <c r="D162" s="6" t="s">
        <v>83</v>
      </c>
      <c r="E162" s="76"/>
      <c r="F162" s="10">
        <v>44542</v>
      </c>
      <c r="G162" s="10">
        <v>44663</v>
      </c>
      <c r="H162" s="6"/>
      <c r="I162" s="6"/>
      <c r="J162" s="6"/>
      <c r="K162" s="6"/>
    </row>
    <row r="163" spans="1:11" x14ac:dyDescent="0.2">
      <c r="A163" s="19"/>
      <c r="B163" s="22"/>
      <c r="C163" s="19"/>
      <c r="D163" s="19"/>
      <c r="E163" s="80"/>
      <c r="F163" s="19"/>
      <c r="G163" s="19"/>
      <c r="H163" s="19"/>
      <c r="I163" s="19"/>
      <c r="J163" s="19"/>
      <c r="K163" s="19"/>
    </row>
    <row r="164" spans="1:11" x14ac:dyDescent="0.2">
      <c r="A164" s="6" t="s">
        <v>757</v>
      </c>
      <c r="B164" s="12" t="s">
        <v>1185</v>
      </c>
      <c r="C164" s="6">
        <v>100</v>
      </c>
      <c r="D164" s="6" t="s">
        <v>1145</v>
      </c>
      <c r="E164" s="76"/>
      <c r="F164" s="10">
        <v>44574</v>
      </c>
      <c r="G164" s="10">
        <v>44694</v>
      </c>
      <c r="H164" s="6"/>
      <c r="I164" s="6"/>
      <c r="J164" s="6"/>
      <c r="K164" s="6"/>
    </row>
    <row r="165" spans="1:11" x14ac:dyDescent="0.2">
      <c r="A165" s="6"/>
      <c r="B165" s="12"/>
      <c r="C165" s="6">
        <v>75</v>
      </c>
      <c r="D165" s="6" t="s">
        <v>83</v>
      </c>
      <c r="E165" s="76"/>
      <c r="F165" s="10">
        <v>44574</v>
      </c>
      <c r="G165" s="10">
        <v>44694</v>
      </c>
      <c r="H165" s="6"/>
      <c r="I165" s="6"/>
      <c r="J165" s="6"/>
      <c r="K165" s="6"/>
    </row>
    <row r="166" spans="1:11" x14ac:dyDescent="0.2">
      <c r="A166" s="6"/>
      <c r="B166" s="12"/>
      <c r="C166" s="6">
        <v>9</v>
      </c>
      <c r="D166" s="6" t="s">
        <v>115</v>
      </c>
      <c r="E166" s="76"/>
      <c r="F166" s="10">
        <v>44574</v>
      </c>
      <c r="G166" s="10">
        <v>44694</v>
      </c>
      <c r="H166" s="6"/>
      <c r="I166" s="6"/>
      <c r="J166" s="6"/>
      <c r="K166" s="6"/>
    </row>
    <row r="167" spans="1:11" x14ac:dyDescent="0.2">
      <c r="A167" s="6"/>
      <c r="B167" s="12"/>
      <c r="C167" s="6">
        <v>112</v>
      </c>
      <c r="D167" s="6" t="s">
        <v>89</v>
      </c>
      <c r="E167" s="76"/>
      <c r="F167" s="10">
        <v>44574</v>
      </c>
      <c r="G167" s="10">
        <v>44694</v>
      </c>
      <c r="H167" s="6"/>
      <c r="I167" s="6"/>
      <c r="J167" s="6"/>
      <c r="K167" s="6"/>
    </row>
    <row r="168" spans="1:11" x14ac:dyDescent="0.2">
      <c r="A168" s="6"/>
      <c r="B168" s="12"/>
      <c r="C168" s="6">
        <v>1</v>
      </c>
      <c r="D168" s="6" t="s">
        <v>41</v>
      </c>
      <c r="E168" s="76"/>
      <c r="F168" s="10">
        <v>44574</v>
      </c>
      <c r="G168" s="10">
        <v>44694</v>
      </c>
      <c r="H168" s="6"/>
      <c r="I168" s="6"/>
      <c r="J168" s="6"/>
      <c r="K168" s="6"/>
    </row>
    <row r="169" spans="1:11" x14ac:dyDescent="0.2">
      <c r="A169" s="6"/>
      <c r="B169" s="12"/>
      <c r="C169" s="6">
        <v>2</v>
      </c>
      <c r="D169" s="6" t="s">
        <v>598</v>
      </c>
      <c r="E169" s="76"/>
      <c r="F169" s="10">
        <v>44574</v>
      </c>
      <c r="G169" s="10">
        <v>44694</v>
      </c>
      <c r="H169" s="6"/>
      <c r="I169" s="6"/>
      <c r="J169" s="6"/>
      <c r="K169" s="6"/>
    </row>
    <row r="170" spans="1:11" x14ac:dyDescent="0.2">
      <c r="A170" s="6"/>
      <c r="B170" s="12"/>
      <c r="C170" s="6">
        <v>1</v>
      </c>
      <c r="D170" s="6" t="s">
        <v>54</v>
      </c>
      <c r="E170" s="76"/>
      <c r="F170" s="10">
        <v>44574</v>
      </c>
      <c r="G170" s="10">
        <v>44694</v>
      </c>
      <c r="H170" s="6"/>
      <c r="I170" s="6"/>
      <c r="J170" s="6"/>
      <c r="K170" s="6"/>
    </row>
    <row r="171" spans="1:11" x14ac:dyDescent="0.2">
      <c r="A171" s="6"/>
      <c r="B171" s="12"/>
      <c r="C171" s="6">
        <v>1</v>
      </c>
      <c r="D171" s="6" t="s">
        <v>412</v>
      </c>
      <c r="E171" s="76"/>
      <c r="F171" s="10">
        <v>44574</v>
      </c>
      <c r="G171" s="10">
        <v>44694</v>
      </c>
      <c r="H171" s="6"/>
      <c r="I171" s="6"/>
      <c r="J171" s="6"/>
      <c r="K171" s="6"/>
    </row>
    <row r="172" spans="1:11" x14ac:dyDescent="0.2">
      <c r="A172" s="6"/>
      <c r="B172" s="12"/>
      <c r="C172" s="6">
        <v>1</v>
      </c>
      <c r="D172" s="6" t="s">
        <v>422</v>
      </c>
      <c r="E172" s="76"/>
      <c r="F172" s="10">
        <v>44574</v>
      </c>
      <c r="G172" s="10">
        <v>44694</v>
      </c>
      <c r="H172" s="6"/>
      <c r="I172" s="6"/>
      <c r="J172" s="6"/>
      <c r="K172" s="6"/>
    </row>
    <row r="173" spans="1:11" x14ac:dyDescent="0.2">
      <c r="A173" s="19"/>
      <c r="B173" s="22"/>
      <c r="C173" s="19"/>
      <c r="D173" s="19"/>
      <c r="E173" s="80"/>
      <c r="F173" s="19"/>
      <c r="G173" s="19"/>
      <c r="H173" s="19"/>
      <c r="I173" s="19"/>
      <c r="J173" s="19"/>
      <c r="K173" s="19"/>
    </row>
    <row r="174" spans="1:11" x14ac:dyDescent="0.2">
      <c r="A174" s="8" t="s">
        <v>721</v>
      </c>
      <c r="B174" s="7" t="s">
        <v>794</v>
      </c>
      <c r="C174" s="6">
        <v>66</v>
      </c>
      <c r="D174" s="8" t="s">
        <v>705</v>
      </c>
      <c r="E174" s="76"/>
      <c r="F174" s="10">
        <v>44237</v>
      </c>
      <c r="G174" s="10">
        <v>44387</v>
      </c>
      <c r="H174" s="6"/>
      <c r="I174" s="6"/>
      <c r="J174" s="6"/>
      <c r="K174" s="6"/>
    </row>
    <row r="175" spans="1:11" x14ac:dyDescent="0.2">
      <c r="A175" s="6"/>
      <c r="B175" s="12"/>
      <c r="C175" s="6">
        <v>66</v>
      </c>
      <c r="D175" s="8" t="s">
        <v>89</v>
      </c>
      <c r="E175" s="76"/>
      <c r="F175" s="10">
        <v>44237</v>
      </c>
      <c r="G175" s="10">
        <v>44387</v>
      </c>
      <c r="H175" s="6"/>
      <c r="I175" s="6"/>
      <c r="J175" s="6"/>
      <c r="K175" s="6"/>
    </row>
    <row r="176" spans="1:11" x14ac:dyDescent="0.2">
      <c r="A176" s="19"/>
      <c r="B176" s="22"/>
      <c r="C176" s="19"/>
      <c r="D176" s="19"/>
      <c r="E176" s="80"/>
      <c r="F176" s="19"/>
      <c r="G176" s="19"/>
      <c r="H176" s="19"/>
      <c r="I176" s="19"/>
      <c r="J176" s="19"/>
      <c r="K176" s="19"/>
    </row>
    <row r="177" spans="1:11" x14ac:dyDescent="0.2">
      <c r="A177" s="8" t="s">
        <v>775</v>
      </c>
      <c r="B177" s="7" t="s">
        <v>823</v>
      </c>
      <c r="C177" s="6">
        <v>3035</v>
      </c>
      <c r="D177" s="8" t="s">
        <v>419</v>
      </c>
      <c r="E177" s="76"/>
      <c r="F177" s="10">
        <v>44287</v>
      </c>
      <c r="G177" s="10">
        <v>44469</v>
      </c>
      <c r="H177" s="6"/>
      <c r="I177" s="6"/>
      <c r="J177" s="6"/>
      <c r="K177" s="6"/>
    </row>
    <row r="178" spans="1:11" x14ac:dyDescent="0.2">
      <c r="A178" s="19"/>
      <c r="B178" s="22"/>
      <c r="C178" s="19"/>
      <c r="D178" s="19"/>
      <c r="E178" s="80"/>
      <c r="F178" s="19"/>
      <c r="G178" s="19"/>
      <c r="H178" s="19"/>
      <c r="I178" s="19"/>
      <c r="J178" s="19"/>
      <c r="K178" s="19"/>
    </row>
    <row r="179" spans="1:11" x14ac:dyDescent="0.2">
      <c r="A179" s="6" t="s">
        <v>1148</v>
      </c>
      <c r="B179" s="12" t="s">
        <v>1149</v>
      </c>
      <c r="C179" s="6">
        <v>3400</v>
      </c>
      <c r="D179" s="6" t="s">
        <v>419</v>
      </c>
      <c r="E179" s="76"/>
      <c r="F179" s="10">
        <v>44515</v>
      </c>
      <c r="G179" s="10">
        <v>44696</v>
      </c>
      <c r="H179" s="6"/>
      <c r="I179" s="6"/>
      <c r="J179" s="6"/>
      <c r="K179" s="6"/>
    </row>
    <row r="180" spans="1:11" x14ac:dyDescent="0.2">
      <c r="A180" s="6"/>
      <c r="B180" s="12"/>
      <c r="C180" s="6">
        <v>22</v>
      </c>
      <c r="D180" s="6" t="s">
        <v>1150</v>
      </c>
      <c r="E180" s="76"/>
      <c r="F180" s="10">
        <v>44515</v>
      </c>
      <c r="G180" s="10">
        <v>44696</v>
      </c>
      <c r="H180" s="6"/>
      <c r="I180" s="6"/>
      <c r="J180" s="6"/>
      <c r="K180" s="6"/>
    </row>
    <row r="181" spans="1:11" x14ac:dyDescent="0.2">
      <c r="A181" s="6"/>
      <c r="B181" s="12"/>
      <c r="C181" s="6">
        <v>22</v>
      </c>
      <c r="D181" s="6" t="s">
        <v>85</v>
      </c>
      <c r="E181" s="76"/>
      <c r="F181" s="10">
        <v>44515</v>
      </c>
      <c r="G181" s="10">
        <v>44696</v>
      </c>
      <c r="H181" s="6"/>
      <c r="I181" s="6"/>
      <c r="J181" s="6"/>
      <c r="K181" s="6"/>
    </row>
    <row r="182" spans="1:11" x14ac:dyDescent="0.2">
      <c r="A182" s="6"/>
      <c r="B182" s="12"/>
      <c r="C182" s="6">
        <v>240</v>
      </c>
      <c r="D182" s="6" t="s">
        <v>453</v>
      </c>
      <c r="E182" s="76"/>
      <c r="F182" s="10">
        <v>44515</v>
      </c>
      <c r="G182" s="10">
        <v>44696</v>
      </c>
      <c r="H182" s="6"/>
      <c r="I182" s="6"/>
      <c r="J182" s="6"/>
      <c r="K182" s="6"/>
    </row>
    <row r="183" spans="1:11" x14ac:dyDescent="0.2">
      <c r="A183" s="19"/>
      <c r="B183" s="22"/>
      <c r="C183" s="19"/>
      <c r="D183" s="19"/>
      <c r="E183" s="80"/>
      <c r="F183" s="19"/>
      <c r="G183" s="19"/>
      <c r="H183" s="19"/>
      <c r="I183" s="19"/>
      <c r="J183" s="19"/>
      <c r="K183" s="19"/>
    </row>
    <row r="184" spans="1:11" x14ac:dyDescent="0.2">
      <c r="A184" s="6" t="s">
        <v>1153</v>
      </c>
      <c r="B184" s="12" t="s">
        <v>1152</v>
      </c>
      <c r="C184" s="6">
        <v>3000</v>
      </c>
      <c r="D184" s="6" t="s">
        <v>419</v>
      </c>
      <c r="E184" s="76"/>
      <c r="F184" s="10">
        <v>44523</v>
      </c>
      <c r="G184" s="10">
        <v>44674</v>
      </c>
      <c r="H184" s="6"/>
      <c r="I184" s="6"/>
      <c r="J184" s="6"/>
      <c r="K184" s="6"/>
    </row>
    <row r="185" spans="1:11" x14ac:dyDescent="0.2">
      <c r="A185" s="6" t="s">
        <v>1151</v>
      </c>
      <c r="B185" s="12"/>
      <c r="C185" s="6"/>
      <c r="D185" s="6"/>
      <c r="E185" s="76"/>
      <c r="F185" s="6"/>
      <c r="G185" s="6"/>
      <c r="H185" s="6"/>
      <c r="I185" s="6"/>
      <c r="J185" s="6"/>
      <c r="K185" s="6"/>
    </row>
    <row r="186" spans="1:11" x14ac:dyDescent="0.2">
      <c r="A186" s="19"/>
      <c r="B186" s="22"/>
      <c r="C186" s="19"/>
      <c r="D186" s="19"/>
      <c r="E186" s="80"/>
      <c r="F186" s="19"/>
      <c r="G186" s="19"/>
      <c r="H186" s="19"/>
      <c r="I186" s="19"/>
      <c r="J186" s="19"/>
      <c r="K186" s="19"/>
    </row>
    <row r="187" spans="1:11" x14ac:dyDescent="0.2">
      <c r="A187" s="6" t="s">
        <v>1156</v>
      </c>
      <c r="B187" s="12" t="s">
        <v>1157</v>
      </c>
      <c r="C187" s="6">
        <v>2860</v>
      </c>
      <c r="D187" s="6" t="s">
        <v>421</v>
      </c>
      <c r="E187" s="76"/>
      <c r="F187" s="10">
        <v>44539</v>
      </c>
      <c r="G187" s="10">
        <v>44721</v>
      </c>
      <c r="H187" s="6"/>
      <c r="I187" s="6"/>
      <c r="J187" s="6"/>
      <c r="K187" s="6"/>
    </row>
    <row r="188" spans="1:11" x14ac:dyDescent="0.2">
      <c r="A188" s="6"/>
      <c r="B188" s="12"/>
      <c r="C188" s="6">
        <v>1</v>
      </c>
      <c r="D188" s="6" t="s">
        <v>1158</v>
      </c>
      <c r="E188" s="76"/>
      <c r="F188" s="10">
        <v>44539</v>
      </c>
      <c r="G188" s="10">
        <v>44721</v>
      </c>
      <c r="H188" s="6"/>
      <c r="I188" s="6"/>
      <c r="J188" s="6"/>
      <c r="K188" s="6"/>
    </row>
    <row r="189" spans="1:11" x14ac:dyDescent="0.2">
      <c r="A189" s="6"/>
      <c r="B189" s="12"/>
      <c r="C189" s="6">
        <v>80</v>
      </c>
      <c r="D189" s="6" t="s">
        <v>71</v>
      </c>
      <c r="E189" s="76"/>
      <c r="F189" s="10">
        <v>44539</v>
      </c>
      <c r="G189" s="10">
        <v>44721</v>
      </c>
      <c r="H189" s="6"/>
      <c r="I189" s="6"/>
      <c r="J189" s="6"/>
      <c r="K189" s="6"/>
    </row>
    <row r="190" spans="1:11" x14ac:dyDescent="0.2">
      <c r="A190" s="6"/>
      <c r="B190" s="12"/>
      <c r="C190" s="6">
        <v>80</v>
      </c>
      <c r="D190" s="6" t="s">
        <v>82</v>
      </c>
      <c r="E190" s="76"/>
      <c r="F190" s="10">
        <v>44539</v>
      </c>
      <c r="G190" s="10">
        <v>44721</v>
      </c>
      <c r="H190" s="6"/>
      <c r="I190" s="6"/>
      <c r="J190" s="6"/>
      <c r="K190" s="6"/>
    </row>
    <row r="191" spans="1:11" x14ac:dyDescent="0.2">
      <c r="A191" s="6"/>
      <c r="B191" s="12"/>
      <c r="C191" s="6">
        <v>4</v>
      </c>
      <c r="D191" s="6" t="s">
        <v>115</v>
      </c>
      <c r="E191" s="76"/>
      <c r="F191" s="10">
        <v>44539</v>
      </c>
      <c r="G191" s="10">
        <v>44721</v>
      </c>
      <c r="H191" s="6"/>
      <c r="I191" s="6"/>
      <c r="J191" s="6"/>
      <c r="K191" s="6"/>
    </row>
    <row r="192" spans="1:11" x14ac:dyDescent="0.2">
      <c r="A192" s="6"/>
      <c r="B192" s="12"/>
      <c r="C192" s="6">
        <v>1</v>
      </c>
      <c r="D192" s="6" t="s">
        <v>17</v>
      </c>
      <c r="E192" s="76"/>
      <c r="F192" s="10">
        <v>44539</v>
      </c>
      <c r="G192" s="10">
        <v>44721</v>
      </c>
      <c r="H192" s="6"/>
      <c r="I192" s="6"/>
      <c r="J192" s="6"/>
      <c r="K192" s="6"/>
    </row>
    <row r="193" spans="1:11" x14ac:dyDescent="0.2">
      <c r="A193" s="6"/>
      <c r="B193" s="12"/>
      <c r="C193" s="6">
        <v>1</v>
      </c>
      <c r="D193" s="6" t="s">
        <v>1159</v>
      </c>
      <c r="E193" s="76"/>
      <c r="F193" s="10">
        <v>44539</v>
      </c>
      <c r="G193" s="10">
        <v>44721</v>
      </c>
      <c r="H193" s="6"/>
      <c r="I193" s="6"/>
      <c r="J193" s="6"/>
      <c r="K193" s="6"/>
    </row>
    <row r="194" spans="1:11" x14ac:dyDescent="0.2">
      <c r="A194" s="6"/>
      <c r="B194" s="12"/>
      <c r="C194" s="6">
        <v>57</v>
      </c>
      <c r="D194" s="6" t="s">
        <v>1160</v>
      </c>
      <c r="E194" s="76"/>
      <c r="F194" s="10">
        <v>44539</v>
      </c>
      <c r="G194" s="10">
        <v>44721</v>
      </c>
      <c r="H194" s="6"/>
      <c r="I194" s="6"/>
      <c r="J194" s="6"/>
      <c r="K194" s="6"/>
    </row>
    <row r="195" spans="1:11" x14ac:dyDescent="0.2">
      <c r="A195" s="6"/>
      <c r="B195" s="12"/>
      <c r="C195" s="6"/>
      <c r="D195" s="6"/>
      <c r="E195" s="76"/>
      <c r="F195" s="6"/>
      <c r="G195" s="6"/>
      <c r="H195" s="6"/>
      <c r="I195" s="6"/>
      <c r="J195" s="6"/>
      <c r="K195" s="6"/>
    </row>
    <row r="196" spans="1:11" x14ac:dyDescent="0.2">
      <c r="A196" s="6"/>
      <c r="B196" s="12"/>
      <c r="C196" s="6"/>
      <c r="D196" s="6"/>
      <c r="E196" s="76"/>
      <c r="F196" s="6"/>
      <c r="G196" s="6"/>
      <c r="H196" s="6"/>
      <c r="I196" s="6"/>
      <c r="J196" s="6"/>
      <c r="K196" s="6"/>
    </row>
    <row r="197" spans="1:11" x14ac:dyDescent="0.2">
      <c r="A197" s="6"/>
      <c r="B197" s="12"/>
      <c r="C197" s="6"/>
      <c r="D197" s="6"/>
      <c r="E197" s="76"/>
      <c r="F197" s="6"/>
      <c r="G197" s="6"/>
      <c r="H197" s="6"/>
      <c r="I197" s="6"/>
      <c r="J197" s="6"/>
      <c r="K197" s="6"/>
    </row>
    <row r="198" spans="1:11" x14ac:dyDescent="0.2">
      <c r="A198" s="6"/>
      <c r="B198" s="12"/>
      <c r="C198" s="6"/>
      <c r="D198" s="6"/>
      <c r="E198" s="76"/>
      <c r="F198" s="6"/>
      <c r="G198" s="6"/>
      <c r="H198" s="6"/>
      <c r="I198" s="6"/>
      <c r="J198" s="6"/>
      <c r="K198" s="6"/>
    </row>
    <row r="199" spans="1:11" x14ac:dyDescent="0.2">
      <c r="A199" s="6"/>
      <c r="B199" s="12"/>
      <c r="C199" s="6"/>
      <c r="D199" s="6"/>
      <c r="E199" s="76"/>
      <c r="F199" s="6"/>
      <c r="G199" s="6"/>
      <c r="H199" s="6"/>
      <c r="I199" s="6"/>
      <c r="J199" s="6"/>
      <c r="K199" s="6"/>
    </row>
    <row r="200" spans="1:11" x14ac:dyDescent="0.2">
      <c r="A200" s="6"/>
      <c r="B200" s="12"/>
      <c r="C200" s="6"/>
      <c r="D200" s="6"/>
      <c r="E200" s="76"/>
      <c r="F200" s="6"/>
      <c r="G200" s="6"/>
      <c r="H200" s="6"/>
      <c r="I200" s="6"/>
      <c r="J200" s="6"/>
      <c r="K200" s="6"/>
    </row>
    <row r="201" spans="1:11" x14ac:dyDescent="0.2">
      <c r="A201" s="6"/>
      <c r="B201" s="12"/>
      <c r="C201" s="6"/>
      <c r="D201" s="6"/>
      <c r="E201" s="76"/>
      <c r="F201" s="6"/>
      <c r="G201" s="6"/>
      <c r="H201" s="6"/>
      <c r="I201" s="6"/>
      <c r="J201" s="6"/>
      <c r="K201" s="6"/>
    </row>
    <row r="202" spans="1:11" x14ac:dyDescent="0.2">
      <c r="A202" s="6"/>
      <c r="B202" s="12"/>
      <c r="C202" s="6"/>
      <c r="D202" s="6"/>
      <c r="E202" s="76"/>
      <c r="F202" s="6"/>
      <c r="G202" s="6"/>
      <c r="H202" s="6"/>
      <c r="I202" s="6"/>
      <c r="J202" s="6"/>
      <c r="K202" s="6"/>
    </row>
  </sheetData>
  <mergeCells count="1">
    <mergeCell ref="J3:J4"/>
  </mergeCells>
  <pageMargins left="0.7" right="0.7" top="0.75" bottom="0.75" header="0.3" footer="0.3"/>
  <pageSetup scale="83" fitToHeight="6" orientation="landscape" horizontalDpi="300" r:id="rId1"/>
  <headerFooter>
    <oddFooter>&amp;R&amp;D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7572-2417-4B95-9F2F-945223A44C0D}">
  <sheetPr>
    <tabColor theme="0" tint="-0.34998626667073579"/>
    <pageSetUpPr fitToPage="1"/>
  </sheetPr>
  <dimension ref="A1:J39"/>
  <sheetViews>
    <sheetView workbookViewId="0"/>
  </sheetViews>
  <sheetFormatPr defaultRowHeight="12.75" x14ac:dyDescent="0.2"/>
  <cols>
    <col min="1" max="1" width="26.28515625" customWidth="1"/>
    <col min="2" max="2" width="11.7109375" customWidth="1"/>
    <col min="3" max="3" width="6.5703125" customWidth="1"/>
    <col min="4" max="4" width="26.7109375" customWidth="1"/>
    <col min="5" max="5" width="11.85546875" customWidth="1"/>
    <col min="6" max="6" width="11.5703125" customWidth="1"/>
    <col min="7" max="7" width="11" customWidth="1"/>
    <col min="8" max="8" width="9.85546875" customWidth="1"/>
    <col min="9" max="9" width="11.85546875" customWidth="1"/>
    <col min="10" max="10" width="11.42578125" customWidth="1"/>
  </cols>
  <sheetData>
    <row r="1" spans="1:10" ht="15" x14ac:dyDescent="0.2">
      <c r="A1" s="5" t="str">
        <f ca="1">MID(CELL("filename",$A$1),FIND("]",CELL("filename",$A$1),1)+1,1024)</f>
        <v>TEN STAR FARMING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376</v>
      </c>
      <c r="B5" s="6">
        <v>122468</v>
      </c>
      <c r="C5" s="6">
        <v>10</v>
      </c>
      <c r="D5" s="11" t="s">
        <v>198</v>
      </c>
      <c r="E5" s="10">
        <v>43719</v>
      </c>
      <c r="F5" s="10">
        <v>43901</v>
      </c>
      <c r="G5" s="6"/>
      <c r="H5" s="6"/>
      <c r="I5" s="6"/>
      <c r="J5" s="6" t="s">
        <v>345</v>
      </c>
    </row>
    <row r="6" spans="1:10" x14ac:dyDescent="0.2">
      <c r="A6" s="6"/>
      <c r="B6" s="6"/>
      <c r="C6" s="6">
        <v>20</v>
      </c>
      <c r="D6" s="11" t="s">
        <v>127</v>
      </c>
      <c r="E6" s="10">
        <v>43719</v>
      </c>
      <c r="F6" s="10">
        <v>43901</v>
      </c>
      <c r="G6" s="6"/>
      <c r="H6" s="6"/>
      <c r="I6" s="6"/>
      <c r="J6" s="6" t="s">
        <v>452</v>
      </c>
    </row>
    <row r="7" spans="1:10" x14ac:dyDescent="0.2">
      <c r="A7" s="19"/>
      <c r="B7" s="19"/>
      <c r="C7" s="19"/>
      <c r="D7" s="23"/>
      <c r="E7" s="29"/>
      <c r="F7" s="29"/>
      <c r="G7" s="19"/>
      <c r="H7" s="19"/>
      <c r="I7" s="19"/>
      <c r="J7" s="19"/>
    </row>
    <row r="8" spans="1:10" x14ac:dyDescent="0.2">
      <c r="A8" s="8" t="s">
        <v>503</v>
      </c>
      <c r="B8" s="8" t="s">
        <v>504</v>
      </c>
      <c r="C8" s="6">
        <v>26</v>
      </c>
      <c r="D8" s="9" t="s">
        <v>505</v>
      </c>
      <c r="E8" s="10">
        <v>43905</v>
      </c>
      <c r="F8" s="10">
        <v>44058</v>
      </c>
      <c r="G8" s="6"/>
      <c r="H8" s="6"/>
      <c r="I8" s="6"/>
      <c r="J8" s="6"/>
    </row>
    <row r="9" spans="1:10" x14ac:dyDescent="0.2">
      <c r="A9" s="6"/>
      <c r="B9" s="6"/>
      <c r="C9" s="6">
        <v>24</v>
      </c>
      <c r="D9" s="9" t="s">
        <v>198</v>
      </c>
      <c r="E9" s="10">
        <v>43905</v>
      </c>
      <c r="F9" s="10">
        <v>44058</v>
      </c>
      <c r="G9" s="6"/>
      <c r="H9" s="6"/>
      <c r="I9" s="6"/>
      <c r="J9" s="6"/>
    </row>
    <row r="10" spans="1:10" x14ac:dyDescent="0.2">
      <c r="A10" s="6"/>
      <c r="B10" s="6"/>
      <c r="C10" s="6">
        <v>2</v>
      </c>
      <c r="D10" s="9" t="s">
        <v>325</v>
      </c>
      <c r="E10" s="10">
        <v>43905</v>
      </c>
      <c r="F10" s="10">
        <v>44058</v>
      </c>
      <c r="G10" s="6"/>
      <c r="H10" s="6"/>
      <c r="I10" s="6"/>
      <c r="J10" s="6"/>
    </row>
    <row r="11" spans="1:10" x14ac:dyDescent="0.2">
      <c r="A11" s="8"/>
      <c r="B11" s="8"/>
      <c r="C11" s="6"/>
      <c r="D11" s="11"/>
      <c r="E11" s="10"/>
      <c r="F11" s="10"/>
      <c r="G11" s="6"/>
      <c r="H11" s="6"/>
      <c r="I11" s="6"/>
      <c r="J11" s="6"/>
    </row>
    <row r="12" spans="1:10" x14ac:dyDescent="0.2">
      <c r="A12" s="8"/>
      <c r="B12" s="6"/>
      <c r="C12" s="6"/>
      <c r="D12" s="11"/>
      <c r="E12" s="10"/>
      <c r="F12" s="10"/>
      <c r="G12" s="6"/>
      <c r="H12" s="6"/>
      <c r="I12" s="6"/>
      <c r="J12" s="6"/>
    </row>
    <row r="13" spans="1:10" x14ac:dyDescent="0.2">
      <c r="A13" s="6"/>
      <c r="B13" s="6"/>
      <c r="C13" s="6"/>
      <c r="D13" s="11"/>
      <c r="E13" s="10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11"/>
      <c r="E14" s="10"/>
      <c r="F14" s="10"/>
      <c r="G14" s="6"/>
      <c r="H14" s="6"/>
      <c r="I14" s="6"/>
      <c r="J14" s="6"/>
    </row>
    <row r="15" spans="1:10" hidden="1" x14ac:dyDescent="0.2">
      <c r="A15" s="6"/>
      <c r="B15" s="6"/>
      <c r="C15" s="6"/>
      <c r="D15" s="11"/>
      <c r="E15" s="10"/>
      <c r="F15" s="10"/>
      <c r="G15" s="6"/>
      <c r="H15" s="6"/>
      <c r="I15" s="6"/>
      <c r="J15" s="6"/>
    </row>
    <row r="16" spans="1:10" hidden="1" x14ac:dyDescent="0.2">
      <c r="A16" s="6"/>
      <c r="B16" s="6"/>
      <c r="C16" s="6"/>
      <c r="D16" s="11"/>
      <c r="E16" s="10"/>
      <c r="F16" s="10"/>
      <c r="G16" s="6"/>
      <c r="H16" s="6"/>
      <c r="I16" s="6"/>
      <c r="J16" s="6"/>
    </row>
    <row r="17" spans="1:10" hidden="1" x14ac:dyDescent="0.2">
      <c r="A17" s="6"/>
      <c r="B17" s="6"/>
      <c r="C17" s="6"/>
      <c r="D17" s="11"/>
      <c r="E17" s="10"/>
      <c r="F17" s="10"/>
      <c r="G17" s="6"/>
      <c r="H17" s="6"/>
      <c r="I17" s="6"/>
      <c r="J17" s="6"/>
    </row>
    <row r="18" spans="1:10" hidden="1" x14ac:dyDescent="0.2">
      <c r="A18" s="6"/>
      <c r="B18" s="6"/>
      <c r="C18" s="6"/>
      <c r="D18" s="11"/>
      <c r="E18" s="10"/>
      <c r="F18" s="10"/>
      <c r="G18" s="6"/>
      <c r="H18" s="6"/>
      <c r="I18" s="6"/>
      <c r="J18" s="6"/>
    </row>
    <row r="19" spans="1:10" hidden="1" x14ac:dyDescent="0.2">
      <c r="A19" s="6"/>
      <c r="B19" s="6"/>
      <c r="C19" s="6"/>
      <c r="D19" s="11"/>
      <c r="E19" s="10"/>
      <c r="F19" s="10"/>
      <c r="G19" s="6"/>
      <c r="H19" s="6"/>
      <c r="I19" s="6"/>
      <c r="J19" s="6"/>
    </row>
    <row r="20" spans="1:10" hidden="1" x14ac:dyDescent="0.2">
      <c r="A20" s="6"/>
      <c r="B20" s="6"/>
      <c r="C20" s="6"/>
      <c r="D20" s="11"/>
      <c r="E20" s="10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11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11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11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10"/>
      <c r="F30" s="10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10"/>
      <c r="F31" s="10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">
      <c r="A39" s="6"/>
      <c r="B39" s="6"/>
      <c r="C39" s="6"/>
      <c r="D39" s="6"/>
      <c r="E39" s="6"/>
      <c r="F39" s="6"/>
      <c r="G39" s="6"/>
      <c r="H39" s="6"/>
      <c r="I39" s="6"/>
      <c r="J39" s="6"/>
    </row>
  </sheetData>
  <mergeCells count="1">
    <mergeCell ref="I3:I4"/>
  </mergeCells>
  <pageMargins left="0.7" right="0.7" top="0.75" bottom="0.75" header="0.3" footer="0.3"/>
  <pageSetup scale="90" fitToHeight="6" orientation="landscape" horizontalDpi="300" r:id="rId1"/>
  <headerFooter>
    <oddFooter>&amp;R&amp;D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0" tint="-0.34998626667073579"/>
    <pageSetUpPr fitToPage="1"/>
  </sheetPr>
  <dimension ref="A1:J39"/>
  <sheetViews>
    <sheetView workbookViewId="0"/>
  </sheetViews>
  <sheetFormatPr defaultRowHeight="12.75" x14ac:dyDescent="0.2"/>
  <cols>
    <col min="1" max="1" width="26.28515625" customWidth="1"/>
    <col min="2" max="2" width="13.7109375" bestFit="1" customWidth="1"/>
    <col min="3" max="3" width="6.5703125" customWidth="1"/>
    <col min="4" max="4" width="26.7109375" customWidth="1"/>
    <col min="5" max="5" width="11.85546875" customWidth="1"/>
    <col min="6" max="6" width="11.5703125" customWidth="1"/>
    <col min="7" max="7" width="11" customWidth="1"/>
    <col min="8" max="8" width="9.85546875" customWidth="1"/>
    <col min="9" max="9" width="11.85546875" customWidth="1"/>
    <col min="10" max="10" width="11.42578125" customWidth="1"/>
  </cols>
  <sheetData>
    <row r="1" spans="1:10" ht="15" x14ac:dyDescent="0.2">
      <c r="A1" s="5" t="str">
        <f ca="1">MID(CELL("filename",$A$1),FIND("]",CELL("filename",$A$1),1)+1,1024)</f>
        <v>THREE BRAND CATTLE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8" t="s">
        <v>856</v>
      </c>
      <c r="B5" s="8" t="s">
        <v>857</v>
      </c>
      <c r="C5" s="6">
        <v>1</v>
      </c>
      <c r="D5" s="9" t="s">
        <v>858</v>
      </c>
      <c r="E5" s="10">
        <v>44287</v>
      </c>
      <c r="F5" s="10">
        <v>44347</v>
      </c>
      <c r="G5" s="6"/>
      <c r="H5" s="6"/>
      <c r="I5" s="6"/>
      <c r="J5" s="6"/>
    </row>
    <row r="6" spans="1:10" x14ac:dyDescent="0.2">
      <c r="A6" s="6"/>
      <c r="B6" s="6"/>
      <c r="C6" s="6">
        <v>1</v>
      </c>
      <c r="D6" s="9" t="s">
        <v>442</v>
      </c>
      <c r="E6" s="10">
        <v>44287</v>
      </c>
      <c r="F6" s="10">
        <v>44347</v>
      </c>
      <c r="G6" s="6"/>
      <c r="H6" s="6"/>
      <c r="I6" s="6"/>
      <c r="J6" s="6"/>
    </row>
    <row r="7" spans="1:10" x14ac:dyDescent="0.2">
      <c r="A7" s="6"/>
      <c r="B7" s="6"/>
      <c r="C7" s="6">
        <v>14</v>
      </c>
      <c r="D7" s="9" t="s">
        <v>424</v>
      </c>
      <c r="E7" s="10">
        <v>44287</v>
      </c>
      <c r="F7" s="10">
        <v>44347</v>
      </c>
      <c r="G7" s="6"/>
      <c r="H7" s="6"/>
      <c r="I7" s="6"/>
      <c r="J7" s="6"/>
    </row>
    <row r="8" spans="1:10" x14ac:dyDescent="0.2">
      <c r="A8" s="6"/>
      <c r="B8" s="6"/>
      <c r="C8" s="6">
        <v>2</v>
      </c>
      <c r="D8" s="9" t="s">
        <v>478</v>
      </c>
      <c r="E8" s="10">
        <v>44287</v>
      </c>
      <c r="F8" s="10">
        <v>44347</v>
      </c>
      <c r="G8" s="6"/>
      <c r="H8" s="6"/>
      <c r="I8" s="6"/>
      <c r="J8" s="6"/>
    </row>
    <row r="9" spans="1:10" x14ac:dyDescent="0.2">
      <c r="A9" s="6"/>
      <c r="B9" s="6"/>
      <c r="C9" s="6">
        <v>1</v>
      </c>
      <c r="D9" s="9" t="s">
        <v>113</v>
      </c>
      <c r="E9" s="10">
        <v>44287</v>
      </c>
      <c r="F9" s="10">
        <v>44347</v>
      </c>
      <c r="G9" s="6"/>
      <c r="H9" s="6"/>
      <c r="I9" s="6"/>
      <c r="J9" s="6"/>
    </row>
    <row r="10" spans="1:10" x14ac:dyDescent="0.2">
      <c r="A10" s="6"/>
      <c r="B10" s="6"/>
      <c r="C10" s="6">
        <v>20</v>
      </c>
      <c r="D10" s="9" t="s">
        <v>474</v>
      </c>
      <c r="E10" s="10">
        <v>44287</v>
      </c>
      <c r="F10" s="10">
        <v>44347</v>
      </c>
      <c r="G10" s="6"/>
      <c r="H10" s="6"/>
      <c r="I10" s="6"/>
      <c r="J10" s="6"/>
    </row>
    <row r="11" spans="1:10" x14ac:dyDescent="0.2">
      <c r="A11" s="8"/>
      <c r="B11" s="8"/>
      <c r="C11" s="6">
        <v>1</v>
      </c>
      <c r="D11" s="9" t="s">
        <v>414</v>
      </c>
      <c r="E11" s="10">
        <v>44287</v>
      </c>
      <c r="F11" s="10">
        <v>44347</v>
      </c>
      <c r="G11" s="6"/>
      <c r="H11" s="6"/>
      <c r="I11" s="6"/>
      <c r="J11" s="6"/>
    </row>
    <row r="12" spans="1:10" x14ac:dyDescent="0.2">
      <c r="A12" s="8"/>
      <c r="B12" s="6"/>
      <c r="C12" s="6">
        <v>1</v>
      </c>
      <c r="D12" s="9" t="s">
        <v>115</v>
      </c>
      <c r="E12" s="10">
        <v>44287</v>
      </c>
      <c r="F12" s="10">
        <v>44347</v>
      </c>
      <c r="G12" s="6"/>
      <c r="H12" s="6"/>
      <c r="I12" s="6"/>
      <c r="J12" s="6"/>
    </row>
    <row r="13" spans="1:10" x14ac:dyDescent="0.2">
      <c r="A13" s="6"/>
      <c r="B13" s="6"/>
      <c r="C13" s="6">
        <v>8</v>
      </c>
      <c r="D13" s="9" t="s">
        <v>681</v>
      </c>
      <c r="E13" s="10">
        <v>44287</v>
      </c>
      <c r="F13" s="10">
        <v>44347</v>
      </c>
      <c r="G13" s="6"/>
      <c r="H13" s="6"/>
      <c r="I13" s="6"/>
      <c r="J13" s="6"/>
    </row>
    <row r="14" spans="1:10" x14ac:dyDescent="0.2">
      <c r="A14" s="6"/>
      <c r="B14" s="6"/>
      <c r="C14" s="6">
        <v>9</v>
      </c>
      <c r="D14" s="9" t="s">
        <v>705</v>
      </c>
      <c r="E14" s="10">
        <v>44287</v>
      </c>
      <c r="F14" s="10">
        <v>44347</v>
      </c>
      <c r="G14" s="6"/>
      <c r="H14" s="6"/>
      <c r="I14" s="6"/>
      <c r="J14" s="6"/>
    </row>
    <row r="15" spans="1:10" hidden="1" x14ac:dyDescent="0.2">
      <c r="A15" s="6"/>
      <c r="B15" s="6"/>
      <c r="C15" s="6"/>
      <c r="D15" s="11"/>
      <c r="E15" s="10">
        <v>44287</v>
      </c>
      <c r="F15" s="10">
        <v>44347</v>
      </c>
      <c r="G15" s="6"/>
      <c r="H15" s="6"/>
      <c r="I15" s="6"/>
      <c r="J15" s="6"/>
    </row>
    <row r="16" spans="1:10" hidden="1" x14ac:dyDescent="0.2">
      <c r="A16" s="6"/>
      <c r="B16" s="6"/>
      <c r="C16" s="6"/>
      <c r="D16" s="11"/>
      <c r="E16" s="10">
        <v>44287</v>
      </c>
      <c r="F16" s="10">
        <v>44347</v>
      </c>
      <c r="G16" s="6"/>
      <c r="H16" s="6"/>
      <c r="I16" s="6"/>
      <c r="J16" s="6"/>
    </row>
    <row r="17" spans="1:10" hidden="1" x14ac:dyDescent="0.2">
      <c r="A17" s="6"/>
      <c r="B17" s="6"/>
      <c r="C17" s="6"/>
      <c r="D17" s="11"/>
      <c r="E17" s="10">
        <v>44287</v>
      </c>
      <c r="F17" s="10">
        <v>44347</v>
      </c>
      <c r="G17" s="6"/>
      <c r="H17" s="6"/>
      <c r="I17" s="6"/>
      <c r="J17" s="6"/>
    </row>
    <row r="18" spans="1:10" hidden="1" x14ac:dyDescent="0.2">
      <c r="A18" s="6"/>
      <c r="B18" s="6"/>
      <c r="C18" s="6"/>
      <c r="D18" s="11"/>
      <c r="E18" s="10">
        <v>44287</v>
      </c>
      <c r="F18" s="10">
        <v>44347</v>
      </c>
      <c r="G18" s="6"/>
      <c r="H18" s="6"/>
      <c r="I18" s="6"/>
      <c r="J18" s="6"/>
    </row>
    <row r="19" spans="1:10" hidden="1" x14ac:dyDescent="0.2">
      <c r="A19" s="6"/>
      <c r="B19" s="6"/>
      <c r="C19" s="6"/>
      <c r="D19" s="11"/>
      <c r="E19" s="10">
        <v>44287</v>
      </c>
      <c r="F19" s="10">
        <v>44347</v>
      </c>
      <c r="G19" s="6"/>
      <c r="H19" s="6"/>
      <c r="I19" s="6"/>
      <c r="J19" s="6"/>
    </row>
    <row r="20" spans="1:10" hidden="1" x14ac:dyDescent="0.2">
      <c r="A20" s="6"/>
      <c r="B20" s="6"/>
      <c r="C20" s="6"/>
      <c r="D20" s="11"/>
      <c r="E20" s="10">
        <v>44287</v>
      </c>
      <c r="F20" s="10">
        <v>44347</v>
      </c>
      <c r="G20" s="6"/>
      <c r="H20" s="6"/>
      <c r="I20" s="6"/>
      <c r="J20" s="6"/>
    </row>
    <row r="21" spans="1:10" x14ac:dyDescent="0.2">
      <c r="A21" s="6"/>
      <c r="B21" s="6"/>
      <c r="C21" s="6">
        <v>20</v>
      </c>
      <c r="D21" s="9" t="s">
        <v>415</v>
      </c>
      <c r="E21" s="10">
        <v>44287</v>
      </c>
      <c r="F21" s="10">
        <v>44347</v>
      </c>
      <c r="G21" s="6"/>
      <c r="H21" s="6"/>
      <c r="I21" s="6"/>
      <c r="J21" s="6"/>
    </row>
    <row r="22" spans="1:10" x14ac:dyDescent="0.2">
      <c r="A22" s="6"/>
      <c r="B22" s="6"/>
      <c r="C22" s="6">
        <v>20</v>
      </c>
      <c r="D22" s="9" t="s">
        <v>89</v>
      </c>
      <c r="E22" s="10">
        <v>44287</v>
      </c>
      <c r="F22" s="10">
        <v>44347</v>
      </c>
      <c r="G22" s="6"/>
      <c r="H22" s="6"/>
      <c r="I22" s="6"/>
      <c r="J22" s="6"/>
    </row>
    <row r="23" spans="1:10" x14ac:dyDescent="0.2">
      <c r="A23" s="6"/>
      <c r="B23" s="6"/>
      <c r="C23" s="6"/>
      <c r="D23" s="11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10"/>
      <c r="F30" s="10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10"/>
      <c r="F31" s="10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">
      <c r="A39" s="6"/>
      <c r="B39" s="6"/>
      <c r="C39" s="6"/>
      <c r="D39" s="6"/>
      <c r="E39" s="6"/>
      <c r="F39" s="6"/>
      <c r="G39" s="6"/>
      <c r="H39" s="6"/>
      <c r="I39" s="6"/>
      <c r="J39" s="6"/>
    </row>
  </sheetData>
  <mergeCells count="1">
    <mergeCell ref="I3:I4"/>
  </mergeCells>
  <pageMargins left="0.7" right="0.7" top="0.75" bottom="0.75" header="0.3" footer="0.3"/>
  <pageSetup scale="88" fitToHeight="6" orientation="landscape" horizontalDpi="300" r:id="rId1"/>
  <headerFooter>
    <oddFooter>&amp;R&amp;D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theme="0" tint="-0.34998626667073579"/>
    <pageSetUpPr fitToPage="1"/>
  </sheetPr>
  <dimension ref="A1:J66"/>
  <sheetViews>
    <sheetView zoomScaleNormal="100" workbookViewId="0"/>
  </sheetViews>
  <sheetFormatPr defaultRowHeight="12.75" x14ac:dyDescent="0.2"/>
  <cols>
    <col min="1" max="1" width="28.5703125" customWidth="1"/>
    <col min="2" max="2" width="16.140625" customWidth="1"/>
    <col min="3" max="3" width="6.5703125" customWidth="1"/>
    <col min="4" max="4" width="20.7109375" customWidth="1"/>
    <col min="5" max="5" width="12.7109375" customWidth="1"/>
    <col min="6" max="6" width="11.5703125" customWidth="1"/>
    <col min="7" max="7" width="11" customWidth="1"/>
    <col min="8" max="8" width="10.85546875" customWidth="1"/>
    <col min="9" max="9" width="12.7109375" customWidth="1"/>
    <col min="10" max="10" width="11.85546875" customWidth="1"/>
  </cols>
  <sheetData>
    <row r="1" spans="1:10" ht="15" x14ac:dyDescent="0.2">
      <c r="A1" s="5" t="s">
        <v>214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s="3" customFormat="1" x14ac:dyDescent="0.2">
      <c r="A5" s="8" t="s">
        <v>357</v>
      </c>
      <c r="B5" s="8" t="s">
        <v>501</v>
      </c>
      <c r="C5" s="8">
        <v>1</v>
      </c>
      <c r="D5" s="9" t="s">
        <v>20</v>
      </c>
      <c r="E5" s="58">
        <v>43905</v>
      </c>
      <c r="F5" s="58">
        <v>43936</v>
      </c>
      <c r="G5" s="8"/>
      <c r="H5" s="8"/>
      <c r="I5" s="53"/>
      <c r="J5" s="8"/>
    </row>
    <row r="6" spans="1:10" s="3" customFormat="1" x14ac:dyDescent="0.2">
      <c r="A6" s="8"/>
      <c r="B6" s="8"/>
      <c r="C6" s="8">
        <v>1</v>
      </c>
      <c r="D6" s="9" t="s">
        <v>17</v>
      </c>
      <c r="E6" s="58">
        <v>43905</v>
      </c>
      <c r="F6" s="58">
        <v>43936</v>
      </c>
      <c r="G6" s="8"/>
      <c r="H6" s="8"/>
      <c r="I6" s="53"/>
      <c r="J6" s="8"/>
    </row>
    <row r="7" spans="1:10" s="3" customFormat="1" x14ac:dyDescent="0.2">
      <c r="A7" s="8"/>
      <c r="B7" s="8"/>
      <c r="C7" s="8">
        <v>1</v>
      </c>
      <c r="D7" s="9" t="s">
        <v>358</v>
      </c>
      <c r="E7" s="58">
        <v>43905</v>
      </c>
      <c r="F7" s="58">
        <v>43936</v>
      </c>
      <c r="G7" s="8"/>
      <c r="H7" s="8"/>
      <c r="I7" s="53"/>
      <c r="J7" s="8"/>
    </row>
    <row r="8" spans="1:10" s="3" customFormat="1" x14ac:dyDescent="0.2">
      <c r="A8" s="8"/>
      <c r="B8" s="8"/>
      <c r="C8" s="8">
        <v>2</v>
      </c>
      <c r="D8" s="9" t="s">
        <v>359</v>
      </c>
      <c r="E8" s="58">
        <v>43905</v>
      </c>
      <c r="F8" s="58">
        <v>43936</v>
      </c>
      <c r="G8" s="8"/>
      <c r="H8" s="8"/>
      <c r="I8" s="53"/>
      <c r="J8" s="8"/>
    </row>
    <row r="9" spans="1:10" s="3" customFormat="1" x14ac:dyDescent="0.2">
      <c r="A9" s="8"/>
      <c r="B9" s="8"/>
      <c r="C9" s="8">
        <v>1</v>
      </c>
      <c r="D9" s="9" t="s">
        <v>360</v>
      </c>
      <c r="E9" s="58">
        <v>43905</v>
      </c>
      <c r="F9" s="58">
        <v>43936</v>
      </c>
      <c r="G9" s="8"/>
      <c r="H9" s="8"/>
      <c r="I9" s="53"/>
      <c r="J9" s="8"/>
    </row>
    <row r="10" spans="1:10" s="3" customFormat="1" x14ac:dyDescent="0.2">
      <c r="A10" s="8"/>
      <c r="B10" s="8"/>
      <c r="C10" s="8">
        <v>5</v>
      </c>
      <c r="D10" s="9" t="s">
        <v>27</v>
      </c>
      <c r="E10" s="58">
        <v>43905</v>
      </c>
      <c r="F10" s="58">
        <v>43936</v>
      </c>
      <c r="G10" s="8"/>
      <c r="H10" s="8"/>
      <c r="I10" s="53"/>
      <c r="J10" s="8"/>
    </row>
    <row r="11" spans="1:10" s="3" customFormat="1" x14ac:dyDescent="0.2">
      <c r="A11" s="8"/>
      <c r="B11" s="8"/>
      <c r="C11" s="8">
        <v>1</v>
      </c>
      <c r="D11" s="9" t="s">
        <v>28</v>
      </c>
      <c r="E11" s="58">
        <v>43905</v>
      </c>
      <c r="F11" s="58">
        <v>43936</v>
      </c>
      <c r="G11" s="8"/>
      <c r="H11" s="8"/>
      <c r="I11" s="53"/>
      <c r="J11" s="8"/>
    </row>
    <row r="12" spans="1:10" s="3" customFormat="1" x14ac:dyDescent="0.2">
      <c r="A12" s="8"/>
      <c r="B12" s="8"/>
      <c r="C12" s="8">
        <v>1</v>
      </c>
      <c r="D12" s="9" t="s">
        <v>150</v>
      </c>
      <c r="E12" s="58">
        <v>43905</v>
      </c>
      <c r="F12" s="58">
        <v>43936</v>
      </c>
      <c r="G12" s="8"/>
      <c r="H12" s="8"/>
      <c r="I12" s="53"/>
      <c r="J12" s="8"/>
    </row>
    <row r="13" spans="1:10" s="3" customFormat="1" x14ac:dyDescent="0.2">
      <c r="A13" s="8"/>
      <c r="B13" s="8"/>
      <c r="C13" s="8">
        <v>1</v>
      </c>
      <c r="D13" s="9" t="s">
        <v>35</v>
      </c>
      <c r="E13" s="58">
        <v>43905</v>
      </c>
      <c r="F13" s="58">
        <v>43936</v>
      </c>
      <c r="G13" s="8"/>
      <c r="H13" s="8"/>
      <c r="I13" s="53"/>
      <c r="J13" s="8"/>
    </row>
    <row r="14" spans="1:10" s="3" customFormat="1" x14ac:dyDescent="0.2">
      <c r="A14" s="8"/>
      <c r="B14" s="8"/>
      <c r="C14" s="8">
        <v>1</v>
      </c>
      <c r="D14" s="9" t="s">
        <v>15</v>
      </c>
      <c r="E14" s="58">
        <v>43905</v>
      </c>
      <c r="F14" s="58">
        <v>43936</v>
      </c>
      <c r="G14" s="8"/>
      <c r="H14" s="8"/>
      <c r="I14" s="53"/>
      <c r="J14" s="8"/>
    </row>
    <row r="15" spans="1:10" s="3" customFormat="1" x14ac:dyDescent="0.2">
      <c r="A15" s="8"/>
      <c r="B15" s="8"/>
      <c r="C15" s="8">
        <v>1</v>
      </c>
      <c r="D15" s="9" t="s">
        <v>361</v>
      </c>
      <c r="E15" s="58">
        <v>43905</v>
      </c>
      <c r="F15" s="58">
        <v>43936</v>
      </c>
      <c r="G15" s="8"/>
      <c r="H15" s="8"/>
      <c r="I15" s="53"/>
      <c r="J15" s="8"/>
    </row>
    <row r="16" spans="1:10" s="3" customFormat="1" x14ac:dyDescent="0.2">
      <c r="A16" s="8"/>
      <c r="B16" s="8"/>
      <c r="C16" s="8">
        <v>5</v>
      </c>
      <c r="D16" s="9" t="s">
        <v>9</v>
      </c>
      <c r="E16" s="58">
        <v>43905</v>
      </c>
      <c r="F16" s="58">
        <v>43936</v>
      </c>
      <c r="G16" s="8"/>
      <c r="H16" s="8"/>
      <c r="I16" s="53"/>
      <c r="J16" s="8"/>
    </row>
    <row r="17" spans="1:10" s="3" customFormat="1" x14ac:dyDescent="0.2">
      <c r="A17" s="8"/>
      <c r="B17" s="8"/>
      <c r="C17" s="8">
        <v>6</v>
      </c>
      <c r="D17" s="9" t="s">
        <v>125</v>
      </c>
      <c r="E17" s="58">
        <v>43905</v>
      </c>
      <c r="F17" s="58">
        <v>43936</v>
      </c>
      <c r="G17" s="8"/>
      <c r="H17" s="8"/>
      <c r="I17" s="53"/>
      <c r="J17" s="8"/>
    </row>
    <row r="18" spans="1:10" s="3" customFormat="1" x14ac:dyDescent="0.2">
      <c r="A18" s="8"/>
      <c r="B18" s="8"/>
      <c r="C18" s="8">
        <v>2</v>
      </c>
      <c r="D18" s="9" t="s">
        <v>362</v>
      </c>
      <c r="E18" s="58">
        <v>43905</v>
      </c>
      <c r="F18" s="58">
        <v>43936</v>
      </c>
      <c r="G18" s="8"/>
      <c r="H18" s="8"/>
      <c r="I18" s="53"/>
      <c r="J18" s="8"/>
    </row>
    <row r="19" spans="1:10" s="3" customFormat="1" x14ac:dyDescent="0.2">
      <c r="A19" s="8"/>
      <c r="B19" s="8"/>
      <c r="C19" s="8">
        <v>1</v>
      </c>
      <c r="D19" s="9" t="s">
        <v>363</v>
      </c>
      <c r="E19" s="58">
        <v>43905</v>
      </c>
      <c r="F19" s="58">
        <v>43936</v>
      </c>
      <c r="G19" s="8"/>
      <c r="H19" s="8"/>
      <c r="I19" s="53"/>
      <c r="J19" s="8"/>
    </row>
    <row r="20" spans="1:10" s="3" customFormat="1" x14ac:dyDescent="0.2">
      <c r="A20" s="8"/>
      <c r="B20" s="8"/>
      <c r="C20" s="8">
        <v>1</v>
      </c>
      <c r="D20" s="9" t="s">
        <v>364</v>
      </c>
      <c r="E20" s="58">
        <v>43905</v>
      </c>
      <c r="F20" s="58">
        <v>43936</v>
      </c>
      <c r="G20" s="8"/>
      <c r="H20" s="8"/>
      <c r="I20" s="53"/>
      <c r="J20" s="8"/>
    </row>
    <row r="21" spans="1:10" s="3" customFormat="1" x14ac:dyDescent="0.2">
      <c r="A21" s="8"/>
      <c r="B21" s="8"/>
      <c r="C21" s="8">
        <v>1</v>
      </c>
      <c r="D21" s="9" t="s">
        <v>365</v>
      </c>
      <c r="E21" s="58">
        <v>43905</v>
      </c>
      <c r="F21" s="58">
        <v>43936</v>
      </c>
      <c r="G21" s="8"/>
      <c r="H21" s="8"/>
      <c r="I21" s="53"/>
      <c r="J21" s="8"/>
    </row>
    <row r="22" spans="1:10" s="3" customFormat="1" x14ac:dyDescent="0.2">
      <c r="A22" s="30"/>
      <c r="B22" s="30"/>
      <c r="C22" s="30"/>
      <c r="D22" s="28"/>
      <c r="E22" s="60"/>
      <c r="F22" s="60"/>
      <c r="G22" s="30"/>
      <c r="H22" s="30"/>
      <c r="I22" s="56"/>
      <c r="J22" s="30"/>
    </row>
    <row r="23" spans="1:10" s="3" customFormat="1" x14ac:dyDescent="0.2">
      <c r="A23" s="8" t="s">
        <v>357</v>
      </c>
      <c r="B23" s="8">
        <v>117326</v>
      </c>
      <c r="C23" s="8">
        <v>58</v>
      </c>
      <c r="D23" s="9" t="s">
        <v>366</v>
      </c>
      <c r="E23" s="58">
        <v>43539</v>
      </c>
      <c r="F23" s="58">
        <v>43723</v>
      </c>
      <c r="G23" s="8">
        <v>4</v>
      </c>
      <c r="H23" s="8"/>
      <c r="I23" s="53"/>
      <c r="J23" s="8" t="s">
        <v>407</v>
      </c>
    </row>
    <row r="24" spans="1:10" s="3" customFormat="1" x14ac:dyDescent="0.2">
      <c r="A24" s="8"/>
      <c r="B24" s="8"/>
      <c r="C24" s="8">
        <v>46</v>
      </c>
      <c r="D24" s="9" t="s">
        <v>367</v>
      </c>
      <c r="E24" s="58">
        <v>43539</v>
      </c>
      <c r="F24" s="58">
        <v>43723</v>
      </c>
      <c r="G24" s="8"/>
      <c r="H24" s="8"/>
      <c r="I24" s="53"/>
      <c r="J24" s="8"/>
    </row>
    <row r="25" spans="1:10" s="3" customFormat="1" x14ac:dyDescent="0.2">
      <c r="A25" s="8"/>
      <c r="B25" s="8"/>
      <c r="C25" s="8">
        <v>16</v>
      </c>
      <c r="D25" s="9" t="s">
        <v>117</v>
      </c>
      <c r="E25" s="58">
        <v>43539</v>
      </c>
      <c r="F25" s="58">
        <v>43723</v>
      </c>
      <c r="G25" s="8"/>
      <c r="H25" s="8"/>
      <c r="I25" s="53"/>
      <c r="J25" s="8"/>
    </row>
    <row r="26" spans="1:10" s="3" customFormat="1" x14ac:dyDescent="0.2">
      <c r="A26" s="8"/>
      <c r="B26" s="8"/>
      <c r="C26" s="8">
        <v>1</v>
      </c>
      <c r="D26" s="9" t="s">
        <v>368</v>
      </c>
      <c r="E26" s="58">
        <v>43539</v>
      </c>
      <c r="F26" s="58">
        <v>43723</v>
      </c>
      <c r="G26" s="8"/>
      <c r="H26" s="8"/>
      <c r="I26" s="53"/>
      <c r="J26" s="8"/>
    </row>
    <row r="27" spans="1:10" s="3" customFormat="1" x14ac:dyDescent="0.2">
      <c r="A27" s="8"/>
      <c r="B27" s="8"/>
      <c r="C27" s="8">
        <v>1</v>
      </c>
      <c r="D27" s="9" t="s">
        <v>369</v>
      </c>
      <c r="E27" s="58">
        <v>43539</v>
      </c>
      <c r="F27" s="58">
        <v>43723</v>
      </c>
      <c r="G27" s="8"/>
      <c r="H27" s="8"/>
      <c r="I27" s="53"/>
      <c r="J27" s="8"/>
    </row>
    <row r="28" spans="1:10" s="3" customFormat="1" x14ac:dyDescent="0.2">
      <c r="A28" s="8"/>
      <c r="B28" s="8"/>
      <c r="C28" s="8">
        <v>2</v>
      </c>
      <c r="D28" s="9" t="s">
        <v>370</v>
      </c>
      <c r="E28" s="58">
        <v>43539</v>
      </c>
      <c r="F28" s="58">
        <v>43723</v>
      </c>
      <c r="G28" s="8"/>
      <c r="H28" s="8"/>
      <c r="I28" s="53"/>
      <c r="J28" s="8"/>
    </row>
    <row r="29" spans="1:10" s="3" customFormat="1" x14ac:dyDescent="0.2">
      <c r="A29" s="8"/>
      <c r="B29" s="8"/>
      <c r="C29" s="8">
        <v>4</v>
      </c>
      <c r="D29" s="9" t="s">
        <v>371</v>
      </c>
      <c r="E29" s="58">
        <v>43539</v>
      </c>
      <c r="F29" s="58">
        <v>43723</v>
      </c>
      <c r="G29" s="8"/>
      <c r="H29" s="8"/>
      <c r="I29" s="53"/>
      <c r="J29" s="8"/>
    </row>
    <row r="30" spans="1:10" s="3" customFormat="1" x14ac:dyDescent="0.2">
      <c r="A30" s="8"/>
      <c r="B30" s="8"/>
      <c r="C30" s="8">
        <v>4</v>
      </c>
      <c r="D30" s="9" t="s">
        <v>372</v>
      </c>
      <c r="E30" s="58">
        <v>43539</v>
      </c>
      <c r="F30" s="58">
        <v>43723</v>
      </c>
      <c r="G30" s="8"/>
      <c r="H30" s="8"/>
      <c r="I30" s="53"/>
      <c r="J30" s="8"/>
    </row>
    <row r="31" spans="1:10" s="3" customFormat="1" x14ac:dyDescent="0.2">
      <c r="A31" s="8"/>
      <c r="B31" s="8"/>
      <c r="C31" s="8">
        <v>100</v>
      </c>
      <c r="D31" s="9" t="s">
        <v>35</v>
      </c>
      <c r="E31" s="58">
        <v>43539</v>
      </c>
      <c r="F31" s="58">
        <v>43723</v>
      </c>
      <c r="G31" s="8"/>
      <c r="H31" s="8"/>
      <c r="I31" s="53"/>
      <c r="J31" s="8"/>
    </row>
    <row r="32" spans="1:10" s="3" customFormat="1" x14ac:dyDescent="0.2">
      <c r="A32" s="8"/>
      <c r="B32" s="8"/>
      <c r="C32" s="8">
        <v>2</v>
      </c>
      <c r="D32" s="9" t="s">
        <v>373</v>
      </c>
      <c r="E32" s="58">
        <v>43539</v>
      </c>
      <c r="F32" s="58">
        <v>43723</v>
      </c>
      <c r="G32" s="8"/>
      <c r="H32" s="8"/>
      <c r="I32" s="53"/>
      <c r="J32" s="8"/>
    </row>
    <row r="33" spans="1:10" s="3" customFormat="1" x14ac:dyDescent="0.2">
      <c r="A33" s="8"/>
      <c r="B33" s="8"/>
      <c r="C33" s="8">
        <v>1</v>
      </c>
      <c r="D33" s="9" t="s">
        <v>374</v>
      </c>
      <c r="E33" s="58">
        <v>43539</v>
      </c>
      <c r="F33" s="58">
        <v>43723</v>
      </c>
      <c r="G33" s="8"/>
      <c r="H33" s="8"/>
      <c r="I33" s="53"/>
      <c r="J33" s="8"/>
    </row>
    <row r="34" spans="1:10" s="3" customFormat="1" x14ac:dyDescent="0.2">
      <c r="A34" s="8"/>
      <c r="B34" s="8"/>
      <c r="C34" s="8">
        <v>76</v>
      </c>
      <c r="D34" s="9" t="s">
        <v>106</v>
      </c>
      <c r="E34" s="58">
        <v>43539</v>
      </c>
      <c r="F34" s="58">
        <v>43723</v>
      </c>
      <c r="G34" s="8"/>
      <c r="H34" s="8"/>
      <c r="I34" s="53"/>
      <c r="J34" s="8"/>
    </row>
    <row r="35" spans="1:10" s="3" customFormat="1" x14ac:dyDescent="0.2">
      <c r="A35" s="8"/>
      <c r="B35" s="8"/>
      <c r="C35" s="8">
        <v>27</v>
      </c>
      <c r="D35" s="9" t="s">
        <v>125</v>
      </c>
      <c r="E35" s="58">
        <v>43539</v>
      </c>
      <c r="F35" s="58">
        <v>43723</v>
      </c>
      <c r="G35" s="8">
        <v>3</v>
      </c>
      <c r="H35" s="8"/>
      <c r="I35" s="53"/>
      <c r="J35" s="8"/>
    </row>
    <row r="36" spans="1:10" s="3" customFormat="1" x14ac:dyDescent="0.2">
      <c r="A36" s="8"/>
      <c r="B36" s="8"/>
      <c r="C36" s="8">
        <v>79</v>
      </c>
      <c r="D36" s="9" t="s">
        <v>126</v>
      </c>
      <c r="E36" s="58">
        <v>43539</v>
      </c>
      <c r="F36" s="58">
        <v>43723</v>
      </c>
      <c r="G36" s="8"/>
      <c r="H36" s="8"/>
      <c r="I36" s="53"/>
      <c r="J36" s="8"/>
    </row>
    <row r="37" spans="1:10" s="3" customFormat="1" x14ac:dyDescent="0.2">
      <c r="A37" s="30"/>
      <c r="B37" s="30"/>
      <c r="C37" s="30"/>
      <c r="D37" s="28"/>
      <c r="E37" s="60"/>
      <c r="F37" s="60"/>
      <c r="G37" s="30"/>
      <c r="H37" s="30"/>
      <c r="I37" s="56"/>
      <c r="J37" s="30"/>
    </row>
    <row r="38" spans="1:10" s="3" customFormat="1" x14ac:dyDescent="0.2">
      <c r="A38" s="8"/>
      <c r="B38" s="8" t="s">
        <v>806</v>
      </c>
      <c r="C38" s="8">
        <v>4</v>
      </c>
      <c r="D38" s="9" t="s">
        <v>494</v>
      </c>
      <c r="E38" s="58">
        <v>44242</v>
      </c>
      <c r="F38" s="58">
        <v>44392</v>
      </c>
      <c r="G38" s="8"/>
      <c r="H38" s="8"/>
      <c r="I38" s="53"/>
      <c r="J38" s="8"/>
    </row>
    <row r="39" spans="1:10" s="3" customFormat="1" x14ac:dyDescent="0.2">
      <c r="A39" s="8"/>
      <c r="B39" s="8"/>
      <c r="C39" s="8">
        <v>4</v>
      </c>
      <c r="D39" s="9" t="s">
        <v>495</v>
      </c>
      <c r="E39" s="58">
        <v>44242</v>
      </c>
      <c r="F39" s="58">
        <v>44392</v>
      </c>
      <c r="G39" s="8"/>
      <c r="H39" s="8"/>
      <c r="I39" s="53"/>
      <c r="J39" s="8"/>
    </row>
    <row r="40" spans="1:10" s="3" customFormat="1" x14ac:dyDescent="0.2">
      <c r="A40" s="8"/>
      <c r="B40" s="8"/>
      <c r="C40" s="8">
        <v>8</v>
      </c>
      <c r="D40" s="9" t="s">
        <v>496</v>
      </c>
      <c r="E40" s="58">
        <v>44242</v>
      </c>
      <c r="F40" s="58">
        <v>44392</v>
      </c>
      <c r="G40" s="8"/>
      <c r="H40" s="8"/>
      <c r="I40" s="53"/>
      <c r="J40" s="8"/>
    </row>
    <row r="41" spans="1:10" s="3" customFormat="1" x14ac:dyDescent="0.2">
      <c r="A41" s="30"/>
      <c r="B41" s="30"/>
      <c r="C41" s="30"/>
      <c r="D41" s="28"/>
      <c r="E41" s="59"/>
      <c r="F41" s="30"/>
      <c r="G41" s="30"/>
      <c r="H41" s="30"/>
      <c r="I41" s="56"/>
      <c r="J41" s="30"/>
    </row>
    <row r="42" spans="1:10" s="3" customFormat="1" x14ac:dyDescent="0.2">
      <c r="A42" s="30"/>
      <c r="B42" s="30"/>
      <c r="C42" s="30"/>
      <c r="D42" s="28"/>
      <c r="E42" s="59"/>
      <c r="F42" s="30"/>
      <c r="G42" s="30"/>
      <c r="H42" s="30"/>
      <c r="I42" s="56"/>
      <c r="J42" s="30"/>
    </row>
    <row r="43" spans="1:10" s="3" customFormat="1" x14ac:dyDescent="0.2">
      <c r="A43" s="30"/>
      <c r="B43" s="30"/>
      <c r="C43" s="30"/>
      <c r="D43" s="28"/>
      <c r="E43" s="59"/>
      <c r="F43" s="30"/>
      <c r="G43" s="30"/>
      <c r="H43" s="30"/>
      <c r="I43" s="56"/>
      <c r="J43" s="30"/>
    </row>
    <row r="44" spans="1:10" x14ac:dyDescent="0.2">
      <c r="A44" s="6" t="s">
        <v>215</v>
      </c>
      <c r="B44" s="6"/>
      <c r="C44" s="6">
        <v>33</v>
      </c>
      <c r="D44" s="6" t="s">
        <v>91</v>
      </c>
      <c r="E44" s="10"/>
      <c r="F44" s="10"/>
      <c r="G44" s="6">
        <v>16</v>
      </c>
      <c r="H44" s="6"/>
      <c r="I44" s="6">
        <f>C44-G44</f>
        <v>17</v>
      </c>
      <c r="J44" s="6"/>
    </row>
    <row r="45" spans="1:10" x14ac:dyDescent="0.2">
      <c r="A45" s="6"/>
      <c r="B45" s="6"/>
      <c r="C45" s="6">
        <v>154</v>
      </c>
      <c r="D45" s="6" t="s">
        <v>64</v>
      </c>
      <c r="E45" s="10"/>
      <c r="F45" s="10"/>
      <c r="G45" s="6">
        <v>72</v>
      </c>
      <c r="H45" s="6"/>
      <c r="I45" s="6">
        <f t="shared" ref="I45:I60" si="0">C45-G45</f>
        <v>82</v>
      </c>
      <c r="J45" s="6"/>
    </row>
    <row r="46" spans="1:10" x14ac:dyDescent="0.2">
      <c r="A46" s="6"/>
      <c r="B46" s="6"/>
      <c r="C46" s="6">
        <v>6</v>
      </c>
      <c r="D46" s="6" t="s">
        <v>48</v>
      </c>
      <c r="E46" s="10"/>
      <c r="F46" s="10"/>
      <c r="G46" s="6">
        <v>2</v>
      </c>
      <c r="H46" s="6"/>
      <c r="I46" s="6">
        <f t="shared" si="0"/>
        <v>4</v>
      </c>
      <c r="J46" s="6"/>
    </row>
    <row r="47" spans="1:10" x14ac:dyDescent="0.2">
      <c r="A47" s="6"/>
      <c r="B47" s="6"/>
      <c r="C47" s="6">
        <v>1</v>
      </c>
      <c r="D47" s="6" t="s">
        <v>178</v>
      </c>
      <c r="E47" s="10"/>
      <c r="F47" s="10"/>
      <c r="G47" s="6"/>
      <c r="H47" s="6"/>
      <c r="I47" s="6">
        <f t="shared" si="0"/>
        <v>1</v>
      </c>
      <c r="J47" s="6"/>
    </row>
    <row r="48" spans="1:10" x14ac:dyDescent="0.2">
      <c r="A48" s="6"/>
      <c r="B48" s="6"/>
      <c r="C48" s="6">
        <v>34</v>
      </c>
      <c r="D48" s="6" t="s">
        <v>173</v>
      </c>
      <c r="E48" s="10"/>
      <c r="F48" s="10"/>
      <c r="G48" s="6">
        <v>17</v>
      </c>
      <c r="H48" s="6"/>
      <c r="I48" s="6">
        <f t="shared" si="0"/>
        <v>17</v>
      </c>
      <c r="J48" s="6"/>
    </row>
    <row r="49" spans="1:10" x14ac:dyDescent="0.2">
      <c r="A49" s="6"/>
      <c r="B49" s="6"/>
      <c r="C49" s="6">
        <v>2</v>
      </c>
      <c r="D49" s="6" t="s">
        <v>14</v>
      </c>
      <c r="E49" s="10"/>
      <c r="F49" s="10"/>
      <c r="G49" s="6">
        <v>1</v>
      </c>
      <c r="H49" s="6"/>
      <c r="I49" s="6">
        <f t="shared" si="0"/>
        <v>1</v>
      </c>
      <c r="J49" s="6"/>
    </row>
    <row r="50" spans="1:10" x14ac:dyDescent="0.2">
      <c r="A50" s="6"/>
      <c r="B50" s="6"/>
      <c r="C50" s="6">
        <v>12</v>
      </c>
      <c r="D50" s="6" t="s">
        <v>123</v>
      </c>
      <c r="E50" s="10"/>
      <c r="F50" s="10"/>
      <c r="G50" s="6">
        <v>2</v>
      </c>
      <c r="H50" s="6"/>
      <c r="I50" s="6">
        <f t="shared" si="0"/>
        <v>10</v>
      </c>
      <c r="J50" s="6"/>
    </row>
    <row r="51" spans="1:10" x14ac:dyDescent="0.2">
      <c r="A51" s="6"/>
      <c r="B51" s="6"/>
      <c r="C51" s="6">
        <v>25</v>
      </c>
      <c r="D51" s="6" t="s">
        <v>172</v>
      </c>
      <c r="E51" s="10"/>
      <c r="F51" s="10"/>
      <c r="G51" s="6">
        <v>4</v>
      </c>
      <c r="H51" s="6"/>
      <c r="I51" s="6">
        <f t="shared" si="0"/>
        <v>21</v>
      </c>
      <c r="J51" s="6"/>
    </row>
    <row r="52" spans="1:10" x14ac:dyDescent="0.2">
      <c r="A52" s="6"/>
      <c r="B52" s="6"/>
      <c r="C52" s="6">
        <v>2</v>
      </c>
      <c r="D52" s="6" t="s">
        <v>124</v>
      </c>
      <c r="E52" s="10"/>
      <c r="F52" s="10"/>
      <c r="G52" s="6"/>
      <c r="H52" s="6"/>
      <c r="I52" s="6">
        <f t="shared" si="0"/>
        <v>2</v>
      </c>
      <c r="J52" s="6"/>
    </row>
    <row r="53" spans="1:10" ht="12" customHeight="1" x14ac:dyDescent="0.2">
      <c r="A53" s="6"/>
      <c r="B53" s="6"/>
      <c r="C53" s="6">
        <v>1</v>
      </c>
      <c r="D53" s="6" t="s">
        <v>176</v>
      </c>
      <c r="E53" s="10"/>
      <c r="F53" s="10"/>
      <c r="G53" s="6"/>
      <c r="H53" s="6"/>
      <c r="I53" s="6">
        <f t="shared" si="0"/>
        <v>1</v>
      </c>
      <c r="J53" s="6"/>
    </row>
    <row r="54" spans="1:10" x14ac:dyDescent="0.2">
      <c r="A54" s="6"/>
      <c r="B54" s="6"/>
      <c r="C54" s="6">
        <v>60</v>
      </c>
      <c r="D54" s="6" t="s">
        <v>127</v>
      </c>
      <c r="E54" s="10"/>
      <c r="F54" s="10"/>
      <c r="G54" s="6"/>
      <c r="H54" s="6"/>
      <c r="I54" s="6">
        <f t="shared" si="0"/>
        <v>60</v>
      </c>
      <c r="J54" s="6"/>
    </row>
    <row r="55" spans="1:10" x14ac:dyDescent="0.2">
      <c r="A55" s="6"/>
      <c r="B55" s="6"/>
      <c r="C55" s="6">
        <v>19</v>
      </c>
      <c r="D55" s="6" t="s">
        <v>125</v>
      </c>
      <c r="E55" s="10"/>
      <c r="F55" s="10"/>
      <c r="G55" s="6">
        <v>3</v>
      </c>
      <c r="H55" s="6"/>
      <c r="I55" s="6">
        <f t="shared" si="0"/>
        <v>16</v>
      </c>
      <c r="J55" s="6"/>
    </row>
    <row r="56" spans="1:10" x14ac:dyDescent="0.2">
      <c r="A56" s="6"/>
      <c r="B56" s="6"/>
      <c r="C56" s="6">
        <v>83</v>
      </c>
      <c r="D56" s="6" t="s">
        <v>60</v>
      </c>
      <c r="E56" s="10"/>
      <c r="F56" s="10"/>
      <c r="G56" s="6"/>
      <c r="H56" s="6"/>
      <c r="I56" s="6">
        <f t="shared" si="0"/>
        <v>83</v>
      </c>
      <c r="J56" s="6"/>
    </row>
    <row r="57" spans="1:10" x14ac:dyDescent="0.2">
      <c r="A57" s="6"/>
      <c r="B57" s="6"/>
      <c r="C57" s="6">
        <v>3</v>
      </c>
      <c r="D57" s="6" t="s">
        <v>126</v>
      </c>
      <c r="E57" s="10"/>
      <c r="F57" s="10"/>
      <c r="G57" s="6"/>
      <c r="H57" s="6"/>
      <c r="I57" s="6">
        <f t="shared" si="0"/>
        <v>3</v>
      </c>
      <c r="J57" s="6"/>
    </row>
    <row r="58" spans="1:10" x14ac:dyDescent="0.2">
      <c r="A58" s="8"/>
      <c r="B58" s="6"/>
      <c r="C58" s="6">
        <v>2</v>
      </c>
      <c r="D58" s="8" t="s">
        <v>177</v>
      </c>
      <c r="E58" s="10"/>
      <c r="F58" s="10"/>
      <c r="G58" s="6"/>
      <c r="H58" s="6"/>
      <c r="I58" s="6">
        <f t="shared" si="0"/>
        <v>2</v>
      </c>
      <c r="J58" s="6"/>
    </row>
    <row r="59" spans="1:10" x14ac:dyDescent="0.2">
      <c r="A59" s="6"/>
      <c r="B59" s="6"/>
      <c r="C59" s="6">
        <v>3</v>
      </c>
      <c r="D59" s="6" t="s">
        <v>174</v>
      </c>
      <c r="E59" s="10"/>
      <c r="F59" s="10"/>
      <c r="G59" s="6">
        <v>2</v>
      </c>
      <c r="H59" s="6"/>
      <c r="I59" s="6">
        <f t="shared" si="0"/>
        <v>1</v>
      </c>
      <c r="J59" s="6"/>
    </row>
    <row r="60" spans="1:10" x14ac:dyDescent="0.2">
      <c r="A60" s="6"/>
      <c r="B60" s="6"/>
      <c r="C60" s="6">
        <v>1</v>
      </c>
      <c r="D60" s="6" t="s">
        <v>175</v>
      </c>
      <c r="E60" s="10"/>
      <c r="F60" s="10"/>
      <c r="G60" s="6"/>
      <c r="H60" s="6"/>
      <c r="I60" s="6">
        <f t="shared" si="0"/>
        <v>1</v>
      </c>
      <c r="J60" s="6"/>
    </row>
    <row r="61" spans="1:10" x14ac:dyDescent="0.2">
      <c r="A61" s="6"/>
      <c r="B61" s="6"/>
      <c r="C61" s="6"/>
      <c r="D61" s="6"/>
      <c r="E61" s="10"/>
      <c r="F61" s="10"/>
      <c r="G61" s="6"/>
      <c r="H61" s="6"/>
      <c r="I61" s="6"/>
      <c r="J61" s="6"/>
    </row>
    <row r="62" spans="1:10" x14ac:dyDescent="0.2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x14ac:dyDescent="0.2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x14ac:dyDescent="0.2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s="3" customFormat="1" x14ac:dyDescent="0.2">
      <c r="A65" s="30"/>
      <c r="B65" s="30"/>
      <c r="C65" s="30"/>
      <c r="D65" s="28"/>
      <c r="E65" s="60"/>
      <c r="F65" s="60"/>
      <c r="G65" s="30"/>
      <c r="H65" s="30"/>
      <c r="I65" s="56"/>
      <c r="J65" s="30"/>
    </row>
    <row r="66" spans="1:10" x14ac:dyDescent="0.2">
      <c r="A66" s="8" t="s">
        <v>895</v>
      </c>
      <c r="B66" s="1" t="s">
        <v>893</v>
      </c>
      <c r="C66">
        <v>1</v>
      </c>
      <c r="D66" s="1" t="s">
        <v>894</v>
      </c>
      <c r="E66" s="4">
        <v>44348</v>
      </c>
      <c r="F66" s="4">
        <v>44440</v>
      </c>
    </row>
  </sheetData>
  <mergeCells count="1">
    <mergeCell ref="I3:I4"/>
  </mergeCells>
  <pageMargins left="0.7" right="0.7" top="0.75" bottom="0.75" header="0.3" footer="0.3"/>
  <pageSetup scale="87" fitToHeight="6" orientation="landscape" horizontalDpi="300" r:id="rId1"/>
  <headerFooter>
    <oddFooter>&amp;R&amp;D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6536B-E09C-49A3-AC27-657989158F13}">
  <sheetPr>
    <tabColor theme="0" tint="-0.34998626667073579"/>
    <pageSetUpPr fitToPage="1"/>
  </sheetPr>
  <dimension ref="A1:J29"/>
  <sheetViews>
    <sheetView workbookViewId="0"/>
  </sheetViews>
  <sheetFormatPr defaultRowHeight="12.75" x14ac:dyDescent="0.2"/>
  <cols>
    <col min="1" max="1" width="26.28515625" customWidth="1"/>
    <col min="2" max="2" width="16.140625" bestFit="1" customWidth="1"/>
    <col min="3" max="3" width="6.5703125" customWidth="1"/>
    <col min="4" max="4" width="26.7109375" customWidth="1"/>
    <col min="5" max="5" width="11.85546875" customWidth="1"/>
    <col min="6" max="6" width="11.5703125" customWidth="1"/>
    <col min="7" max="7" width="11" customWidth="1"/>
    <col min="8" max="8" width="9.85546875" customWidth="1"/>
    <col min="9" max="9" width="11.85546875" customWidth="1"/>
    <col min="10" max="10" width="11.42578125" customWidth="1"/>
  </cols>
  <sheetData>
    <row r="1" spans="1:10" ht="15" x14ac:dyDescent="0.2">
      <c r="A1" s="5" t="str">
        <f ca="1">MID(CELL("filename",$A$1),FIND("]",CELL("filename",$A$1),1)+1,1024)</f>
        <v>TORIGIANI FARMS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1193</v>
      </c>
      <c r="B5" s="6" t="s">
        <v>1194</v>
      </c>
      <c r="C5" s="6">
        <v>1</v>
      </c>
      <c r="D5" s="11" t="s">
        <v>1195</v>
      </c>
      <c r="E5" s="10">
        <v>44593</v>
      </c>
      <c r="F5" s="10">
        <v>44713</v>
      </c>
      <c r="G5" s="6"/>
      <c r="H5" s="6"/>
      <c r="I5" s="6"/>
      <c r="J5" s="6"/>
    </row>
    <row r="6" spans="1:10" x14ac:dyDescent="0.2">
      <c r="A6" s="6"/>
      <c r="B6" s="6"/>
      <c r="C6" s="6">
        <v>1</v>
      </c>
      <c r="D6" s="11" t="s">
        <v>1196</v>
      </c>
      <c r="E6" s="10">
        <v>44593</v>
      </c>
      <c r="F6" s="10">
        <v>44713</v>
      </c>
      <c r="G6" s="6"/>
      <c r="H6" s="6"/>
      <c r="I6" s="6"/>
      <c r="J6" s="6"/>
    </row>
    <row r="7" spans="1:10" x14ac:dyDescent="0.2">
      <c r="A7" s="6"/>
      <c r="B7" s="6"/>
      <c r="C7" s="6">
        <v>75</v>
      </c>
      <c r="D7" s="11" t="s">
        <v>1197</v>
      </c>
      <c r="E7" s="10">
        <v>44593</v>
      </c>
      <c r="F7" s="10">
        <v>44713</v>
      </c>
      <c r="G7" s="6"/>
      <c r="H7" s="6"/>
      <c r="I7" s="6"/>
      <c r="J7" s="6"/>
    </row>
    <row r="8" spans="1:10" x14ac:dyDescent="0.2">
      <c r="A8" s="6"/>
      <c r="B8" s="6"/>
      <c r="C8" s="6">
        <v>1</v>
      </c>
      <c r="D8" s="11" t="s">
        <v>415</v>
      </c>
      <c r="E8" s="10">
        <v>44593</v>
      </c>
      <c r="F8" s="10">
        <v>44713</v>
      </c>
      <c r="G8" s="6"/>
      <c r="H8" s="6"/>
      <c r="I8" s="6"/>
      <c r="J8" s="6"/>
    </row>
    <row r="9" spans="1:10" x14ac:dyDescent="0.2">
      <c r="A9" s="8"/>
      <c r="B9" s="8"/>
      <c r="C9" s="6">
        <v>16</v>
      </c>
      <c r="D9" s="11" t="s">
        <v>431</v>
      </c>
      <c r="E9" s="10">
        <v>44593</v>
      </c>
      <c r="F9" s="10">
        <v>44713</v>
      </c>
      <c r="G9" s="6"/>
      <c r="H9" s="6"/>
      <c r="I9" s="6"/>
      <c r="J9" s="6"/>
    </row>
    <row r="10" spans="1:10" x14ac:dyDescent="0.2">
      <c r="A10" s="6"/>
      <c r="B10" s="6"/>
      <c r="C10" s="6">
        <v>1</v>
      </c>
      <c r="D10" s="11" t="s">
        <v>42</v>
      </c>
      <c r="E10" s="10">
        <v>44593</v>
      </c>
      <c r="F10" s="10">
        <v>44713</v>
      </c>
      <c r="G10" s="6"/>
      <c r="H10" s="6"/>
      <c r="I10" s="6"/>
      <c r="J10" s="6"/>
    </row>
    <row r="11" spans="1:10" x14ac:dyDescent="0.2">
      <c r="A11" s="6"/>
      <c r="B11" s="6"/>
      <c r="C11" s="6"/>
      <c r="D11" s="11"/>
      <c r="E11" s="10"/>
      <c r="F11" s="10"/>
      <c r="G11" s="6"/>
      <c r="H11" s="6"/>
      <c r="I11" s="6"/>
      <c r="J11" s="6"/>
    </row>
    <row r="12" spans="1:10" hidden="1" x14ac:dyDescent="0.2">
      <c r="A12" s="6"/>
      <c r="B12" s="6"/>
      <c r="C12" s="6"/>
      <c r="D12" s="11"/>
      <c r="E12" s="10"/>
      <c r="F12" s="10"/>
      <c r="G12" s="6"/>
      <c r="H12" s="6"/>
      <c r="I12" s="6"/>
      <c r="J12" s="6"/>
    </row>
    <row r="13" spans="1:10" hidden="1" x14ac:dyDescent="0.2">
      <c r="A13" s="6"/>
      <c r="B13" s="6"/>
      <c r="C13" s="6"/>
      <c r="D13" s="11"/>
      <c r="E13" s="10"/>
      <c r="F13" s="10"/>
      <c r="G13" s="6"/>
      <c r="H13" s="6"/>
      <c r="I13" s="6"/>
      <c r="J13" s="6"/>
    </row>
    <row r="14" spans="1:10" hidden="1" x14ac:dyDescent="0.2">
      <c r="A14" s="6"/>
      <c r="B14" s="6"/>
      <c r="C14" s="6"/>
      <c r="D14" s="11"/>
      <c r="E14" s="10"/>
      <c r="F14" s="10"/>
      <c r="G14" s="6"/>
      <c r="H14" s="6"/>
      <c r="I14" s="6"/>
      <c r="J14" s="6"/>
    </row>
    <row r="15" spans="1:10" hidden="1" x14ac:dyDescent="0.2">
      <c r="A15" s="6"/>
      <c r="B15" s="6"/>
      <c r="C15" s="6"/>
      <c r="D15" s="11"/>
      <c r="E15" s="10"/>
      <c r="F15" s="10"/>
      <c r="G15" s="6"/>
      <c r="H15" s="6"/>
      <c r="I15" s="6"/>
      <c r="J15" s="6"/>
    </row>
    <row r="16" spans="1:10" hidden="1" x14ac:dyDescent="0.2">
      <c r="A16" s="6"/>
      <c r="B16" s="6"/>
      <c r="C16" s="6"/>
      <c r="D16" s="11"/>
      <c r="E16" s="10"/>
      <c r="F16" s="10"/>
      <c r="G16" s="6"/>
      <c r="H16" s="6"/>
      <c r="I16" s="6"/>
      <c r="J16" s="6"/>
    </row>
    <row r="17" spans="1:10" hidden="1" x14ac:dyDescent="0.2">
      <c r="A17" s="6"/>
      <c r="B17" s="6"/>
      <c r="C17" s="6"/>
      <c r="D17" s="11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11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11"/>
      <c r="E19" s="10"/>
      <c r="F19" s="10"/>
      <c r="G19" s="6"/>
      <c r="H19" s="6"/>
      <c r="I19" s="6"/>
      <c r="J19" s="6"/>
    </row>
    <row r="20" spans="1:10" x14ac:dyDescent="0.2">
      <c r="A20" s="6"/>
      <c r="B20" s="6"/>
      <c r="C20" s="6"/>
      <c r="D20" s="11"/>
      <c r="E20" s="10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6"/>
      <c r="F29" s="6"/>
      <c r="G29" s="6"/>
      <c r="H29" s="6"/>
      <c r="I29" s="6"/>
      <c r="J29" s="6"/>
    </row>
  </sheetData>
  <mergeCells count="1">
    <mergeCell ref="I3:I4"/>
  </mergeCells>
  <pageMargins left="0.7" right="0.7" top="0.75" bottom="0.75" header="0.3" footer="0.3"/>
  <pageSetup scale="87" fitToHeight="6" orientation="landscape" horizontalDpi="300" r:id="rId1"/>
  <headerFooter>
    <oddFooter>&amp;R&amp;D</odd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E5412-E8B0-4B58-9874-1C37758B89A8}">
  <sheetPr>
    <tabColor theme="0" tint="-0.34998626667073579"/>
    <pageSetUpPr fitToPage="1"/>
  </sheetPr>
  <dimension ref="A1:J66"/>
  <sheetViews>
    <sheetView zoomScaleNormal="100" workbookViewId="0"/>
  </sheetViews>
  <sheetFormatPr defaultRowHeight="12.75" x14ac:dyDescent="0.2"/>
  <cols>
    <col min="1" max="1" width="28.5703125" customWidth="1"/>
    <col min="2" max="2" width="16.140625" customWidth="1"/>
    <col min="3" max="3" width="6.5703125" customWidth="1"/>
    <col min="4" max="4" width="20.7109375" customWidth="1"/>
    <col min="5" max="5" width="12.7109375" customWidth="1"/>
    <col min="6" max="6" width="11.5703125" customWidth="1"/>
    <col min="7" max="7" width="11" customWidth="1"/>
    <col min="8" max="8" width="10.85546875" customWidth="1"/>
    <col min="9" max="9" width="12.7109375" customWidth="1"/>
    <col min="10" max="10" width="11.85546875" customWidth="1"/>
  </cols>
  <sheetData>
    <row r="1" spans="1:10" ht="15" x14ac:dyDescent="0.2">
      <c r="A1" s="5" t="str">
        <f ca="1">MID(CELL("filename",$A$1),FIND("]",CELL("filename",$A$1),1)+1,1024)</f>
        <v>TRILOGY DAIRY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101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s="3" customFormat="1" x14ac:dyDescent="0.2">
      <c r="A5" s="8"/>
      <c r="B5" s="8"/>
      <c r="C5" s="8"/>
      <c r="D5" s="9"/>
      <c r="E5" s="58"/>
      <c r="F5" s="58"/>
      <c r="G5" s="8"/>
      <c r="H5" s="8"/>
      <c r="I5" s="53"/>
      <c r="J5" s="8"/>
    </row>
    <row r="6" spans="1:10" s="3" customFormat="1" x14ac:dyDescent="0.2">
      <c r="A6" s="8"/>
      <c r="B6" s="8"/>
      <c r="C6" s="8"/>
      <c r="D6" s="9"/>
      <c r="E6" s="58"/>
      <c r="F6" s="58"/>
      <c r="G6" s="8"/>
      <c r="H6" s="8"/>
      <c r="I6" s="53"/>
      <c r="J6" s="8"/>
    </row>
    <row r="7" spans="1:10" s="3" customFormat="1" x14ac:dyDescent="0.2">
      <c r="A7" s="8"/>
      <c r="B7" s="8"/>
      <c r="C7" s="8"/>
      <c r="D7" s="9"/>
      <c r="E7" s="58"/>
      <c r="F7" s="58"/>
      <c r="G7" s="8"/>
      <c r="H7" s="8"/>
      <c r="I7" s="53"/>
      <c r="J7" s="8"/>
    </row>
    <row r="8" spans="1:10" s="3" customFormat="1" x14ac:dyDescent="0.2">
      <c r="A8" s="8"/>
      <c r="B8" s="8"/>
      <c r="C8" s="8"/>
      <c r="D8" s="9"/>
      <c r="E8" s="58"/>
      <c r="F8" s="58"/>
      <c r="G8" s="8"/>
      <c r="H8" s="8"/>
      <c r="I8" s="53"/>
      <c r="J8" s="8"/>
    </row>
    <row r="9" spans="1:10" s="3" customFormat="1" x14ac:dyDescent="0.2">
      <c r="A9" s="8"/>
      <c r="B9" s="8"/>
      <c r="C9" s="8"/>
      <c r="D9" s="9"/>
      <c r="E9" s="58"/>
      <c r="F9" s="58"/>
      <c r="G9" s="8"/>
      <c r="H9" s="8"/>
      <c r="I9" s="53"/>
      <c r="J9" s="8"/>
    </row>
    <row r="10" spans="1:10" s="3" customFormat="1" x14ac:dyDescent="0.2">
      <c r="A10" s="8"/>
      <c r="B10" s="8"/>
      <c r="C10" s="8"/>
      <c r="D10" s="9"/>
      <c r="E10" s="58"/>
      <c r="F10" s="58"/>
      <c r="G10" s="8"/>
      <c r="H10" s="8"/>
      <c r="I10" s="53"/>
      <c r="J10" s="8"/>
    </row>
    <row r="11" spans="1:10" s="3" customFormat="1" x14ac:dyDescent="0.2">
      <c r="A11" s="8"/>
      <c r="B11" s="8"/>
      <c r="C11" s="8"/>
      <c r="D11" s="9"/>
      <c r="E11" s="58"/>
      <c r="F11" s="58"/>
      <c r="G11" s="8"/>
      <c r="H11" s="8"/>
      <c r="I11" s="53"/>
      <c r="J11" s="8"/>
    </row>
    <row r="12" spans="1:10" s="3" customFormat="1" x14ac:dyDescent="0.2">
      <c r="A12" s="8"/>
      <c r="B12" s="8"/>
      <c r="C12" s="8"/>
      <c r="D12" s="9"/>
      <c r="E12" s="58"/>
      <c r="F12" s="58"/>
      <c r="G12" s="8"/>
      <c r="H12" s="8"/>
      <c r="I12" s="53"/>
      <c r="J12" s="8"/>
    </row>
    <row r="13" spans="1:10" s="3" customFormat="1" x14ac:dyDescent="0.2">
      <c r="A13" s="8"/>
      <c r="B13" s="8"/>
      <c r="C13" s="8"/>
      <c r="D13" s="9"/>
      <c r="E13" s="58"/>
      <c r="F13" s="58"/>
      <c r="G13" s="8"/>
      <c r="H13" s="8"/>
      <c r="I13" s="53"/>
      <c r="J13" s="8"/>
    </row>
    <row r="14" spans="1:10" s="3" customFormat="1" x14ac:dyDescent="0.2">
      <c r="A14" s="8"/>
      <c r="B14" s="8"/>
      <c r="C14" s="8"/>
      <c r="D14" s="9"/>
      <c r="E14" s="58"/>
      <c r="F14" s="58"/>
      <c r="G14" s="8"/>
      <c r="H14" s="8"/>
      <c r="I14" s="53"/>
      <c r="J14" s="8"/>
    </row>
    <row r="15" spans="1:10" s="3" customFormat="1" x14ac:dyDescent="0.2">
      <c r="A15" s="8"/>
      <c r="B15" s="8"/>
      <c r="C15" s="8"/>
      <c r="D15" s="9"/>
      <c r="E15" s="58"/>
      <c r="F15" s="58"/>
      <c r="G15" s="8"/>
      <c r="H15" s="8"/>
      <c r="I15" s="53"/>
      <c r="J15" s="8"/>
    </row>
    <row r="16" spans="1:10" s="3" customFormat="1" x14ac:dyDescent="0.2">
      <c r="A16" s="8"/>
      <c r="B16" s="8"/>
      <c r="C16" s="8"/>
      <c r="D16" s="9"/>
      <c r="E16" s="58"/>
      <c r="F16" s="58"/>
      <c r="G16" s="8"/>
      <c r="H16" s="8"/>
      <c r="I16" s="53"/>
      <c r="J16" s="8"/>
    </row>
    <row r="17" spans="1:10" s="3" customFormat="1" x14ac:dyDescent="0.2">
      <c r="A17" s="8"/>
      <c r="B17" s="8"/>
      <c r="C17" s="8"/>
      <c r="D17" s="9"/>
      <c r="E17" s="58"/>
      <c r="F17" s="58"/>
      <c r="G17" s="8"/>
      <c r="H17" s="8"/>
      <c r="I17" s="53"/>
      <c r="J17" s="8"/>
    </row>
    <row r="18" spans="1:10" s="3" customFormat="1" x14ac:dyDescent="0.2">
      <c r="A18" s="8"/>
      <c r="B18" s="8"/>
      <c r="C18" s="8"/>
      <c r="D18" s="9"/>
      <c r="E18" s="58"/>
      <c r="F18" s="58"/>
      <c r="G18" s="8"/>
      <c r="H18" s="8"/>
      <c r="I18" s="53"/>
      <c r="J18" s="8"/>
    </row>
    <row r="19" spans="1:10" s="3" customFormat="1" x14ac:dyDescent="0.2">
      <c r="A19" s="8"/>
      <c r="B19" s="8"/>
      <c r="C19" s="8"/>
      <c r="D19" s="9"/>
      <c r="E19" s="58"/>
      <c r="F19" s="58"/>
      <c r="G19" s="8"/>
      <c r="H19" s="8"/>
      <c r="I19" s="53"/>
      <c r="J19" s="8"/>
    </row>
    <row r="20" spans="1:10" s="3" customFormat="1" x14ac:dyDescent="0.2">
      <c r="A20" s="8"/>
      <c r="B20" s="8"/>
      <c r="C20" s="8"/>
      <c r="D20" s="9"/>
      <c r="E20" s="58"/>
      <c r="F20" s="58"/>
      <c r="G20" s="8"/>
      <c r="H20" s="8"/>
      <c r="I20" s="53"/>
      <c r="J20" s="8"/>
    </row>
    <row r="21" spans="1:10" s="3" customFormat="1" x14ac:dyDescent="0.2">
      <c r="A21" s="8"/>
      <c r="B21" s="8"/>
      <c r="C21" s="8"/>
      <c r="D21" s="9"/>
      <c r="E21" s="58"/>
      <c r="F21" s="58"/>
      <c r="G21" s="8"/>
      <c r="H21" s="8"/>
      <c r="I21" s="53"/>
      <c r="J21" s="8"/>
    </row>
    <row r="22" spans="1:10" s="3" customFormat="1" x14ac:dyDescent="0.2">
      <c r="A22" s="8"/>
      <c r="B22" s="8"/>
      <c r="C22" s="8"/>
      <c r="D22" s="9"/>
      <c r="E22" s="58"/>
      <c r="F22" s="58"/>
      <c r="G22" s="8"/>
      <c r="H22" s="8"/>
      <c r="I22" s="53"/>
      <c r="J22" s="8"/>
    </row>
    <row r="23" spans="1:10" s="3" customFormat="1" x14ac:dyDescent="0.2">
      <c r="A23" s="8"/>
      <c r="B23" s="8"/>
      <c r="C23" s="8"/>
      <c r="D23" s="9"/>
      <c r="E23" s="58"/>
      <c r="F23" s="58"/>
      <c r="G23" s="8"/>
      <c r="H23" s="8"/>
      <c r="I23" s="53"/>
      <c r="J23" s="8"/>
    </row>
    <row r="24" spans="1:10" s="3" customFormat="1" x14ac:dyDescent="0.2">
      <c r="A24" s="8"/>
      <c r="B24" s="8"/>
      <c r="C24" s="8"/>
      <c r="D24" s="9"/>
      <c r="E24" s="58"/>
      <c r="F24" s="58"/>
      <c r="G24" s="8"/>
      <c r="H24" s="8"/>
      <c r="I24" s="53"/>
      <c r="J24" s="8"/>
    </row>
    <row r="25" spans="1:10" s="3" customFormat="1" x14ac:dyDescent="0.2">
      <c r="A25" s="8"/>
      <c r="B25" s="8"/>
      <c r="C25" s="8"/>
      <c r="D25" s="9"/>
      <c r="E25" s="58"/>
      <c r="F25" s="58"/>
      <c r="G25" s="8"/>
      <c r="H25" s="8"/>
      <c r="I25" s="53"/>
      <c r="J25" s="8"/>
    </row>
    <row r="26" spans="1:10" s="3" customFormat="1" x14ac:dyDescent="0.2">
      <c r="A26" s="8"/>
      <c r="B26" s="8"/>
      <c r="C26" s="8"/>
      <c r="D26" s="9"/>
      <c r="E26" s="58"/>
      <c r="F26" s="58"/>
      <c r="G26" s="8"/>
      <c r="H26" s="8"/>
      <c r="I26" s="53"/>
      <c r="J26" s="8"/>
    </row>
    <row r="27" spans="1:10" s="3" customFormat="1" x14ac:dyDescent="0.2">
      <c r="A27" s="8"/>
      <c r="B27" s="8"/>
      <c r="C27" s="8"/>
      <c r="D27" s="9"/>
      <c r="E27" s="58"/>
      <c r="F27" s="58"/>
      <c r="G27" s="8"/>
      <c r="H27" s="8"/>
      <c r="I27" s="53"/>
      <c r="J27" s="8"/>
    </row>
    <row r="28" spans="1:10" s="3" customFormat="1" x14ac:dyDescent="0.2">
      <c r="A28" s="8"/>
      <c r="B28" s="8"/>
      <c r="C28" s="8"/>
      <c r="D28" s="9"/>
      <c r="E28" s="58"/>
      <c r="F28" s="58"/>
      <c r="G28" s="8"/>
      <c r="H28" s="8"/>
      <c r="I28" s="53"/>
      <c r="J28" s="8"/>
    </row>
    <row r="29" spans="1:10" s="3" customFormat="1" x14ac:dyDescent="0.2">
      <c r="A29" s="8"/>
      <c r="B29" s="8"/>
      <c r="C29" s="8"/>
      <c r="D29" s="9"/>
      <c r="E29" s="58"/>
      <c r="F29" s="58"/>
      <c r="G29" s="8"/>
      <c r="H29" s="8"/>
      <c r="I29" s="53"/>
      <c r="J29" s="8"/>
    </row>
    <row r="30" spans="1:10" s="3" customFormat="1" x14ac:dyDescent="0.2">
      <c r="A30" s="8"/>
      <c r="B30" s="8"/>
      <c r="C30" s="8"/>
      <c r="D30" s="9"/>
      <c r="E30" s="58"/>
      <c r="F30" s="58"/>
      <c r="G30" s="8"/>
      <c r="H30" s="8"/>
      <c r="I30" s="53"/>
      <c r="J30" s="8"/>
    </row>
    <row r="31" spans="1:10" s="3" customFormat="1" x14ac:dyDescent="0.2">
      <c r="A31" s="8"/>
      <c r="B31" s="8"/>
      <c r="C31" s="8"/>
      <c r="D31" s="9"/>
      <c r="E31" s="58"/>
      <c r="F31" s="58"/>
      <c r="G31" s="8"/>
      <c r="H31" s="8"/>
      <c r="I31" s="53"/>
      <c r="J31" s="8"/>
    </row>
    <row r="32" spans="1:10" s="3" customFormat="1" x14ac:dyDescent="0.2">
      <c r="A32" s="8"/>
      <c r="B32" s="8"/>
      <c r="C32" s="8"/>
      <c r="D32" s="9"/>
      <c r="E32" s="58"/>
      <c r="F32" s="58"/>
      <c r="G32" s="8"/>
      <c r="H32" s="8"/>
      <c r="I32" s="53"/>
      <c r="J32" s="8"/>
    </row>
    <row r="33" spans="1:10" s="3" customFormat="1" x14ac:dyDescent="0.2">
      <c r="A33" s="8"/>
      <c r="B33" s="8"/>
      <c r="C33" s="8"/>
      <c r="D33" s="9"/>
      <c r="E33" s="58"/>
      <c r="F33" s="58"/>
      <c r="G33" s="8"/>
      <c r="H33" s="8"/>
      <c r="I33" s="53"/>
      <c r="J33" s="8"/>
    </row>
    <row r="34" spans="1:10" s="3" customFormat="1" x14ac:dyDescent="0.2">
      <c r="A34" s="8"/>
      <c r="B34" s="8"/>
      <c r="C34" s="8"/>
      <c r="D34" s="9"/>
      <c r="E34" s="58"/>
      <c r="F34" s="58"/>
      <c r="G34" s="8"/>
      <c r="H34" s="8"/>
      <c r="I34" s="53"/>
      <c r="J34" s="8"/>
    </row>
    <row r="35" spans="1:10" s="3" customFormat="1" x14ac:dyDescent="0.2">
      <c r="A35" s="8"/>
      <c r="B35" s="8"/>
      <c r="C35" s="8"/>
      <c r="D35" s="9"/>
      <c r="E35" s="58"/>
      <c r="F35" s="58"/>
      <c r="G35" s="8"/>
      <c r="H35" s="8"/>
      <c r="I35" s="53"/>
      <c r="J35" s="8"/>
    </row>
    <row r="36" spans="1:10" s="3" customFormat="1" x14ac:dyDescent="0.2">
      <c r="A36" s="8"/>
      <c r="B36" s="8"/>
      <c r="C36" s="8"/>
      <c r="D36" s="9"/>
      <c r="E36" s="58"/>
      <c r="F36" s="58"/>
      <c r="G36" s="8"/>
      <c r="H36" s="8"/>
      <c r="I36" s="53"/>
      <c r="J36" s="8"/>
    </row>
    <row r="37" spans="1:10" s="3" customFormat="1" x14ac:dyDescent="0.2">
      <c r="A37" s="8"/>
      <c r="B37" s="8"/>
      <c r="C37" s="8"/>
      <c r="D37" s="9"/>
      <c r="E37" s="58"/>
      <c r="F37" s="58"/>
      <c r="G37" s="8"/>
      <c r="H37" s="8"/>
      <c r="I37" s="53"/>
      <c r="J37" s="8"/>
    </row>
    <row r="38" spans="1:10" s="3" customFormat="1" x14ac:dyDescent="0.2">
      <c r="A38" s="8"/>
      <c r="B38" s="8"/>
      <c r="C38" s="8"/>
      <c r="D38" s="9"/>
      <c r="E38" s="58"/>
      <c r="F38" s="58"/>
      <c r="G38" s="8"/>
      <c r="H38" s="8"/>
      <c r="I38" s="53"/>
      <c r="J38" s="8"/>
    </row>
    <row r="39" spans="1:10" s="3" customFormat="1" x14ac:dyDescent="0.2">
      <c r="A39" s="8"/>
      <c r="B39" s="8"/>
      <c r="C39" s="8"/>
      <c r="D39" s="9"/>
      <c r="E39" s="58"/>
      <c r="F39" s="58"/>
      <c r="G39" s="8"/>
      <c r="H39" s="8"/>
      <c r="I39" s="53"/>
      <c r="J39" s="8"/>
    </row>
    <row r="40" spans="1:10" s="3" customFormat="1" x14ac:dyDescent="0.2">
      <c r="A40" s="8"/>
      <c r="B40" s="8"/>
      <c r="C40" s="8"/>
      <c r="D40" s="9"/>
      <c r="E40" s="58"/>
      <c r="F40" s="58"/>
      <c r="G40" s="8"/>
      <c r="H40" s="8"/>
      <c r="I40" s="53"/>
      <c r="J40" s="8"/>
    </row>
    <row r="41" spans="1:10" s="3" customFormat="1" x14ac:dyDescent="0.2">
      <c r="A41" s="8"/>
      <c r="B41" s="8"/>
      <c r="C41" s="8"/>
      <c r="D41" s="9"/>
      <c r="E41" s="148"/>
      <c r="F41" s="8"/>
      <c r="G41" s="8"/>
      <c r="H41" s="8"/>
      <c r="I41" s="53"/>
      <c r="J41" s="8"/>
    </row>
    <row r="42" spans="1:10" s="3" customFormat="1" x14ac:dyDescent="0.2">
      <c r="A42" s="8"/>
      <c r="B42" s="8"/>
      <c r="C42" s="8"/>
      <c r="D42" s="9"/>
      <c r="E42" s="148"/>
      <c r="F42" s="8"/>
      <c r="G42" s="8"/>
      <c r="H42" s="8"/>
      <c r="I42" s="53"/>
      <c r="J42" s="8"/>
    </row>
    <row r="43" spans="1:10" s="3" customFormat="1" x14ac:dyDescent="0.2">
      <c r="A43" s="8"/>
      <c r="B43" s="8"/>
      <c r="C43" s="8"/>
      <c r="D43" s="9"/>
      <c r="E43" s="148"/>
      <c r="F43" s="8"/>
      <c r="G43" s="8"/>
      <c r="H43" s="8"/>
      <c r="I43" s="53"/>
      <c r="J43" s="8"/>
    </row>
    <row r="44" spans="1:10" x14ac:dyDescent="0.2">
      <c r="A44" s="6"/>
      <c r="B44" s="6"/>
      <c r="C44" s="6"/>
      <c r="D44" s="6"/>
      <c r="E44" s="10"/>
      <c r="F44" s="10"/>
      <c r="G44" s="6"/>
      <c r="H44" s="6"/>
      <c r="I44" s="6"/>
      <c r="J44" s="6"/>
    </row>
    <row r="45" spans="1:10" x14ac:dyDescent="0.2">
      <c r="A45" s="6"/>
      <c r="B45" s="6"/>
      <c r="C45" s="6"/>
      <c r="D45" s="6"/>
      <c r="E45" s="10"/>
      <c r="F45" s="10"/>
      <c r="G45" s="6"/>
      <c r="H45" s="6"/>
      <c r="I45" s="6"/>
      <c r="J45" s="6"/>
    </row>
    <row r="46" spans="1:10" x14ac:dyDescent="0.2">
      <c r="A46" s="6"/>
      <c r="B46" s="6"/>
      <c r="C46" s="6"/>
      <c r="D46" s="6"/>
      <c r="E46" s="10"/>
      <c r="F46" s="10"/>
      <c r="G46" s="6"/>
      <c r="H46" s="6"/>
      <c r="I46" s="6"/>
      <c r="J46" s="6"/>
    </row>
    <row r="47" spans="1:10" x14ac:dyDescent="0.2">
      <c r="A47" s="6"/>
      <c r="B47" s="6"/>
      <c r="C47" s="6"/>
      <c r="D47" s="6"/>
      <c r="E47" s="10"/>
      <c r="F47" s="10"/>
      <c r="G47" s="6"/>
      <c r="H47" s="6"/>
      <c r="I47" s="6"/>
      <c r="J47" s="6"/>
    </row>
    <row r="48" spans="1:10" x14ac:dyDescent="0.2">
      <c r="A48" s="6"/>
      <c r="B48" s="6"/>
      <c r="C48" s="6"/>
      <c r="D48" s="6"/>
      <c r="E48" s="10"/>
      <c r="F48" s="10"/>
      <c r="G48" s="6"/>
      <c r="H48" s="6"/>
      <c r="I48" s="6"/>
      <c r="J48" s="6"/>
    </row>
    <row r="49" spans="1:10" x14ac:dyDescent="0.2">
      <c r="A49" s="6"/>
      <c r="B49" s="6"/>
      <c r="C49" s="6"/>
      <c r="D49" s="6"/>
      <c r="E49" s="10"/>
      <c r="F49" s="10"/>
      <c r="G49" s="6"/>
      <c r="H49" s="6"/>
      <c r="I49" s="6"/>
      <c r="J49" s="6"/>
    </row>
    <row r="50" spans="1:10" x14ac:dyDescent="0.2">
      <c r="A50" s="6"/>
      <c r="B50" s="6"/>
      <c r="C50" s="6"/>
      <c r="D50" s="6"/>
      <c r="E50" s="10"/>
      <c r="F50" s="10"/>
      <c r="G50" s="6"/>
      <c r="H50" s="6"/>
      <c r="I50" s="6"/>
      <c r="J50" s="6"/>
    </row>
    <row r="51" spans="1:10" x14ac:dyDescent="0.2">
      <c r="A51" s="6"/>
      <c r="B51" s="6"/>
      <c r="C51" s="6"/>
      <c r="D51" s="6"/>
      <c r="E51" s="10"/>
      <c r="F51" s="10"/>
      <c r="G51" s="6"/>
      <c r="H51" s="6"/>
      <c r="I51" s="6"/>
      <c r="J51" s="6"/>
    </row>
    <row r="52" spans="1:10" x14ac:dyDescent="0.2">
      <c r="A52" s="6"/>
      <c r="B52" s="6"/>
      <c r="C52" s="6"/>
      <c r="D52" s="6"/>
      <c r="E52" s="10"/>
      <c r="F52" s="10"/>
      <c r="G52" s="6"/>
      <c r="H52" s="6"/>
      <c r="I52" s="6"/>
      <c r="J52" s="6"/>
    </row>
    <row r="53" spans="1:10" ht="12" customHeight="1" x14ac:dyDescent="0.2">
      <c r="A53" s="6"/>
      <c r="B53" s="6"/>
      <c r="C53" s="6"/>
      <c r="D53" s="6"/>
      <c r="E53" s="10"/>
      <c r="F53" s="10"/>
      <c r="G53" s="6"/>
      <c r="H53" s="6"/>
      <c r="I53" s="6"/>
      <c r="J53" s="6"/>
    </row>
    <row r="54" spans="1:10" x14ac:dyDescent="0.2">
      <c r="A54" s="6"/>
      <c r="B54" s="6"/>
      <c r="C54" s="6"/>
      <c r="D54" s="6"/>
      <c r="E54" s="10"/>
      <c r="F54" s="10"/>
      <c r="G54" s="6"/>
      <c r="H54" s="6"/>
      <c r="I54" s="6"/>
      <c r="J54" s="6"/>
    </row>
    <row r="55" spans="1:10" x14ac:dyDescent="0.2">
      <c r="A55" s="6"/>
      <c r="B55" s="6"/>
      <c r="C55" s="6"/>
      <c r="D55" s="6"/>
      <c r="E55" s="10"/>
      <c r="F55" s="10"/>
      <c r="G55" s="6"/>
      <c r="H55" s="6"/>
      <c r="I55" s="6"/>
      <c r="J55" s="6"/>
    </row>
    <row r="56" spans="1:10" x14ac:dyDescent="0.2">
      <c r="A56" s="6"/>
      <c r="B56" s="6"/>
      <c r="C56" s="6"/>
      <c r="D56" s="6"/>
      <c r="E56" s="10"/>
      <c r="F56" s="10"/>
      <c r="G56" s="6"/>
      <c r="H56" s="6"/>
      <c r="I56" s="6"/>
      <c r="J56" s="6"/>
    </row>
    <row r="57" spans="1:10" x14ac:dyDescent="0.2">
      <c r="A57" s="6"/>
      <c r="B57" s="6"/>
      <c r="C57" s="6"/>
      <c r="D57" s="6"/>
      <c r="E57" s="10"/>
      <c r="F57" s="10"/>
      <c r="G57" s="6"/>
      <c r="H57" s="6"/>
      <c r="I57" s="6"/>
      <c r="J57" s="6"/>
    </row>
    <row r="58" spans="1:10" x14ac:dyDescent="0.2">
      <c r="A58" s="8"/>
      <c r="B58" s="6"/>
      <c r="C58" s="6"/>
      <c r="D58" s="8"/>
      <c r="E58" s="10"/>
      <c r="F58" s="10"/>
      <c r="G58" s="6"/>
      <c r="H58" s="6"/>
      <c r="I58" s="6"/>
      <c r="J58" s="6"/>
    </row>
    <row r="59" spans="1:10" x14ac:dyDescent="0.2">
      <c r="A59" s="6"/>
      <c r="B59" s="6"/>
      <c r="C59" s="6"/>
      <c r="D59" s="6"/>
      <c r="E59" s="10"/>
      <c r="F59" s="10"/>
      <c r="G59" s="6"/>
      <c r="H59" s="6"/>
      <c r="I59" s="6"/>
      <c r="J59" s="6"/>
    </row>
    <row r="60" spans="1:10" x14ac:dyDescent="0.2">
      <c r="A60" s="6"/>
      <c r="B60" s="6"/>
      <c r="C60" s="6"/>
      <c r="D60" s="6"/>
      <c r="E60" s="10"/>
      <c r="F60" s="10"/>
      <c r="G60" s="6"/>
      <c r="H60" s="6"/>
      <c r="I60" s="6"/>
      <c r="J60" s="6"/>
    </row>
    <row r="61" spans="1:10" x14ac:dyDescent="0.2">
      <c r="A61" s="6"/>
      <c r="B61" s="6"/>
      <c r="C61" s="6"/>
      <c r="D61" s="6"/>
      <c r="E61" s="10"/>
      <c r="F61" s="10"/>
      <c r="G61" s="6"/>
      <c r="H61" s="6"/>
      <c r="I61" s="6"/>
      <c r="J61" s="6"/>
    </row>
    <row r="62" spans="1:10" x14ac:dyDescent="0.2">
      <c r="A62" s="6"/>
      <c r="B62" s="6"/>
      <c r="C62" s="6"/>
      <c r="D62" s="6"/>
      <c r="E62" s="6"/>
      <c r="F62" s="6"/>
      <c r="G62" s="6"/>
      <c r="H62" s="6"/>
      <c r="I62" s="6"/>
      <c r="J62" s="6"/>
    </row>
    <row r="63" spans="1:10" x14ac:dyDescent="0.2">
      <c r="A63" s="6"/>
      <c r="B63" s="6"/>
      <c r="C63" s="6"/>
      <c r="D63" s="6"/>
      <c r="E63" s="6"/>
      <c r="F63" s="6"/>
      <c r="G63" s="6"/>
      <c r="H63" s="6"/>
      <c r="I63" s="6"/>
      <c r="J63" s="6"/>
    </row>
    <row r="64" spans="1:10" x14ac:dyDescent="0.2">
      <c r="A64" s="6"/>
      <c r="B64" s="6"/>
      <c r="C64" s="6"/>
      <c r="D64" s="6"/>
      <c r="E64" s="6"/>
      <c r="F64" s="6"/>
      <c r="G64" s="6"/>
      <c r="H64" s="6"/>
      <c r="I64" s="6"/>
      <c r="J64" s="6"/>
    </row>
    <row r="65" spans="1:10" s="3" customFormat="1" x14ac:dyDescent="0.2">
      <c r="A65" s="8"/>
      <c r="B65" s="8"/>
      <c r="C65" s="8"/>
      <c r="D65" s="9"/>
      <c r="E65" s="58"/>
      <c r="F65" s="58"/>
      <c r="G65" s="8"/>
      <c r="H65" s="8"/>
      <c r="I65" s="53"/>
      <c r="J65" s="8"/>
    </row>
    <row r="66" spans="1:10" x14ac:dyDescent="0.2">
      <c r="A66" s="8"/>
      <c r="B66" s="1"/>
      <c r="D66" s="1"/>
      <c r="E66" s="4"/>
      <c r="F66" s="4"/>
    </row>
  </sheetData>
  <mergeCells count="1">
    <mergeCell ref="I3:I4"/>
  </mergeCells>
  <pageMargins left="0.7" right="0.7" top="0.75" bottom="0.75" header="0.3" footer="0.3"/>
  <pageSetup scale="87" fitToHeight="6" orientation="landscape" horizontalDpi="300" r:id="rId1"/>
  <headerFooter>
    <oddFooter>&amp;R&amp;D</odd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0" tint="-0.34998626667073579"/>
    <pageSetUpPr fitToPage="1"/>
  </sheetPr>
  <dimension ref="A1:K137"/>
  <sheetViews>
    <sheetView workbookViewId="0"/>
  </sheetViews>
  <sheetFormatPr defaultRowHeight="12.75" x14ac:dyDescent="0.2"/>
  <cols>
    <col min="1" max="2" width="19.28515625" customWidth="1"/>
    <col min="3" max="3" width="17" customWidth="1"/>
    <col min="4" max="4" width="6.5703125" customWidth="1"/>
    <col min="5" max="5" width="25.5703125" bestFit="1" customWidth="1"/>
    <col min="6" max="6" width="12.7109375" customWidth="1"/>
    <col min="7" max="7" width="11.5703125" customWidth="1"/>
    <col min="8" max="8" width="11" customWidth="1"/>
    <col min="9" max="9" width="10.85546875" customWidth="1"/>
    <col min="10" max="10" width="12.7109375" customWidth="1"/>
    <col min="11" max="11" width="13.85546875" customWidth="1"/>
  </cols>
  <sheetData>
    <row r="1" spans="1:11" ht="15" x14ac:dyDescent="0.2">
      <c r="A1" s="5" t="s">
        <v>170</v>
      </c>
      <c r="B1" s="5"/>
      <c r="C1" s="6"/>
      <c r="D1" s="6"/>
      <c r="E1" s="6"/>
      <c r="F1" s="6"/>
      <c r="G1" s="6"/>
      <c r="H1" s="6"/>
      <c r="I1" s="6"/>
      <c r="J1" s="6"/>
      <c r="K1" s="6"/>
    </row>
    <row r="2" spans="1:1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2">
      <c r="A3" s="6"/>
      <c r="B3" s="6"/>
      <c r="C3" s="6"/>
      <c r="D3" s="6"/>
      <c r="E3" s="6"/>
      <c r="F3" s="6"/>
      <c r="G3" s="6"/>
      <c r="H3" s="6"/>
      <c r="I3" s="6"/>
      <c r="J3" s="164" t="s">
        <v>96</v>
      </c>
      <c r="K3" s="6"/>
    </row>
    <row r="4" spans="1:11" s="3" customFormat="1" ht="15" x14ac:dyDescent="0.35">
      <c r="A4" s="33" t="s">
        <v>0</v>
      </c>
      <c r="B4" s="33" t="s">
        <v>606</v>
      </c>
      <c r="C4" s="33" t="s">
        <v>101</v>
      </c>
      <c r="D4" s="33" t="s">
        <v>2</v>
      </c>
      <c r="E4" s="34" t="s">
        <v>3</v>
      </c>
      <c r="F4" s="35" t="s">
        <v>4</v>
      </c>
      <c r="G4" s="33" t="s">
        <v>5</v>
      </c>
      <c r="H4" s="36" t="s">
        <v>95</v>
      </c>
      <c r="I4" s="36" t="s">
        <v>92</v>
      </c>
      <c r="J4" s="164"/>
      <c r="K4" s="36" t="s">
        <v>94</v>
      </c>
    </row>
    <row r="5" spans="1:11" x14ac:dyDescent="0.2">
      <c r="A5" s="6" t="s">
        <v>170</v>
      </c>
      <c r="B5" s="6"/>
      <c r="C5" s="6"/>
      <c r="D5" s="6">
        <v>99</v>
      </c>
      <c r="E5" s="6" t="s">
        <v>690</v>
      </c>
      <c r="F5" s="10"/>
      <c r="G5" s="10"/>
      <c r="H5" s="6"/>
      <c r="I5" s="6"/>
      <c r="J5" s="6"/>
      <c r="K5" s="6"/>
    </row>
    <row r="6" spans="1:11" x14ac:dyDescent="0.2">
      <c r="A6" s="19"/>
      <c r="B6" s="19"/>
      <c r="C6" s="19"/>
      <c r="D6" s="19"/>
      <c r="E6" s="19"/>
      <c r="F6" s="29"/>
      <c r="G6" s="29"/>
      <c r="H6" s="19"/>
      <c r="I6" s="19"/>
      <c r="J6" s="19"/>
      <c r="K6" s="19"/>
    </row>
    <row r="7" spans="1:11" x14ac:dyDescent="0.2">
      <c r="A7" s="6" t="s">
        <v>691</v>
      </c>
      <c r="B7" s="6"/>
      <c r="C7" s="6" t="s">
        <v>693</v>
      </c>
      <c r="D7" s="6">
        <v>65</v>
      </c>
      <c r="E7" s="6" t="s">
        <v>694</v>
      </c>
      <c r="F7" s="10">
        <v>44150</v>
      </c>
      <c r="G7" s="10">
        <v>44362</v>
      </c>
      <c r="H7" s="6"/>
      <c r="I7" s="6"/>
      <c r="J7" s="6"/>
      <c r="K7" s="6"/>
    </row>
    <row r="8" spans="1:11" x14ac:dyDescent="0.2">
      <c r="A8" s="6" t="s">
        <v>692</v>
      </c>
      <c r="B8" s="6"/>
      <c r="C8" s="6"/>
      <c r="D8" s="6"/>
      <c r="E8" s="6"/>
      <c r="F8" s="10"/>
      <c r="G8" s="10"/>
      <c r="H8" s="6"/>
      <c r="I8" s="6"/>
      <c r="J8" s="6"/>
      <c r="K8" s="6"/>
    </row>
    <row r="9" spans="1:11" x14ac:dyDescent="0.2">
      <c r="A9" s="19"/>
      <c r="B9" s="19"/>
      <c r="C9" s="19"/>
      <c r="D9" s="19"/>
      <c r="E9" s="19"/>
      <c r="F9" s="29"/>
      <c r="G9" s="29"/>
      <c r="H9" s="19"/>
      <c r="I9" s="19"/>
      <c r="J9" s="19"/>
      <c r="K9" s="19"/>
    </row>
    <row r="10" spans="1:11" x14ac:dyDescent="0.2">
      <c r="A10" s="6" t="s">
        <v>695</v>
      </c>
      <c r="B10" s="6"/>
      <c r="C10" s="6" t="s">
        <v>920</v>
      </c>
      <c r="D10" s="6">
        <v>75</v>
      </c>
      <c r="E10" s="6" t="s">
        <v>694</v>
      </c>
      <c r="F10" s="10">
        <v>44368</v>
      </c>
      <c r="G10" s="10">
        <v>44551</v>
      </c>
      <c r="H10" s="6"/>
      <c r="I10" s="6"/>
      <c r="J10" s="6"/>
      <c r="K10" s="6"/>
    </row>
    <row r="11" spans="1:11" x14ac:dyDescent="0.2">
      <c r="A11" s="6"/>
      <c r="B11" s="6"/>
      <c r="C11" s="6"/>
      <c r="D11" s="6"/>
      <c r="E11" s="6"/>
      <c r="F11" s="10"/>
      <c r="G11" s="10"/>
      <c r="H11" s="6"/>
      <c r="I11" s="6"/>
      <c r="J11" s="6"/>
      <c r="K11" s="6"/>
    </row>
    <row r="12" spans="1:11" x14ac:dyDescent="0.2">
      <c r="A12" s="19"/>
      <c r="B12" s="19"/>
      <c r="C12" s="19"/>
      <c r="D12" s="19"/>
      <c r="E12" s="19"/>
      <c r="F12" s="29"/>
      <c r="G12" s="29"/>
      <c r="H12" s="19"/>
      <c r="I12" s="19"/>
      <c r="J12" s="19"/>
      <c r="K12" s="19"/>
    </row>
    <row r="13" spans="1:11" x14ac:dyDescent="0.2">
      <c r="A13" s="6" t="s">
        <v>695</v>
      </c>
      <c r="B13" s="6" t="s">
        <v>1042</v>
      </c>
      <c r="C13" s="6" t="s">
        <v>696</v>
      </c>
      <c r="D13" s="6">
        <v>38</v>
      </c>
      <c r="E13" s="6" t="s">
        <v>694</v>
      </c>
      <c r="F13" s="10">
        <v>44180</v>
      </c>
      <c r="G13" s="10">
        <v>44362</v>
      </c>
      <c r="H13" s="6"/>
      <c r="I13" s="6"/>
      <c r="J13" s="6"/>
      <c r="K13" s="6"/>
    </row>
    <row r="14" spans="1:11" x14ac:dyDescent="0.2">
      <c r="A14" s="19"/>
      <c r="B14" s="19" t="s">
        <v>1043</v>
      </c>
      <c r="C14" s="19"/>
      <c r="D14" s="19"/>
      <c r="E14" s="19"/>
      <c r="F14" s="29"/>
      <c r="G14" s="29"/>
      <c r="H14" s="19"/>
      <c r="I14" s="19"/>
      <c r="J14" s="19"/>
      <c r="K14" s="19"/>
    </row>
    <row r="15" spans="1:11" x14ac:dyDescent="0.2">
      <c r="A15" s="6" t="s">
        <v>697</v>
      </c>
      <c r="B15" s="6" t="s">
        <v>1049</v>
      </c>
      <c r="C15" s="6" t="s">
        <v>698</v>
      </c>
      <c r="D15" s="6">
        <v>150</v>
      </c>
      <c r="E15" s="6" t="s">
        <v>694</v>
      </c>
      <c r="F15" s="10">
        <v>44195</v>
      </c>
      <c r="G15" s="10">
        <v>44377</v>
      </c>
      <c r="H15" s="6" t="s">
        <v>1051</v>
      </c>
      <c r="I15" s="6"/>
      <c r="J15" s="6"/>
      <c r="K15" s="6"/>
    </row>
    <row r="16" spans="1:11" x14ac:dyDescent="0.2">
      <c r="A16" s="19"/>
      <c r="B16" s="19" t="s">
        <v>1050</v>
      </c>
      <c r="C16" s="47"/>
      <c r="D16" s="19"/>
      <c r="E16" s="19"/>
      <c r="F16" s="29"/>
      <c r="G16" s="29"/>
      <c r="H16" s="19"/>
      <c r="I16" s="19"/>
      <c r="J16" s="19"/>
      <c r="K16" s="19"/>
    </row>
    <row r="17" spans="1:11" x14ac:dyDescent="0.2">
      <c r="A17" s="6" t="s">
        <v>324</v>
      </c>
      <c r="B17" s="6"/>
      <c r="C17" s="6" t="s">
        <v>739</v>
      </c>
      <c r="D17" s="6">
        <v>5550</v>
      </c>
      <c r="E17" s="6" t="s">
        <v>682</v>
      </c>
      <c r="F17" s="10">
        <v>44256</v>
      </c>
      <c r="G17" s="10">
        <v>44409</v>
      </c>
      <c r="H17" s="6"/>
      <c r="I17" s="6"/>
      <c r="J17" s="6"/>
      <c r="K17" s="6"/>
    </row>
    <row r="18" spans="1:11" x14ac:dyDescent="0.2">
      <c r="A18" s="6"/>
      <c r="B18" s="6"/>
      <c r="C18" s="6"/>
      <c r="D18" s="6">
        <v>66</v>
      </c>
      <c r="E18" s="6" t="s">
        <v>83</v>
      </c>
      <c r="F18" s="10">
        <v>44256</v>
      </c>
      <c r="G18" s="10">
        <v>44409</v>
      </c>
      <c r="H18" s="6"/>
      <c r="I18" s="6"/>
      <c r="J18" s="6"/>
      <c r="K18" s="6"/>
    </row>
    <row r="19" spans="1:11" x14ac:dyDescent="0.2">
      <c r="A19" s="6"/>
      <c r="B19" s="6"/>
      <c r="C19" s="6"/>
      <c r="D19" s="6">
        <v>132</v>
      </c>
      <c r="E19" s="6" t="s">
        <v>71</v>
      </c>
      <c r="F19" s="10">
        <v>44256</v>
      </c>
      <c r="G19" s="10">
        <v>44409</v>
      </c>
      <c r="H19" s="6"/>
      <c r="I19" s="6"/>
      <c r="J19" s="6"/>
      <c r="K19" s="6"/>
    </row>
    <row r="20" spans="1:11" x14ac:dyDescent="0.2">
      <c r="A20" s="6"/>
      <c r="B20" s="6"/>
      <c r="C20" s="6"/>
      <c r="D20" s="6">
        <v>66</v>
      </c>
      <c r="E20" s="6" t="s">
        <v>444</v>
      </c>
      <c r="F20" s="10">
        <v>44256</v>
      </c>
      <c r="G20" s="10">
        <v>44409</v>
      </c>
      <c r="H20" s="6"/>
      <c r="I20" s="6"/>
      <c r="J20" s="6"/>
      <c r="K20" s="6"/>
    </row>
    <row r="21" spans="1:11" x14ac:dyDescent="0.2">
      <c r="A21" s="19"/>
      <c r="B21" s="19"/>
      <c r="C21" s="19"/>
      <c r="D21" s="19"/>
      <c r="E21" s="19"/>
      <c r="F21" s="29"/>
      <c r="G21" s="29"/>
      <c r="H21" s="19"/>
      <c r="I21" s="19"/>
      <c r="J21" s="19"/>
      <c r="K21" s="19"/>
    </row>
    <row r="22" spans="1:11" x14ac:dyDescent="0.2">
      <c r="A22" s="6" t="s">
        <v>775</v>
      </c>
      <c r="B22" s="6"/>
      <c r="C22" s="6" t="s">
        <v>776</v>
      </c>
      <c r="D22" s="6">
        <v>2800</v>
      </c>
      <c r="E22" s="6" t="s">
        <v>777</v>
      </c>
      <c r="F22" s="10">
        <v>44252</v>
      </c>
      <c r="G22" s="10">
        <v>44402</v>
      </c>
      <c r="H22" s="6"/>
      <c r="I22" s="6"/>
      <c r="J22" s="6"/>
      <c r="K22" s="6"/>
    </row>
    <row r="23" spans="1:11" x14ac:dyDescent="0.2">
      <c r="A23" s="6"/>
      <c r="B23" s="6"/>
      <c r="C23" s="6"/>
      <c r="D23" s="6">
        <v>64</v>
      </c>
      <c r="E23" s="6" t="s">
        <v>672</v>
      </c>
      <c r="F23" s="10">
        <v>44252</v>
      </c>
      <c r="G23" s="10">
        <v>44402</v>
      </c>
      <c r="H23" s="6"/>
      <c r="I23" s="6"/>
      <c r="J23" s="6"/>
      <c r="K23" s="6"/>
    </row>
    <row r="24" spans="1:11" x14ac:dyDescent="0.2">
      <c r="A24" s="6"/>
      <c r="B24" s="6"/>
      <c r="C24" s="8"/>
      <c r="D24" s="6">
        <v>64</v>
      </c>
      <c r="E24" s="6" t="s">
        <v>82</v>
      </c>
      <c r="F24" s="10">
        <v>44252</v>
      </c>
      <c r="G24" s="10">
        <v>44402</v>
      </c>
      <c r="H24" s="6"/>
      <c r="I24" s="6"/>
      <c r="J24" s="6"/>
      <c r="K24" s="6"/>
    </row>
    <row r="25" spans="1:11" x14ac:dyDescent="0.2">
      <c r="A25" s="6"/>
      <c r="B25" s="6"/>
      <c r="C25" s="6"/>
      <c r="D25" s="6">
        <v>64</v>
      </c>
      <c r="E25" s="6" t="s">
        <v>71</v>
      </c>
      <c r="F25" s="10">
        <v>44252</v>
      </c>
      <c r="G25" s="10">
        <v>44402</v>
      </c>
      <c r="H25" s="6"/>
      <c r="I25" s="6"/>
      <c r="J25" s="6"/>
      <c r="K25" s="6"/>
    </row>
    <row r="26" spans="1:11" x14ac:dyDescent="0.2">
      <c r="A26" s="6"/>
      <c r="B26" s="6"/>
      <c r="C26" s="6"/>
      <c r="D26" s="6">
        <v>128</v>
      </c>
      <c r="E26" s="6" t="s">
        <v>444</v>
      </c>
      <c r="F26" s="10">
        <v>44252</v>
      </c>
      <c r="G26" s="10">
        <v>44402</v>
      </c>
      <c r="H26" s="6"/>
      <c r="I26" s="6"/>
      <c r="J26" s="6"/>
      <c r="K26" s="6"/>
    </row>
    <row r="27" spans="1:11" x14ac:dyDescent="0.2">
      <c r="A27" s="6"/>
      <c r="B27" s="6"/>
      <c r="C27" s="6"/>
      <c r="D27" s="6">
        <v>1</v>
      </c>
      <c r="E27" s="6" t="s">
        <v>19</v>
      </c>
      <c r="F27" s="10">
        <v>44252</v>
      </c>
      <c r="G27" s="10">
        <v>44402</v>
      </c>
      <c r="H27" s="6"/>
      <c r="I27" s="6"/>
      <c r="J27" s="6"/>
      <c r="K27" s="6"/>
    </row>
    <row r="28" spans="1:11" x14ac:dyDescent="0.2">
      <c r="A28" s="6"/>
      <c r="B28" s="6"/>
      <c r="C28" s="6"/>
      <c r="D28" s="6">
        <v>2</v>
      </c>
      <c r="E28" s="6" t="s">
        <v>10</v>
      </c>
      <c r="F28" s="10">
        <v>44252</v>
      </c>
      <c r="G28" s="10">
        <v>44402</v>
      </c>
      <c r="H28" s="6"/>
      <c r="I28" s="6"/>
      <c r="J28" s="6"/>
      <c r="K28" s="6"/>
    </row>
    <row r="29" spans="1:11" x14ac:dyDescent="0.2">
      <c r="A29" s="6"/>
      <c r="B29" s="6"/>
      <c r="C29" s="6"/>
      <c r="D29" s="6">
        <v>1</v>
      </c>
      <c r="E29" s="6" t="s">
        <v>248</v>
      </c>
      <c r="F29" s="10">
        <v>44252</v>
      </c>
      <c r="G29" s="10">
        <v>44402</v>
      </c>
      <c r="H29" s="6"/>
      <c r="I29" s="6"/>
      <c r="J29" s="6"/>
      <c r="K29" s="6"/>
    </row>
    <row r="30" spans="1:11" x14ac:dyDescent="0.2">
      <c r="A30" s="6"/>
      <c r="B30" s="6"/>
      <c r="C30" s="6"/>
      <c r="D30" s="6">
        <v>67</v>
      </c>
      <c r="E30" s="6" t="s">
        <v>89</v>
      </c>
      <c r="F30" s="10">
        <v>44252</v>
      </c>
      <c r="G30" s="10">
        <v>44402</v>
      </c>
      <c r="H30" s="6"/>
      <c r="I30" s="6"/>
      <c r="J30" s="6"/>
      <c r="K30" s="6"/>
    </row>
    <row r="31" spans="1:11" x14ac:dyDescent="0.2">
      <c r="A31" s="19"/>
      <c r="B31" s="19"/>
      <c r="C31" s="19"/>
      <c r="D31" s="19"/>
      <c r="E31" s="19"/>
      <c r="F31" s="29"/>
      <c r="G31" s="29"/>
      <c r="H31" s="19"/>
      <c r="I31" s="19"/>
      <c r="J31" s="19"/>
      <c r="K31" s="19"/>
    </row>
    <row r="32" spans="1:11" x14ac:dyDescent="0.2">
      <c r="A32" s="6" t="s">
        <v>778</v>
      </c>
      <c r="B32" s="6"/>
      <c r="C32" s="6" t="s">
        <v>779</v>
      </c>
      <c r="D32" s="6">
        <v>40</v>
      </c>
      <c r="E32" s="6" t="s">
        <v>694</v>
      </c>
      <c r="F32" s="10">
        <v>44211</v>
      </c>
      <c r="G32" s="10">
        <v>44392</v>
      </c>
      <c r="H32" s="6"/>
      <c r="I32" s="6"/>
      <c r="J32" s="6"/>
      <c r="K32" s="6"/>
    </row>
    <row r="33" spans="1:11" x14ac:dyDescent="0.2">
      <c r="A33" s="6"/>
      <c r="B33" s="6"/>
      <c r="C33" s="8"/>
      <c r="D33" s="6"/>
      <c r="E33" s="6"/>
      <c r="F33" s="10"/>
      <c r="G33" s="10"/>
      <c r="H33" s="6"/>
      <c r="I33" s="6"/>
      <c r="J33" s="6"/>
      <c r="K33" s="6"/>
    </row>
    <row r="34" spans="1:11" x14ac:dyDescent="0.2">
      <c r="A34" s="6"/>
      <c r="B34" s="6"/>
      <c r="C34" s="6"/>
      <c r="D34" s="6"/>
      <c r="E34" s="6"/>
      <c r="F34" s="10"/>
      <c r="G34" s="10"/>
      <c r="H34" s="6"/>
      <c r="I34" s="6"/>
      <c r="J34" s="6"/>
      <c r="K34" s="6"/>
    </row>
    <row r="35" spans="1:11" x14ac:dyDescent="0.2">
      <c r="A35" s="6"/>
      <c r="B35" s="6"/>
      <c r="C35" s="6"/>
      <c r="D35" s="6"/>
      <c r="E35" s="6"/>
      <c r="F35" s="10"/>
      <c r="G35" s="10"/>
      <c r="H35" s="6"/>
      <c r="I35" s="6"/>
      <c r="J35" s="6"/>
      <c r="K35" s="6"/>
    </row>
    <row r="36" spans="1:11" x14ac:dyDescent="0.2">
      <c r="A36" s="6"/>
      <c r="B36" s="6"/>
      <c r="C36" s="6"/>
      <c r="D36" s="6"/>
      <c r="E36" s="6"/>
      <c r="F36" s="10"/>
      <c r="G36" s="10"/>
      <c r="H36" s="6"/>
      <c r="I36" s="6"/>
      <c r="J36" s="6"/>
      <c r="K36" s="6"/>
    </row>
    <row r="37" spans="1:11" x14ac:dyDescent="0.2">
      <c r="A37" s="6"/>
      <c r="B37" s="6"/>
      <c r="C37" s="6"/>
      <c r="D37" s="6"/>
      <c r="E37" s="6"/>
      <c r="F37" s="10"/>
      <c r="G37" s="10"/>
      <c r="H37" s="6"/>
      <c r="I37" s="6"/>
      <c r="J37" s="6"/>
      <c r="K37" s="6"/>
    </row>
    <row r="38" spans="1:11" x14ac:dyDescent="0.2">
      <c r="A38" s="6"/>
      <c r="B38" s="6"/>
      <c r="C38" s="6"/>
      <c r="D38" s="6"/>
      <c r="E38" s="6"/>
      <c r="F38" s="10"/>
      <c r="G38" s="10"/>
      <c r="H38" s="6"/>
      <c r="I38" s="6"/>
      <c r="J38" s="6"/>
      <c r="K38" s="6"/>
    </row>
    <row r="39" spans="1:11" x14ac:dyDescent="0.2">
      <c r="A39" s="6"/>
      <c r="B39" s="6"/>
      <c r="C39" s="6"/>
      <c r="D39" s="6"/>
      <c r="E39" s="6"/>
      <c r="F39" s="10"/>
      <c r="G39" s="10"/>
      <c r="H39" s="6"/>
      <c r="I39" s="6"/>
      <c r="J39" s="6"/>
      <c r="K39" s="6"/>
    </row>
    <row r="40" spans="1:11" x14ac:dyDescent="0.2">
      <c r="A40" s="6"/>
      <c r="B40" s="6"/>
      <c r="C40" s="6"/>
      <c r="D40" s="6"/>
      <c r="E40" s="6"/>
      <c r="F40" s="10"/>
      <c r="G40" s="10"/>
      <c r="H40" s="6"/>
      <c r="I40" s="6"/>
      <c r="J40" s="6"/>
      <c r="K40" s="6"/>
    </row>
    <row r="41" spans="1:11" x14ac:dyDescent="0.2">
      <c r="A41" s="6"/>
      <c r="B41" s="6"/>
      <c r="C41" s="6"/>
      <c r="D41" s="6"/>
      <c r="E41" s="6"/>
      <c r="F41" s="10"/>
      <c r="G41" s="10"/>
      <c r="H41" s="6"/>
      <c r="I41" s="6"/>
      <c r="J41" s="6"/>
      <c r="K41" s="6"/>
    </row>
    <row r="42" spans="1:11" x14ac:dyDescent="0.2">
      <c r="A42" s="6"/>
      <c r="B42" s="6"/>
      <c r="C42" s="6"/>
      <c r="D42" s="6"/>
      <c r="E42" s="6"/>
      <c r="F42" s="10"/>
      <c r="G42" s="10"/>
      <c r="H42" s="6"/>
      <c r="I42" s="6"/>
      <c r="J42" s="6"/>
      <c r="K42" s="6"/>
    </row>
    <row r="43" spans="1:11" x14ac:dyDescent="0.2">
      <c r="A43" s="6"/>
      <c r="B43" s="6"/>
      <c r="C43" s="6"/>
      <c r="D43" s="6"/>
      <c r="E43" s="6"/>
      <c r="F43" s="10"/>
      <c r="G43" s="10"/>
      <c r="H43" s="6"/>
      <c r="I43" s="6"/>
      <c r="J43" s="6"/>
      <c r="K43" s="6"/>
    </row>
    <row r="44" spans="1:11" x14ac:dyDescent="0.2">
      <c r="A44" s="6"/>
      <c r="B44" s="6"/>
      <c r="C44" s="6"/>
      <c r="D44" s="6"/>
      <c r="E44" s="6"/>
      <c r="F44" s="10"/>
      <c r="G44" s="10"/>
      <c r="H44" s="6"/>
      <c r="I44" s="6"/>
      <c r="J44" s="6"/>
      <c r="K44" s="6"/>
    </row>
    <row r="45" spans="1:11" x14ac:dyDescent="0.2">
      <c r="A45" s="6"/>
      <c r="B45" s="6"/>
      <c r="C45" s="8"/>
      <c r="D45" s="6"/>
      <c r="E45" s="6"/>
      <c r="F45" s="10"/>
      <c r="G45" s="10"/>
      <c r="H45" s="6"/>
      <c r="I45" s="6"/>
      <c r="J45" s="6"/>
      <c r="K45" s="6"/>
    </row>
    <row r="46" spans="1:11" x14ac:dyDescent="0.2">
      <c r="A46" s="6"/>
      <c r="B46" s="6"/>
      <c r="C46" s="6"/>
      <c r="D46" s="6"/>
      <c r="E46" s="6"/>
      <c r="F46" s="10"/>
      <c r="G46" s="10"/>
      <c r="H46" s="6"/>
      <c r="I46" s="6"/>
      <c r="J46" s="6"/>
      <c r="K46" s="6"/>
    </row>
    <row r="47" spans="1:11" x14ac:dyDescent="0.2">
      <c r="A47" s="6"/>
      <c r="B47" s="6"/>
      <c r="C47" s="6"/>
      <c r="D47" s="6"/>
      <c r="E47" s="6"/>
      <c r="F47" s="10"/>
      <c r="G47" s="10"/>
      <c r="H47" s="6"/>
      <c r="I47" s="6"/>
      <c r="J47" s="6"/>
      <c r="K47" s="6"/>
    </row>
    <row r="48" spans="1:11" x14ac:dyDescent="0.2">
      <c r="A48" s="6"/>
      <c r="B48" s="6"/>
      <c r="C48" s="6"/>
      <c r="D48" s="6"/>
      <c r="E48" s="6"/>
      <c r="F48" s="10"/>
      <c r="G48" s="10"/>
      <c r="H48" s="6"/>
      <c r="I48" s="6"/>
      <c r="J48" s="6"/>
      <c r="K48" s="6"/>
    </row>
    <row r="49" spans="1:11" x14ac:dyDescent="0.2">
      <c r="A49" s="6"/>
      <c r="B49" s="6"/>
      <c r="C49" s="6"/>
      <c r="D49" s="6"/>
      <c r="E49" s="6"/>
      <c r="F49" s="10"/>
      <c r="G49" s="10"/>
      <c r="H49" s="6"/>
      <c r="I49" s="6"/>
      <c r="J49" s="6"/>
      <c r="K49" s="6"/>
    </row>
    <row r="50" spans="1:11" x14ac:dyDescent="0.2">
      <c r="A50" s="6"/>
      <c r="B50" s="6"/>
      <c r="C50" s="6"/>
      <c r="D50" s="6"/>
      <c r="E50" s="6"/>
      <c r="F50" s="10"/>
      <c r="G50" s="10"/>
      <c r="H50" s="6"/>
      <c r="I50" s="6"/>
      <c r="J50" s="6"/>
      <c r="K50" s="6"/>
    </row>
    <row r="51" spans="1:11" x14ac:dyDescent="0.2">
      <c r="A51" s="6"/>
      <c r="B51" s="6"/>
      <c r="C51" s="6"/>
      <c r="D51" s="6"/>
      <c r="E51" s="6"/>
      <c r="F51" s="10"/>
      <c r="G51" s="10"/>
      <c r="H51" s="6"/>
      <c r="I51" s="6"/>
      <c r="J51" s="6"/>
      <c r="K51" s="6"/>
    </row>
    <row r="52" spans="1:11" x14ac:dyDescent="0.2">
      <c r="A52" s="6"/>
      <c r="B52" s="6"/>
      <c r="C52" s="6"/>
      <c r="D52" s="6"/>
      <c r="E52" s="6"/>
      <c r="F52" s="10"/>
      <c r="G52" s="10"/>
      <c r="H52" s="6"/>
      <c r="I52" s="6"/>
      <c r="J52" s="6"/>
      <c r="K52" s="6"/>
    </row>
    <row r="53" spans="1:11" x14ac:dyDescent="0.2">
      <c r="A53" s="6"/>
      <c r="B53" s="6"/>
      <c r="C53" s="8"/>
      <c r="D53" s="6"/>
      <c r="E53" s="6"/>
      <c r="F53" s="10"/>
      <c r="G53" s="10"/>
      <c r="H53" s="6"/>
      <c r="I53" s="6"/>
      <c r="J53" s="6"/>
      <c r="K53" s="6"/>
    </row>
    <row r="54" spans="1:11" x14ac:dyDescent="0.2">
      <c r="A54" s="6"/>
      <c r="B54" s="6"/>
      <c r="C54" s="6"/>
      <c r="D54" s="6"/>
      <c r="E54" s="6"/>
      <c r="F54" s="10"/>
      <c r="G54" s="10"/>
      <c r="H54" s="6"/>
      <c r="I54" s="6"/>
      <c r="J54" s="6"/>
      <c r="K54" s="6"/>
    </row>
    <row r="55" spans="1:11" x14ac:dyDescent="0.2">
      <c r="A55" s="6"/>
      <c r="B55" s="6"/>
      <c r="C55" s="6"/>
      <c r="D55" s="6"/>
      <c r="E55" s="6"/>
      <c r="F55" s="10"/>
      <c r="G55" s="10"/>
      <c r="H55" s="6"/>
      <c r="I55" s="6"/>
      <c r="J55" s="6"/>
      <c r="K55" s="6"/>
    </row>
    <row r="56" spans="1:11" x14ac:dyDescent="0.2">
      <c r="A56" s="6"/>
      <c r="B56" s="6"/>
      <c r="C56" s="6"/>
      <c r="D56" s="6"/>
      <c r="E56" s="6"/>
      <c r="F56" s="10"/>
      <c r="G56" s="10"/>
      <c r="H56" s="6"/>
      <c r="I56" s="6"/>
      <c r="J56" s="6"/>
      <c r="K56" s="6"/>
    </row>
    <row r="57" spans="1:11" x14ac:dyDescent="0.2">
      <c r="A57" s="6"/>
      <c r="B57" s="6"/>
      <c r="C57" s="6"/>
      <c r="D57" s="6"/>
      <c r="E57" s="6"/>
      <c r="F57" s="10"/>
      <c r="G57" s="10"/>
      <c r="H57" s="6"/>
      <c r="I57" s="6"/>
      <c r="J57" s="6"/>
      <c r="K57" s="6"/>
    </row>
    <row r="58" spans="1:11" x14ac:dyDescent="0.2">
      <c r="A58" s="6"/>
      <c r="B58" s="6"/>
      <c r="C58" s="6"/>
      <c r="D58" s="6"/>
      <c r="E58" s="6"/>
      <c r="F58" s="10"/>
      <c r="G58" s="10"/>
      <c r="H58" s="6"/>
      <c r="I58" s="6"/>
      <c r="J58" s="6"/>
      <c r="K58" s="6"/>
    </row>
    <row r="59" spans="1:11" x14ac:dyDescent="0.2">
      <c r="A59" s="6"/>
      <c r="B59" s="6"/>
      <c r="C59" s="6"/>
      <c r="D59" s="6"/>
      <c r="E59" s="6"/>
      <c r="F59" s="10"/>
      <c r="G59" s="10"/>
      <c r="H59" s="6"/>
      <c r="I59" s="6"/>
      <c r="J59" s="6"/>
      <c r="K59" s="6"/>
    </row>
    <row r="60" spans="1:11" x14ac:dyDescent="0.2">
      <c r="A60" s="6"/>
      <c r="B60" s="6"/>
      <c r="C60" s="6"/>
      <c r="D60" s="6"/>
      <c r="E60" s="6"/>
      <c r="F60" s="10"/>
      <c r="G60" s="10"/>
      <c r="H60" s="6"/>
      <c r="I60" s="6"/>
      <c r="J60" s="6"/>
      <c r="K60" s="6"/>
    </row>
    <row r="61" spans="1:11" x14ac:dyDescent="0.2">
      <c r="A61" s="6"/>
      <c r="B61" s="6"/>
      <c r="C61" s="6"/>
      <c r="D61" s="6"/>
      <c r="E61" s="6"/>
      <c r="F61" s="10"/>
      <c r="G61" s="10"/>
      <c r="H61" s="6"/>
      <c r="I61" s="6"/>
      <c r="J61" s="6"/>
      <c r="K61" s="6"/>
    </row>
    <row r="62" spans="1:11" x14ac:dyDescent="0.2">
      <c r="A62" s="6"/>
      <c r="B62" s="6"/>
      <c r="C62" s="6"/>
      <c r="D62" s="6"/>
      <c r="E62" s="6"/>
      <c r="F62" s="10"/>
      <c r="G62" s="10"/>
      <c r="H62" s="6"/>
      <c r="I62" s="6"/>
      <c r="J62" s="6"/>
      <c r="K62" s="6"/>
    </row>
    <row r="63" spans="1:11" x14ac:dyDescent="0.2">
      <c r="A63" s="6"/>
      <c r="B63" s="6"/>
      <c r="C63" s="8"/>
      <c r="D63" s="6"/>
      <c r="E63" s="6"/>
      <c r="F63" s="10"/>
      <c r="G63" s="10"/>
      <c r="H63" s="6"/>
      <c r="I63" s="6"/>
      <c r="J63" s="6"/>
      <c r="K63" s="6"/>
    </row>
    <row r="64" spans="1:11" x14ac:dyDescent="0.2">
      <c r="A64" s="6"/>
      <c r="B64" s="6"/>
      <c r="C64" s="6"/>
      <c r="D64" s="6"/>
      <c r="E64" s="6"/>
      <c r="F64" s="10"/>
      <c r="G64" s="10"/>
      <c r="H64" s="6"/>
      <c r="I64" s="6"/>
      <c r="J64" s="6"/>
      <c r="K64" s="6"/>
    </row>
    <row r="65" spans="1:11" x14ac:dyDescent="0.2">
      <c r="A65" s="6"/>
      <c r="B65" s="6"/>
      <c r="C65" s="6"/>
      <c r="D65" s="6"/>
      <c r="E65" s="6"/>
      <c r="F65" s="10"/>
      <c r="G65" s="10"/>
      <c r="H65" s="6"/>
      <c r="I65" s="6"/>
      <c r="J65" s="6"/>
      <c r="K65" s="6"/>
    </row>
    <row r="66" spans="1:11" x14ac:dyDescent="0.2">
      <c r="A66" s="6"/>
      <c r="B66" s="6"/>
      <c r="C66" s="6"/>
      <c r="D66" s="6"/>
      <c r="E66" s="6"/>
      <c r="F66" s="10"/>
      <c r="G66" s="10"/>
      <c r="H66" s="6"/>
      <c r="I66" s="6"/>
      <c r="J66" s="6"/>
      <c r="K66" s="6"/>
    </row>
    <row r="67" spans="1:11" x14ac:dyDescent="0.2">
      <c r="A67" s="6"/>
      <c r="B67" s="6"/>
      <c r="C67" s="6"/>
      <c r="D67" s="6"/>
      <c r="E67" s="6"/>
      <c r="F67" s="10"/>
      <c r="G67" s="10"/>
      <c r="H67" s="6"/>
      <c r="I67" s="6"/>
      <c r="J67" s="6"/>
      <c r="K67" s="6"/>
    </row>
    <row r="68" spans="1:11" x14ac:dyDescent="0.2">
      <c r="A68" s="6"/>
      <c r="B68" s="6"/>
      <c r="C68" s="6"/>
      <c r="D68" s="6"/>
      <c r="E68" s="6"/>
      <c r="F68" s="10"/>
      <c r="G68" s="10"/>
      <c r="H68" s="6"/>
      <c r="I68" s="6"/>
      <c r="J68" s="6"/>
      <c r="K68" s="6"/>
    </row>
    <row r="69" spans="1:11" x14ac:dyDescent="0.2">
      <c r="A69" s="6"/>
      <c r="B69" s="6"/>
      <c r="C69" s="6"/>
      <c r="D69" s="6"/>
      <c r="E69" s="6"/>
      <c r="F69" s="10"/>
      <c r="G69" s="10"/>
      <c r="H69" s="6"/>
      <c r="I69" s="6"/>
      <c r="J69" s="6"/>
      <c r="K69" s="6"/>
    </row>
    <row r="70" spans="1:11" x14ac:dyDescent="0.2">
      <c r="A70" s="6"/>
      <c r="B70" s="6"/>
      <c r="C70" s="6"/>
      <c r="D70" s="6"/>
      <c r="E70" s="6"/>
      <c r="F70" s="10"/>
      <c r="G70" s="10"/>
      <c r="H70" s="6"/>
      <c r="I70" s="6"/>
      <c r="J70" s="6"/>
      <c r="K70" s="6"/>
    </row>
    <row r="71" spans="1:11" x14ac:dyDescent="0.2">
      <c r="A71" s="6"/>
      <c r="B71" s="6"/>
      <c r="C71" s="8"/>
      <c r="D71" s="6"/>
      <c r="E71" s="6"/>
      <c r="F71" s="10"/>
      <c r="G71" s="10"/>
      <c r="H71" s="6"/>
      <c r="I71" s="6"/>
      <c r="J71" s="6"/>
      <c r="K71" s="6"/>
    </row>
    <row r="72" spans="1:11" x14ac:dyDescent="0.2">
      <c r="A72" s="6"/>
      <c r="B72" s="6"/>
      <c r="C72" s="6"/>
      <c r="D72" s="6"/>
      <c r="E72" s="6"/>
      <c r="F72" s="10"/>
      <c r="G72" s="10"/>
      <c r="H72" s="6"/>
      <c r="I72" s="6"/>
      <c r="J72" s="6"/>
      <c r="K72" s="6"/>
    </row>
    <row r="73" spans="1:11" x14ac:dyDescent="0.2">
      <c r="A73" s="6"/>
      <c r="B73" s="6"/>
      <c r="C73" s="6"/>
      <c r="D73" s="6"/>
      <c r="E73" s="6"/>
      <c r="F73" s="10"/>
      <c r="G73" s="10"/>
      <c r="H73" s="6"/>
      <c r="I73" s="6"/>
      <c r="J73" s="6"/>
      <c r="K73" s="6"/>
    </row>
    <row r="74" spans="1:11" x14ac:dyDescent="0.2">
      <c r="A74" s="6"/>
      <c r="B74" s="6"/>
      <c r="C74" s="6"/>
      <c r="D74" s="6"/>
      <c r="E74" s="6"/>
      <c r="F74" s="10"/>
      <c r="G74" s="10"/>
      <c r="H74" s="6"/>
      <c r="I74" s="6"/>
      <c r="J74" s="6"/>
      <c r="K74" s="6"/>
    </row>
    <row r="75" spans="1:11" x14ac:dyDescent="0.2">
      <c r="A75" s="6"/>
      <c r="B75" s="6"/>
      <c r="C75" s="6"/>
      <c r="D75" s="6"/>
      <c r="E75" s="6"/>
      <c r="F75" s="10"/>
      <c r="G75" s="10"/>
      <c r="H75" s="6"/>
      <c r="I75" s="6"/>
      <c r="J75" s="6"/>
      <c r="K75" s="6"/>
    </row>
    <row r="76" spans="1:11" x14ac:dyDescent="0.2">
      <c r="A76" s="6"/>
      <c r="B76" s="6"/>
      <c r="C76" s="6"/>
      <c r="D76" s="6"/>
      <c r="E76" s="6"/>
      <c r="F76" s="10"/>
      <c r="G76" s="10"/>
      <c r="H76" s="6"/>
      <c r="I76" s="6"/>
      <c r="J76" s="6"/>
      <c r="K76" s="6"/>
    </row>
    <row r="77" spans="1:11" x14ac:dyDescent="0.2">
      <c r="A77" s="6"/>
      <c r="B77" s="6"/>
      <c r="C77" s="6"/>
      <c r="D77" s="6"/>
      <c r="E77" s="6"/>
      <c r="F77" s="10"/>
      <c r="G77" s="10"/>
      <c r="H77" s="6"/>
      <c r="I77" s="6"/>
      <c r="J77" s="6"/>
      <c r="K77" s="6"/>
    </row>
    <row r="78" spans="1:11" x14ac:dyDescent="0.2">
      <c r="A78" s="6"/>
      <c r="B78" s="6"/>
      <c r="C78" s="6"/>
      <c r="D78" s="6"/>
      <c r="E78" s="6"/>
      <c r="F78" s="10"/>
      <c r="G78" s="10"/>
      <c r="H78" s="6"/>
      <c r="I78" s="6"/>
      <c r="J78" s="6"/>
      <c r="K78" s="6"/>
    </row>
    <row r="79" spans="1:11" x14ac:dyDescent="0.2">
      <c r="A79" s="6"/>
      <c r="B79" s="6"/>
      <c r="C79" s="6"/>
      <c r="D79" s="6"/>
      <c r="E79" s="6"/>
      <c r="F79" s="10"/>
      <c r="G79" s="10"/>
      <c r="H79" s="6"/>
      <c r="I79" s="6"/>
      <c r="J79" s="6"/>
      <c r="K79" s="6"/>
    </row>
    <row r="80" spans="1:11" x14ac:dyDescent="0.2">
      <c r="A80" s="6"/>
      <c r="B80" s="6"/>
      <c r="C80" s="6"/>
      <c r="D80" s="6"/>
      <c r="E80" s="6"/>
      <c r="F80" s="10"/>
      <c r="G80" s="10"/>
      <c r="H80" s="6"/>
      <c r="I80" s="6"/>
      <c r="J80" s="6"/>
      <c r="K80" s="6"/>
    </row>
    <row r="81" spans="1:11" x14ac:dyDescent="0.2">
      <c r="A81" s="6"/>
      <c r="B81" s="6"/>
      <c r="C81" s="6"/>
      <c r="D81" s="6"/>
      <c r="E81" s="6"/>
      <c r="F81" s="10"/>
      <c r="G81" s="10"/>
      <c r="H81" s="6"/>
      <c r="I81" s="6"/>
      <c r="J81" s="6"/>
      <c r="K81" s="6"/>
    </row>
    <row r="82" spans="1:11" x14ac:dyDescent="0.2">
      <c r="A82" s="6"/>
      <c r="B82" s="6"/>
      <c r="C82" s="6"/>
      <c r="D82" s="6"/>
      <c r="E82" s="6"/>
      <c r="F82" s="10"/>
      <c r="G82" s="10"/>
      <c r="H82" s="6"/>
      <c r="I82" s="6"/>
      <c r="J82" s="6"/>
      <c r="K82" s="6"/>
    </row>
    <row r="83" spans="1:11" x14ac:dyDescent="0.2">
      <c r="A83" s="6"/>
      <c r="B83" s="6"/>
      <c r="C83" s="6"/>
      <c r="D83" s="6"/>
      <c r="E83" s="6"/>
      <c r="F83" s="10"/>
      <c r="G83" s="10"/>
      <c r="H83" s="6"/>
      <c r="I83" s="6"/>
      <c r="J83" s="6"/>
      <c r="K83" s="6"/>
    </row>
    <row r="84" spans="1:11" x14ac:dyDescent="0.2">
      <c r="A84" s="6"/>
      <c r="B84" s="6"/>
      <c r="C84" s="6"/>
      <c r="D84" s="6"/>
      <c r="E84" s="6"/>
      <c r="F84" s="10"/>
      <c r="G84" s="10"/>
      <c r="H84" s="6"/>
      <c r="I84" s="6"/>
      <c r="J84" s="6"/>
      <c r="K84" s="6"/>
    </row>
    <row r="85" spans="1:11" x14ac:dyDescent="0.2">
      <c r="A85" s="6"/>
      <c r="B85" s="6"/>
      <c r="C85" s="6"/>
      <c r="D85" s="6"/>
      <c r="E85" s="6"/>
      <c r="F85" s="10"/>
      <c r="G85" s="10"/>
      <c r="H85" s="6"/>
      <c r="I85" s="6"/>
      <c r="J85" s="6"/>
      <c r="K85" s="6"/>
    </row>
    <row r="86" spans="1:11" x14ac:dyDescent="0.2">
      <c r="A86" s="6"/>
      <c r="B86" s="6"/>
      <c r="C86" s="6"/>
      <c r="D86" s="6"/>
      <c r="E86" s="6"/>
      <c r="F86" s="10"/>
      <c r="G86" s="10"/>
      <c r="H86" s="6"/>
      <c r="I86" s="6"/>
      <c r="J86" s="6"/>
      <c r="K86" s="6"/>
    </row>
    <row r="87" spans="1:11" x14ac:dyDescent="0.2">
      <c r="A87" s="6"/>
      <c r="B87" s="6"/>
      <c r="C87" s="6"/>
      <c r="D87" s="6"/>
      <c r="E87" s="6"/>
      <c r="F87" s="10"/>
      <c r="G87" s="10"/>
      <c r="H87" s="6"/>
      <c r="I87" s="6"/>
      <c r="J87" s="6"/>
      <c r="K87" s="6"/>
    </row>
    <row r="88" spans="1:11" x14ac:dyDescent="0.2">
      <c r="A88" s="6"/>
      <c r="B88" s="6"/>
      <c r="C88" s="6"/>
      <c r="D88" s="6"/>
      <c r="E88" s="6"/>
      <c r="F88" s="10"/>
      <c r="G88" s="10"/>
      <c r="H88" s="6"/>
      <c r="I88" s="6"/>
      <c r="J88" s="6"/>
      <c r="K88" s="6"/>
    </row>
    <row r="89" spans="1:11" x14ac:dyDescent="0.2">
      <c r="A89" s="6"/>
      <c r="B89" s="6"/>
      <c r="C89" s="6"/>
      <c r="D89" s="6"/>
      <c r="E89" s="6"/>
      <c r="F89" s="10"/>
      <c r="G89" s="10"/>
      <c r="H89" s="6"/>
      <c r="I89" s="6"/>
      <c r="J89" s="6"/>
      <c r="K89" s="6"/>
    </row>
    <row r="90" spans="1:11" x14ac:dyDescent="0.2">
      <c r="A90" s="6"/>
      <c r="B90" s="6"/>
      <c r="C90" s="8"/>
      <c r="D90" s="6"/>
      <c r="E90" s="6"/>
      <c r="F90" s="10"/>
      <c r="G90" s="10"/>
      <c r="H90" s="6"/>
      <c r="I90" s="6"/>
      <c r="J90" s="6"/>
      <c r="K90" s="6"/>
    </row>
    <row r="91" spans="1:11" x14ac:dyDescent="0.2">
      <c r="A91" s="6"/>
      <c r="B91" s="6"/>
      <c r="C91" s="6"/>
      <c r="D91" s="6"/>
      <c r="E91" s="6"/>
      <c r="F91" s="10"/>
      <c r="G91" s="10"/>
      <c r="H91" s="6"/>
      <c r="I91" s="6"/>
      <c r="J91" s="6"/>
      <c r="K91" s="6"/>
    </row>
    <row r="92" spans="1:11" x14ac:dyDescent="0.2">
      <c r="A92" s="6"/>
      <c r="B92" s="6"/>
      <c r="C92" s="6"/>
      <c r="D92" s="6"/>
      <c r="E92" s="6"/>
      <c r="F92" s="10"/>
      <c r="G92" s="10"/>
      <c r="H92" s="6"/>
      <c r="I92" s="6"/>
      <c r="J92" s="6"/>
      <c r="K92" s="6"/>
    </row>
    <row r="93" spans="1:11" x14ac:dyDescent="0.2">
      <c r="A93" s="6"/>
      <c r="B93" s="6"/>
      <c r="C93" s="6"/>
      <c r="D93" s="6"/>
      <c r="E93" s="6"/>
      <c r="F93" s="10"/>
      <c r="G93" s="10"/>
      <c r="H93" s="6"/>
      <c r="I93" s="6"/>
      <c r="J93" s="6"/>
      <c r="K93" s="6"/>
    </row>
    <row r="94" spans="1:11" x14ac:dyDescent="0.2">
      <c r="A94" s="6"/>
      <c r="B94" s="6"/>
      <c r="C94" s="6"/>
      <c r="D94" s="6"/>
      <c r="E94" s="6"/>
      <c r="F94" s="10"/>
      <c r="G94" s="10"/>
      <c r="H94" s="6"/>
      <c r="I94" s="6"/>
      <c r="J94" s="6"/>
      <c r="K94" s="6"/>
    </row>
    <row r="95" spans="1:11" x14ac:dyDescent="0.2">
      <c r="A95" s="6"/>
      <c r="B95" s="6"/>
      <c r="C95" s="6"/>
      <c r="D95" s="6"/>
      <c r="E95" s="6"/>
      <c r="F95" s="10"/>
      <c r="G95" s="10"/>
      <c r="H95" s="6"/>
      <c r="I95" s="6"/>
      <c r="J95" s="6"/>
      <c r="K95" s="6"/>
    </row>
    <row r="96" spans="1:11" x14ac:dyDescent="0.2">
      <c r="A96" s="6"/>
      <c r="B96" s="6"/>
      <c r="C96" s="6"/>
      <c r="D96" s="6"/>
      <c r="E96" s="6"/>
      <c r="F96" s="10"/>
      <c r="G96" s="10"/>
      <c r="H96" s="6"/>
      <c r="I96" s="6"/>
      <c r="J96" s="6"/>
      <c r="K96" s="6"/>
    </row>
    <row r="97" spans="1:11" x14ac:dyDescent="0.2">
      <c r="A97" s="6"/>
      <c r="B97" s="6"/>
      <c r="C97" s="6"/>
      <c r="D97" s="6"/>
      <c r="E97" s="6"/>
      <c r="F97" s="10"/>
      <c r="G97" s="10"/>
      <c r="H97" s="6"/>
      <c r="I97" s="6"/>
      <c r="J97" s="6"/>
      <c r="K97" s="6"/>
    </row>
    <row r="98" spans="1:11" x14ac:dyDescent="0.2">
      <c r="A98" s="8"/>
      <c r="B98" s="8"/>
      <c r="C98" s="6"/>
      <c r="D98" s="6"/>
      <c r="E98" s="8"/>
      <c r="F98" s="10"/>
      <c r="G98" s="10"/>
      <c r="H98" s="6"/>
      <c r="I98" s="6"/>
      <c r="J98" s="6"/>
      <c r="K98" s="6"/>
    </row>
    <row r="99" spans="1:11" x14ac:dyDescent="0.2">
      <c r="A99" s="6"/>
      <c r="B99" s="6"/>
      <c r="C99" s="6"/>
      <c r="D99" s="6"/>
      <c r="E99" s="8"/>
      <c r="F99" s="10"/>
      <c r="G99" s="10"/>
      <c r="H99" s="6"/>
      <c r="I99" s="6"/>
      <c r="J99" s="6"/>
      <c r="K99" s="6"/>
    </row>
    <row r="100" spans="1:11" x14ac:dyDescent="0.2">
      <c r="A100" s="6"/>
      <c r="B100" s="6"/>
      <c r="C100" s="6"/>
      <c r="D100" s="6"/>
      <c r="E100" s="8"/>
      <c r="F100" s="10"/>
      <c r="G100" s="10"/>
      <c r="H100" s="6"/>
      <c r="I100" s="6"/>
      <c r="J100" s="6"/>
      <c r="K100" s="6"/>
    </row>
    <row r="101" spans="1:11" x14ac:dyDescent="0.2">
      <c r="A101" s="6"/>
      <c r="B101" s="6"/>
      <c r="C101" s="6"/>
      <c r="D101" s="6"/>
      <c r="E101" s="8"/>
      <c r="F101" s="10"/>
      <c r="G101" s="10"/>
      <c r="H101" s="6"/>
      <c r="I101" s="6"/>
      <c r="J101" s="6"/>
      <c r="K101" s="6"/>
    </row>
    <row r="102" spans="1:11" x14ac:dyDescent="0.2">
      <c r="A102" s="6"/>
      <c r="B102" s="6"/>
      <c r="C102" s="6"/>
      <c r="D102" s="6"/>
      <c r="E102" s="8"/>
      <c r="F102" s="10"/>
      <c r="G102" s="10"/>
      <c r="H102" s="6"/>
      <c r="I102" s="6"/>
      <c r="J102" s="6"/>
      <c r="K102" s="6"/>
    </row>
    <row r="103" spans="1:11" x14ac:dyDescent="0.2">
      <c r="A103" s="6"/>
      <c r="B103" s="6"/>
      <c r="C103" s="6"/>
      <c r="D103" s="6"/>
      <c r="E103" s="8"/>
      <c r="F103" s="10"/>
      <c r="G103" s="10"/>
      <c r="H103" s="6"/>
      <c r="I103" s="6"/>
      <c r="J103" s="6"/>
      <c r="K103" s="6"/>
    </row>
    <row r="104" spans="1:11" x14ac:dyDescent="0.2">
      <c r="A104" s="6"/>
      <c r="B104" s="6"/>
      <c r="C104" s="6"/>
      <c r="D104" s="6"/>
      <c r="E104" s="6"/>
      <c r="F104" s="10"/>
      <c r="G104" s="10"/>
      <c r="H104" s="6"/>
      <c r="I104" s="6"/>
      <c r="J104" s="6"/>
      <c r="K104" s="6"/>
    </row>
    <row r="105" spans="1:11" x14ac:dyDescent="0.2">
      <c r="A105" s="8"/>
      <c r="B105" s="8"/>
      <c r="C105" s="6"/>
      <c r="D105" s="6"/>
      <c r="E105" s="8"/>
      <c r="F105" s="10"/>
      <c r="G105" s="10"/>
      <c r="H105" s="6"/>
      <c r="I105" s="6"/>
      <c r="J105" s="6"/>
      <c r="K105" s="6"/>
    </row>
    <row r="106" spans="1:11" x14ac:dyDescent="0.2">
      <c r="A106" s="6"/>
      <c r="B106" s="6"/>
      <c r="C106" s="6"/>
      <c r="D106" s="6"/>
      <c r="E106" s="8"/>
      <c r="F106" s="10"/>
      <c r="G106" s="10"/>
      <c r="H106" s="6"/>
      <c r="I106" s="6"/>
      <c r="J106" s="6"/>
      <c r="K106" s="6"/>
    </row>
    <row r="107" spans="1:11" x14ac:dyDescent="0.2">
      <c r="A107" s="6"/>
      <c r="B107" s="6"/>
      <c r="C107" s="6"/>
      <c r="D107" s="6"/>
      <c r="E107" s="8"/>
      <c r="F107" s="10"/>
      <c r="G107" s="10"/>
      <c r="H107" s="6"/>
      <c r="I107" s="6"/>
      <c r="J107" s="6"/>
      <c r="K107" s="6"/>
    </row>
    <row r="108" spans="1:11" x14ac:dyDescent="0.2">
      <c r="A108" s="6"/>
      <c r="B108" s="6"/>
      <c r="C108" s="6"/>
      <c r="D108" s="6"/>
      <c r="E108" s="8"/>
      <c r="F108" s="10"/>
      <c r="G108" s="10"/>
      <c r="H108" s="6"/>
      <c r="I108" s="6"/>
      <c r="J108" s="6"/>
      <c r="K108" s="6"/>
    </row>
    <row r="109" spans="1:11" x14ac:dyDescent="0.2">
      <c r="A109" s="6"/>
      <c r="B109" s="6"/>
      <c r="C109" s="6"/>
      <c r="D109" s="6"/>
      <c r="E109" s="8"/>
      <c r="F109" s="10"/>
      <c r="G109" s="10"/>
      <c r="H109" s="6"/>
      <c r="I109" s="6"/>
      <c r="J109" s="6"/>
      <c r="K109" s="6"/>
    </row>
    <row r="110" spans="1:11" x14ac:dyDescent="0.2">
      <c r="A110" s="6"/>
      <c r="B110" s="6"/>
      <c r="C110" s="6"/>
      <c r="D110" s="6"/>
      <c r="E110" s="8"/>
      <c r="F110" s="10"/>
      <c r="G110" s="10"/>
      <c r="H110" s="6"/>
      <c r="I110" s="6"/>
      <c r="J110" s="6"/>
      <c r="K110" s="6"/>
    </row>
    <row r="111" spans="1:11" x14ac:dyDescent="0.2">
      <c r="A111" s="6"/>
      <c r="B111" s="6"/>
      <c r="C111" s="6"/>
      <c r="D111" s="6"/>
      <c r="E111" s="8"/>
      <c r="F111" s="10"/>
      <c r="G111" s="10"/>
      <c r="H111" s="6"/>
      <c r="I111" s="6"/>
      <c r="J111" s="6"/>
      <c r="K111" s="6"/>
    </row>
    <row r="112" spans="1:11" x14ac:dyDescent="0.2">
      <c r="A112" s="6"/>
      <c r="B112" s="6"/>
      <c r="C112" s="6"/>
      <c r="D112" s="6"/>
      <c r="E112" s="8"/>
      <c r="F112" s="10"/>
      <c r="G112" s="10"/>
      <c r="H112" s="6"/>
      <c r="I112" s="6"/>
      <c r="J112" s="6"/>
      <c r="K112" s="6"/>
    </row>
    <row r="113" spans="1:11" x14ac:dyDescent="0.2">
      <c r="A113" s="6"/>
      <c r="B113" s="6"/>
      <c r="C113" s="6"/>
      <c r="D113" s="6"/>
      <c r="E113" s="8"/>
      <c r="F113" s="10"/>
      <c r="G113" s="10"/>
      <c r="H113" s="6"/>
      <c r="I113" s="6"/>
      <c r="J113" s="6"/>
      <c r="K113" s="6"/>
    </row>
    <row r="114" spans="1:11" x14ac:dyDescent="0.2">
      <c r="A114" s="6"/>
      <c r="B114" s="6"/>
      <c r="C114" s="6"/>
      <c r="D114" s="6"/>
      <c r="E114" s="8"/>
      <c r="F114" s="10"/>
      <c r="G114" s="10"/>
      <c r="H114" s="6"/>
      <c r="I114" s="6"/>
      <c r="J114" s="6"/>
      <c r="K114" s="6"/>
    </row>
    <row r="115" spans="1:11" x14ac:dyDescent="0.2">
      <c r="A115" s="6"/>
      <c r="B115" s="6"/>
      <c r="C115" s="6"/>
      <c r="D115" s="6"/>
      <c r="E115" s="6"/>
      <c r="F115" s="10"/>
      <c r="G115" s="10"/>
      <c r="H115" s="6"/>
      <c r="I115" s="6"/>
      <c r="J115" s="6"/>
      <c r="K115" s="6"/>
    </row>
    <row r="116" spans="1:11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spans="1:11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spans="1:11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spans="1:11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spans="1:11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spans="1:11" x14ac:dyDescent="0.2">
      <c r="A121" s="6"/>
      <c r="B121" s="6"/>
      <c r="C121" s="6"/>
      <c r="D121" s="6"/>
      <c r="E121" s="6"/>
      <c r="F121" s="10"/>
      <c r="G121" s="6"/>
      <c r="H121" s="6"/>
      <c r="I121" s="6"/>
      <c r="J121" s="6">
        <f t="shared" ref="J121:J131" si="0">D121-H121</f>
        <v>0</v>
      </c>
      <c r="K121" s="6"/>
    </row>
    <row r="122" spans="1:11" x14ac:dyDescent="0.2">
      <c r="A122" s="6"/>
      <c r="B122" s="6"/>
      <c r="C122" s="6"/>
      <c r="D122" s="6"/>
      <c r="E122" s="6"/>
      <c r="F122" s="10"/>
      <c r="G122" s="6"/>
      <c r="H122" s="6"/>
      <c r="I122" s="6"/>
      <c r="J122" s="6">
        <f t="shared" si="0"/>
        <v>0</v>
      </c>
      <c r="K122" s="6"/>
    </row>
    <row r="123" spans="1:11" x14ac:dyDescent="0.2">
      <c r="A123" s="6"/>
      <c r="B123" s="6"/>
      <c r="C123" s="6"/>
      <c r="D123" s="6"/>
      <c r="E123" s="6"/>
      <c r="F123" s="10"/>
      <c r="G123" s="6"/>
      <c r="H123" s="6"/>
      <c r="I123" s="6"/>
      <c r="J123" s="6">
        <f t="shared" si="0"/>
        <v>0</v>
      </c>
      <c r="K123" s="6"/>
    </row>
    <row r="124" spans="1:11" x14ac:dyDescent="0.2">
      <c r="A124" s="6"/>
      <c r="B124" s="6"/>
      <c r="C124" s="6"/>
      <c r="D124" s="6"/>
      <c r="E124" s="6"/>
      <c r="F124" s="10"/>
      <c r="G124" s="6"/>
      <c r="H124" s="6"/>
      <c r="I124" s="6"/>
      <c r="J124" s="6">
        <f t="shared" si="0"/>
        <v>0</v>
      </c>
      <c r="K124" s="6"/>
    </row>
    <row r="125" spans="1:11" x14ac:dyDescent="0.2">
      <c r="A125" s="6"/>
      <c r="B125" s="6"/>
      <c r="C125" s="6"/>
      <c r="D125" s="6"/>
      <c r="E125" s="6"/>
      <c r="F125" s="10"/>
      <c r="G125" s="6"/>
      <c r="H125" s="6"/>
      <c r="I125" s="6"/>
      <c r="J125" s="6">
        <f t="shared" si="0"/>
        <v>0</v>
      </c>
      <c r="K125" s="6"/>
    </row>
    <row r="126" spans="1:11" x14ac:dyDescent="0.2">
      <c r="A126" s="6"/>
      <c r="B126" s="6"/>
      <c r="C126" s="6"/>
      <c r="D126" s="6"/>
      <c r="E126" s="6"/>
      <c r="F126" s="10"/>
      <c r="G126" s="6"/>
      <c r="H126" s="6"/>
      <c r="I126" s="6"/>
      <c r="J126" s="6">
        <f t="shared" si="0"/>
        <v>0</v>
      </c>
      <c r="K126" s="6"/>
    </row>
    <row r="127" spans="1:11" x14ac:dyDescent="0.2">
      <c r="A127" s="6"/>
      <c r="B127" s="6"/>
      <c r="C127" s="6"/>
      <c r="D127" s="6"/>
      <c r="E127" s="6"/>
      <c r="F127" s="10"/>
      <c r="G127" s="6"/>
      <c r="H127" s="6"/>
      <c r="I127" s="6"/>
      <c r="J127" s="6">
        <f t="shared" si="0"/>
        <v>0</v>
      </c>
      <c r="K127" s="6"/>
    </row>
    <row r="128" spans="1:11" x14ac:dyDescent="0.2">
      <c r="A128" s="6"/>
      <c r="B128" s="6"/>
      <c r="C128" s="6"/>
      <c r="D128" s="6"/>
      <c r="E128" s="6"/>
      <c r="F128" s="10"/>
      <c r="G128" s="6"/>
      <c r="H128" s="6"/>
      <c r="I128" s="6"/>
      <c r="J128" s="6">
        <f t="shared" si="0"/>
        <v>0</v>
      </c>
      <c r="K128" s="6"/>
    </row>
    <row r="129" spans="1:11" x14ac:dyDescent="0.2">
      <c r="A129" s="6"/>
      <c r="B129" s="6"/>
      <c r="C129" s="6"/>
      <c r="D129" s="6"/>
      <c r="E129" s="8"/>
      <c r="F129" s="10"/>
      <c r="G129" s="6"/>
      <c r="H129" s="6"/>
      <c r="I129" s="6"/>
      <c r="J129" s="6">
        <f t="shared" si="0"/>
        <v>0</v>
      </c>
      <c r="K129" s="6"/>
    </row>
    <row r="130" spans="1:11" x14ac:dyDescent="0.2">
      <c r="A130" s="6"/>
      <c r="B130" s="6"/>
      <c r="C130" s="6"/>
      <c r="D130" s="6"/>
      <c r="E130" s="6"/>
      <c r="F130" s="10"/>
      <c r="G130" s="6"/>
      <c r="H130" s="6"/>
      <c r="I130" s="6"/>
      <c r="J130" s="6">
        <f t="shared" si="0"/>
        <v>0</v>
      </c>
      <c r="K130" s="6"/>
    </row>
    <row r="131" spans="1:11" x14ac:dyDescent="0.2">
      <c r="A131" s="6"/>
      <c r="B131" s="6"/>
      <c r="C131" s="6"/>
      <c r="D131" s="6"/>
      <c r="E131" s="6"/>
      <c r="F131" s="10"/>
      <c r="G131" s="6"/>
      <c r="H131" s="6"/>
      <c r="I131" s="6"/>
      <c r="J131" s="6">
        <f t="shared" si="0"/>
        <v>0</v>
      </c>
      <c r="K131" s="6"/>
    </row>
    <row r="132" spans="1:11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spans="1:11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spans="1:11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spans="1:11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spans="1:11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spans="1:11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</row>
  </sheetData>
  <mergeCells count="1">
    <mergeCell ref="J3:J4"/>
  </mergeCells>
  <pageMargins left="0.7" right="0.7" top="0.75" bottom="0.75" header="0.3" footer="0.3"/>
  <pageSetup scale="77" fitToHeight="6" orientation="landscape" horizontalDpi="300" r:id="rId1"/>
  <headerFooter>
    <oddFooter>&amp;R&amp;D</odd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98F51-C730-4970-AFEC-FFF49DE4BACD}">
  <sheetPr>
    <tabColor theme="0" tint="-0.34998626667073579"/>
    <pageSetUpPr fitToPage="1"/>
  </sheetPr>
  <dimension ref="A1:J45"/>
  <sheetViews>
    <sheetView workbookViewId="0"/>
  </sheetViews>
  <sheetFormatPr defaultRowHeight="12.75" x14ac:dyDescent="0.2"/>
  <cols>
    <col min="1" max="1" width="19.42578125" customWidth="1"/>
    <col min="2" max="2" width="11" customWidth="1"/>
    <col min="3" max="3" width="6.5703125" customWidth="1"/>
    <col min="4" max="4" width="29.28515625" customWidth="1"/>
    <col min="5" max="5" width="12.85546875" customWidth="1"/>
    <col min="6" max="6" width="11.5703125" customWidth="1"/>
    <col min="7" max="7" width="10.85546875" customWidth="1"/>
    <col min="8" max="8" width="10.7109375" customWidth="1"/>
    <col min="9" max="9" width="13.28515625" customWidth="1"/>
  </cols>
  <sheetData>
    <row r="1" spans="1:10" ht="15" x14ac:dyDescent="0.2">
      <c r="A1" s="5" t="str">
        <f ca="1">MID(CELL("filename",$A$1),FIND("]",CELL("filename",$A$1),1)+1,1024)</f>
        <v>URI BROS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/>
      <c r="B5" s="8" t="s">
        <v>727</v>
      </c>
      <c r="C5" s="6">
        <v>1</v>
      </c>
      <c r="D5" s="8" t="s">
        <v>728</v>
      </c>
      <c r="E5" s="10">
        <v>44279</v>
      </c>
      <c r="F5" s="10">
        <v>44432</v>
      </c>
      <c r="G5" s="6"/>
      <c r="H5" s="6"/>
      <c r="I5" s="6"/>
      <c r="J5" s="6"/>
    </row>
    <row r="6" spans="1:10" x14ac:dyDescent="0.2">
      <c r="A6" s="6"/>
      <c r="B6" s="6"/>
      <c r="C6" s="6">
        <v>1</v>
      </c>
      <c r="D6" s="8" t="s">
        <v>150</v>
      </c>
      <c r="E6" s="10">
        <v>44279</v>
      </c>
      <c r="F6" s="10">
        <v>44432</v>
      </c>
      <c r="G6" s="6"/>
      <c r="H6" s="6"/>
      <c r="I6" s="6"/>
      <c r="J6" s="6"/>
    </row>
    <row r="7" spans="1:10" x14ac:dyDescent="0.2">
      <c r="A7" s="6"/>
      <c r="B7" s="6"/>
      <c r="C7" s="6">
        <v>2</v>
      </c>
      <c r="D7" s="8" t="s">
        <v>441</v>
      </c>
      <c r="E7" s="10">
        <v>44279</v>
      </c>
      <c r="F7" s="10">
        <v>44432</v>
      </c>
      <c r="G7" s="6"/>
      <c r="H7" s="6"/>
      <c r="I7" s="6"/>
      <c r="J7" s="6"/>
    </row>
    <row r="8" spans="1:10" x14ac:dyDescent="0.2">
      <c r="A8" s="19"/>
      <c r="B8" s="19"/>
      <c r="C8" s="19"/>
      <c r="D8" s="19"/>
      <c r="E8" s="29"/>
      <c r="F8" s="29"/>
      <c r="G8" s="19"/>
      <c r="H8" s="19"/>
      <c r="I8" s="19"/>
      <c r="J8" s="19"/>
    </row>
    <row r="9" spans="1:10" x14ac:dyDescent="0.2">
      <c r="A9" s="6"/>
      <c r="B9" s="6"/>
      <c r="C9" s="6"/>
      <c r="D9" s="6"/>
      <c r="E9" s="10"/>
      <c r="F9" s="10"/>
      <c r="G9" s="6"/>
      <c r="H9" s="6"/>
      <c r="I9" s="6"/>
      <c r="J9" s="6"/>
    </row>
    <row r="10" spans="1:10" x14ac:dyDescent="0.2">
      <c r="A10" s="6"/>
      <c r="B10" s="6"/>
      <c r="C10" s="6"/>
      <c r="D10" s="6"/>
      <c r="E10" s="10"/>
      <c r="F10" s="10"/>
      <c r="G10" s="6"/>
      <c r="H10" s="6"/>
      <c r="I10" s="6"/>
      <c r="J10" s="6"/>
    </row>
    <row r="11" spans="1:10" x14ac:dyDescent="0.2">
      <c r="A11" s="6"/>
      <c r="B11" s="6"/>
      <c r="C11" s="6"/>
      <c r="D11" s="6"/>
      <c r="E11" s="10"/>
      <c r="F11" s="10"/>
      <c r="G11" s="6"/>
      <c r="H11" s="6"/>
      <c r="I11" s="6"/>
      <c r="J11" s="6"/>
    </row>
    <row r="12" spans="1:10" x14ac:dyDescent="0.2">
      <c r="A12" s="6"/>
      <c r="B12" s="6"/>
      <c r="C12" s="6"/>
      <c r="D12" s="6"/>
      <c r="E12" s="10"/>
      <c r="F12" s="10"/>
      <c r="G12" s="6"/>
      <c r="H12" s="6"/>
      <c r="I12" s="6"/>
      <c r="J12" s="6"/>
    </row>
    <row r="13" spans="1:10" x14ac:dyDescent="0.2">
      <c r="A13" s="6"/>
      <c r="B13" s="6"/>
      <c r="C13" s="6"/>
      <c r="D13" s="6"/>
      <c r="E13" s="10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6"/>
      <c r="E14" s="10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">
      <c r="A16" s="8"/>
      <c r="B16" s="6"/>
      <c r="C16" s="6"/>
      <c r="D16" s="8"/>
      <c r="E16" s="10"/>
      <c r="F16" s="10"/>
      <c r="G16" s="6"/>
      <c r="H16" s="6"/>
      <c r="I16" s="6"/>
      <c r="J16" s="6"/>
    </row>
    <row r="17" spans="1:10" x14ac:dyDescent="0.2">
      <c r="A17" s="6"/>
      <c r="B17" s="6"/>
      <c r="C17" s="6"/>
      <c r="D17" s="8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8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10"/>
      <c r="F19" s="10"/>
      <c r="G19" s="6"/>
      <c r="H19" s="6"/>
      <c r="I19" s="6"/>
      <c r="J19" s="6"/>
    </row>
    <row r="20" spans="1:10" x14ac:dyDescent="0.2">
      <c r="A20" s="8"/>
      <c r="B20" s="6"/>
      <c r="C20" s="6"/>
      <c r="D20" s="8"/>
      <c r="E20" s="10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8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8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8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8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10"/>
      <c r="F31" s="10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10"/>
      <c r="F32" s="10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10"/>
      <c r="F33" s="10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10"/>
      <c r="F34" s="10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10"/>
      <c r="F35" s="10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10"/>
      <c r="F36" s="10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10"/>
      <c r="F37" s="10"/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10"/>
      <c r="F38" s="10"/>
      <c r="G38" s="6"/>
      <c r="H38" s="6"/>
      <c r="I38" s="6"/>
      <c r="J38" s="6"/>
    </row>
    <row r="39" spans="1:10" x14ac:dyDescent="0.2">
      <c r="A39" s="6"/>
      <c r="B39" s="6"/>
      <c r="C39" s="6"/>
      <c r="D39" s="6"/>
      <c r="E39" s="10"/>
      <c r="F39" s="10"/>
      <c r="G39" s="6"/>
      <c r="H39" s="6"/>
      <c r="I39" s="6"/>
      <c r="J39" s="6"/>
    </row>
    <row r="40" spans="1:10" x14ac:dyDescent="0.2">
      <c r="A40" s="6"/>
      <c r="B40" s="6"/>
      <c r="C40" s="6"/>
      <c r="D40" s="6"/>
      <c r="E40" s="10"/>
      <c r="F40" s="10"/>
      <c r="G40" s="6"/>
      <c r="H40" s="6"/>
      <c r="I40" s="6"/>
      <c r="J40" s="6"/>
    </row>
    <row r="41" spans="1:10" x14ac:dyDescent="0.2">
      <c r="A41" s="6"/>
      <c r="B41" s="6"/>
      <c r="C41" s="6"/>
      <c r="D41" s="6"/>
      <c r="E41" s="10"/>
      <c r="F41" s="10"/>
      <c r="G41" s="6"/>
      <c r="H41" s="6"/>
      <c r="I41" s="6"/>
      <c r="J41" s="6"/>
    </row>
    <row r="42" spans="1:10" x14ac:dyDescent="0.2">
      <c r="A42" s="6"/>
      <c r="B42" s="6"/>
      <c r="C42" s="6"/>
      <c r="D42" s="6"/>
      <c r="E42" s="10"/>
      <c r="F42" s="10"/>
      <c r="G42" s="6"/>
      <c r="H42" s="6"/>
      <c r="I42" s="6"/>
      <c r="J42" s="6"/>
    </row>
    <row r="43" spans="1:10" x14ac:dyDescent="0.2">
      <c r="A43" s="6"/>
      <c r="B43" s="6"/>
      <c r="C43" s="6"/>
      <c r="D43" s="6"/>
      <c r="E43" s="10"/>
      <c r="F43" s="10"/>
      <c r="G43" s="6"/>
      <c r="H43" s="6"/>
      <c r="I43" s="6"/>
      <c r="J43" s="6"/>
    </row>
    <row r="44" spans="1:10" x14ac:dyDescent="0.2">
      <c r="A44" s="6"/>
      <c r="B44" s="6"/>
      <c r="C44" s="6"/>
      <c r="D44" s="6"/>
      <c r="E44" s="10"/>
      <c r="F44" s="10"/>
      <c r="G44" s="6"/>
      <c r="H44" s="6"/>
      <c r="I44" s="6"/>
      <c r="J44" s="6"/>
    </row>
    <row r="45" spans="1:10" x14ac:dyDescent="0.2">
      <c r="A45" s="6"/>
      <c r="B45" s="6"/>
      <c r="C45" s="6"/>
      <c r="D45" s="6"/>
      <c r="E45" s="10"/>
      <c r="F45" s="10"/>
      <c r="G45" s="6"/>
      <c r="H45" s="6"/>
      <c r="I45" s="6"/>
      <c r="J45" s="6"/>
    </row>
  </sheetData>
  <mergeCells count="1">
    <mergeCell ref="I3:I4"/>
  </mergeCells>
  <pageMargins left="0.7" right="0.7" top="0.75" bottom="0.75" header="0.3" footer="0.3"/>
  <pageSetup scale="86" fitToHeight="6" orientation="landscape" horizontalDpi="300" r:id="rId1"/>
  <headerFooter>
    <oddFooter>&amp;R&amp;D</odd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D8601-1B1C-44A9-B947-1D589F4C0369}">
  <sheetPr>
    <tabColor theme="0" tint="-0.34998626667073579"/>
    <pageSetUpPr fitToPage="1"/>
  </sheetPr>
  <dimension ref="A1:J31"/>
  <sheetViews>
    <sheetView workbookViewId="0"/>
  </sheetViews>
  <sheetFormatPr defaultRowHeight="12.75" x14ac:dyDescent="0.2"/>
  <cols>
    <col min="1" max="1" width="19.42578125" customWidth="1"/>
    <col min="2" max="2" width="11" customWidth="1"/>
    <col min="3" max="3" width="6.5703125" customWidth="1"/>
    <col min="4" max="4" width="29.28515625" customWidth="1"/>
    <col min="5" max="5" width="12.85546875" customWidth="1"/>
    <col min="6" max="6" width="11.5703125" customWidth="1"/>
    <col min="7" max="7" width="10.85546875" customWidth="1"/>
    <col min="8" max="8" width="10.7109375" customWidth="1"/>
    <col min="9" max="9" width="13.28515625" customWidth="1"/>
  </cols>
  <sheetData>
    <row r="1" spans="1:10" ht="15" x14ac:dyDescent="0.2">
      <c r="A1" s="5" t="str">
        <f ca="1">MID(CELL("filename",$A$1),FIND("]",CELL("filename",$A$1),1)+1,1024)</f>
        <v xml:space="preserve">WARREN AG 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/>
      <c r="B5" s="6"/>
      <c r="C5" s="6"/>
      <c r="D5" s="8"/>
      <c r="E5" s="10"/>
      <c r="F5" s="10"/>
      <c r="G5" s="6"/>
      <c r="H5" s="6"/>
      <c r="I5" s="6"/>
      <c r="J5" s="6"/>
    </row>
    <row r="6" spans="1:10" x14ac:dyDescent="0.2">
      <c r="A6" s="6"/>
      <c r="B6" s="6"/>
      <c r="C6" s="6"/>
      <c r="D6" s="8"/>
      <c r="E6" s="10"/>
      <c r="F6" s="10"/>
      <c r="G6" s="6"/>
      <c r="H6" s="6"/>
      <c r="I6" s="6"/>
      <c r="J6" s="6"/>
    </row>
    <row r="7" spans="1:10" x14ac:dyDescent="0.2">
      <c r="A7" s="6"/>
      <c r="B7" s="6"/>
      <c r="C7" s="6"/>
      <c r="D7" s="6"/>
      <c r="E7" s="10"/>
      <c r="F7" s="10"/>
      <c r="G7" s="6"/>
      <c r="H7" s="6"/>
      <c r="I7" s="6"/>
      <c r="J7" s="6"/>
    </row>
    <row r="8" spans="1:10" x14ac:dyDescent="0.2">
      <c r="A8" s="6"/>
      <c r="B8" s="6"/>
      <c r="C8" s="6"/>
      <c r="D8" s="6"/>
      <c r="E8" s="10"/>
      <c r="F8" s="10"/>
      <c r="G8" s="6"/>
      <c r="H8" s="6"/>
      <c r="I8" s="6"/>
      <c r="J8" s="6"/>
    </row>
    <row r="9" spans="1:10" x14ac:dyDescent="0.2">
      <c r="A9" s="6"/>
      <c r="B9" s="6"/>
      <c r="C9" s="6"/>
      <c r="D9" s="6"/>
      <c r="E9" s="10"/>
      <c r="F9" s="10"/>
      <c r="G9" s="6"/>
      <c r="H9" s="6"/>
      <c r="I9" s="6"/>
      <c r="J9" s="6"/>
    </row>
    <row r="10" spans="1:10" x14ac:dyDescent="0.2">
      <c r="A10" s="6"/>
      <c r="B10" s="6"/>
      <c r="C10" s="6"/>
      <c r="D10" s="6"/>
      <c r="E10" s="10"/>
      <c r="F10" s="10"/>
      <c r="G10" s="6"/>
      <c r="H10" s="6"/>
      <c r="I10" s="6"/>
      <c r="J10" s="6"/>
    </row>
    <row r="11" spans="1:10" x14ac:dyDescent="0.2">
      <c r="A11" s="6"/>
      <c r="B11" s="6"/>
      <c r="C11" s="6"/>
      <c r="D11" s="6"/>
      <c r="E11" s="10"/>
      <c r="F11" s="10"/>
      <c r="G11" s="6"/>
      <c r="H11" s="6"/>
      <c r="I11" s="6"/>
      <c r="J11" s="6"/>
    </row>
    <row r="12" spans="1:10" x14ac:dyDescent="0.2">
      <c r="A12" s="6"/>
      <c r="B12" s="6"/>
      <c r="C12" s="6"/>
      <c r="D12" s="6"/>
      <c r="E12" s="10"/>
      <c r="F12" s="10"/>
      <c r="G12" s="6"/>
      <c r="H12" s="6"/>
      <c r="I12" s="6"/>
      <c r="J12" s="6"/>
    </row>
    <row r="13" spans="1:10" x14ac:dyDescent="0.2">
      <c r="A13" s="6"/>
      <c r="B13" s="6"/>
      <c r="C13" s="6"/>
      <c r="D13" s="6"/>
      <c r="E13" s="10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6"/>
      <c r="E14" s="10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10"/>
      <c r="F15" s="10"/>
      <c r="G15" s="6"/>
      <c r="H15" s="6"/>
      <c r="I15" s="6"/>
      <c r="J15" s="6"/>
    </row>
    <row r="16" spans="1:10" x14ac:dyDescent="0.2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10"/>
      <c r="F19" s="10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10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10"/>
      <c r="F30" s="10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10"/>
      <c r="F31" s="10"/>
      <c r="G31" s="6"/>
      <c r="H31" s="6"/>
      <c r="I31" s="6"/>
      <c r="J31" s="6"/>
    </row>
  </sheetData>
  <mergeCells count="1">
    <mergeCell ref="I3:I4"/>
  </mergeCells>
  <pageMargins left="0.7" right="0.7" top="0.75" bottom="0.75" header="0.3" footer="0.3"/>
  <pageSetup scale="86" fitToHeight="6" orientation="landscape" horizontalDpi="300" r:id="rId1"/>
  <headerFooter>
    <oddFooter>&amp;R&amp;D</odd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theme="0" tint="-0.34998626667073579"/>
    <pageSetUpPr fitToPage="1"/>
  </sheetPr>
  <dimension ref="A1:J45"/>
  <sheetViews>
    <sheetView workbookViewId="0"/>
  </sheetViews>
  <sheetFormatPr defaultRowHeight="12.75" x14ac:dyDescent="0.2"/>
  <cols>
    <col min="1" max="1" width="19.42578125" customWidth="1"/>
    <col min="2" max="2" width="11" customWidth="1"/>
    <col min="3" max="3" width="6.5703125" customWidth="1"/>
    <col min="4" max="4" width="29.28515625" customWidth="1"/>
    <col min="5" max="5" width="12.85546875" customWidth="1"/>
    <col min="6" max="6" width="11.5703125" customWidth="1"/>
    <col min="7" max="7" width="10.85546875" customWidth="1"/>
    <col min="8" max="8" width="10.7109375" customWidth="1"/>
    <col min="9" max="9" width="13.28515625" customWidth="1"/>
  </cols>
  <sheetData>
    <row r="1" spans="1:10" ht="15" x14ac:dyDescent="0.2">
      <c r="A1" s="5" t="str">
        <f ca="1">MID(CELL("filename",$A$1),FIND("]",CELL("filename",$A$1),1)+1,1024)</f>
        <v xml:space="preserve">WATER ASSOC. 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/>
      <c r="B5" s="6"/>
      <c r="C5" s="6"/>
      <c r="D5" s="8"/>
      <c r="E5" s="10"/>
      <c r="F5" s="10"/>
      <c r="G5" s="6"/>
      <c r="H5" s="6"/>
      <c r="I5" s="6"/>
      <c r="J5" s="6"/>
    </row>
    <row r="6" spans="1:10" x14ac:dyDescent="0.2">
      <c r="A6" s="6"/>
      <c r="B6" s="6"/>
      <c r="C6" s="6"/>
      <c r="D6" s="8"/>
      <c r="E6" s="10"/>
      <c r="F6" s="10"/>
      <c r="G6" s="6"/>
      <c r="H6" s="6"/>
      <c r="I6" s="6"/>
      <c r="J6" s="6"/>
    </row>
    <row r="7" spans="1:10" x14ac:dyDescent="0.2">
      <c r="A7" s="6"/>
      <c r="B7" s="6"/>
      <c r="C7" s="6"/>
      <c r="D7" s="6"/>
      <c r="E7" s="10"/>
      <c r="F7" s="10"/>
      <c r="G7" s="6"/>
      <c r="H7" s="6"/>
      <c r="I7" s="6"/>
      <c r="J7" s="6"/>
    </row>
    <row r="8" spans="1:10" x14ac:dyDescent="0.2">
      <c r="A8" s="6"/>
      <c r="B8" s="6"/>
      <c r="C8" s="6"/>
      <c r="D8" s="6"/>
      <c r="E8" s="10"/>
      <c r="F8" s="10"/>
      <c r="G8" s="6"/>
      <c r="H8" s="6"/>
      <c r="I8" s="6"/>
      <c r="J8" s="6"/>
    </row>
    <row r="9" spans="1:10" x14ac:dyDescent="0.2">
      <c r="A9" s="6"/>
      <c r="B9" s="6"/>
      <c r="C9" s="6"/>
      <c r="D9" s="6"/>
      <c r="E9" s="10"/>
      <c r="F9" s="10"/>
      <c r="G9" s="6"/>
      <c r="H9" s="6"/>
      <c r="I9" s="6"/>
      <c r="J9" s="6"/>
    </row>
    <row r="10" spans="1:10" x14ac:dyDescent="0.2">
      <c r="A10" s="6"/>
      <c r="B10" s="6"/>
      <c r="C10" s="6"/>
      <c r="D10" s="6"/>
      <c r="E10" s="10"/>
      <c r="F10" s="10"/>
      <c r="G10" s="6"/>
      <c r="H10" s="6"/>
      <c r="I10" s="6"/>
      <c r="J10" s="6"/>
    </row>
    <row r="11" spans="1:10" x14ac:dyDescent="0.2">
      <c r="A11" s="6"/>
      <c r="B11" s="6"/>
      <c r="C11" s="6"/>
      <c r="D11" s="6"/>
      <c r="E11" s="10"/>
      <c r="F11" s="10"/>
      <c r="G11" s="6"/>
      <c r="H11" s="6"/>
      <c r="I11" s="6"/>
      <c r="J11" s="6"/>
    </row>
    <row r="12" spans="1:10" x14ac:dyDescent="0.2">
      <c r="A12" s="6"/>
      <c r="B12" s="6"/>
      <c r="C12" s="6"/>
      <c r="D12" s="6"/>
      <c r="E12" s="10"/>
      <c r="F12" s="10"/>
      <c r="G12" s="6"/>
      <c r="H12" s="6"/>
      <c r="I12" s="6"/>
      <c r="J12" s="6"/>
    </row>
    <row r="13" spans="1:10" x14ac:dyDescent="0.2">
      <c r="A13" s="6"/>
      <c r="B13" s="6"/>
      <c r="C13" s="6"/>
      <c r="D13" s="6"/>
      <c r="E13" s="10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6"/>
      <c r="E14" s="10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">
      <c r="A16" s="8"/>
      <c r="B16" s="6"/>
      <c r="C16" s="6"/>
      <c r="D16" s="8"/>
      <c r="E16" s="10"/>
      <c r="F16" s="10"/>
      <c r="G16" s="6"/>
      <c r="H16" s="6"/>
      <c r="I16" s="6"/>
      <c r="J16" s="6"/>
    </row>
    <row r="17" spans="1:10" x14ac:dyDescent="0.2">
      <c r="A17" s="6"/>
      <c r="B17" s="6"/>
      <c r="C17" s="6"/>
      <c r="D17" s="8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8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10"/>
      <c r="F19" s="10"/>
      <c r="G19" s="6"/>
      <c r="H19" s="6"/>
      <c r="I19" s="6"/>
      <c r="J19" s="6"/>
    </row>
    <row r="20" spans="1:10" x14ac:dyDescent="0.2">
      <c r="A20" s="8"/>
      <c r="B20" s="6"/>
      <c r="C20" s="6"/>
      <c r="D20" s="8"/>
      <c r="E20" s="10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8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8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8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8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10"/>
      <c r="F31" s="10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10"/>
      <c r="F32" s="10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10"/>
      <c r="F33" s="10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10"/>
      <c r="F34" s="10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10"/>
      <c r="F35" s="10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10"/>
      <c r="F36" s="10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10"/>
      <c r="F37" s="10"/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10"/>
      <c r="F38" s="10"/>
      <c r="G38" s="6"/>
      <c r="H38" s="6"/>
      <c r="I38" s="6"/>
      <c r="J38" s="6"/>
    </row>
    <row r="39" spans="1:10" x14ac:dyDescent="0.2">
      <c r="A39" s="6"/>
      <c r="B39" s="6"/>
      <c r="C39" s="6"/>
      <c r="D39" s="6"/>
      <c r="E39" s="10"/>
      <c r="F39" s="10"/>
      <c r="G39" s="6"/>
      <c r="H39" s="6"/>
      <c r="I39" s="6"/>
      <c r="J39" s="6"/>
    </row>
    <row r="40" spans="1:10" x14ac:dyDescent="0.2">
      <c r="A40" s="6"/>
      <c r="B40" s="6"/>
      <c r="C40" s="6"/>
      <c r="D40" s="6"/>
      <c r="E40" s="10"/>
      <c r="F40" s="10"/>
      <c r="G40" s="6"/>
      <c r="H40" s="6"/>
      <c r="I40" s="6"/>
      <c r="J40" s="6"/>
    </row>
    <row r="41" spans="1:10" x14ac:dyDescent="0.2">
      <c r="A41" s="6"/>
      <c r="B41" s="6"/>
      <c r="C41" s="6"/>
      <c r="D41" s="6"/>
      <c r="E41" s="10"/>
      <c r="F41" s="10"/>
      <c r="G41" s="6"/>
      <c r="H41" s="6"/>
      <c r="I41" s="6"/>
      <c r="J41" s="6"/>
    </row>
    <row r="42" spans="1:10" x14ac:dyDescent="0.2">
      <c r="A42" s="6"/>
      <c r="B42" s="6"/>
      <c r="C42" s="6"/>
      <c r="D42" s="6"/>
      <c r="E42" s="10"/>
      <c r="F42" s="10"/>
      <c r="G42" s="6"/>
      <c r="H42" s="6"/>
      <c r="I42" s="6"/>
      <c r="J42" s="6"/>
    </row>
    <row r="43" spans="1:10" x14ac:dyDescent="0.2">
      <c r="A43" s="6"/>
      <c r="B43" s="6"/>
      <c r="C43" s="6"/>
      <c r="D43" s="6"/>
      <c r="E43" s="10"/>
      <c r="F43" s="10"/>
      <c r="G43" s="6"/>
      <c r="H43" s="6"/>
      <c r="I43" s="6"/>
      <c r="J43" s="6"/>
    </row>
    <row r="44" spans="1:10" x14ac:dyDescent="0.2">
      <c r="A44" s="6"/>
      <c r="B44" s="6"/>
      <c r="C44" s="6"/>
      <c r="D44" s="6"/>
      <c r="E44" s="10"/>
      <c r="F44" s="10"/>
      <c r="G44" s="6"/>
      <c r="H44" s="6"/>
      <c r="I44" s="6"/>
      <c r="J44" s="6"/>
    </row>
    <row r="45" spans="1:10" x14ac:dyDescent="0.2">
      <c r="A45" s="6"/>
      <c r="B45" s="6"/>
      <c r="C45" s="6"/>
      <c r="D45" s="6"/>
      <c r="E45" s="10"/>
      <c r="F45" s="10"/>
      <c r="G45" s="6"/>
      <c r="H45" s="6"/>
      <c r="I45" s="6"/>
      <c r="J45" s="6"/>
    </row>
  </sheetData>
  <mergeCells count="1">
    <mergeCell ref="I3:I4"/>
  </mergeCells>
  <pageMargins left="0.7" right="0.7" top="0.75" bottom="0.75" header="0.3" footer="0.3"/>
  <pageSetup scale="86" fitToHeight="6" orientation="landscape" horizontalDpi="300" r:id="rId1"/>
  <headerFooter>
    <oddFooter>&amp;R&amp;D</odd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44DF-E909-4196-A1DF-0F432200378E}">
  <sheetPr>
    <tabColor theme="0" tint="-0.34998626667073579"/>
    <pageSetUpPr fitToPage="1"/>
  </sheetPr>
  <dimension ref="A1:J45"/>
  <sheetViews>
    <sheetView workbookViewId="0"/>
  </sheetViews>
  <sheetFormatPr defaultRowHeight="12.75" x14ac:dyDescent="0.2"/>
  <cols>
    <col min="1" max="1" width="19.42578125" customWidth="1"/>
    <col min="2" max="2" width="11" customWidth="1"/>
    <col min="3" max="3" width="6.5703125" customWidth="1"/>
    <col min="4" max="4" width="29.28515625" customWidth="1"/>
    <col min="5" max="5" width="12.85546875" customWidth="1"/>
    <col min="6" max="6" width="11.5703125" customWidth="1"/>
    <col min="7" max="7" width="10.85546875" customWidth="1"/>
    <col min="8" max="8" width="10.7109375" customWidth="1"/>
    <col min="9" max="9" width="13.28515625" customWidth="1"/>
  </cols>
  <sheetData>
    <row r="1" spans="1:10" ht="15" x14ac:dyDescent="0.2">
      <c r="A1" s="5" t="str">
        <f ca="1">MID(CELL("filename",$A$1),FIND("]",CELL("filename",$A$1),1)+1,1024)</f>
        <v>WEST COAST BERRY FARMS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390</v>
      </c>
      <c r="B5" s="6">
        <v>121898</v>
      </c>
      <c r="C5" s="6">
        <v>108</v>
      </c>
      <c r="D5" s="8" t="s">
        <v>391</v>
      </c>
      <c r="E5" s="10">
        <v>43678</v>
      </c>
      <c r="F5" s="10">
        <v>43830</v>
      </c>
      <c r="G5" s="6"/>
      <c r="H5" s="6"/>
      <c r="I5" s="6"/>
      <c r="J5" s="6" t="s">
        <v>404</v>
      </c>
    </row>
    <row r="6" spans="1:10" x14ac:dyDescent="0.2">
      <c r="A6" s="6"/>
      <c r="B6" s="6"/>
      <c r="C6" s="6"/>
      <c r="D6" s="8"/>
      <c r="E6" s="10"/>
      <c r="F6" s="10"/>
      <c r="G6" s="6"/>
      <c r="H6" s="6"/>
      <c r="I6" s="6"/>
      <c r="J6" s="85">
        <v>44044</v>
      </c>
    </row>
    <row r="7" spans="1:10" x14ac:dyDescent="0.2">
      <c r="A7" s="6"/>
      <c r="B7" s="6"/>
      <c r="C7" s="6"/>
      <c r="D7" s="6"/>
      <c r="E7" s="10"/>
      <c r="F7" s="10"/>
      <c r="G7" s="6"/>
      <c r="H7" s="6"/>
      <c r="I7" s="6"/>
      <c r="J7" s="6"/>
    </row>
    <row r="8" spans="1:10" x14ac:dyDescent="0.2">
      <c r="A8" s="6"/>
      <c r="B8" s="6"/>
      <c r="C8" s="6"/>
      <c r="D8" s="6"/>
      <c r="E8" s="10"/>
      <c r="F8" s="10"/>
      <c r="G8" s="6"/>
      <c r="H8" s="6"/>
      <c r="I8" s="6"/>
      <c r="J8" s="6"/>
    </row>
    <row r="9" spans="1:10" x14ac:dyDescent="0.2">
      <c r="A9" s="6"/>
      <c r="B9" s="6"/>
      <c r="C9" s="6"/>
      <c r="D9" s="6"/>
      <c r="E9" s="10"/>
      <c r="F9" s="10"/>
      <c r="G9" s="6"/>
      <c r="H9" s="6"/>
      <c r="I9" s="6"/>
      <c r="J9" s="6"/>
    </row>
    <row r="10" spans="1:10" x14ac:dyDescent="0.2">
      <c r="A10" s="6"/>
      <c r="B10" s="6"/>
      <c r="C10" s="6"/>
      <c r="D10" s="6"/>
      <c r="E10" s="10"/>
      <c r="F10" s="10"/>
      <c r="G10" s="6"/>
      <c r="H10" s="6"/>
      <c r="I10" s="6"/>
      <c r="J10" s="6"/>
    </row>
    <row r="11" spans="1:10" x14ac:dyDescent="0.2">
      <c r="A11" s="6"/>
      <c r="B11" s="6"/>
      <c r="C11" s="6"/>
      <c r="D11" s="6"/>
      <c r="E11" s="10"/>
      <c r="F11" s="10"/>
      <c r="G11" s="6"/>
      <c r="H11" s="6"/>
      <c r="I11" s="6"/>
      <c r="J11" s="6"/>
    </row>
    <row r="12" spans="1:10" x14ac:dyDescent="0.2">
      <c r="A12" s="6"/>
      <c r="B12" s="6"/>
      <c r="C12" s="6"/>
      <c r="D12" s="6"/>
      <c r="E12" s="10"/>
      <c r="F12" s="10"/>
      <c r="G12" s="6"/>
      <c r="H12" s="6"/>
      <c r="I12" s="6"/>
      <c r="J12" s="6"/>
    </row>
    <row r="13" spans="1:10" x14ac:dyDescent="0.2">
      <c r="A13" s="6"/>
      <c r="B13" s="6"/>
      <c r="C13" s="6"/>
      <c r="D13" s="6"/>
      <c r="E13" s="10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6"/>
      <c r="E14" s="10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">
      <c r="A16" s="8"/>
      <c r="B16" s="6"/>
      <c r="C16" s="6"/>
      <c r="D16" s="8"/>
      <c r="E16" s="10"/>
      <c r="F16" s="10"/>
      <c r="G16" s="6"/>
      <c r="H16" s="6"/>
      <c r="I16" s="6"/>
      <c r="J16" s="6"/>
    </row>
    <row r="17" spans="1:10" x14ac:dyDescent="0.2">
      <c r="A17" s="6"/>
      <c r="B17" s="6"/>
      <c r="C17" s="6"/>
      <c r="D17" s="8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8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10"/>
      <c r="F19" s="10"/>
      <c r="G19" s="6"/>
      <c r="H19" s="6"/>
      <c r="I19" s="6"/>
      <c r="J19" s="6"/>
    </row>
    <row r="20" spans="1:10" x14ac:dyDescent="0.2">
      <c r="A20" s="8"/>
      <c r="B20" s="6"/>
      <c r="C20" s="6"/>
      <c r="D20" s="8"/>
      <c r="E20" s="10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8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8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8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8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10"/>
      <c r="F31" s="10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10"/>
      <c r="F32" s="10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10"/>
      <c r="F33" s="10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10"/>
      <c r="F34" s="10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10"/>
      <c r="F35" s="10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10"/>
      <c r="F36" s="10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10"/>
      <c r="F37" s="10"/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10"/>
      <c r="F38" s="10"/>
      <c r="G38" s="6"/>
      <c r="H38" s="6"/>
      <c r="I38" s="6"/>
      <c r="J38" s="6"/>
    </row>
    <row r="39" spans="1:10" x14ac:dyDescent="0.2">
      <c r="A39" s="6"/>
      <c r="B39" s="6"/>
      <c r="C39" s="6"/>
      <c r="D39" s="6"/>
      <c r="E39" s="10"/>
      <c r="F39" s="10"/>
      <c r="G39" s="6"/>
      <c r="H39" s="6"/>
      <c r="I39" s="6"/>
      <c r="J39" s="6"/>
    </row>
    <row r="40" spans="1:10" x14ac:dyDescent="0.2">
      <c r="A40" s="6"/>
      <c r="B40" s="6"/>
      <c r="C40" s="6"/>
      <c r="D40" s="6"/>
      <c r="E40" s="10"/>
      <c r="F40" s="10"/>
      <c r="G40" s="6"/>
      <c r="H40" s="6"/>
      <c r="I40" s="6"/>
      <c r="J40" s="6"/>
    </row>
    <row r="41" spans="1:10" x14ac:dyDescent="0.2">
      <c r="A41" s="6"/>
      <c r="B41" s="6"/>
      <c r="C41" s="6"/>
      <c r="D41" s="6"/>
      <c r="E41" s="10"/>
      <c r="F41" s="10"/>
      <c r="G41" s="6"/>
      <c r="H41" s="6"/>
      <c r="I41" s="6"/>
      <c r="J41" s="6"/>
    </row>
    <row r="42" spans="1:10" x14ac:dyDescent="0.2">
      <c r="A42" s="6"/>
      <c r="B42" s="6"/>
      <c r="C42" s="6"/>
      <c r="D42" s="6"/>
      <c r="E42" s="10"/>
      <c r="F42" s="10"/>
      <c r="G42" s="6"/>
      <c r="H42" s="6"/>
      <c r="I42" s="6"/>
      <c r="J42" s="6"/>
    </row>
    <row r="43" spans="1:10" x14ac:dyDescent="0.2">
      <c r="A43" s="6"/>
      <c r="B43" s="6"/>
      <c r="C43" s="6"/>
      <c r="D43" s="6"/>
      <c r="E43" s="10"/>
      <c r="F43" s="10"/>
      <c r="G43" s="6"/>
      <c r="H43" s="6"/>
      <c r="I43" s="6"/>
      <c r="J43" s="6"/>
    </row>
    <row r="44" spans="1:10" x14ac:dyDescent="0.2">
      <c r="A44" s="6"/>
      <c r="B44" s="6"/>
      <c r="C44" s="6"/>
      <c r="D44" s="6"/>
      <c r="E44" s="10"/>
      <c r="F44" s="10"/>
      <c r="G44" s="6"/>
      <c r="H44" s="6"/>
      <c r="I44" s="6"/>
      <c r="J44" s="6"/>
    </row>
    <row r="45" spans="1:10" x14ac:dyDescent="0.2">
      <c r="A45" s="6"/>
      <c r="B45" s="6"/>
      <c r="C45" s="6"/>
      <c r="D45" s="6"/>
      <c r="E45" s="10"/>
      <c r="F45" s="10"/>
      <c r="G45" s="6"/>
      <c r="H45" s="6"/>
      <c r="I45" s="6"/>
      <c r="J45" s="6"/>
    </row>
  </sheetData>
  <mergeCells count="1">
    <mergeCell ref="I3:I4"/>
  </mergeCells>
  <pageMargins left="0.7" right="0.7" top="0.75" bottom="0.75" header="0.3" footer="0.3"/>
  <pageSetup scale="86" fitToHeight="6" orientation="landscape" horizontalDpi="300" r:id="rId1"/>
  <headerFooter>
    <oddFooter>&amp;R&amp;D</odd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F1E9E-B1FF-4384-9C46-EE2967A1F595}">
  <sheetPr>
    <tabColor theme="0" tint="-0.34998626667073579"/>
    <pageSetUpPr fitToPage="1"/>
  </sheetPr>
  <dimension ref="A1:J40"/>
  <sheetViews>
    <sheetView workbookViewId="0"/>
  </sheetViews>
  <sheetFormatPr defaultRowHeight="12.75" x14ac:dyDescent="0.2"/>
  <cols>
    <col min="1" max="1" width="19.42578125" style="107" customWidth="1"/>
    <col min="2" max="2" width="11" style="107" customWidth="1"/>
    <col min="3" max="3" width="6.5703125" style="107" customWidth="1"/>
    <col min="4" max="4" width="29.28515625" style="107" customWidth="1"/>
    <col min="5" max="5" width="12.85546875" style="107" customWidth="1"/>
    <col min="6" max="6" width="11.5703125" style="107" customWidth="1"/>
    <col min="7" max="7" width="10.85546875" style="107" customWidth="1"/>
    <col min="8" max="8" width="10.7109375" style="107" customWidth="1"/>
    <col min="9" max="9" width="13.28515625" style="107" customWidth="1"/>
    <col min="10" max="16384" width="9.140625" style="107"/>
  </cols>
  <sheetData>
    <row r="1" spans="1:10" ht="15" x14ac:dyDescent="0.2">
      <c r="A1" s="121" t="str">
        <f ca="1">MID(CELL("filename",$A$1),FIND("]",CELL("filename",$A$1),1)+1,1024)</f>
        <v>WONDERFUL NURSERSIES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x14ac:dyDescent="0.2">
      <c r="A2" s="108"/>
      <c r="B2" s="108"/>
      <c r="C2" s="108"/>
      <c r="D2" s="108"/>
      <c r="E2" s="108"/>
      <c r="F2" s="108"/>
      <c r="G2" s="108"/>
      <c r="H2" s="108"/>
      <c r="I2" s="108"/>
      <c r="J2" s="108"/>
    </row>
    <row r="3" spans="1:10" x14ac:dyDescent="0.2">
      <c r="A3" s="108"/>
      <c r="B3" s="108"/>
      <c r="C3" s="108"/>
      <c r="D3" s="108"/>
      <c r="E3" s="108"/>
      <c r="F3" s="108"/>
      <c r="G3" s="108"/>
      <c r="H3" s="108"/>
      <c r="I3" s="165" t="s">
        <v>96</v>
      </c>
      <c r="J3" s="108"/>
    </row>
    <row r="4" spans="1:10" s="115" customFormat="1" ht="15" x14ac:dyDescent="0.35">
      <c r="A4" s="117" t="s">
        <v>0</v>
      </c>
      <c r="B4" s="117" t="s">
        <v>100</v>
      </c>
      <c r="C4" s="117" t="s">
        <v>2</v>
      </c>
      <c r="D4" s="119" t="s">
        <v>3</v>
      </c>
      <c r="E4" s="118" t="s">
        <v>4</v>
      </c>
      <c r="F4" s="117" t="s">
        <v>5</v>
      </c>
      <c r="G4" s="116" t="s">
        <v>95</v>
      </c>
      <c r="H4" s="116" t="s">
        <v>92</v>
      </c>
      <c r="I4" s="165"/>
      <c r="J4" s="116" t="s">
        <v>94</v>
      </c>
    </row>
    <row r="5" spans="1:10" x14ac:dyDescent="0.2">
      <c r="A5" s="108" t="s">
        <v>520</v>
      </c>
      <c r="B5" s="108">
        <v>121205</v>
      </c>
      <c r="C5" s="108">
        <v>1</v>
      </c>
      <c r="D5" s="108" t="s">
        <v>54</v>
      </c>
      <c r="E5" s="109">
        <v>43660</v>
      </c>
      <c r="F5" s="109">
        <v>43722</v>
      </c>
      <c r="G5" s="108"/>
      <c r="H5" s="108"/>
      <c r="I5" s="108"/>
      <c r="J5" s="108"/>
    </row>
    <row r="6" spans="1:10" x14ac:dyDescent="0.2">
      <c r="A6" s="108"/>
      <c r="B6" s="108"/>
      <c r="C6" s="108">
        <v>1</v>
      </c>
      <c r="D6" s="108" t="s">
        <v>137</v>
      </c>
      <c r="E6" s="109">
        <v>43660</v>
      </c>
      <c r="F6" s="109">
        <v>43722</v>
      </c>
      <c r="G6" s="108"/>
      <c r="H6" s="108"/>
      <c r="I6" s="108"/>
      <c r="J6" s="108"/>
    </row>
    <row r="7" spans="1:10" x14ac:dyDescent="0.2">
      <c r="A7" s="108"/>
      <c r="B7" s="108"/>
      <c r="C7" s="108">
        <v>1</v>
      </c>
      <c r="D7" s="108" t="s">
        <v>14</v>
      </c>
      <c r="E7" s="109">
        <v>43660</v>
      </c>
      <c r="F7" s="109">
        <v>43722</v>
      </c>
      <c r="G7" s="108"/>
      <c r="H7" s="108"/>
      <c r="I7" s="108"/>
      <c r="J7" s="108"/>
    </row>
    <row r="8" spans="1:10" x14ac:dyDescent="0.2">
      <c r="A8" s="108"/>
      <c r="B8" s="108"/>
      <c r="C8" s="108">
        <v>2</v>
      </c>
      <c r="D8" s="108" t="s">
        <v>28</v>
      </c>
      <c r="E8" s="109">
        <v>43660</v>
      </c>
      <c r="F8" s="109">
        <v>43722</v>
      </c>
      <c r="G8" s="108"/>
      <c r="H8" s="108"/>
      <c r="I8" s="108"/>
      <c r="J8" s="108"/>
    </row>
    <row r="9" spans="1:10" x14ac:dyDescent="0.2">
      <c r="A9" s="108"/>
      <c r="B9" s="108"/>
      <c r="C9" s="108"/>
      <c r="D9" s="108"/>
      <c r="E9" s="109"/>
      <c r="F9" s="109"/>
      <c r="G9" s="108"/>
      <c r="H9" s="108"/>
      <c r="I9" s="108"/>
      <c r="J9" s="108"/>
    </row>
    <row r="10" spans="1:10" x14ac:dyDescent="0.2">
      <c r="A10" s="108"/>
      <c r="B10" s="108"/>
      <c r="C10" s="108"/>
      <c r="D10" s="108"/>
      <c r="E10" s="108"/>
      <c r="F10" s="108"/>
      <c r="G10" s="108"/>
      <c r="H10" s="108"/>
      <c r="I10" s="108"/>
      <c r="J10" s="108"/>
    </row>
    <row r="11" spans="1:10" x14ac:dyDescent="0.2">
      <c r="A11" s="108"/>
      <c r="B11" s="108"/>
      <c r="C11" s="108"/>
      <c r="D11" s="108"/>
      <c r="E11" s="109"/>
      <c r="F11" s="109"/>
      <c r="G11" s="108"/>
      <c r="H11" s="108"/>
      <c r="I11" s="108"/>
      <c r="J11" s="108"/>
    </row>
    <row r="12" spans="1:10" x14ac:dyDescent="0.2">
      <c r="A12" s="108"/>
      <c r="B12" s="108"/>
      <c r="C12" s="108"/>
      <c r="D12" s="108"/>
      <c r="E12" s="109"/>
      <c r="F12" s="109"/>
      <c r="G12" s="108"/>
      <c r="H12" s="108"/>
      <c r="I12" s="108"/>
      <c r="J12" s="108"/>
    </row>
    <row r="13" spans="1:10" x14ac:dyDescent="0.2">
      <c r="A13" s="108"/>
      <c r="B13" s="108"/>
      <c r="C13" s="108"/>
      <c r="D13" s="108"/>
      <c r="E13" s="109"/>
      <c r="F13" s="109"/>
      <c r="G13" s="108"/>
      <c r="H13" s="108"/>
      <c r="I13" s="108"/>
      <c r="J13" s="108"/>
    </row>
    <row r="14" spans="1:10" x14ac:dyDescent="0.2">
      <c r="A14" s="108"/>
      <c r="B14" s="108"/>
      <c r="C14" s="108"/>
      <c r="D14" s="108"/>
      <c r="E14" s="109"/>
      <c r="F14" s="109"/>
      <c r="G14" s="108"/>
      <c r="H14" s="108"/>
      <c r="I14" s="108"/>
      <c r="J14" s="108"/>
    </row>
    <row r="15" spans="1:10" x14ac:dyDescent="0.2">
      <c r="A15" s="108"/>
      <c r="B15" s="108"/>
      <c r="C15" s="108"/>
      <c r="D15" s="108"/>
      <c r="E15" s="109"/>
      <c r="F15" s="109"/>
      <c r="G15" s="108"/>
      <c r="H15" s="108"/>
      <c r="I15" s="108"/>
      <c r="J15" s="108"/>
    </row>
    <row r="16" spans="1:10" x14ac:dyDescent="0.2">
      <c r="A16" s="108"/>
      <c r="B16" s="108"/>
      <c r="C16" s="108"/>
      <c r="D16" s="108"/>
      <c r="E16" s="109"/>
      <c r="F16" s="109"/>
      <c r="G16" s="108"/>
      <c r="H16" s="108"/>
      <c r="I16" s="108"/>
      <c r="J16" s="108"/>
    </row>
    <row r="17" spans="1:10" x14ac:dyDescent="0.2">
      <c r="A17" s="108"/>
      <c r="B17" s="108"/>
      <c r="C17" s="108"/>
      <c r="D17" s="108"/>
      <c r="E17" s="109"/>
      <c r="F17" s="109"/>
      <c r="G17" s="108"/>
      <c r="H17" s="108"/>
      <c r="I17" s="108"/>
      <c r="J17" s="108"/>
    </row>
    <row r="18" spans="1:10" x14ac:dyDescent="0.2">
      <c r="A18" s="108"/>
      <c r="B18" s="108"/>
      <c r="C18" s="108"/>
      <c r="D18" s="108"/>
      <c r="E18" s="109"/>
      <c r="F18" s="109"/>
      <c r="G18" s="108"/>
      <c r="H18" s="108"/>
      <c r="I18" s="108"/>
      <c r="J18" s="108"/>
    </row>
    <row r="19" spans="1:10" x14ac:dyDescent="0.2">
      <c r="A19" s="108"/>
      <c r="B19" s="108"/>
      <c r="C19" s="108"/>
      <c r="D19" s="108"/>
      <c r="E19" s="109"/>
      <c r="F19" s="109"/>
      <c r="G19" s="108"/>
      <c r="H19" s="108"/>
      <c r="I19" s="108"/>
      <c r="J19" s="108"/>
    </row>
    <row r="20" spans="1:10" x14ac:dyDescent="0.2">
      <c r="A20" s="108"/>
      <c r="B20" s="108"/>
      <c r="C20" s="108"/>
      <c r="D20" s="108"/>
      <c r="E20" s="109"/>
      <c r="F20" s="109"/>
      <c r="G20" s="108"/>
      <c r="H20" s="108"/>
      <c r="I20" s="108"/>
      <c r="J20" s="108"/>
    </row>
    <row r="21" spans="1:10" x14ac:dyDescent="0.2">
      <c r="A21" s="108"/>
      <c r="B21" s="108"/>
      <c r="C21" s="108"/>
      <c r="D21" s="108"/>
      <c r="E21" s="109"/>
      <c r="F21" s="109"/>
      <c r="G21" s="108"/>
      <c r="H21" s="108"/>
      <c r="I21" s="108"/>
      <c r="J21" s="108"/>
    </row>
    <row r="22" spans="1:10" x14ac:dyDescent="0.2">
      <c r="A22" s="108"/>
      <c r="B22" s="108"/>
      <c r="C22" s="108"/>
      <c r="D22" s="108"/>
      <c r="E22" s="109"/>
      <c r="F22" s="109"/>
      <c r="G22" s="108"/>
      <c r="H22" s="108"/>
      <c r="I22" s="108"/>
      <c r="J22" s="108"/>
    </row>
    <row r="23" spans="1:10" x14ac:dyDescent="0.2">
      <c r="A23" s="108"/>
      <c r="B23" s="108"/>
      <c r="C23" s="108"/>
      <c r="D23" s="108"/>
      <c r="E23" s="109"/>
      <c r="F23" s="109"/>
      <c r="G23" s="108"/>
      <c r="H23" s="108"/>
      <c r="I23" s="108"/>
      <c r="J23" s="108"/>
    </row>
    <row r="24" spans="1:10" x14ac:dyDescent="0.2">
      <c r="A24" s="108"/>
      <c r="B24" s="108"/>
      <c r="C24" s="108"/>
      <c r="D24" s="108"/>
      <c r="E24" s="109"/>
      <c r="F24" s="109"/>
      <c r="G24" s="108"/>
      <c r="H24" s="108"/>
      <c r="I24" s="108"/>
      <c r="J24" s="108"/>
    </row>
    <row r="25" spans="1:10" x14ac:dyDescent="0.2">
      <c r="A25" s="108"/>
      <c r="B25" s="108"/>
      <c r="C25" s="108"/>
      <c r="D25" s="108"/>
      <c r="E25" s="108"/>
      <c r="F25" s="108"/>
      <c r="G25" s="108"/>
      <c r="H25" s="108"/>
      <c r="I25" s="108"/>
      <c r="J25" s="108"/>
    </row>
    <row r="26" spans="1:10" x14ac:dyDescent="0.2">
      <c r="A26" s="108"/>
      <c r="B26" s="108"/>
      <c r="C26" s="108"/>
      <c r="D26" s="108"/>
      <c r="E26" s="109"/>
      <c r="F26" s="109"/>
      <c r="G26" s="108"/>
      <c r="H26" s="108"/>
      <c r="I26" s="108"/>
      <c r="J26" s="108"/>
    </row>
    <row r="27" spans="1:10" x14ac:dyDescent="0.2">
      <c r="A27" s="108"/>
      <c r="B27" s="108"/>
      <c r="C27" s="108"/>
      <c r="D27" s="108"/>
      <c r="E27" s="109"/>
      <c r="F27" s="109"/>
      <c r="G27" s="108"/>
      <c r="H27" s="108"/>
      <c r="I27" s="108"/>
      <c r="J27" s="108"/>
    </row>
    <row r="28" spans="1:10" x14ac:dyDescent="0.2">
      <c r="A28" s="108"/>
      <c r="B28" s="108"/>
      <c r="C28" s="108"/>
      <c r="D28" s="108"/>
      <c r="E28" s="109"/>
      <c r="F28" s="109"/>
      <c r="G28" s="108"/>
      <c r="H28" s="108"/>
      <c r="I28" s="108"/>
      <c r="J28" s="108"/>
    </row>
    <row r="29" spans="1:10" x14ac:dyDescent="0.2">
      <c r="A29" s="108"/>
      <c r="B29" s="108"/>
      <c r="C29" s="108"/>
      <c r="D29" s="108"/>
      <c r="E29" s="109"/>
      <c r="F29" s="109"/>
      <c r="G29" s="108"/>
      <c r="H29" s="108"/>
      <c r="I29" s="108"/>
      <c r="J29" s="108"/>
    </row>
    <row r="30" spans="1:10" x14ac:dyDescent="0.2">
      <c r="A30" s="108"/>
      <c r="B30" s="108"/>
      <c r="C30" s="108"/>
      <c r="D30" s="108"/>
      <c r="E30" s="109"/>
      <c r="F30" s="109"/>
      <c r="G30" s="108"/>
      <c r="H30" s="108"/>
      <c r="I30" s="108"/>
      <c r="J30" s="108"/>
    </row>
    <row r="31" spans="1:10" x14ac:dyDescent="0.2">
      <c r="A31" s="108"/>
      <c r="B31" s="108"/>
      <c r="C31" s="108"/>
      <c r="D31" s="108"/>
      <c r="E31" s="109"/>
      <c r="F31" s="109"/>
      <c r="G31" s="108"/>
      <c r="H31" s="108"/>
      <c r="I31" s="108"/>
      <c r="J31" s="108"/>
    </row>
    <row r="32" spans="1:10" x14ac:dyDescent="0.2">
      <c r="A32" s="108"/>
      <c r="B32" s="108"/>
      <c r="C32" s="108"/>
      <c r="D32" s="108"/>
      <c r="E32" s="109"/>
      <c r="F32" s="109"/>
      <c r="G32" s="108"/>
      <c r="H32" s="108"/>
      <c r="I32" s="108"/>
      <c r="J32" s="108"/>
    </row>
    <row r="33" spans="1:10" x14ac:dyDescent="0.2">
      <c r="A33" s="108"/>
      <c r="B33" s="108"/>
      <c r="C33" s="108"/>
      <c r="D33" s="108"/>
      <c r="E33" s="109"/>
      <c r="F33" s="109"/>
      <c r="G33" s="108"/>
      <c r="H33" s="108"/>
      <c r="I33" s="108"/>
      <c r="J33" s="108"/>
    </row>
    <row r="34" spans="1:10" x14ac:dyDescent="0.2">
      <c r="A34" s="108"/>
      <c r="B34" s="108"/>
      <c r="C34" s="108"/>
      <c r="D34" s="108"/>
      <c r="E34" s="109"/>
      <c r="F34" s="109"/>
      <c r="G34" s="108"/>
      <c r="H34" s="108"/>
      <c r="I34" s="108"/>
      <c r="J34" s="108"/>
    </row>
    <row r="35" spans="1:10" x14ac:dyDescent="0.2">
      <c r="A35" s="108"/>
      <c r="B35" s="108"/>
      <c r="C35" s="108"/>
      <c r="D35" s="108"/>
      <c r="E35" s="109"/>
      <c r="F35" s="109"/>
      <c r="G35" s="108"/>
      <c r="H35" s="108"/>
      <c r="I35" s="108"/>
      <c r="J35" s="108"/>
    </row>
    <row r="36" spans="1:10" x14ac:dyDescent="0.2">
      <c r="A36" s="108"/>
      <c r="B36" s="108"/>
      <c r="C36" s="108"/>
      <c r="D36" s="108"/>
      <c r="E36" s="109"/>
      <c r="F36" s="109"/>
      <c r="G36" s="108"/>
      <c r="H36" s="108"/>
      <c r="I36" s="108"/>
      <c r="J36" s="108"/>
    </row>
    <row r="37" spans="1:10" x14ac:dyDescent="0.2">
      <c r="A37" s="108"/>
      <c r="B37" s="108"/>
      <c r="C37" s="108"/>
      <c r="D37" s="108"/>
      <c r="E37" s="109"/>
      <c r="F37" s="109"/>
      <c r="G37" s="108"/>
      <c r="H37" s="108"/>
      <c r="I37" s="108"/>
      <c r="J37" s="108"/>
    </row>
    <row r="38" spans="1:10" x14ac:dyDescent="0.2">
      <c r="A38" s="108"/>
      <c r="B38" s="108"/>
      <c r="C38" s="108"/>
      <c r="D38" s="108"/>
      <c r="E38" s="109"/>
      <c r="F38" s="109"/>
      <c r="G38" s="108"/>
      <c r="H38" s="108"/>
      <c r="I38" s="108"/>
      <c r="J38" s="108"/>
    </row>
    <row r="39" spans="1:10" x14ac:dyDescent="0.2">
      <c r="A39" s="108"/>
      <c r="B39" s="108"/>
      <c r="C39" s="108"/>
      <c r="D39" s="108"/>
      <c r="E39" s="109"/>
      <c r="F39" s="109"/>
      <c r="G39" s="108"/>
      <c r="H39" s="108"/>
      <c r="I39" s="108"/>
      <c r="J39" s="108"/>
    </row>
    <row r="40" spans="1:10" x14ac:dyDescent="0.2">
      <c r="A40" s="108"/>
      <c r="B40" s="108"/>
      <c r="C40" s="108"/>
      <c r="D40" s="108"/>
      <c r="E40" s="109"/>
      <c r="F40" s="109"/>
      <c r="G40" s="108"/>
      <c r="H40" s="108"/>
      <c r="I40" s="108"/>
      <c r="J40" s="108"/>
    </row>
  </sheetData>
  <mergeCells count="1">
    <mergeCell ref="I3:I4"/>
  </mergeCells>
  <pageMargins left="0.7" right="0.7" top="0.75" bottom="0.75" header="0.3" footer="0.3"/>
  <pageSetup scale="86" fitToHeight="6" orientation="landscape" horizontalDpi="300" r:id="rId1"/>
  <headerFooter>
    <oddFooter>&amp;R&amp;D</odd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0" tint="-0.34998626667073579"/>
    <pageSetUpPr fitToPage="1"/>
  </sheetPr>
  <dimension ref="A1:J40"/>
  <sheetViews>
    <sheetView workbookViewId="0"/>
  </sheetViews>
  <sheetFormatPr defaultRowHeight="12.75" x14ac:dyDescent="0.2"/>
  <cols>
    <col min="1" max="1" width="19.42578125" customWidth="1"/>
    <col min="2" max="2" width="16.140625" bestFit="1" customWidth="1"/>
    <col min="3" max="3" width="6.5703125" customWidth="1"/>
    <col min="4" max="4" width="29.28515625" customWidth="1"/>
    <col min="5" max="5" width="12.85546875" customWidth="1"/>
    <col min="6" max="6" width="11.5703125" customWidth="1"/>
    <col min="7" max="7" width="10.85546875" customWidth="1"/>
    <col min="8" max="8" width="10.7109375" customWidth="1"/>
    <col min="9" max="9" width="13.28515625" customWidth="1"/>
  </cols>
  <sheetData>
    <row r="1" spans="1:10" ht="15" x14ac:dyDescent="0.2">
      <c r="A1" s="5" t="str">
        <f ca="1">MID(CELL("filename",$A$1),FIND("]",CELL("filename",$A$1),1)+1,1024)</f>
        <v>WOOLF ENTER.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6" t="s">
        <v>330</v>
      </c>
      <c r="B5" s="6">
        <v>123997</v>
      </c>
      <c r="C5" s="6">
        <v>8</v>
      </c>
      <c r="D5" s="8" t="s">
        <v>67</v>
      </c>
      <c r="E5" s="10">
        <v>43770</v>
      </c>
      <c r="F5" s="10">
        <v>44135</v>
      </c>
      <c r="G5" s="6"/>
      <c r="H5" s="6"/>
      <c r="I5" s="6"/>
      <c r="J5" s="6"/>
    </row>
    <row r="6" spans="1:10" x14ac:dyDescent="0.2">
      <c r="A6" s="6"/>
      <c r="B6" s="6"/>
      <c r="C6" s="6">
        <v>65</v>
      </c>
      <c r="D6" s="6" t="s">
        <v>48</v>
      </c>
      <c r="E6" s="10">
        <v>43770</v>
      </c>
      <c r="F6" s="10">
        <v>44135</v>
      </c>
      <c r="G6" s="6"/>
      <c r="H6" s="6"/>
      <c r="I6" s="6"/>
      <c r="J6" s="6"/>
    </row>
    <row r="7" spans="1:10" x14ac:dyDescent="0.2">
      <c r="A7" s="6"/>
      <c r="B7" s="6"/>
      <c r="C7" s="6">
        <v>80</v>
      </c>
      <c r="D7" s="6" t="s">
        <v>134</v>
      </c>
      <c r="E7" s="10">
        <v>43770</v>
      </c>
      <c r="F7" s="10">
        <v>44135</v>
      </c>
      <c r="G7" s="6"/>
      <c r="H7" s="6"/>
      <c r="I7" s="6"/>
      <c r="J7" s="6"/>
    </row>
    <row r="8" spans="1:10" x14ac:dyDescent="0.2">
      <c r="A8" s="6"/>
      <c r="B8" s="6"/>
      <c r="C8" s="6">
        <v>65</v>
      </c>
      <c r="D8" s="6" t="s">
        <v>346</v>
      </c>
      <c r="E8" s="10">
        <v>43770</v>
      </c>
      <c r="F8" s="10">
        <v>44135</v>
      </c>
      <c r="G8" s="6"/>
      <c r="H8" s="6"/>
      <c r="I8" s="6"/>
      <c r="J8" s="6"/>
    </row>
    <row r="9" spans="1:10" x14ac:dyDescent="0.2">
      <c r="A9" s="19"/>
      <c r="B9" s="19"/>
      <c r="C9" s="19"/>
      <c r="D9" s="19"/>
      <c r="E9" s="29"/>
      <c r="F9" s="29"/>
      <c r="G9" s="19"/>
      <c r="H9" s="19"/>
      <c r="I9" s="19"/>
      <c r="J9" s="19"/>
    </row>
    <row r="10" spans="1:10" x14ac:dyDescent="0.2">
      <c r="A10" s="6"/>
      <c r="B10" s="8" t="s">
        <v>662</v>
      </c>
      <c r="C10" s="6">
        <v>129</v>
      </c>
      <c r="D10" s="8" t="s">
        <v>67</v>
      </c>
      <c r="E10" s="10">
        <v>44344</v>
      </c>
      <c r="F10" s="10">
        <v>44467</v>
      </c>
      <c r="G10" s="6"/>
      <c r="H10" s="6"/>
      <c r="I10" s="6"/>
      <c r="J10" s="6"/>
    </row>
    <row r="11" spans="1:10" x14ac:dyDescent="0.2">
      <c r="A11" s="8"/>
      <c r="B11" s="6"/>
      <c r="C11" s="6">
        <v>54</v>
      </c>
      <c r="D11" s="8" t="s">
        <v>91</v>
      </c>
      <c r="E11" s="10">
        <v>44344</v>
      </c>
      <c r="F11" s="10">
        <v>44467</v>
      </c>
      <c r="G11" s="6"/>
      <c r="H11" s="6"/>
      <c r="I11" s="6"/>
      <c r="J11" s="6"/>
    </row>
    <row r="12" spans="1:10" x14ac:dyDescent="0.2">
      <c r="A12" s="6"/>
      <c r="B12" s="6"/>
      <c r="C12" s="6">
        <v>90</v>
      </c>
      <c r="D12" s="8" t="s">
        <v>48</v>
      </c>
      <c r="E12" s="10">
        <v>44344</v>
      </c>
      <c r="F12" s="10">
        <v>44467</v>
      </c>
      <c r="G12" s="6"/>
      <c r="H12" s="6"/>
      <c r="I12" s="6"/>
      <c r="J12" s="6"/>
    </row>
    <row r="13" spans="1:10" x14ac:dyDescent="0.2">
      <c r="A13" s="6"/>
      <c r="B13" s="6"/>
      <c r="C13" s="6">
        <v>86</v>
      </c>
      <c r="D13" s="8" t="s">
        <v>663</v>
      </c>
      <c r="E13" s="10">
        <v>44344</v>
      </c>
      <c r="F13" s="10">
        <v>44467</v>
      </c>
      <c r="G13" s="6"/>
      <c r="H13" s="6"/>
      <c r="I13" s="6"/>
      <c r="J13" s="6"/>
    </row>
    <row r="14" spans="1:10" x14ac:dyDescent="0.2">
      <c r="A14" s="6"/>
      <c r="B14" s="6"/>
      <c r="C14" s="6">
        <v>4</v>
      </c>
      <c r="D14" s="8" t="s">
        <v>664</v>
      </c>
      <c r="E14" s="10">
        <v>44344</v>
      </c>
      <c r="F14" s="10">
        <v>44467</v>
      </c>
      <c r="G14" s="6"/>
      <c r="H14" s="6"/>
      <c r="I14" s="6"/>
      <c r="J14" s="6"/>
    </row>
    <row r="15" spans="1:10" x14ac:dyDescent="0.2">
      <c r="A15" s="8"/>
      <c r="B15" s="6"/>
      <c r="C15" s="6">
        <v>2</v>
      </c>
      <c r="D15" s="8" t="s">
        <v>665</v>
      </c>
      <c r="E15" s="10">
        <v>44344</v>
      </c>
      <c r="F15" s="10">
        <v>44467</v>
      </c>
      <c r="G15" s="6"/>
      <c r="H15" s="6"/>
      <c r="I15" s="6"/>
      <c r="J15" s="6"/>
    </row>
    <row r="16" spans="1:10" x14ac:dyDescent="0.2">
      <c r="A16" s="6"/>
      <c r="B16" s="6"/>
      <c r="C16" s="6">
        <v>1</v>
      </c>
      <c r="D16" s="8" t="s">
        <v>666</v>
      </c>
      <c r="E16" s="10">
        <v>44344</v>
      </c>
      <c r="F16" s="10">
        <v>44467</v>
      </c>
      <c r="G16" s="6"/>
      <c r="H16" s="6"/>
      <c r="I16" s="6"/>
      <c r="J16" s="6"/>
    </row>
    <row r="17" spans="1:10" x14ac:dyDescent="0.2">
      <c r="A17" s="6"/>
      <c r="B17" s="6"/>
      <c r="C17" s="6">
        <v>6</v>
      </c>
      <c r="D17" s="8" t="s">
        <v>667</v>
      </c>
      <c r="E17" s="10">
        <v>44344</v>
      </c>
      <c r="F17" s="10">
        <v>44467</v>
      </c>
      <c r="G17" s="6"/>
      <c r="H17" s="6"/>
      <c r="I17" s="6"/>
      <c r="J17" s="6"/>
    </row>
    <row r="18" spans="1:10" x14ac:dyDescent="0.2">
      <c r="A18" s="19"/>
      <c r="B18" s="19"/>
      <c r="C18" s="19"/>
      <c r="D18" s="30"/>
      <c r="E18" s="29"/>
      <c r="F18" s="29"/>
      <c r="G18" s="19"/>
      <c r="H18" s="19"/>
      <c r="I18" s="19"/>
      <c r="J18" s="19"/>
    </row>
    <row r="19" spans="1:10" x14ac:dyDescent="0.2">
      <c r="A19" s="8" t="s">
        <v>340</v>
      </c>
      <c r="B19" s="8" t="s">
        <v>814</v>
      </c>
      <c r="C19" s="6">
        <v>200</v>
      </c>
      <c r="D19" s="8" t="s">
        <v>220</v>
      </c>
      <c r="E19" s="10">
        <v>44301</v>
      </c>
      <c r="F19" s="10">
        <v>44484</v>
      </c>
      <c r="G19" s="6"/>
      <c r="H19" s="6"/>
      <c r="I19" s="6"/>
      <c r="J19" s="6"/>
    </row>
    <row r="20" spans="1:10" x14ac:dyDescent="0.2">
      <c r="A20" s="6"/>
      <c r="B20" s="6"/>
      <c r="C20" s="6">
        <v>205</v>
      </c>
      <c r="D20" s="8" t="s">
        <v>167</v>
      </c>
      <c r="E20" s="10">
        <v>44301</v>
      </c>
      <c r="F20" s="10">
        <v>44484</v>
      </c>
      <c r="G20" s="6"/>
      <c r="H20" s="6"/>
      <c r="I20" s="6"/>
      <c r="J20" s="6"/>
    </row>
    <row r="21" spans="1:10" x14ac:dyDescent="0.2">
      <c r="A21" s="6"/>
      <c r="B21" s="6"/>
      <c r="C21" s="6">
        <v>2</v>
      </c>
      <c r="D21" s="8" t="s">
        <v>341</v>
      </c>
      <c r="E21" s="10">
        <v>44301</v>
      </c>
      <c r="F21" s="10">
        <v>44484</v>
      </c>
      <c r="G21" s="6"/>
      <c r="H21" s="6"/>
      <c r="I21" s="6"/>
      <c r="J21" s="6"/>
    </row>
    <row r="22" spans="1:10" x14ac:dyDescent="0.2">
      <c r="A22" s="6"/>
      <c r="B22" s="6"/>
      <c r="C22" s="6">
        <v>4</v>
      </c>
      <c r="D22" s="8" t="s">
        <v>665</v>
      </c>
      <c r="E22" s="10">
        <v>44301</v>
      </c>
      <c r="F22" s="10">
        <v>44484</v>
      </c>
      <c r="G22" s="6"/>
      <c r="H22" s="6"/>
      <c r="I22" s="6"/>
      <c r="J22" s="6"/>
    </row>
    <row r="23" spans="1:10" x14ac:dyDescent="0.2">
      <c r="A23" s="6"/>
      <c r="B23" s="6"/>
      <c r="C23" s="6">
        <v>4</v>
      </c>
      <c r="D23" s="8" t="s">
        <v>89</v>
      </c>
      <c r="E23" s="10">
        <v>44301</v>
      </c>
      <c r="F23" s="10">
        <v>44484</v>
      </c>
      <c r="G23" s="6"/>
      <c r="H23" s="6"/>
      <c r="I23" s="6"/>
      <c r="J23" s="6"/>
    </row>
    <row r="24" spans="1:10" x14ac:dyDescent="0.2">
      <c r="A24" s="6"/>
      <c r="B24" s="6"/>
      <c r="C24" s="6">
        <v>2</v>
      </c>
      <c r="D24" s="8" t="s">
        <v>54</v>
      </c>
      <c r="E24" s="10">
        <v>44301</v>
      </c>
      <c r="F24" s="10">
        <v>44484</v>
      </c>
      <c r="G24" s="6"/>
      <c r="H24" s="6"/>
      <c r="I24" s="6"/>
      <c r="J24" s="6"/>
    </row>
    <row r="25" spans="1:10" x14ac:dyDescent="0.2">
      <c r="A25" s="6"/>
      <c r="B25" s="6"/>
      <c r="C25" s="6">
        <v>129</v>
      </c>
      <c r="D25" s="8" t="s">
        <v>815</v>
      </c>
      <c r="E25" s="10">
        <v>44301</v>
      </c>
      <c r="F25" s="10">
        <v>44484</v>
      </c>
      <c r="G25" s="6"/>
      <c r="H25" s="6"/>
      <c r="I25" s="6"/>
      <c r="J25" s="6"/>
    </row>
    <row r="26" spans="1:10" x14ac:dyDescent="0.2">
      <c r="A26" s="6"/>
      <c r="B26" s="6"/>
      <c r="C26" s="6">
        <v>2</v>
      </c>
      <c r="D26" s="8" t="s">
        <v>816</v>
      </c>
      <c r="E26" s="10">
        <v>44301</v>
      </c>
      <c r="F26" s="10">
        <v>44484</v>
      </c>
      <c r="G26" s="6"/>
      <c r="H26" s="6"/>
      <c r="I26" s="6"/>
      <c r="J26" s="6"/>
    </row>
    <row r="27" spans="1:10" x14ac:dyDescent="0.2">
      <c r="A27" s="6"/>
      <c r="B27" s="6"/>
      <c r="C27" s="6">
        <v>1</v>
      </c>
      <c r="D27" s="8" t="s">
        <v>817</v>
      </c>
      <c r="E27" s="10">
        <v>44301</v>
      </c>
      <c r="F27" s="10">
        <v>44484</v>
      </c>
      <c r="G27" s="6"/>
      <c r="H27" s="6"/>
      <c r="I27" s="6"/>
      <c r="J27" s="6"/>
    </row>
    <row r="28" spans="1:10" x14ac:dyDescent="0.2">
      <c r="A28" s="6"/>
      <c r="B28" s="6"/>
      <c r="C28" s="6">
        <v>2</v>
      </c>
      <c r="D28" s="8" t="s">
        <v>516</v>
      </c>
      <c r="E28" s="10">
        <v>44301</v>
      </c>
      <c r="F28" s="10">
        <v>44484</v>
      </c>
      <c r="G28" s="6"/>
      <c r="H28" s="6"/>
      <c r="I28" s="6"/>
      <c r="J28" s="6"/>
    </row>
    <row r="29" spans="1:10" x14ac:dyDescent="0.2">
      <c r="A29" s="19"/>
      <c r="B29" s="19"/>
      <c r="C29" s="19"/>
      <c r="D29" s="19"/>
      <c r="E29" s="29"/>
      <c r="F29" s="29"/>
      <c r="G29" s="19"/>
      <c r="H29" s="19"/>
      <c r="I29" s="19"/>
      <c r="J29" s="19"/>
    </row>
    <row r="30" spans="1:10" x14ac:dyDescent="0.2">
      <c r="A30" s="6"/>
      <c r="B30" s="8" t="s">
        <v>662</v>
      </c>
      <c r="C30" s="6">
        <v>129</v>
      </c>
      <c r="D30" s="8" t="s">
        <v>220</v>
      </c>
      <c r="E30" s="10">
        <v>44344</v>
      </c>
      <c r="F30" s="10">
        <v>44467</v>
      </c>
      <c r="G30" s="6"/>
      <c r="H30" s="6"/>
      <c r="I30" s="6"/>
      <c r="J30" s="6"/>
    </row>
    <row r="31" spans="1:10" x14ac:dyDescent="0.2">
      <c r="A31" s="6"/>
      <c r="B31" s="6"/>
      <c r="C31" s="6">
        <v>54</v>
      </c>
      <c r="D31" s="8" t="s">
        <v>167</v>
      </c>
      <c r="E31" s="10">
        <v>44344</v>
      </c>
      <c r="F31" s="10">
        <v>44467</v>
      </c>
      <c r="G31" s="6"/>
      <c r="H31" s="6"/>
      <c r="I31" s="6"/>
      <c r="J31" s="6"/>
    </row>
    <row r="32" spans="1:10" x14ac:dyDescent="0.2">
      <c r="A32" s="6"/>
      <c r="B32" s="6"/>
      <c r="C32" s="6">
        <v>90</v>
      </c>
      <c r="D32" s="8" t="s">
        <v>136</v>
      </c>
      <c r="E32" s="10">
        <v>44344</v>
      </c>
      <c r="F32" s="10">
        <v>44467</v>
      </c>
      <c r="G32" s="6"/>
      <c r="H32" s="6"/>
      <c r="I32" s="6"/>
      <c r="J32" s="6"/>
    </row>
    <row r="33" spans="1:10" x14ac:dyDescent="0.2">
      <c r="A33" s="6"/>
      <c r="B33" s="6"/>
      <c r="C33" s="6">
        <v>86</v>
      </c>
      <c r="D33" s="8" t="s">
        <v>106</v>
      </c>
      <c r="E33" s="10">
        <v>44344</v>
      </c>
      <c r="F33" s="10">
        <v>44467</v>
      </c>
      <c r="G33" s="6"/>
      <c r="H33" s="6"/>
      <c r="I33" s="6"/>
      <c r="J33" s="6"/>
    </row>
    <row r="34" spans="1:10" x14ac:dyDescent="0.2">
      <c r="A34" s="6"/>
      <c r="B34" s="6"/>
      <c r="C34" s="6">
        <v>4</v>
      </c>
      <c r="D34" s="8" t="s">
        <v>818</v>
      </c>
      <c r="E34" s="10">
        <v>44344</v>
      </c>
      <c r="F34" s="10">
        <v>44467</v>
      </c>
      <c r="G34" s="6"/>
      <c r="H34" s="6"/>
      <c r="I34" s="6"/>
      <c r="J34" s="6"/>
    </row>
    <row r="35" spans="1:10" x14ac:dyDescent="0.2">
      <c r="A35" s="6"/>
      <c r="B35" s="6"/>
      <c r="C35" s="6">
        <v>2</v>
      </c>
      <c r="D35" s="8" t="s">
        <v>665</v>
      </c>
      <c r="E35" s="10">
        <v>44344</v>
      </c>
      <c r="F35" s="10">
        <v>44467</v>
      </c>
      <c r="G35" s="6"/>
      <c r="H35" s="6"/>
      <c r="I35" s="6"/>
      <c r="J35" s="6"/>
    </row>
    <row r="36" spans="1:10" x14ac:dyDescent="0.2">
      <c r="A36" s="6"/>
      <c r="B36" s="6"/>
      <c r="C36" s="6">
        <v>1</v>
      </c>
      <c r="D36" s="8" t="s">
        <v>819</v>
      </c>
      <c r="E36" s="10">
        <v>44344</v>
      </c>
      <c r="F36" s="10">
        <v>44467</v>
      </c>
      <c r="G36" s="6"/>
      <c r="H36" s="6"/>
      <c r="I36" s="6"/>
      <c r="J36" s="6"/>
    </row>
    <row r="37" spans="1:10" x14ac:dyDescent="0.2">
      <c r="A37" s="6"/>
      <c r="B37" s="6"/>
      <c r="C37" s="6">
        <v>6</v>
      </c>
      <c r="D37" s="8" t="s">
        <v>820</v>
      </c>
      <c r="E37" s="10">
        <v>44344</v>
      </c>
      <c r="F37" s="10">
        <v>44467</v>
      </c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10"/>
      <c r="F38" s="10"/>
      <c r="G38" s="6"/>
      <c r="H38" s="6"/>
      <c r="I38" s="6"/>
      <c r="J38" s="6"/>
    </row>
    <row r="39" spans="1:10" x14ac:dyDescent="0.2">
      <c r="A39" s="6"/>
      <c r="B39" s="6"/>
      <c r="C39" s="6"/>
      <c r="D39" s="6"/>
      <c r="E39" s="10"/>
      <c r="F39" s="10"/>
      <c r="G39" s="6"/>
      <c r="H39" s="6"/>
      <c r="I39" s="6"/>
      <c r="J39" s="6"/>
    </row>
    <row r="40" spans="1:10" x14ac:dyDescent="0.2">
      <c r="A40" s="6"/>
      <c r="B40" s="6"/>
      <c r="C40" s="6"/>
      <c r="D40" s="6"/>
      <c r="E40" s="10"/>
      <c r="F40" s="10"/>
      <c r="G40" s="6"/>
      <c r="H40" s="6"/>
      <c r="I40" s="6"/>
      <c r="J40" s="6"/>
    </row>
  </sheetData>
  <mergeCells count="1">
    <mergeCell ref="I3:I4"/>
  </mergeCells>
  <pageMargins left="0.7" right="0.7" top="0.75" bottom="0.75" header="0.3" footer="0.3"/>
  <pageSetup scale="83" fitToHeight="6" orientation="landscape" horizontalDpi="300" r:id="rId1"/>
  <headerFooter>
    <oddFooter>&amp;R&amp;D</odd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7A122-7850-44A2-A379-EFD03FF7D403}">
  <sheetPr>
    <tabColor theme="0" tint="-0.34998626667073579"/>
    <pageSetUpPr fitToPage="1"/>
  </sheetPr>
  <dimension ref="A1:J31"/>
  <sheetViews>
    <sheetView workbookViewId="0"/>
  </sheetViews>
  <sheetFormatPr defaultRowHeight="12.75" x14ac:dyDescent="0.2"/>
  <cols>
    <col min="1" max="1" width="19.42578125" customWidth="1"/>
    <col min="2" max="2" width="16.140625" bestFit="1" customWidth="1"/>
    <col min="3" max="3" width="6.5703125" customWidth="1"/>
    <col min="4" max="4" width="29.28515625" customWidth="1"/>
    <col min="5" max="5" width="12.85546875" customWidth="1"/>
    <col min="6" max="6" width="11.5703125" customWidth="1"/>
    <col min="7" max="7" width="10.85546875" customWidth="1"/>
    <col min="8" max="8" width="10.7109375" customWidth="1"/>
    <col min="9" max="9" width="13.28515625" customWidth="1"/>
  </cols>
  <sheetData>
    <row r="1" spans="1:10" ht="15" x14ac:dyDescent="0.2">
      <c r="A1" s="5" t="str">
        <f ca="1">MID(CELL("filename",$A$1),FIND("]",CELL("filename",$A$1),1)+1,1024)</f>
        <v>WP RODUNER CATTLE &amp; FARMING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8" t="s">
        <v>1215</v>
      </c>
      <c r="B5" s="8" t="s">
        <v>1216</v>
      </c>
      <c r="C5" s="6">
        <v>64</v>
      </c>
      <c r="D5" s="8" t="s">
        <v>446</v>
      </c>
      <c r="E5" s="10">
        <v>44622</v>
      </c>
      <c r="F5" s="10">
        <v>44775</v>
      </c>
      <c r="G5" s="6"/>
      <c r="H5" s="6"/>
      <c r="I5" s="6"/>
      <c r="J5" s="6"/>
    </row>
    <row r="6" spans="1:10" x14ac:dyDescent="0.2">
      <c r="A6" s="6"/>
      <c r="B6" s="6"/>
      <c r="C6" s="6">
        <v>4</v>
      </c>
      <c r="D6" s="8" t="s">
        <v>785</v>
      </c>
      <c r="E6" s="10">
        <v>44622</v>
      </c>
      <c r="F6" s="10">
        <v>44775</v>
      </c>
      <c r="G6" s="6"/>
      <c r="H6" s="6"/>
      <c r="I6" s="6"/>
      <c r="J6" s="6"/>
    </row>
    <row r="7" spans="1:10" x14ac:dyDescent="0.2">
      <c r="A7" s="6"/>
      <c r="B7" s="6"/>
      <c r="C7" s="6">
        <v>2</v>
      </c>
      <c r="D7" s="8" t="s">
        <v>859</v>
      </c>
      <c r="E7" s="10">
        <v>44622</v>
      </c>
      <c r="F7" s="10">
        <v>44775</v>
      </c>
      <c r="G7" s="6"/>
      <c r="H7" s="6"/>
      <c r="I7" s="6"/>
      <c r="J7" s="6"/>
    </row>
    <row r="8" spans="1:10" x14ac:dyDescent="0.2">
      <c r="A8" s="6"/>
      <c r="B8" s="6"/>
      <c r="C8" s="6">
        <v>40</v>
      </c>
      <c r="D8" s="8" t="s">
        <v>735</v>
      </c>
      <c r="E8" s="10">
        <v>44622</v>
      </c>
      <c r="F8" s="10">
        <v>44775</v>
      </c>
      <c r="G8" s="6"/>
      <c r="H8" s="6"/>
      <c r="I8" s="6"/>
      <c r="J8" s="6"/>
    </row>
    <row r="9" spans="1:10" x14ac:dyDescent="0.2">
      <c r="A9" s="6"/>
      <c r="B9" s="6"/>
      <c r="C9" s="6">
        <v>2</v>
      </c>
      <c r="D9" s="8" t="s">
        <v>116</v>
      </c>
      <c r="E9" s="10">
        <v>44622</v>
      </c>
      <c r="F9" s="10">
        <v>44775</v>
      </c>
      <c r="G9" s="6"/>
      <c r="H9" s="6"/>
      <c r="I9" s="6"/>
      <c r="J9" s="6"/>
    </row>
    <row r="10" spans="1:10" x14ac:dyDescent="0.2">
      <c r="A10" s="6"/>
      <c r="B10" s="6"/>
      <c r="C10" s="6">
        <v>2</v>
      </c>
      <c r="D10" s="8" t="s">
        <v>360</v>
      </c>
      <c r="E10" s="10">
        <v>44622</v>
      </c>
      <c r="F10" s="10">
        <v>44775</v>
      </c>
      <c r="G10" s="6"/>
      <c r="H10" s="6"/>
      <c r="I10" s="6"/>
      <c r="J10" s="6"/>
    </row>
    <row r="11" spans="1:10" x14ac:dyDescent="0.2">
      <c r="A11" s="6"/>
      <c r="B11" s="6"/>
      <c r="C11" s="6">
        <v>2</v>
      </c>
      <c r="D11" s="8" t="s">
        <v>1217</v>
      </c>
      <c r="E11" s="10">
        <v>44622</v>
      </c>
      <c r="F11" s="10">
        <v>44775</v>
      </c>
      <c r="G11" s="6"/>
      <c r="H11" s="6"/>
      <c r="I11" s="6"/>
      <c r="J11" s="6"/>
    </row>
    <row r="12" spans="1:10" x14ac:dyDescent="0.2">
      <c r="A12" s="6"/>
      <c r="B12" s="6"/>
      <c r="C12" s="6"/>
      <c r="D12" s="6"/>
      <c r="E12" s="10"/>
      <c r="F12" s="10"/>
      <c r="G12" s="6"/>
      <c r="H12" s="6"/>
      <c r="I12" s="6"/>
      <c r="J12" s="6"/>
    </row>
    <row r="13" spans="1:10" x14ac:dyDescent="0.2">
      <c r="A13" s="6"/>
      <c r="B13" s="6"/>
      <c r="C13" s="6"/>
      <c r="D13" s="6"/>
      <c r="E13" s="10"/>
      <c r="F13" s="10"/>
      <c r="G13" s="6"/>
      <c r="H13" s="6"/>
      <c r="I13" s="6"/>
      <c r="J13" s="6"/>
    </row>
    <row r="14" spans="1:10" x14ac:dyDescent="0.2">
      <c r="A14" s="6"/>
      <c r="B14" s="6"/>
      <c r="C14" s="6"/>
      <c r="D14" s="6"/>
      <c r="E14" s="10"/>
      <c r="F14" s="10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10"/>
      <c r="F15" s="10"/>
      <c r="G15" s="6"/>
      <c r="H15" s="6"/>
      <c r="I15" s="6"/>
      <c r="J15" s="6"/>
    </row>
    <row r="16" spans="1:10" x14ac:dyDescent="0.2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2">
      <c r="A17" s="6"/>
      <c r="B17" s="6"/>
      <c r="C17" s="6"/>
      <c r="D17" s="6"/>
      <c r="E17" s="10"/>
      <c r="F17" s="10"/>
      <c r="G17" s="6"/>
      <c r="H17" s="6"/>
      <c r="I17" s="6"/>
      <c r="J17" s="6"/>
    </row>
    <row r="18" spans="1:10" x14ac:dyDescent="0.2">
      <c r="A18" s="6"/>
      <c r="B18" s="6"/>
      <c r="C18" s="6"/>
      <c r="D18" s="6"/>
      <c r="E18" s="10"/>
      <c r="F18" s="10"/>
      <c r="G18" s="6"/>
      <c r="H18" s="6"/>
      <c r="I18" s="6"/>
      <c r="J18" s="6"/>
    </row>
    <row r="19" spans="1:10" x14ac:dyDescent="0.2">
      <c r="A19" s="6"/>
      <c r="B19" s="6"/>
      <c r="C19" s="6"/>
      <c r="D19" s="6"/>
      <c r="E19" s="10"/>
      <c r="F19" s="10"/>
      <c r="G19" s="6"/>
      <c r="H19" s="6"/>
      <c r="I19" s="6"/>
      <c r="J19" s="6"/>
    </row>
    <row r="20" spans="1:10" x14ac:dyDescent="0.2">
      <c r="A20" s="6"/>
      <c r="B20" s="6"/>
      <c r="C20" s="6"/>
      <c r="D20" s="6"/>
      <c r="E20" s="10"/>
      <c r="F20" s="10"/>
      <c r="G20" s="6"/>
      <c r="H20" s="6"/>
      <c r="I20" s="6"/>
      <c r="J20" s="6"/>
    </row>
    <row r="21" spans="1:10" x14ac:dyDescent="0.2">
      <c r="A21" s="6"/>
      <c r="B21" s="6"/>
      <c r="C21" s="6"/>
      <c r="D21" s="6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6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6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6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10"/>
      <c r="F30" s="10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10"/>
      <c r="F31" s="10"/>
      <c r="G31" s="6"/>
      <c r="H31" s="6"/>
      <c r="I31" s="6"/>
      <c r="J31" s="6"/>
    </row>
  </sheetData>
  <mergeCells count="1">
    <mergeCell ref="I3:I4"/>
  </mergeCells>
  <pageMargins left="0.7" right="0.7" top="0.75" bottom="0.75" header="0.3" footer="0.3"/>
  <pageSetup scale="83" fitToHeight="6" orientation="landscape" horizontalDpi="300" r:id="rId1"/>
  <headerFooter>
    <oddFooter>&amp;R&amp;D</odd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9E23-90F1-462F-B667-CD1D025F3B75}">
  <sheetPr>
    <tabColor theme="0" tint="-0.34998626667073579"/>
    <pageSetUpPr fitToPage="1"/>
  </sheetPr>
  <dimension ref="A1:J25"/>
  <sheetViews>
    <sheetView workbookViewId="0"/>
  </sheetViews>
  <sheetFormatPr defaultRowHeight="12.75" x14ac:dyDescent="0.2"/>
  <cols>
    <col min="1" max="1" width="19.42578125" style="107" customWidth="1"/>
    <col min="2" max="2" width="13.7109375" style="107" bestFit="1" customWidth="1"/>
    <col min="3" max="3" width="6.5703125" style="107" customWidth="1"/>
    <col min="4" max="4" width="21.85546875" style="107" customWidth="1"/>
    <col min="5" max="5" width="12.85546875" style="107" customWidth="1"/>
    <col min="6" max="6" width="11.5703125" style="107" customWidth="1"/>
    <col min="7" max="7" width="10.85546875" style="107" customWidth="1"/>
    <col min="8" max="8" width="10.7109375" style="107" customWidth="1"/>
    <col min="9" max="9" width="13.28515625" style="107" customWidth="1"/>
    <col min="10" max="16384" width="9.140625" style="107"/>
  </cols>
  <sheetData>
    <row r="1" spans="1:10" ht="15" x14ac:dyDescent="0.2">
      <c r="A1" s="121" t="str">
        <f ca="1">MID(CELL("filename",$A$1),FIND("]",CELL("filename",$A$1),1)+1,1024)</f>
        <v>VARSITY PRODUCE</v>
      </c>
      <c r="B1" s="108"/>
      <c r="C1" s="108"/>
      <c r="D1" s="108"/>
      <c r="E1" s="108"/>
      <c r="F1" s="108"/>
      <c r="G1" s="108"/>
      <c r="H1" s="108"/>
      <c r="I1" s="108"/>
      <c r="J1" s="108"/>
    </row>
    <row r="2" spans="1:10" x14ac:dyDescent="0.2">
      <c r="A2" s="108"/>
      <c r="B2" s="108"/>
      <c r="C2" s="108"/>
      <c r="D2" s="108"/>
      <c r="E2" s="108"/>
      <c r="F2" s="108"/>
      <c r="G2" s="108"/>
      <c r="H2" s="108"/>
      <c r="I2" s="108"/>
      <c r="J2" s="108"/>
    </row>
    <row r="3" spans="1:10" x14ac:dyDescent="0.2">
      <c r="A3" s="108"/>
      <c r="B3" s="108"/>
      <c r="C3" s="108"/>
      <c r="D3" s="108"/>
      <c r="E3" s="108"/>
      <c r="F3" s="108"/>
      <c r="G3" s="108"/>
      <c r="H3" s="108"/>
      <c r="I3" s="165" t="s">
        <v>96</v>
      </c>
      <c r="J3" s="108"/>
    </row>
    <row r="4" spans="1:10" s="115" customFormat="1" ht="15" x14ac:dyDescent="0.35">
      <c r="A4" s="117" t="s">
        <v>0</v>
      </c>
      <c r="B4" s="117" t="s">
        <v>100</v>
      </c>
      <c r="C4" s="117" t="s">
        <v>2</v>
      </c>
      <c r="D4" s="119" t="s">
        <v>3</v>
      </c>
      <c r="E4" s="118" t="s">
        <v>4</v>
      </c>
      <c r="F4" s="117" t="s">
        <v>5</v>
      </c>
      <c r="G4" s="116" t="s">
        <v>95</v>
      </c>
      <c r="H4" s="116" t="s">
        <v>92</v>
      </c>
      <c r="I4" s="165"/>
      <c r="J4" s="116" t="s">
        <v>94</v>
      </c>
    </row>
    <row r="5" spans="1:10" x14ac:dyDescent="0.2">
      <c r="A5" s="108" t="s">
        <v>799</v>
      </c>
      <c r="B5" s="108" t="s">
        <v>800</v>
      </c>
      <c r="C5" s="108">
        <v>4283</v>
      </c>
      <c r="D5" s="108" t="s">
        <v>777</v>
      </c>
      <c r="E5" s="109">
        <v>44252</v>
      </c>
      <c r="F5" s="109">
        <v>44402</v>
      </c>
      <c r="G5" s="108"/>
      <c r="H5" s="108"/>
      <c r="I5" s="108"/>
      <c r="J5" s="108"/>
    </row>
    <row r="6" spans="1:10" x14ac:dyDescent="0.2">
      <c r="A6" s="108"/>
      <c r="B6" s="108"/>
      <c r="C6" s="108">
        <v>85</v>
      </c>
      <c r="D6" s="108" t="s">
        <v>83</v>
      </c>
      <c r="E6" s="109">
        <v>44252</v>
      </c>
      <c r="F6" s="109">
        <v>44402</v>
      </c>
      <c r="G6" s="108"/>
      <c r="H6" s="108"/>
      <c r="I6" s="108"/>
      <c r="J6" s="108"/>
    </row>
    <row r="7" spans="1:10" x14ac:dyDescent="0.2">
      <c r="A7" s="108"/>
      <c r="B7" s="108"/>
      <c r="C7" s="108">
        <v>180</v>
      </c>
      <c r="D7" s="108" t="s">
        <v>71</v>
      </c>
      <c r="E7" s="109">
        <v>44252</v>
      </c>
      <c r="F7" s="109">
        <v>44402</v>
      </c>
      <c r="G7" s="108"/>
      <c r="H7" s="108"/>
      <c r="I7" s="108"/>
      <c r="J7" s="108"/>
    </row>
    <row r="8" spans="1:10" x14ac:dyDescent="0.2">
      <c r="A8" s="108"/>
      <c r="B8" s="108"/>
      <c r="C8" s="108">
        <v>8</v>
      </c>
      <c r="D8" s="108" t="s">
        <v>499</v>
      </c>
      <c r="E8" s="109">
        <v>44252</v>
      </c>
      <c r="F8" s="109">
        <v>44402</v>
      </c>
      <c r="G8" s="108"/>
      <c r="H8" s="108"/>
      <c r="I8" s="108"/>
      <c r="J8" s="108"/>
    </row>
    <row r="9" spans="1:10" x14ac:dyDescent="0.2">
      <c r="A9" s="108"/>
      <c r="B9" s="108"/>
      <c r="C9" s="108">
        <v>8</v>
      </c>
      <c r="D9" s="108" t="s">
        <v>440</v>
      </c>
      <c r="E9" s="109">
        <v>44252</v>
      </c>
      <c r="F9" s="109">
        <v>44402</v>
      </c>
      <c r="G9" s="108"/>
      <c r="H9" s="108"/>
      <c r="I9" s="108"/>
      <c r="J9" s="108"/>
    </row>
    <row r="10" spans="1:10" x14ac:dyDescent="0.2">
      <c r="A10" s="108"/>
      <c r="B10" s="108"/>
      <c r="C10" s="108">
        <v>100</v>
      </c>
      <c r="D10" s="108" t="s">
        <v>445</v>
      </c>
      <c r="E10" s="109">
        <v>44252</v>
      </c>
      <c r="F10" s="109">
        <v>44402</v>
      </c>
      <c r="G10" s="108"/>
      <c r="H10" s="108"/>
      <c r="I10" s="108"/>
      <c r="J10" s="108"/>
    </row>
    <row r="11" spans="1:10" x14ac:dyDescent="0.2">
      <c r="A11" s="108"/>
      <c r="B11" s="108"/>
      <c r="C11" s="108">
        <v>8</v>
      </c>
      <c r="D11" s="108" t="s">
        <v>121</v>
      </c>
      <c r="E11" s="109">
        <v>44252</v>
      </c>
      <c r="F11" s="109">
        <v>44402</v>
      </c>
      <c r="G11" s="108"/>
      <c r="H11" s="108"/>
      <c r="I11" s="108"/>
      <c r="J11" s="108"/>
    </row>
    <row r="12" spans="1:10" x14ac:dyDescent="0.2">
      <c r="A12" s="110"/>
      <c r="B12" s="110"/>
      <c r="C12" s="110"/>
      <c r="D12" s="110"/>
      <c r="E12" s="110"/>
      <c r="F12" s="110"/>
      <c r="G12" s="110"/>
      <c r="H12" s="110"/>
      <c r="I12" s="110"/>
      <c r="J12" s="110"/>
    </row>
    <row r="13" spans="1:10" x14ac:dyDescent="0.2">
      <c r="A13" s="108" t="s">
        <v>118</v>
      </c>
      <c r="B13" s="108" t="s">
        <v>801</v>
      </c>
      <c r="C13" s="108">
        <v>200</v>
      </c>
      <c r="D13" s="108" t="s">
        <v>802</v>
      </c>
      <c r="E13" s="109">
        <v>44256</v>
      </c>
      <c r="F13" s="109">
        <v>44408</v>
      </c>
      <c r="G13" s="108"/>
      <c r="H13" s="108"/>
      <c r="I13" s="108"/>
      <c r="J13" s="108"/>
    </row>
    <row r="14" spans="1:10" x14ac:dyDescent="0.2">
      <c r="A14" s="110"/>
      <c r="B14" s="110"/>
      <c r="C14" s="110"/>
      <c r="D14" s="110"/>
      <c r="E14" s="110"/>
      <c r="F14" s="110"/>
      <c r="G14" s="110"/>
      <c r="H14" s="110"/>
      <c r="I14" s="110"/>
      <c r="J14" s="110"/>
    </row>
    <row r="15" spans="1:10" x14ac:dyDescent="0.2">
      <c r="A15" s="108" t="s">
        <v>812</v>
      </c>
      <c r="B15" s="108" t="s">
        <v>813</v>
      </c>
      <c r="C15" s="108">
        <v>27</v>
      </c>
      <c r="D15" s="108" t="s">
        <v>220</v>
      </c>
      <c r="E15" s="109">
        <v>44337</v>
      </c>
      <c r="F15" s="109">
        <v>44460</v>
      </c>
      <c r="G15" s="108"/>
      <c r="H15" s="108"/>
      <c r="I15" s="108"/>
      <c r="J15" s="108"/>
    </row>
    <row r="16" spans="1:10" x14ac:dyDescent="0.2">
      <c r="A16" s="108"/>
      <c r="B16" s="108"/>
      <c r="C16" s="108">
        <v>27</v>
      </c>
      <c r="D16" s="108" t="s">
        <v>136</v>
      </c>
      <c r="E16" s="109">
        <v>44337</v>
      </c>
      <c r="F16" s="109">
        <v>44460</v>
      </c>
      <c r="G16" s="108"/>
      <c r="H16" s="108"/>
      <c r="I16" s="108"/>
      <c r="J16" s="108"/>
    </row>
    <row r="17" spans="1:10" x14ac:dyDescent="0.2">
      <c r="A17" s="108"/>
      <c r="B17" s="108"/>
      <c r="C17" s="108">
        <v>27</v>
      </c>
      <c r="D17" s="108" t="s">
        <v>791</v>
      </c>
      <c r="E17" s="109">
        <v>44337</v>
      </c>
      <c r="F17" s="109">
        <v>44460</v>
      </c>
      <c r="G17" s="108"/>
      <c r="H17" s="108"/>
      <c r="I17" s="108"/>
      <c r="J17" s="108"/>
    </row>
    <row r="18" spans="1:10" x14ac:dyDescent="0.2">
      <c r="A18" s="108"/>
      <c r="B18" s="108"/>
      <c r="C18" s="108"/>
      <c r="D18" s="108"/>
      <c r="E18" s="108"/>
      <c r="F18" s="108"/>
      <c r="G18" s="108"/>
      <c r="H18" s="108"/>
      <c r="I18" s="108"/>
      <c r="J18" s="108"/>
    </row>
    <row r="19" spans="1:10" x14ac:dyDescent="0.2">
      <c r="A19" s="108"/>
      <c r="B19" s="108"/>
      <c r="C19" s="108"/>
      <c r="D19" s="108"/>
      <c r="E19" s="108"/>
      <c r="F19" s="108"/>
      <c r="G19" s="108"/>
      <c r="H19" s="108"/>
      <c r="I19" s="108"/>
      <c r="J19" s="108"/>
    </row>
    <row r="20" spans="1:10" x14ac:dyDescent="0.2">
      <c r="A20" s="108"/>
      <c r="B20" s="108"/>
      <c r="C20" s="108"/>
      <c r="D20" s="108"/>
      <c r="E20" s="108"/>
      <c r="F20" s="108"/>
      <c r="G20" s="108"/>
      <c r="H20" s="108"/>
      <c r="I20" s="108"/>
      <c r="J20" s="108"/>
    </row>
    <row r="21" spans="1:10" x14ac:dyDescent="0.2">
      <c r="A21" s="108"/>
      <c r="B21" s="108"/>
      <c r="C21" s="108"/>
      <c r="D21" s="108"/>
      <c r="E21" s="108"/>
      <c r="F21" s="108"/>
      <c r="G21" s="108"/>
      <c r="H21" s="108"/>
      <c r="I21" s="108"/>
      <c r="J21" s="108"/>
    </row>
    <row r="22" spans="1:10" x14ac:dyDescent="0.2">
      <c r="A22" s="108"/>
      <c r="B22" s="108"/>
      <c r="C22" s="108"/>
      <c r="D22" s="108"/>
      <c r="E22" s="108"/>
      <c r="F22" s="108"/>
      <c r="G22" s="108"/>
      <c r="H22" s="108"/>
      <c r="I22" s="108"/>
      <c r="J22" s="108"/>
    </row>
    <row r="23" spans="1:10" x14ac:dyDescent="0.2">
      <c r="A23" s="108"/>
      <c r="B23" s="108"/>
      <c r="C23" s="108"/>
      <c r="D23" s="108"/>
      <c r="E23" s="108"/>
      <c r="F23" s="108"/>
      <c r="G23" s="108"/>
      <c r="H23" s="108"/>
      <c r="I23" s="108"/>
      <c r="J23" s="108"/>
    </row>
    <row r="24" spans="1:10" x14ac:dyDescent="0.2">
      <c r="A24" s="108"/>
      <c r="B24" s="108"/>
      <c r="C24" s="108"/>
      <c r="D24" s="108"/>
      <c r="E24" s="108"/>
      <c r="F24" s="108"/>
      <c r="G24" s="108"/>
      <c r="H24" s="108"/>
      <c r="I24" s="108"/>
      <c r="J24" s="108"/>
    </row>
    <row r="25" spans="1:10" x14ac:dyDescent="0.2">
      <c r="A25" s="108"/>
      <c r="B25" s="108"/>
      <c r="C25" s="108"/>
      <c r="D25" s="108"/>
      <c r="E25" s="108"/>
      <c r="F25" s="108"/>
      <c r="G25" s="108"/>
      <c r="H25" s="108"/>
      <c r="I25" s="108"/>
      <c r="J25" s="108"/>
    </row>
  </sheetData>
  <mergeCells count="1">
    <mergeCell ref="I3:I4"/>
  </mergeCells>
  <pageMargins left="0.7" right="0.7" top="0.75" bottom="0.75" header="0.3" footer="0.3"/>
  <pageSetup scale="89" fitToHeight="6" orientation="landscape" horizontalDpi="300" r:id="rId1"/>
  <headerFooter>
    <oddFooter>&amp;R&amp;D</odd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F4BD-15A1-4B5F-B1A4-FED7F003880A}">
  <sheetPr>
    <tabColor theme="0" tint="-0.34998626667073579"/>
    <pageSetUpPr fitToPage="1"/>
  </sheetPr>
  <dimension ref="A1:J45"/>
  <sheetViews>
    <sheetView workbookViewId="0"/>
  </sheetViews>
  <sheetFormatPr defaultRowHeight="12.75" x14ac:dyDescent="0.2"/>
  <cols>
    <col min="1" max="1" width="19.42578125" customWidth="1"/>
    <col min="2" max="2" width="11" customWidth="1"/>
    <col min="3" max="3" width="6.5703125" customWidth="1"/>
    <col min="4" max="4" width="29.28515625" customWidth="1"/>
    <col min="5" max="5" width="12.85546875" customWidth="1"/>
    <col min="6" max="6" width="11.5703125" customWidth="1"/>
    <col min="7" max="7" width="10.85546875" customWidth="1"/>
    <col min="8" max="8" width="10.7109375" customWidth="1"/>
    <col min="9" max="9" width="13.28515625" customWidth="1"/>
  </cols>
  <sheetData>
    <row r="1" spans="1:10" ht="15" x14ac:dyDescent="0.2">
      <c r="A1" s="5" t="str">
        <f ca="1">MID(CELL("filename",$A$1),FIND("]",CELL("filename",$A$1),1)+1,1024)</f>
        <v>ZUCKERMAN HERITAGE</v>
      </c>
      <c r="B1" s="6"/>
      <c r="C1" s="6"/>
      <c r="D1" s="6"/>
      <c r="E1" s="6"/>
      <c r="F1" s="6"/>
      <c r="G1" s="6"/>
      <c r="H1" s="6"/>
      <c r="I1" s="6"/>
      <c r="J1" s="6"/>
    </row>
    <row r="2" spans="1:10" x14ac:dyDescent="0.2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x14ac:dyDescent="0.2">
      <c r="A3" s="6"/>
      <c r="B3" s="6"/>
      <c r="C3" s="6"/>
      <c r="D3" s="6"/>
      <c r="E3" s="6"/>
      <c r="F3" s="6"/>
      <c r="G3" s="6"/>
      <c r="H3" s="6"/>
      <c r="I3" s="164" t="s">
        <v>96</v>
      </c>
      <c r="J3" s="6"/>
    </row>
    <row r="4" spans="1:10" s="3" customFormat="1" ht="15" x14ac:dyDescent="0.35">
      <c r="A4" s="33" t="s">
        <v>0</v>
      </c>
      <c r="B4" s="33" t="s">
        <v>100</v>
      </c>
      <c r="C4" s="33" t="s">
        <v>2</v>
      </c>
      <c r="D4" s="34" t="s">
        <v>3</v>
      </c>
      <c r="E4" s="35" t="s">
        <v>4</v>
      </c>
      <c r="F4" s="33" t="s">
        <v>5</v>
      </c>
      <c r="G4" s="36" t="s">
        <v>95</v>
      </c>
      <c r="H4" s="36" t="s">
        <v>92</v>
      </c>
      <c r="I4" s="164"/>
      <c r="J4" s="36" t="s">
        <v>94</v>
      </c>
    </row>
    <row r="5" spans="1:10" x14ac:dyDescent="0.2">
      <c r="A5" s="8" t="s">
        <v>508</v>
      </c>
      <c r="B5" s="8" t="s">
        <v>509</v>
      </c>
      <c r="C5" s="6">
        <v>2600</v>
      </c>
      <c r="D5" s="8" t="s">
        <v>510</v>
      </c>
      <c r="E5" s="10">
        <v>43891</v>
      </c>
      <c r="F5" s="10">
        <v>44073</v>
      </c>
      <c r="G5" s="6"/>
      <c r="H5" s="6"/>
      <c r="I5" s="6"/>
      <c r="J5" s="6"/>
    </row>
    <row r="6" spans="1:10" x14ac:dyDescent="0.2">
      <c r="A6" s="6"/>
      <c r="B6" s="6"/>
      <c r="C6" s="6">
        <v>33</v>
      </c>
      <c r="D6" s="8" t="s">
        <v>83</v>
      </c>
      <c r="E6" s="10">
        <v>43891</v>
      </c>
      <c r="F6" s="10">
        <v>44073</v>
      </c>
      <c r="G6" s="6"/>
      <c r="H6" s="6"/>
      <c r="I6" s="6"/>
      <c r="J6" s="6"/>
    </row>
    <row r="7" spans="1:10" x14ac:dyDescent="0.2">
      <c r="A7" s="6"/>
      <c r="B7" s="6"/>
      <c r="C7" s="6">
        <v>66</v>
      </c>
      <c r="D7" s="8" t="s">
        <v>71</v>
      </c>
      <c r="E7" s="10">
        <v>43891</v>
      </c>
      <c r="F7" s="10">
        <v>44073</v>
      </c>
      <c r="G7" s="6"/>
      <c r="H7" s="6"/>
      <c r="I7" s="6"/>
      <c r="J7" s="6"/>
    </row>
    <row r="8" spans="1:10" x14ac:dyDescent="0.2">
      <c r="A8" s="19"/>
      <c r="B8" s="19"/>
      <c r="C8" s="19"/>
      <c r="D8" s="19"/>
      <c r="E8" s="29"/>
      <c r="F8" s="29"/>
      <c r="G8" s="19"/>
      <c r="H8" s="19"/>
      <c r="I8" s="19"/>
      <c r="J8" s="19"/>
    </row>
    <row r="9" spans="1:10" x14ac:dyDescent="0.2">
      <c r="A9" s="8" t="s">
        <v>511</v>
      </c>
      <c r="B9" s="8" t="s">
        <v>513</v>
      </c>
      <c r="C9" s="6">
        <v>2055</v>
      </c>
      <c r="D9" s="8" t="s">
        <v>485</v>
      </c>
      <c r="E9" s="10">
        <v>43892</v>
      </c>
      <c r="F9" s="10">
        <v>44045</v>
      </c>
      <c r="G9" s="6"/>
      <c r="H9" s="6"/>
      <c r="I9" s="6"/>
      <c r="J9" s="6"/>
    </row>
    <row r="10" spans="1:10" x14ac:dyDescent="0.2">
      <c r="A10" s="8" t="s">
        <v>512</v>
      </c>
      <c r="B10" s="6"/>
      <c r="C10" s="6">
        <v>55</v>
      </c>
      <c r="D10" s="8" t="s">
        <v>413</v>
      </c>
      <c r="E10" s="10">
        <v>43892</v>
      </c>
      <c r="F10" s="10">
        <v>44045</v>
      </c>
      <c r="G10" s="6"/>
      <c r="H10" s="6"/>
      <c r="I10" s="6"/>
      <c r="J10" s="6"/>
    </row>
    <row r="11" spans="1:10" x14ac:dyDescent="0.2">
      <c r="A11" s="6"/>
      <c r="B11" s="6"/>
      <c r="C11" s="6">
        <v>57</v>
      </c>
      <c r="D11" s="8" t="s">
        <v>82</v>
      </c>
      <c r="E11" s="10">
        <v>43892</v>
      </c>
      <c r="F11" s="10">
        <v>44045</v>
      </c>
      <c r="G11" s="6"/>
      <c r="H11" s="6"/>
      <c r="I11" s="6"/>
      <c r="J11" s="6"/>
    </row>
    <row r="12" spans="1:10" x14ac:dyDescent="0.2">
      <c r="A12" s="6"/>
      <c r="B12" s="6"/>
      <c r="C12" s="6">
        <v>59</v>
      </c>
      <c r="D12" s="8" t="s">
        <v>71</v>
      </c>
      <c r="E12" s="10">
        <v>43892</v>
      </c>
      <c r="F12" s="10">
        <v>44045</v>
      </c>
      <c r="G12" s="6"/>
      <c r="H12" s="6"/>
      <c r="I12" s="6"/>
      <c r="J12" s="6"/>
    </row>
    <row r="13" spans="1:10" x14ac:dyDescent="0.2">
      <c r="A13" s="6"/>
      <c r="B13" s="6"/>
      <c r="C13" s="6">
        <v>55</v>
      </c>
      <c r="D13" s="8" t="s">
        <v>89</v>
      </c>
      <c r="E13" s="10">
        <v>43892</v>
      </c>
      <c r="F13" s="10">
        <v>44045</v>
      </c>
      <c r="G13" s="6"/>
      <c r="H13" s="6"/>
      <c r="I13" s="6"/>
      <c r="J13" s="6"/>
    </row>
    <row r="14" spans="1:10" x14ac:dyDescent="0.2">
      <c r="A14" s="6"/>
      <c r="B14" s="6"/>
      <c r="C14" s="6">
        <v>200</v>
      </c>
      <c r="D14" s="8" t="s">
        <v>49</v>
      </c>
      <c r="E14" s="10">
        <v>43892</v>
      </c>
      <c r="F14" s="10">
        <v>44045</v>
      </c>
      <c r="G14" s="6"/>
      <c r="H14" s="6"/>
      <c r="I14" s="6"/>
      <c r="J14" s="6"/>
    </row>
    <row r="15" spans="1:10" x14ac:dyDescent="0.2">
      <c r="A15" s="19"/>
      <c r="B15" s="19"/>
      <c r="C15" s="19"/>
      <c r="D15" s="19"/>
      <c r="E15" s="19"/>
      <c r="F15" s="19"/>
      <c r="G15" s="19"/>
      <c r="H15" s="19"/>
      <c r="I15" s="19"/>
      <c r="J15" s="19"/>
    </row>
    <row r="16" spans="1:10" x14ac:dyDescent="0.2">
      <c r="A16" s="8" t="s">
        <v>13</v>
      </c>
      <c r="B16" s="8" t="s">
        <v>514</v>
      </c>
      <c r="C16" s="6">
        <v>1200</v>
      </c>
      <c r="D16" s="8" t="s">
        <v>485</v>
      </c>
      <c r="E16" s="10">
        <v>43891</v>
      </c>
      <c r="F16" s="10">
        <v>44073</v>
      </c>
      <c r="G16" s="6"/>
      <c r="H16" s="6"/>
      <c r="I16" s="6"/>
      <c r="J16" s="6"/>
    </row>
    <row r="17" spans="1:10" x14ac:dyDescent="0.2">
      <c r="A17" s="6"/>
      <c r="B17" s="6"/>
      <c r="C17" s="6">
        <v>40</v>
      </c>
      <c r="D17" s="8" t="s">
        <v>83</v>
      </c>
      <c r="E17" s="10">
        <v>43891</v>
      </c>
      <c r="F17" s="10">
        <v>44073</v>
      </c>
      <c r="G17" s="6"/>
      <c r="H17" s="6"/>
      <c r="I17" s="6"/>
      <c r="J17" s="6"/>
    </row>
    <row r="18" spans="1:10" x14ac:dyDescent="0.2">
      <c r="A18" s="6"/>
      <c r="B18" s="6"/>
      <c r="C18" s="6">
        <v>80</v>
      </c>
      <c r="D18" s="8" t="s">
        <v>71</v>
      </c>
      <c r="E18" s="10">
        <v>43891</v>
      </c>
      <c r="F18" s="10">
        <v>44073</v>
      </c>
      <c r="G18" s="6"/>
      <c r="H18" s="6"/>
      <c r="I18" s="6"/>
      <c r="J18" s="6"/>
    </row>
    <row r="19" spans="1:10" x14ac:dyDescent="0.2">
      <c r="A19" s="6"/>
      <c r="B19" s="6"/>
      <c r="C19" s="6">
        <v>33</v>
      </c>
      <c r="D19" s="8" t="s">
        <v>424</v>
      </c>
      <c r="E19" s="10">
        <v>43891</v>
      </c>
      <c r="F19" s="10">
        <v>44073</v>
      </c>
      <c r="G19" s="6"/>
      <c r="H19" s="6"/>
      <c r="I19" s="6"/>
      <c r="J19" s="6"/>
    </row>
    <row r="20" spans="1:10" x14ac:dyDescent="0.2">
      <c r="A20" s="8"/>
      <c r="B20" s="6"/>
      <c r="C20" s="6">
        <v>35</v>
      </c>
      <c r="D20" s="8" t="s">
        <v>474</v>
      </c>
      <c r="E20" s="10">
        <v>43891</v>
      </c>
      <c r="F20" s="10">
        <v>44073</v>
      </c>
      <c r="G20" s="6"/>
      <c r="H20" s="6"/>
      <c r="I20" s="6"/>
      <c r="J20" s="6"/>
    </row>
    <row r="21" spans="1:10" x14ac:dyDescent="0.2">
      <c r="A21" s="6"/>
      <c r="B21" s="6"/>
      <c r="C21" s="6"/>
      <c r="D21" s="8"/>
      <c r="E21" s="10"/>
      <c r="F21" s="10"/>
      <c r="G21" s="6"/>
      <c r="H21" s="6"/>
      <c r="I21" s="6"/>
      <c r="J21" s="6"/>
    </row>
    <row r="22" spans="1:10" x14ac:dyDescent="0.2">
      <c r="A22" s="6"/>
      <c r="B22" s="6"/>
      <c r="C22" s="6"/>
      <c r="D22" s="8"/>
      <c r="E22" s="10"/>
      <c r="F22" s="10"/>
      <c r="G22" s="6"/>
      <c r="H22" s="6"/>
      <c r="I22" s="6"/>
      <c r="J22" s="6"/>
    </row>
    <row r="23" spans="1:10" x14ac:dyDescent="0.2">
      <c r="A23" s="6"/>
      <c r="B23" s="6"/>
      <c r="C23" s="6"/>
      <c r="D23" s="8"/>
      <c r="E23" s="10"/>
      <c r="F23" s="10"/>
      <c r="G23" s="6"/>
      <c r="H23" s="6"/>
      <c r="I23" s="6"/>
      <c r="J23" s="6"/>
    </row>
    <row r="24" spans="1:10" x14ac:dyDescent="0.2">
      <c r="A24" s="6"/>
      <c r="B24" s="6"/>
      <c r="C24" s="6"/>
      <c r="D24" s="8"/>
      <c r="E24" s="10"/>
      <c r="F24" s="10"/>
      <c r="G24" s="6"/>
      <c r="H24" s="6"/>
      <c r="I24" s="6"/>
      <c r="J24" s="6"/>
    </row>
    <row r="25" spans="1:10" x14ac:dyDescent="0.2">
      <c r="A25" s="6"/>
      <c r="B25" s="6"/>
      <c r="C25" s="6"/>
      <c r="D25" s="6"/>
      <c r="E25" s="10"/>
      <c r="F25" s="10"/>
      <c r="G25" s="6"/>
      <c r="H25" s="6"/>
      <c r="I25" s="6"/>
      <c r="J25" s="6"/>
    </row>
    <row r="26" spans="1:10" x14ac:dyDescent="0.2">
      <c r="A26" s="6"/>
      <c r="B26" s="6"/>
      <c r="C26" s="6"/>
      <c r="D26" s="6"/>
      <c r="E26" s="10"/>
      <c r="F26" s="10"/>
      <c r="G26" s="6"/>
      <c r="H26" s="6"/>
      <c r="I26" s="6"/>
      <c r="J26" s="6"/>
    </row>
    <row r="27" spans="1:10" x14ac:dyDescent="0.2">
      <c r="A27" s="6"/>
      <c r="B27" s="6"/>
      <c r="C27" s="6"/>
      <c r="D27" s="6"/>
      <c r="E27" s="10"/>
      <c r="F27" s="10"/>
      <c r="G27" s="6"/>
      <c r="H27" s="6"/>
      <c r="I27" s="6"/>
      <c r="J27" s="6"/>
    </row>
    <row r="28" spans="1:10" x14ac:dyDescent="0.2">
      <c r="A28" s="6"/>
      <c r="B28" s="6"/>
      <c r="C28" s="6"/>
      <c r="D28" s="6"/>
      <c r="E28" s="10"/>
      <c r="F28" s="10"/>
      <c r="G28" s="6"/>
      <c r="H28" s="6"/>
      <c r="I28" s="6"/>
      <c r="J28" s="6"/>
    </row>
    <row r="29" spans="1:10" x14ac:dyDescent="0.2">
      <c r="A29" s="6"/>
      <c r="B29" s="6"/>
      <c r="C29" s="6"/>
      <c r="D29" s="6"/>
      <c r="E29" s="10"/>
      <c r="F29" s="10"/>
      <c r="G29" s="6"/>
      <c r="H29" s="6"/>
      <c r="I29" s="6"/>
      <c r="J29" s="6"/>
    </row>
    <row r="30" spans="1:10" x14ac:dyDescent="0.2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2">
      <c r="A31" s="6"/>
      <c r="B31" s="6"/>
      <c r="C31" s="6"/>
      <c r="D31" s="6"/>
      <c r="E31" s="10"/>
      <c r="F31" s="10"/>
      <c r="G31" s="6"/>
      <c r="H31" s="6"/>
      <c r="I31" s="6"/>
      <c r="J31" s="6"/>
    </row>
    <row r="32" spans="1:10" x14ac:dyDescent="0.2">
      <c r="A32" s="6"/>
      <c r="B32" s="6"/>
      <c r="C32" s="6"/>
      <c r="D32" s="6"/>
      <c r="E32" s="10"/>
      <c r="F32" s="10"/>
      <c r="G32" s="6"/>
      <c r="H32" s="6"/>
      <c r="I32" s="6"/>
      <c r="J32" s="6"/>
    </row>
    <row r="33" spans="1:10" x14ac:dyDescent="0.2">
      <c r="A33" s="6"/>
      <c r="B33" s="6"/>
      <c r="C33" s="6"/>
      <c r="D33" s="6"/>
      <c r="E33" s="10"/>
      <c r="F33" s="10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10"/>
      <c r="F34" s="10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10"/>
      <c r="F35" s="10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10"/>
      <c r="F36" s="10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10"/>
      <c r="F37" s="10"/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10"/>
      <c r="F38" s="10"/>
      <c r="G38" s="6"/>
      <c r="H38" s="6"/>
      <c r="I38" s="6"/>
      <c r="J38" s="6"/>
    </row>
    <row r="39" spans="1:10" x14ac:dyDescent="0.2">
      <c r="A39" s="6"/>
      <c r="B39" s="6"/>
      <c r="C39" s="6"/>
      <c r="D39" s="6"/>
      <c r="E39" s="10"/>
      <c r="F39" s="10"/>
      <c r="G39" s="6"/>
      <c r="H39" s="6"/>
      <c r="I39" s="6"/>
      <c r="J39" s="6"/>
    </row>
    <row r="40" spans="1:10" x14ac:dyDescent="0.2">
      <c r="A40" s="6"/>
      <c r="B40" s="6"/>
      <c r="C40" s="6"/>
      <c r="D40" s="6"/>
      <c r="E40" s="10"/>
      <c r="F40" s="10"/>
      <c r="G40" s="6"/>
      <c r="H40" s="6"/>
      <c r="I40" s="6"/>
      <c r="J40" s="6"/>
    </row>
    <row r="41" spans="1:10" x14ac:dyDescent="0.2">
      <c r="A41" s="6"/>
      <c r="B41" s="6"/>
      <c r="C41" s="6"/>
      <c r="D41" s="6"/>
      <c r="E41" s="10"/>
      <c r="F41" s="10"/>
      <c r="G41" s="6"/>
      <c r="H41" s="6"/>
      <c r="I41" s="6"/>
      <c r="J41" s="6"/>
    </row>
    <row r="42" spans="1:10" x14ac:dyDescent="0.2">
      <c r="A42" s="6"/>
      <c r="B42" s="6"/>
      <c r="C42" s="6"/>
      <c r="D42" s="6"/>
      <c r="E42" s="10"/>
      <c r="F42" s="10"/>
      <c r="G42" s="6"/>
      <c r="H42" s="6"/>
      <c r="I42" s="6"/>
      <c r="J42" s="6"/>
    </row>
    <row r="43" spans="1:10" x14ac:dyDescent="0.2">
      <c r="A43" s="6"/>
      <c r="B43" s="6"/>
      <c r="C43" s="6"/>
      <c r="D43" s="6"/>
      <c r="E43" s="10"/>
      <c r="F43" s="10"/>
      <c r="G43" s="6"/>
      <c r="H43" s="6"/>
      <c r="I43" s="6"/>
      <c r="J43" s="6"/>
    </row>
    <row r="44" spans="1:10" x14ac:dyDescent="0.2">
      <c r="A44" s="6"/>
      <c r="B44" s="6"/>
      <c r="C44" s="6"/>
      <c r="D44" s="6"/>
      <c r="E44" s="10"/>
      <c r="F44" s="10"/>
      <c r="G44" s="6"/>
      <c r="H44" s="6"/>
      <c r="I44" s="6"/>
      <c r="J44" s="6"/>
    </row>
    <row r="45" spans="1:10" x14ac:dyDescent="0.2">
      <c r="A45" s="6"/>
      <c r="B45" s="6"/>
      <c r="C45" s="6"/>
      <c r="D45" s="6"/>
      <c r="E45" s="10"/>
      <c r="F45" s="10"/>
      <c r="G45" s="6"/>
      <c r="H45" s="6"/>
      <c r="I45" s="6"/>
      <c r="J45" s="6"/>
    </row>
  </sheetData>
  <mergeCells count="1">
    <mergeCell ref="I3:I4"/>
  </mergeCells>
  <pageMargins left="0.7" right="0.7" top="0.75" bottom="0.75" header="0.3" footer="0.3"/>
  <pageSetup scale="86" fitToHeight="6" orientation="landscape" horizontalDpi="300" r:id="rId1"/>
  <headerFooter>
    <oddFooter>&amp;R&amp;D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theme="0" tint="-0.34998626667073579"/>
  </sheetPr>
  <dimension ref="A1:J98"/>
  <sheetViews>
    <sheetView workbookViewId="0"/>
  </sheetViews>
  <sheetFormatPr defaultRowHeight="12.75" x14ac:dyDescent="0.2"/>
  <cols>
    <col min="1" max="1" width="30.28515625" customWidth="1"/>
    <col min="2" max="2" width="16.7109375" customWidth="1"/>
    <col min="3" max="3" width="2.85546875" customWidth="1"/>
    <col min="4" max="4" width="15.85546875" customWidth="1"/>
    <col min="5" max="5" width="3" customWidth="1"/>
    <col min="6" max="6" width="16.5703125" bestFit="1" customWidth="1"/>
    <col min="7" max="7" width="1.5703125" customWidth="1"/>
    <col min="10" max="10" width="10.42578125" customWidth="1"/>
  </cols>
  <sheetData>
    <row r="1" spans="1:10" x14ac:dyDescent="0.2">
      <c r="A1" s="32" t="s">
        <v>256</v>
      </c>
      <c r="B1" s="32" t="s">
        <v>300</v>
      </c>
      <c r="C1" s="32"/>
      <c r="D1" s="32" t="s">
        <v>57</v>
      </c>
      <c r="E1" s="32"/>
      <c r="F1" s="32" t="s">
        <v>84</v>
      </c>
      <c r="G1" s="6"/>
      <c r="H1" s="6"/>
      <c r="I1" s="6"/>
      <c r="J1" s="6"/>
    </row>
    <row r="2" spans="1:10" x14ac:dyDescent="0.2">
      <c r="A2" s="32"/>
      <c r="B2" s="32"/>
      <c r="C2" s="32"/>
      <c r="D2" s="32"/>
      <c r="E2" s="32"/>
      <c r="F2" s="32"/>
      <c r="G2" s="6"/>
      <c r="H2" s="6"/>
      <c r="I2" s="6"/>
      <c r="J2" s="6"/>
    </row>
    <row r="3" spans="1:10" x14ac:dyDescent="0.2">
      <c r="A3" s="6" t="s">
        <v>257</v>
      </c>
      <c r="B3" s="65">
        <v>1313</v>
      </c>
      <c r="C3" s="65"/>
      <c r="D3" s="65"/>
      <c r="E3" s="65"/>
      <c r="F3" s="65"/>
      <c r="G3" s="6"/>
      <c r="H3" s="6"/>
      <c r="I3" s="6"/>
      <c r="J3" s="6"/>
    </row>
    <row r="4" spans="1:10" x14ac:dyDescent="0.2">
      <c r="A4" s="6" t="s">
        <v>258</v>
      </c>
      <c r="B4" s="65">
        <v>208</v>
      </c>
      <c r="C4" s="65"/>
      <c r="D4" s="65"/>
      <c r="E4" s="65"/>
      <c r="F4" s="65"/>
      <c r="G4" s="6"/>
      <c r="H4" s="6"/>
      <c r="I4" s="6"/>
      <c r="J4" s="6"/>
    </row>
    <row r="5" spans="1:10" x14ac:dyDescent="0.2">
      <c r="A5" s="6" t="s">
        <v>259</v>
      </c>
      <c r="B5" s="65">
        <v>5487</v>
      </c>
      <c r="C5" s="65"/>
      <c r="D5" s="65"/>
      <c r="E5" s="65"/>
      <c r="F5" s="65"/>
      <c r="G5" s="6"/>
      <c r="H5" s="6"/>
      <c r="I5" s="6"/>
      <c r="J5" s="6"/>
    </row>
    <row r="6" spans="1:10" x14ac:dyDescent="0.2">
      <c r="A6" s="6" t="s">
        <v>260</v>
      </c>
      <c r="B6" s="65">
        <v>8140</v>
      </c>
      <c r="C6" s="65"/>
      <c r="D6" s="65">
        <v>11661</v>
      </c>
      <c r="E6" s="65"/>
      <c r="F6" s="65">
        <v>248</v>
      </c>
      <c r="G6" s="6"/>
      <c r="H6" s="6"/>
      <c r="I6" s="6"/>
      <c r="J6" s="6"/>
    </row>
    <row r="7" spans="1:10" x14ac:dyDescent="0.2">
      <c r="A7" s="6" t="s">
        <v>261</v>
      </c>
      <c r="B7" s="65">
        <v>12646</v>
      </c>
      <c r="C7" s="65"/>
      <c r="D7" s="65"/>
      <c r="E7" s="65"/>
      <c r="F7" s="65"/>
      <c r="G7" s="6"/>
      <c r="H7" s="6"/>
      <c r="I7" s="6"/>
      <c r="J7" s="6"/>
    </row>
    <row r="8" spans="1:10" x14ac:dyDescent="0.2">
      <c r="A8" s="8" t="s">
        <v>305</v>
      </c>
      <c r="B8" s="65"/>
      <c r="C8" s="65"/>
      <c r="D8" s="65">
        <v>2611</v>
      </c>
      <c r="E8" s="65"/>
      <c r="F8" s="65"/>
      <c r="G8" s="6"/>
      <c r="H8" s="6"/>
      <c r="I8" s="6"/>
      <c r="J8" s="6"/>
    </row>
    <row r="9" spans="1:10" x14ac:dyDescent="0.2">
      <c r="A9" s="8" t="s">
        <v>301</v>
      </c>
      <c r="B9" s="65">
        <v>1950</v>
      </c>
      <c r="C9" s="65"/>
      <c r="D9" s="65"/>
      <c r="E9" s="65"/>
      <c r="F9" s="65"/>
      <c r="G9" s="6"/>
      <c r="H9" s="6"/>
      <c r="I9" s="6"/>
      <c r="J9" s="6"/>
    </row>
    <row r="10" spans="1:10" x14ac:dyDescent="0.2">
      <c r="A10" s="8" t="s">
        <v>306</v>
      </c>
      <c r="B10" s="65"/>
      <c r="C10" s="65"/>
      <c r="D10" s="65">
        <v>10722</v>
      </c>
      <c r="E10" s="65"/>
      <c r="F10" s="65">
        <v>136</v>
      </c>
      <c r="G10" s="6"/>
      <c r="H10" s="6"/>
      <c r="I10" s="6"/>
      <c r="J10" s="6"/>
    </row>
    <row r="11" spans="1:10" x14ac:dyDescent="0.2">
      <c r="A11" s="6" t="s">
        <v>262</v>
      </c>
      <c r="B11" s="65">
        <v>3300</v>
      </c>
      <c r="C11" s="65"/>
      <c r="D11" s="65"/>
      <c r="E11" s="65"/>
      <c r="F11" s="65"/>
      <c r="G11" s="6"/>
      <c r="H11" s="6"/>
      <c r="I11" s="6"/>
      <c r="J11" s="6"/>
    </row>
    <row r="12" spans="1:10" x14ac:dyDescent="0.2">
      <c r="A12" s="6" t="s">
        <v>263</v>
      </c>
      <c r="B12" s="65"/>
      <c r="C12" s="65"/>
      <c r="D12" s="65">
        <v>5624</v>
      </c>
      <c r="E12" s="65"/>
      <c r="F12" s="65">
        <v>106</v>
      </c>
      <c r="G12" s="6"/>
      <c r="H12" s="6"/>
      <c r="I12" s="6"/>
      <c r="J12" s="6"/>
    </row>
    <row r="13" spans="1:10" x14ac:dyDescent="0.2">
      <c r="A13" s="6" t="s">
        <v>264</v>
      </c>
      <c r="B13" s="65">
        <v>500</v>
      </c>
      <c r="C13" s="65"/>
      <c r="D13" s="65"/>
      <c r="E13" s="65"/>
      <c r="F13" s="65"/>
      <c r="G13" s="6"/>
      <c r="H13" s="6"/>
      <c r="I13" s="6"/>
      <c r="J13" s="6"/>
    </row>
    <row r="14" spans="1:10" x14ac:dyDescent="0.2">
      <c r="A14" s="6" t="s">
        <v>265</v>
      </c>
      <c r="B14" s="65">
        <v>4318</v>
      </c>
      <c r="C14" s="65"/>
      <c r="D14" s="65"/>
      <c r="E14" s="65"/>
      <c r="F14" s="65"/>
      <c r="G14" s="6"/>
      <c r="H14" s="6"/>
      <c r="I14" s="6"/>
      <c r="J14" s="6"/>
    </row>
    <row r="15" spans="1:10" x14ac:dyDescent="0.2">
      <c r="A15" s="6" t="s">
        <v>266</v>
      </c>
      <c r="B15" s="65"/>
      <c r="C15" s="65"/>
      <c r="D15" s="65">
        <v>93555</v>
      </c>
      <c r="E15" s="65"/>
      <c r="F15" s="65">
        <v>1083</v>
      </c>
      <c r="G15" s="6"/>
      <c r="H15" s="6"/>
      <c r="I15" s="6"/>
      <c r="J15" s="6"/>
    </row>
    <row r="16" spans="1:10" x14ac:dyDescent="0.2">
      <c r="A16" s="6" t="s">
        <v>267</v>
      </c>
      <c r="B16" s="65">
        <v>1620</v>
      </c>
      <c r="C16" s="65"/>
      <c r="D16" s="65"/>
      <c r="E16" s="65"/>
      <c r="F16" s="65"/>
      <c r="G16" s="6"/>
      <c r="H16" s="6"/>
      <c r="I16" s="6"/>
      <c r="J16" s="6" t="s">
        <v>7</v>
      </c>
    </row>
    <row r="17" spans="1:10" x14ac:dyDescent="0.2">
      <c r="A17" s="6" t="s">
        <v>268</v>
      </c>
      <c r="B17" s="65">
        <v>51000</v>
      </c>
      <c r="C17" s="65"/>
      <c r="D17" s="65"/>
      <c r="E17" s="65"/>
      <c r="F17" s="65"/>
      <c r="G17" s="6"/>
      <c r="H17" s="6"/>
      <c r="I17" s="6"/>
      <c r="J17" s="6"/>
    </row>
    <row r="18" spans="1:10" x14ac:dyDescent="0.2">
      <c r="A18" s="6" t="s">
        <v>269</v>
      </c>
      <c r="B18" s="65">
        <v>111</v>
      </c>
      <c r="C18" s="65"/>
      <c r="D18" s="65">
        <v>5794</v>
      </c>
      <c r="E18" s="65"/>
      <c r="F18" s="65"/>
      <c r="G18" s="6"/>
      <c r="H18" s="6"/>
      <c r="I18" s="6"/>
      <c r="J18" s="6"/>
    </row>
    <row r="19" spans="1:10" x14ac:dyDescent="0.2">
      <c r="A19" s="6" t="s">
        <v>270</v>
      </c>
      <c r="B19" s="65"/>
      <c r="C19" s="65"/>
      <c r="D19" s="65">
        <v>725</v>
      </c>
      <c r="E19" s="65"/>
      <c r="F19" s="65"/>
      <c r="G19" s="6"/>
      <c r="H19" s="6"/>
      <c r="I19" s="6"/>
      <c r="J19" s="6"/>
    </row>
    <row r="20" spans="1:10" x14ac:dyDescent="0.2">
      <c r="A20" s="6" t="s">
        <v>271</v>
      </c>
      <c r="B20" s="65">
        <v>5587</v>
      </c>
      <c r="C20" s="65"/>
      <c r="D20" s="65"/>
      <c r="E20" s="65"/>
      <c r="F20" s="65"/>
      <c r="G20" s="6"/>
      <c r="H20" s="6"/>
      <c r="I20" s="6"/>
      <c r="J20" s="6"/>
    </row>
    <row r="21" spans="1:10" x14ac:dyDescent="0.2">
      <c r="A21" s="8" t="s">
        <v>307</v>
      </c>
      <c r="B21" s="65"/>
      <c r="C21" s="65"/>
      <c r="D21" s="65">
        <v>3567</v>
      </c>
      <c r="E21" s="65"/>
      <c r="F21" s="65"/>
      <c r="G21" s="6"/>
      <c r="H21" s="6"/>
      <c r="I21" s="6"/>
      <c r="J21" s="6"/>
    </row>
    <row r="22" spans="1:10" x14ac:dyDescent="0.2">
      <c r="A22" s="6" t="s">
        <v>168</v>
      </c>
      <c r="B22" s="65">
        <v>13162</v>
      </c>
      <c r="C22" s="65"/>
      <c r="D22" s="65"/>
      <c r="E22" s="65"/>
      <c r="F22" s="65"/>
      <c r="G22" s="6"/>
      <c r="H22" s="6"/>
      <c r="I22" s="6"/>
      <c r="J22" s="6"/>
    </row>
    <row r="23" spans="1:10" x14ac:dyDescent="0.2">
      <c r="A23" s="6" t="s">
        <v>272</v>
      </c>
      <c r="B23" s="65">
        <v>100</v>
      </c>
      <c r="C23" s="65"/>
      <c r="D23" s="65"/>
      <c r="E23" s="65"/>
      <c r="F23" s="65"/>
      <c r="G23" s="6"/>
      <c r="H23" s="6"/>
      <c r="I23" s="6"/>
      <c r="J23" s="6"/>
    </row>
    <row r="24" spans="1:10" x14ac:dyDescent="0.2">
      <c r="A24" s="8" t="s">
        <v>302</v>
      </c>
      <c r="B24" s="65">
        <v>3354</v>
      </c>
      <c r="C24" s="65"/>
      <c r="D24" s="65"/>
      <c r="E24" s="65"/>
      <c r="F24" s="65"/>
      <c r="G24" s="6"/>
      <c r="H24" s="6"/>
      <c r="I24" s="6"/>
      <c r="J24" s="6"/>
    </row>
    <row r="25" spans="1:10" x14ac:dyDescent="0.2">
      <c r="A25" s="6" t="s">
        <v>273</v>
      </c>
      <c r="B25" s="65">
        <v>2520</v>
      </c>
      <c r="C25" s="65"/>
      <c r="D25" s="65"/>
      <c r="E25" s="65"/>
      <c r="F25" s="65"/>
      <c r="G25" s="6"/>
      <c r="H25" s="6"/>
      <c r="I25" s="6"/>
      <c r="J25" s="6"/>
    </row>
    <row r="26" spans="1:10" x14ac:dyDescent="0.2">
      <c r="A26" s="6" t="s">
        <v>274</v>
      </c>
      <c r="B26" s="65"/>
      <c r="C26" s="65"/>
      <c r="D26" s="65">
        <v>17323</v>
      </c>
      <c r="E26" s="65"/>
      <c r="F26" s="65">
        <v>199</v>
      </c>
      <c r="G26" s="6"/>
      <c r="H26" s="6"/>
      <c r="I26" s="6"/>
      <c r="J26" s="6"/>
    </row>
    <row r="27" spans="1:10" x14ac:dyDescent="0.2">
      <c r="A27" s="6" t="s">
        <v>275</v>
      </c>
      <c r="B27" s="65">
        <v>11817</v>
      </c>
      <c r="C27" s="65"/>
      <c r="D27" s="65"/>
      <c r="E27" s="65"/>
      <c r="F27" s="65"/>
      <c r="G27" s="6"/>
      <c r="H27" s="6"/>
      <c r="I27" s="6"/>
      <c r="J27" s="6"/>
    </row>
    <row r="28" spans="1:10" x14ac:dyDescent="0.2">
      <c r="A28" s="8" t="s">
        <v>308</v>
      </c>
      <c r="B28" s="65"/>
      <c r="C28" s="65"/>
      <c r="D28" s="65">
        <v>235</v>
      </c>
      <c r="E28" s="65"/>
      <c r="F28" s="65"/>
      <c r="G28" s="6"/>
      <c r="H28" s="6"/>
      <c r="I28" s="6"/>
      <c r="J28" s="6"/>
    </row>
    <row r="29" spans="1:10" x14ac:dyDescent="0.2">
      <c r="A29" s="6" t="s">
        <v>276</v>
      </c>
      <c r="B29" s="65">
        <v>1830</v>
      </c>
      <c r="C29" s="65"/>
      <c r="D29" s="65"/>
      <c r="E29" s="65"/>
      <c r="F29" s="65"/>
      <c r="G29" s="6"/>
      <c r="H29" s="6"/>
      <c r="I29" s="6"/>
      <c r="J29" s="6"/>
    </row>
    <row r="30" spans="1:10" x14ac:dyDescent="0.2">
      <c r="A30" s="6" t="s">
        <v>277</v>
      </c>
      <c r="B30" s="65"/>
      <c r="C30" s="65"/>
      <c r="D30" s="65">
        <v>1593</v>
      </c>
      <c r="E30" s="65"/>
      <c r="F30" s="65">
        <v>36</v>
      </c>
      <c r="G30" s="6"/>
      <c r="H30" s="6"/>
      <c r="I30" s="6"/>
      <c r="J30" s="6"/>
    </row>
    <row r="31" spans="1:10" x14ac:dyDescent="0.2">
      <c r="A31" s="6" t="s">
        <v>278</v>
      </c>
      <c r="B31" s="65">
        <v>12395</v>
      </c>
      <c r="C31" s="65"/>
      <c r="D31" s="65"/>
      <c r="E31" s="65"/>
      <c r="F31" s="65"/>
      <c r="G31" s="6"/>
      <c r="H31" s="6"/>
      <c r="I31" s="6"/>
      <c r="J31" s="6"/>
    </row>
    <row r="32" spans="1:10" x14ac:dyDescent="0.2">
      <c r="A32" s="6" t="s">
        <v>279</v>
      </c>
      <c r="B32" s="65"/>
      <c r="C32" s="65"/>
      <c r="D32" s="65">
        <v>9100</v>
      </c>
      <c r="E32" s="65"/>
      <c r="F32" s="65">
        <v>82</v>
      </c>
      <c r="G32" s="6"/>
      <c r="H32" s="6"/>
      <c r="I32" s="6"/>
      <c r="J32" s="6"/>
    </row>
    <row r="33" spans="1:10" x14ac:dyDescent="0.2">
      <c r="A33" s="8" t="s">
        <v>321</v>
      </c>
      <c r="B33" s="65">
        <v>4835</v>
      </c>
      <c r="C33" s="65"/>
      <c r="D33" s="65"/>
      <c r="E33" s="65"/>
      <c r="F33" s="65"/>
      <c r="G33" s="6"/>
      <c r="H33" s="6"/>
      <c r="I33" s="6"/>
      <c r="J33" s="6"/>
    </row>
    <row r="34" spans="1:10" x14ac:dyDescent="0.2">
      <c r="A34" s="6" t="s">
        <v>280</v>
      </c>
      <c r="B34" s="65">
        <v>4100</v>
      </c>
      <c r="C34" s="65"/>
      <c r="D34" s="65"/>
      <c r="E34" s="65"/>
      <c r="F34" s="65"/>
      <c r="G34" s="6"/>
      <c r="H34" s="6"/>
      <c r="I34" s="6"/>
      <c r="J34" s="6"/>
    </row>
    <row r="35" spans="1:10" x14ac:dyDescent="0.2">
      <c r="A35" s="6" t="s">
        <v>281</v>
      </c>
      <c r="B35" s="65"/>
      <c r="C35" s="65"/>
      <c r="D35" s="65">
        <v>11365</v>
      </c>
      <c r="E35" s="65"/>
      <c r="F35" s="65">
        <v>140</v>
      </c>
      <c r="G35" s="6"/>
      <c r="H35" s="6"/>
      <c r="I35" s="6"/>
      <c r="J35" s="6"/>
    </row>
    <row r="36" spans="1:10" x14ac:dyDescent="0.2">
      <c r="A36" s="6" t="s">
        <v>282</v>
      </c>
      <c r="B36" s="65">
        <v>7100</v>
      </c>
      <c r="C36" s="65"/>
      <c r="D36" s="65"/>
      <c r="E36" s="65"/>
      <c r="F36" s="65"/>
      <c r="G36" s="6"/>
      <c r="H36" s="6"/>
      <c r="I36" s="6"/>
      <c r="J36" s="6"/>
    </row>
    <row r="37" spans="1:10" x14ac:dyDescent="0.2">
      <c r="A37" s="6" t="s">
        <v>169</v>
      </c>
      <c r="B37" s="65"/>
      <c r="C37" s="65"/>
      <c r="D37" s="65">
        <v>18560</v>
      </c>
      <c r="E37" s="65"/>
      <c r="F37" s="65">
        <v>110</v>
      </c>
      <c r="G37" s="6"/>
      <c r="H37" s="6"/>
      <c r="I37" s="6"/>
      <c r="J37" s="6"/>
    </row>
    <row r="38" spans="1:10" x14ac:dyDescent="0.2">
      <c r="A38" s="6" t="s">
        <v>170</v>
      </c>
      <c r="B38" s="65">
        <v>32142</v>
      </c>
      <c r="C38" s="65"/>
      <c r="D38" s="65"/>
      <c r="E38" s="65"/>
      <c r="F38" s="65"/>
      <c r="G38" s="6"/>
      <c r="H38" s="6"/>
      <c r="I38" s="6"/>
      <c r="J38" s="6"/>
    </row>
    <row r="39" spans="1:10" x14ac:dyDescent="0.2">
      <c r="A39" s="8" t="s">
        <v>303</v>
      </c>
      <c r="B39" s="65">
        <v>2434</v>
      </c>
      <c r="C39" s="65"/>
      <c r="D39" s="65"/>
      <c r="E39" s="65"/>
      <c r="F39" s="65"/>
      <c r="G39" s="6"/>
      <c r="H39" s="6"/>
      <c r="I39" s="6"/>
      <c r="J39" s="6"/>
    </row>
    <row r="40" spans="1:10" x14ac:dyDescent="0.2">
      <c r="A40" s="8" t="s">
        <v>304</v>
      </c>
      <c r="B40" s="65">
        <v>1551</v>
      </c>
      <c r="C40" s="65"/>
      <c r="D40" s="65"/>
      <c r="E40" s="65"/>
      <c r="F40" s="65"/>
      <c r="G40" s="6"/>
      <c r="H40" s="6"/>
      <c r="I40" s="6"/>
      <c r="J40" s="6"/>
    </row>
    <row r="41" spans="1:10" x14ac:dyDescent="0.2">
      <c r="A41" s="8" t="s">
        <v>319</v>
      </c>
      <c r="B41" s="65"/>
      <c r="C41" s="65"/>
      <c r="D41" s="65">
        <v>13505</v>
      </c>
      <c r="E41" s="65"/>
      <c r="F41" s="65"/>
      <c r="G41" s="6"/>
      <c r="H41" s="6"/>
      <c r="I41" s="6"/>
      <c r="J41" s="6"/>
    </row>
    <row r="42" spans="1:10" x14ac:dyDescent="0.2">
      <c r="A42" s="6"/>
      <c r="B42" s="65"/>
      <c r="C42" s="65"/>
      <c r="D42" s="65"/>
      <c r="E42" s="65"/>
      <c r="F42" s="65"/>
      <c r="G42" s="6"/>
      <c r="H42" s="6"/>
      <c r="I42" s="6"/>
      <c r="J42" s="6"/>
    </row>
    <row r="43" spans="1:10" x14ac:dyDescent="0.2">
      <c r="A43" s="51" t="s">
        <v>283</v>
      </c>
      <c r="B43" s="66">
        <f>SUM(B3:B41)</f>
        <v>193520</v>
      </c>
      <c r="C43" s="65"/>
      <c r="D43" s="66">
        <f>SUM(D3:D41)</f>
        <v>205940</v>
      </c>
      <c r="E43" s="65"/>
      <c r="F43" s="66">
        <f>SUM(F3:F40)</f>
        <v>2140</v>
      </c>
      <c r="G43" s="6"/>
      <c r="H43" s="6"/>
      <c r="I43" s="6"/>
      <c r="J43" s="6"/>
    </row>
    <row r="44" spans="1:10" x14ac:dyDescent="0.2">
      <c r="A44" s="51" t="s">
        <v>284</v>
      </c>
      <c r="B44" s="66">
        <f>B43*30</f>
        <v>5805600</v>
      </c>
      <c r="C44" s="65"/>
      <c r="D44" s="66">
        <f>D43*30</f>
        <v>6178200</v>
      </c>
      <c r="E44" s="65"/>
      <c r="F44" s="66">
        <f>F43*19</f>
        <v>40660</v>
      </c>
      <c r="G44" s="6"/>
      <c r="H44" s="66"/>
      <c r="I44" s="32"/>
      <c r="J44" s="32"/>
    </row>
    <row r="45" spans="1:10" x14ac:dyDescent="0.2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hidden="1" x14ac:dyDescent="0.2">
      <c r="A46" s="51" t="s">
        <v>285</v>
      </c>
      <c r="B46" s="67">
        <f>(B44+D44+F44)/5280</f>
        <v>2277.3598484848485</v>
      </c>
      <c r="C46" s="6"/>
      <c r="D46" s="6"/>
      <c r="E46" s="6"/>
      <c r="F46" s="6"/>
      <c r="G46" s="6"/>
      <c r="H46" s="6"/>
      <c r="I46" s="6"/>
      <c r="J46" s="6"/>
    </row>
    <row r="47" spans="1:10" x14ac:dyDescent="0.2">
      <c r="A47" s="68"/>
      <c r="B47" s="69"/>
      <c r="C47" s="70"/>
      <c r="D47" s="70"/>
      <c r="E47" s="70"/>
      <c r="F47" s="70"/>
      <c r="G47" s="70"/>
      <c r="H47" s="71"/>
      <c r="I47" s="72"/>
      <c r="J47" s="73"/>
    </row>
    <row r="48" spans="1:10" x14ac:dyDescent="0.2">
      <c r="A48" s="68"/>
      <c r="B48" s="69"/>
      <c r="C48" s="70"/>
      <c r="D48" s="70"/>
      <c r="E48" s="70"/>
      <c r="F48" s="70"/>
      <c r="G48" s="70"/>
      <c r="H48" s="71"/>
      <c r="I48" s="72"/>
      <c r="J48" s="73"/>
    </row>
    <row r="49" spans="1:10" x14ac:dyDescent="0.2">
      <c r="A49" s="51"/>
      <c r="B49" s="67"/>
      <c r="C49" s="6"/>
      <c r="D49" s="6"/>
      <c r="E49" s="6"/>
      <c r="F49" s="6"/>
      <c r="G49" s="6"/>
      <c r="H49" s="169" t="s">
        <v>309</v>
      </c>
      <c r="I49" s="170"/>
      <c r="J49" s="171"/>
    </row>
    <row r="50" spans="1:10" ht="12.75" customHeight="1" x14ac:dyDescent="0.2">
      <c r="A50" s="6"/>
      <c r="B50" s="6"/>
      <c r="C50" s="6"/>
      <c r="D50" s="6"/>
      <c r="E50" s="6"/>
      <c r="F50" s="6"/>
      <c r="G50" s="6"/>
      <c r="H50" s="172"/>
      <c r="I50" s="173"/>
      <c r="J50" s="174"/>
    </row>
    <row r="51" spans="1:10" ht="12.75" customHeight="1" x14ac:dyDescent="0.2">
      <c r="A51" s="32" t="s">
        <v>286</v>
      </c>
      <c r="B51" s="32" t="s">
        <v>300</v>
      </c>
      <c r="C51" s="32"/>
      <c r="D51" s="32" t="s">
        <v>57</v>
      </c>
      <c r="E51" s="32"/>
      <c r="F51" s="32" t="s">
        <v>84</v>
      </c>
      <c r="G51" s="6"/>
      <c r="H51" s="175"/>
      <c r="I51" s="176"/>
      <c r="J51" s="177"/>
    </row>
    <row r="52" spans="1:10" x14ac:dyDescent="0.2">
      <c r="A52" s="8" t="s">
        <v>288</v>
      </c>
      <c r="B52" s="65">
        <v>29730</v>
      </c>
      <c r="C52" s="65"/>
      <c r="D52" s="65"/>
      <c r="E52" s="65"/>
      <c r="F52" s="65"/>
      <c r="G52" s="6"/>
      <c r="H52" s="6"/>
      <c r="I52" s="65">
        <v>1130</v>
      </c>
      <c r="J52" s="6"/>
    </row>
    <row r="53" spans="1:10" x14ac:dyDescent="0.2">
      <c r="A53" s="8" t="s">
        <v>310</v>
      </c>
      <c r="B53" s="65">
        <v>57000</v>
      </c>
      <c r="C53" s="65"/>
      <c r="D53" s="65"/>
      <c r="E53" s="65"/>
      <c r="F53" s="65"/>
      <c r="G53" s="6"/>
      <c r="H53" s="6"/>
      <c r="I53" s="65">
        <v>3750</v>
      </c>
      <c r="J53" s="6"/>
    </row>
    <row r="54" spans="1:10" x14ac:dyDescent="0.2">
      <c r="A54" s="8" t="s">
        <v>317</v>
      </c>
      <c r="B54" s="65">
        <v>1000</v>
      </c>
      <c r="C54" s="65"/>
      <c r="D54" s="65"/>
      <c r="E54" s="65"/>
      <c r="F54" s="65"/>
      <c r="G54" s="6"/>
      <c r="H54" s="6"/>
      <c r="I54" s="65"/>
      <c r="J54" s="6"/>
    </row>
    <row r="55" spans="1:10" x14ac:dyDescent="0.2">
      <c r="A55" s="8" t="s">
        <v>315</v>
      </c>
      <c r="B55" s="65"/>
      <c r="C55" s="65"/>
      <c r="D55" s="65">
        <v>400</v>
      </c>
      <c r="E55" s="65"/>
      <c r="F55" s="65">
        <v>14</v>
      </c>
      <c r="G55" s="6"/>
      <c r="H55" s="6"/>
      <c r="I55" s="65"/>
      <c r="J55" s="6"/>
    </row>
    <row r="56" spans="1:10" x14ac:dyDescent="0.2">
      <c r="A56" s="8" t="s">
        <v>316</v>
      </c>
      <c r="B56" s="65">
        <v>900</v>
      </c>
      <c r="C56" s="65"/>
      <c r="D56" s="65"/>
      <c r="E56" s="65"/>
      <c r="F56" s="65"/>
      <c r="G56" s="6"/>
      <c r="H56" s="6"/>
      <c r="I56" s="65"/>
      <c r="J56" s="6"/>
    </row>
    <row r="57" spans="1:10" x14ac:dyDescent="0.2">
      <c r="A57" s="8" t="s">
        <v>287</v>
      </c>
      <c r="B57" s="65">
        <v>13870</v>
      </c>
      <c r="C57" s="65"/>
      <c r="D57" s="65"/>
      <c r="E57" s="65"/>
      <c r="F57" s="65"/>
      <c r="G57" s="6"/>
      <c r="H57" s="6"/>
      <c r="I57" s="65">
        <v>2300</v>
      </c>
      <c r="J57" s="6"/>
    </row>
    <row r="58" spans="1:10" x14ac:dyDescent="0.2">
      <c r="A58" s="8" t="s">
        <v>313</v>
      </c>
      <c r="B58" s="65">
        <v>800</v>
      </c>
      <c r="C58" s="65"/>
      <c r="D58" s="65"/>
      <c r="E58" s="65"/>
      <c r="F58" s="65"/>
      <c r="G58" s="6"/>
      <c r="H58" s="6"/>
      <c r="I58" s="65"/>
      <c r="J58" s="6"/>
    </row>
    <row r="59" spans="1:10" x14ac:dyDescent="0.2">
      <c r="A59" s="8" t="s">
        <v>291</v>
      </c>
      <c r="B59" s="65">
        <v>5272</v>
      </c>
      <c r="C59" s="65"/>
      <c r="D59" s="65"/>
      <c r="E59" s="65"/>
      <c r="F59" s="65"/>
      <c r="G59" s="6"/>
      <c r="H59" s="6"/>
      <c r="I59" s="65">
        <v>1228</v>
      </c>
      <c r="J59" s="6"/>
    </row>
    <row r="60" spans="1:10" x14ac:dyDescent="0.2">
      <c r="A60" s="8" t="s">
        <v>268</v>
      </c>
      <c r="B60" s="65"/>
      <c r="C60" s="65"/>
      <c r="D60" s="65">
        <v>15190</v>
      </c>
      <c r="E60" s="65"/>
      <c r="F60" s="65">
        <v>296</v>
      </c>
      <c r="G60" s="6"/>
      <c r="H60" s="6"/>
      <c r="I60" s="65"/>
      <c r="J60" s="6"/>
    </row>
    <row r="61" spans="1:10" x14ac:dyDescent="0.2">
      <c r="A61" s="8" t="s">
        <v>311</v>
      </c>
      <c r="B61" s="65">
        <v>2040</v>
      </c>
      <c r="C61" s="65"/>
      <c r="D61" s="65"/>
      <c r="E61" s="65"/>
      <c r="F61" s="65"/>
      <c r="G61" s="6"/>
      <c r="H61" s="6"/>
      <c r="I61" s="65"/>
      <c r="J61" s="6"/>
    </row>
    <row r="62" spans="1:10" x14ac:dyDescent="0.2">
      <c r="A62" s="8" t="s">
        <v>289</v>
      </c>
      <c r="B62" s="65">
        <v>1000</v>
      </c>
      <c r="C62" s="65"/>
      <c r="D62" s="65"/>
      <c r="E62" s="65"/>
      <c r="F62" s="65"/>
      <c r="G62" s="6"/>
      <c r="H62" s="6"/>
      <c r="I62" s="65">
        <v>1000</v>
      </c>
      <c r="J62" s="6"/>
    </row>
    <row r="63" spans="1:10" x14ac:dyDescent="0.2">
      <c r="A63" s="8" t="s">
        <v>295</v>
      </c>
      <c r="B63" s="65"/>
      <c r="C63" s="65"/>
      <c r="D63" s="65">
        <v>4065</v>
      </c>
      <c r="E63" s="65"/>
      <c r="F63" s="65">
        <v>60</v>
      </c>
      <c r="G63" s="6"/>
      <c r="H63" s="6"/>
      <c r="I63" s="65"/>
      <c r="J63" s="6"/>
    </row>
    <row r="64" spans="1:10" x14ac:dyDescent="0.2">
      <c r="A64" s="8" t="s">
        <v>293</v>
      </c>
      <c r="B64" s="65">
        <v>9480</v>
      </c>
      <c r="C64" s="65"/>
      <c r="D64" s="65"/>
      <c r="E64" s="65"/>
      <c r="F64" s="65"/>
      <c r="G64" s="6"/>
      <c r="H64" s="6"/>
      <c r="I64" s="65"/>
      <c r="J64" s="6"/>
    </row>
    <row r="65" spans="1:10" x14ac:dyDescent="0.2">
      <c r="A65" s="8" t="s">
        <v>312</v>
      </c>
      <c r="B65" s="65">
        <v>3600</v>
      </c>
      <c r="C65" s="65"/>
      <c r="D65" s="65"/>
      <c r="E65" s="65"/>
      <c r="F65" s="65"/>
      <c r="G65" s="6"/>
      <c r="H65" s="6"/>
      <c r="I65" s="65">
        <v>2200</v>
      </c>
      <c r="J65" s="6"/>
    </row>
    <row r="66" spans="1:10" x14ac:dyDescent="0.2">
      <c r="A66" s="8" t="s">
        <v>314</v>
      </c>
      <c r="B66" s="65">
        <v>15125</v>
      </c>
      <c r="C66" s="65"/>
      <c r="D66" s="65"/>
      <c r="E66" s="65"/>
      <c r="F66" s="65"/>
      <c r="G66" s="6"/>
      <c r="H66" s="6"/>
      <c r="I66" s="65"/>
      <c r="J66" s="6"/>
    </row>
    <row r="67" spans="1:10" x14ac:dyDescent="0.2">
      <c r="A67" s="8" t="s">
        <v>292</v>
      </c>
      <c r="B67" s="65">
        <v>5380</v>
      </c>
      <c r="C67" s="65"/>
      <c r="D67" s="65"/>
      <c r="E67" s="65"/>
      <c r="F67" s="65"/>
      <c r="G67" s="6"/>
      <c r="H67" s="6"/>
      <c r="I67" s="65"/>
      <c r="J67" s="6"/>
    </row>
    <row r="68" spans="1:10" x14ac:dyDescent="0.2">
      <c r="A68" s="8" t="s">
        <v>297</v>
      </c>
      <c r="B68" s="65">
        <v>4760</v>
      </c>
      <c r="C68" s="65"/>
      <c r="D68" s="65">
        <v>2738</v>
      </c>
      <c r="E68" s="65"/>
      <c r="F68" s="65"/>
      <c r="G68" s="6"/>
      <c r="H68" s="6"/>
      <c r="I68" s="65">
        <v>600</v>
      </c>
      <c r="J68" s="6"/>
    </row>
    <row r="69" spans="1:10" x14ac:dyDescent="0.2">
      <c r="A69" s="8" t="s">
        <v>296</v>
      </c>
      <c r="B69" s="65"/>
      <c r="C69" s="65"/>
      <c r="D69" s="65"/>
      <c r="E69" s="65"/>
      <c r="F69" s="65"/>
      <c r="G69" s="6"/>
      <c r="H69" s="6"/>
      <c r="I69" s="65"/>
      <c r="J69" s="6"/>
    </row>
    <row r="70" spans="1:10" x14ac:dyDescent="0.2">
      <c r="A70" s="8" t="s">
        <v>290</v>
      </c>
      <c r="B70" s="65">
        <v>11624</v>
      </c>
      <c r="C70" s="65"/>
      <c r="D70" s="65"/>
      <c r="E70" s="65"/>
      <c r="F70" s="65"/>
      <c r="G70" s="6"/>
      <c r="H70" s="6"/>
      <c r="I70" s="65">
        <v>2300</v>
      </c>
      <c r="J70" s="6"/>
    </row>
    <row r="71" spans="1:10" x14ac:dyDescent="0.2">
      <c r="A71" s="8" t="s">
        <v>294</v>
      </c>
      <c r="B71" s="65"/>
      <c r="C71" s="65"/>
      <c r="D71" s="65">
        <v>1145</v>
      </c>
      <c r="E71" s="65"/>
      <c r="F71" s="65"/>
      <c r="G71" s="6"/>
      <c r="H71" s="6"/>
      <c r="I71" s="65"/>
      <c r="J71" s="6"/>
    </row>
    <row r="72" spans="1:10" x14ac:dyDescent="0.2">
      <c r="A72" s="8"/>
      <c r="B72" s="65"/>
      <c r="C72" s="65"/>
      <c r="D72" s="65"/>
      <c r="E72" s="65"/>
      <c r="F72" s="65"/>
      <c r="G72" s="6"/>
      <c r="H72" s="6"/>
      <c r="J72" s="6"/>
    </row>
    <row r="73" spans="1:10" x14ac:dyDescent="0.2">
      <c r="A73" s="8" t="s">
        <v>320</v>
      </c>
      <c r="B73" s="65">
        <v>1200</v>
      </c>
      <c r="C73" s="65"/>
      <c r="D73" s="65">
        <v>400</v>
      </c>
      <c r="E73" s="65"/>
      <c r="F73" s="65"/>
      <c r="G73" s="6"/>
      <c r="H73" s="6"/>
      <c r="J73" s="6"/>
    </row>
    <row r="74" spans="1:10" x14ac:dyDescent="0.2">
      <c r="A74" s="6"/>
      <c r="B74" s="6"/>
      <c r="C74" s="6"/>
      <c r="D74" s="6"/>
      <c r="E74" s="6"/>
      <c r="F74" s="6"/>
      <c r="G74" s="6"/>
      <c r="H74" s="6"/>
      <c r="I74" s="6"/>
      <c r="J74" s="6"/>
    </row>
    <row r="75" spans="1:10" x14ac:dyDescent="0.2">
      <c r="A75" s="51" t="s">
        <v>283</v>
      </c>
      <c r="B75" s="66">
        <f>SUM(B52:B74)</f>
        <v>162781</v>
      </c>
      <c r="C75" s="6"/>
      <c r="D75" s="66">
        <f>SUM(D52:D73)</f>
        <v>23938</v>
      </c>
      <c r="E75" s="6"/>
      <c r="F75" s="66">
        <f>SUM(F52:F72)</f>
        <v>370</v>
      </c>
      <c r="G75" s="6"/>
      <c r="H75" s="6"/>
      <c r="I75" s="66">
        <f>SUM(I52:I71)</f>
        <v>14508</v>
      </c>
      <c r="J75" s="6"/>
    </row>
    <row r="76" spans="1:10" x14ac:dyDescent="0.2">
      <c r="A76" s="51" t="s">
        <v>284</v>
      </c>
      <c r="B76" s="66">
        <f>B75*30</f>
        <v>4883430</v>
      </c>
      <c r="C76" s="65"/>
      <c r="D76" s="66">
        <f>D75*30</f>
        <v>718140</v>
      </c>
      <c r="E76" s="65"/>
      <c r="F76" s="66">
        <f>F75*19</f>
        <v>7030</v>
      </c>
      <c r="G76" s="6"/>
      <c r="H76" s="6"/>
      <c r="I76" s="66">
        <f>I75*30</f>
        <v>435240</v>
      </c>
      <c r="J76" s="6"/>
    </row>
    <row r="77" spans="1:10" x14ac:dyDescent="0.2">
      <c r="A77" s="6"/>
      <c r="B77" s="6"/>
      <c r="C77" s="6"/>
      <c r="D77" s="6"/>
      <c r="E77" s="6"/>
      <c r="F77" s="6"/>
      <c r="G77" s="6"/>
      <c r="H77" s="6"/>
      <c r="I77" s="6"/>
      <c r="J77" s="6"/>
    </row>
    <row r="78" spans="1:10" x14ac:dyDescent="0.2">
      <c r="A78" s="6"/>
      <c r="B78" s="6"/>
      <c r="C78" s="6"/>
      <c r="D78" s="6"/>
      <c r="E78" s="6"/>
      <c r="F78" s="6"/>
      <c r="G78" s="6"/>
      <c r="H78" s="6"/>
      <c r="I78" s="6"/>
      <c r="J78" s="6"/>
    </row>
    <row r="79" spans="1:10" x14ac:dyDescent="0.2">
      <c r="A79" s="6"/>
      <c r="B79" s="6"/>
      <c r="C79" s="6"/>
      <c r="D79" s="6"/>
      <c r="E79" s="6"/>
      <c r="F79" s="6"/>
      <c r="G79" s="6"/>
      <c r="H79" s="6"/>
      <c r="I79" s="6"/>
      <c r="J79" s="6"/>
    </row>
    <row r="80" spans="1:10" x14ac:dyDescent="0.2">
      <c r="A80" s="6"/>
      <c r="B80" s="6"/>
      <c r="C80" s="6"/>
      <c r="D80" s="6"/>
      <c r="E80" s="6"/>
      <c r="F80" s="6"/>
      <c r="G80" s="6"/>
      <c r="H80" s="6"/>
      <c r="I80" s="6"/>
      <c r="J80" s="6"/>
    </row>
    <row r="81" spans="1:10" x14ac:dyDescent="0.2">
      <c r="A81" s="6"/>
      <c r="B81" s="6"/>
      <c r="C81" s="6"/>
      <c r="D81" s="6"/>
      <c r="E81" s="6"/>
      <c r="F81" s="6"/>
      <c r="G81" s="6"/>
      <c r="H81" s="6"/>
      <c r="I81" s="6"/>
      <c r="J81" s="6"/>
    </row>
    <row r="82" spans="1:10" x14ac:dyDescent="0.2">
      <c r="A82" s="6"/>
      <c r="B82" s="6"/>
      <c r="C82" s="6"/>
      <c r="D82" s="6"/>
      <c r="E82" s="6"/>
      <c r="F82" s="6"/>
      <c r="G82" s="6"/>
      <c r="H82" s="6"/>
      <c r="I82" s="6"/>
      <c r="J82" s="6"/>
    </row>
    <row r="83" spans="1:10" x14ac:dyDescent="0.2">
      <c r="A83" s="6"/>
      <c r="B83" s="6"/>
      <c r="C83" s="6"/>
      <c r="D83" s="6"/>
      <c r="E83" s="6"/>
      <c r="F83" s="6"/>
      <c r="G83" s="6"/>
      <c r="H83" s="6"/>
      <c r="I83" s="6"/>
      <c r="J83" s="6"/>
    </row>
    <row r="84" spans="1:10" x14ac:dyDescent="0.2">
      <c r="A84" s="30" t="s">
        <v>318</v>
      </c>
      <c r="B84" s="19"/>
      <c r="C84" s="19"/>
      <c r="D84" s="19"/>
      <c r="E84" s="19"/>
      <c r="F84" s="19"/>
      <c r="G84" s="19"/>
      <c r="H84" s="19"/>
      <c r="I84" s="19"/>
      <c r="J84" s="19"/>
    </row>
    <row r="85" spans="1:10" x14ac:dyDescent="0.2">
      <c r="A85" s="6"/>
      <c r="B85" s="6"/>
      <c r="C85" s="6"/>
      <c r="D85" s="6"/>
      <c r="E85" s="6"/>
      <c r="F85" s="6"/>
      <c r="G85" s="6"/>
      <c r="H85" s="6"/>
      <c r="I85" s="6"/>
      <c r="J85" s="6"/>
    </row>
    <row r="86" spans="1:10" x14ac:dyDescent="0.2">
      <c r="A86" s="6"/>
      <c r="B86" s="6"/>
      <c r="C86" s="6"/>
      <c r="D86" s="6"/>
      <c r="E86" s="6"/>
      <c r="F86" s="6"/>
      <c r="G86" s="6"/>
      <c r="H86" s="6"/>
      <c r="I86" s="6"/>
      <c r="J86" s="6"/>
    </row>
    <row r="87" spans="1:10" x14ac:dyDescent="0.2">
      <c r="A87" s="51" t="s">
        <v>298</v>
      </c>
      <c r="B87" s="66">
        <f>B75+B43+I75</f>
        <v>370809</v>
      </c>
      <c r="C87" s="32"/>
      <c r="D87" s="66">
        <f>D75+D43</f>
        <v>229878</v>
      </c>
      <c r="E87" s="32"/>
      <c r="F87" s="66">
        <f>F75+F43</f>
        <v>2510</v>
      </c>
      <c r="G87" s="6"/>
      <c r="H87" s="6"/>
      <c r="I87" s="6"/>
      <c r="J87" s="6"/>
    </row>
    <row r="88" spans="1:10" x14ac:dyDescent="0.2">
      <c r="A88" s="51" t="s">
        <v>299</v>
      </c>
      <c r="B88" s="66">
        <f>B76+B44+I76</f>
        <v>11124270</v>
      </c>
      <c r="C88" s="32"/>
      <c r="D88" s="66">
        <f>D76+D44</f>
        <v>6896340</v>
      </c>
      <c r="E88" s="32"/>
      <c r="F88" s="66">
        <f>F76+F44</f>
        <v>47690</v>
      </c>
      <c r="G88" s="6"/>
      <c r="H88" s="6"/>
      <c r="I88" s="6"/>
      <c r="J88" s="6"/>
    </row>
    <row r="89" spans="1:10" x14ac:dyDescent="0.2">
      <c r="A89" s="51"/>
      <c r="B89" s="6"/>
      <c r="C89" s="6"/>
      <c r="D89" s="6"/>
      <c r="E89" s="6"/>
      <c r="F89" s="6"/>
      <c r="G89" s="6"/>
      <c r="H89" s="6"/>
      <c r="I89" s="6"/>
      <c r="J89" s="6"/>
    </row>
    <row r="90" spans="1:10" x14ac:dyDescent="0.2">
      <c r="A90" s="6"/>
      <c r="B90" s="6"/>
      <c r="C90" s="6"/>
      <c r="D90" s="6"/>
      <c r="E90" s="6"/>
      <c r="F90" s="6"/>
      <c r="G90" s="6"/>
      <c r="H90" s="6"/>
      <c r="I90" s="6"/>
      <c r="J90" s="6"/>
    </row>
    <row r="91" spans="1:10" x14ac:dyDescent="0.2">
      <c r="A91" s="6"/>
      <c r="B91" s="6"/>
      <c r="C91" s="6"/>
      <c r="D91" s="6"/>
      <c r="E91" s="6"/>
      <c r="F91" s="6"/>
      <c r="G91" s="6"/>
      <c r="H91" s="6"/>
      <c r="I91" s="6"/>
      <c r="J91" s="6"/>
    </row>
    <row r="92" spans="1:10" x14ac:dyDescent="0.2">
      <c r="A92" s="6"/>
      <c r="B92" s="6"/>
      <c r="C92" s="6"/>
      <c r="D92" s="6"/>
      <c r="E92" s="6"/>
      <c r="F92" s="6"/>
      <c r="G92" s="6"/>
      <c r="H92" s="6"/>
      <c r="I92" s="6"/>
      <c r="J92" s="6"/>
    </row>
    <row r="93" spans="1:10" x14ac:dyDescent="0.2">
      <c r="A93" s="6"/>
      <c r="B93" s="6"/>
      <c r="C93" s="6"/>
      <c r="D93" s="6"/>
      <c r="E93" s="6"/>
      <c r="F93" s="6"/>
      <c r="G93" s="6"/>
      <c r="H93" s="6"/>
      <c r="I93" s="6"/>
      <c r="J93" s="6"/>
    </row>
    <row r="94" spans="1:10" x14ac:dyDescent="0.2">
      <c r="A94" s="6"/>
      <c r="B94" s="6"/>
      <c r="C94" s="6"/>
      <c r="D94" s="6"/>
      <c r="E94" s="6"/>
      <c r="F94" s="6"/>
      <c r="G94" s="6"/>
      <c r="H94" s="6"/>
      <c r="I94" s="6"/>
      <c r="J94" s="6"/>
    </row>
    <row r="95" spans="1:10" x14ac:dyDescent="0.2">
      <c r="A95" s="6"/>
      <c r="B95" s="6"/>
      <c r="C95" s="6"/>
      <c r="D95" s="6"/>
      <c r="E95" s="6"/>
      <c r="F95" s="6"/>
      <c r="G95" s="6"/>
      <c r="H95" s="6"/>
      <c r="I95" s="6"/>
      <c r="J95" s="6"/>
    </row>
    <row r="96" spans="1:10" x14ac:dyDescent="0.2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 x14ac:dyDescent="0.2">
      <c r="A97" s="6"/>
      <c r="B97" s="6"/>
      <c r="C97" s="6"/>
      <c r="D97" s="6"/>
      <c r="E97" s="6"/>
      <c r="F97" s="6"/>
      <c r="G97" s="6"/>
      <c r="H97" s="6"/>
      <c r="I97" s="6"/>
      <c r="J97" s="6"/>
    </row>
    <row r="98" spans="1:10" x14ac:dyDescent="0.2">
      <c r="A98" s="6"/>
      <c r="B98" s="6"/>
      <c r="C98" s="6"/>
      <c r="D98" s="6"/>
      <c r="E98" s="6"/>
      <c r="F98" s="6"/>
      <c r="G98" s="6"/>
      <c r="H98" s="6"/>
      <c r="I98" s="6"/>
      <c r="J98" s="6"/>
    </row>
  </sheetData>
  <sortState xmlns:xlrd2="http://schemas.microsoft.com/office/spreadsheetml/2017/richdata2" ref="A61:J82">
    <sortCondition ref="A61:A82"/>
  </sortState>
  <mergeCells count="1">
    <mergeCell ref="H49:J51"/>
  </mergeCells>
  <pageMargins left="0.7" right="0.7" top="0.75" bottom="0.75" header="0.3" footer="0.3"/>
  <pageSetup orientation="landscape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0" tint="-0.34998626667073579"/>
  </sheetPr>
  <dimension ref="A1:D103"/>
  <sheetViews>
    <sheetView workbookViewId="0">
      <selection activeCell="L21" sqref="L21"/>
    </sheetView>
  </sheetViews>
  <sheetFormatPr defaultRowHeight="12.75" x14ac:dyDescent="0.2"/>
  <cols>
    <col min="1" max="1" width="31.140625" customWidth="1"/>
    <col min="2" max="2" width="17.28515625" bestFit="1" customWidth="1"/>
    <col min="3" max="3" width="3.85546875" customWidth="1"/>
    <col min="4" max="4" width="16.5703125" bestFit="1" customWidth="1"/>
  </cols>
  <sheetData>
    <row r="1" spans="1:4" x14ac:dyDescent="0.2">
      <c r="A1" s="134" t="s">
        <v>574</v>
      </c>
      <c r="B1" s="135" t="s">
        <v>300</v>
      </c>
      <c r="C1" s="138"/>
      <c r="D1" s="135" t="s">
        <v>57</v>
      </c>
    </row>
    <row r="2" spans="1:4" x14ac:dyDescent="0.2">
      <c r="B2" s="136"/>
      <c r="D2" s="136"/>
    </row>
    <row r="3" spans="1:4" x14ac:dyDescent="0.2">
      <c r="A3" t="s">
        <v>521</v>
      </c>
      <c r="B3" s="136">
        <v>1313</v>
      </c>
      <c r="D3" s="136"/>
    </row>
    <row r="4" spans="1:4" x14ac:dyDescent="0.2">
      <c r="A4" t="s">
        <v>522</v>
      </c>
      <c r="B4" s="136">
        <v>2416</v>
      </c>
      <c r="D4" s="136"/>
    </row>
    <row r="5" spans="1:4" x14ac:dyDescent="0.2">
      <c r="A5" t="s">
        <v>523</v>
      </c>
      <c r="B5" s="136"/>
      <c r="D5" s="136">
        <v>11091</v>
      </c>
    </row>
    <row r="6" spans="1:4" x14ac:dyDescent="0.2">
      <c r="A6" t="s">
        <v>524</v>
      </c>
      <c r="B6" s="136"/>
      <c r="D6" s="136">
        <v>110</v>
      </c>
    </row>
    <row r="7" spans="1:4" x14ac:dyDescent="0.2">
      <c r="A7" t="s">
        <v>525</v>
      </c>
      <c r="B7" s="136">
        <v>17517</v>
      </c>
      <c r="D7" s="136"/>
    </row>
    <row r="8" spans="1:4" x14ac:dyDescent="0.2">
      <c r="A8" t="s">
        <v>526</v>
      </c>
      <c r="B8" s="136"/>
      <c r="D8" s="136">
        <v>1825</v>
      </c>
    </row>
    <row r="9" spans="1:4" x14ac:dyDescent="0.2">
      <c r="A9" t="s">
        <v>527</v>
      </c>
      <c r="B9" s="136"/>
      <c r="D9" s="136">
        <v>2546</v>
      </c>
    </row>
    <row r="10" spans="1:4" x14ac:dyDescent="0.2">
      <c r="A10" t="s">
        <v>528</v>
      </c>
      <c r="B10" s="136"/>
      <c r="D10" s="136">
        <v>9155</v>
      </c>
    </row>
    <row r="11" spans="1:4" x14ac:dyDescent="0.2">
      <c r="A11" t="s">
        <v>529</v>
      </c>
      <c r="B11" s="136">
        <v>2950</v>
      </c>
      <c r="D11" s="136"/>
    </row>
    <row r="12" spans="1:4" x14ac:dyDescent="0.2">
      <c r="A12" t="s">
        <v>530</v>
      </c>
      <c r="B12" s="136"/>
      <c r="D12" s="136">
        <v>4050</v>
      </c>
    </row>
    <row r="13" spans="1:4" x14ac:dyDescent="0.2">
      <c r="A13" t="s">
        <v>531</v>
      </c>
      <c r="B13" s="136">
        <v>500</v>
      </c>
      <c r="D13" s="136"/>
    </row>
    <row r="14" spans="1:4" x14ac:dyDescent="0.2">
      <c r="A14" t="s">
        <v>532</v>
      </c>
      <c r="B14" s="136">
        <v>11324</v>
      </c>
      <c r="D14" s="136"/>
    </row>
    <row r="15" spans="1:4" x14ac:dyDescent="0.2">
      <c r="A15" t="s">
        <v>533</v>
      </c>
      <c r="B15" s="136"/>
      <c r="D15" s="136">
        <v>10658</v>
      </c>
    </row>
    <row r="16" spans="1:4" x14ac:dyDescent="0.2">
      <c r="A16" t="s">
        <v>534</v>
      </c>
      <c r="B16" s="136">
        <v>1620</v>
      </c>
      <c r="D16" s="136"/>
    </row>
    <row r="17" spans="1:4" x14ac:dyDescent="0.2">
      <c r="A17" t="s">
        <v>535</v>
      </c>
      <c r="B17" s="136"/>
      <c r="D17" s="136">
        <v>3879</v>
      </c>
    </row>
    <row r="18" spans="1:4" x14ac:dyDescent="0.2">
      <c r="A18" t="s">
        <v>536</v>
      </c>
      <c r="B18" s="136"/>
      <c r="D18" s="136">
        <v>723</v>
      </c>
    </row>
    <row r="19" spans="1:4" x14ac:dyDescent="0.2">
      <c r="A19" t="s">
        <v>537</v>
      </c>
      <c r="B19" s="136">
        <v>1361</v>
      </c>
      <c r="D19" s="136">
        <v>2356</v>
      </c>
    </row>
    <row r="20" spans="1:4" x14ac:dyDescent="0.2">
      <c r="A20" t="s">
        <v>538</v>
      </c>
      <c r="B20" s="136">
        <v>2142</v>
      </c>
      <c r="D20" s="136"/>
    </row>
    <row r="21" spans="1:4" x14ac:dyDescent="0.2">
      <c r="A21" t="s">
        <v>539</v>
      </c>
      <c r="B21" s="136"/>
      <c r="D21" s="136">
        <v>10544</v>
      </c>
    </row>
    <row r="22" spans="1:4" x14ac:dyDescent="0.2">
      <c r="A22" t="s">
        <v>540</v>
      </c>
      <c r="B22" s="136">
        <v>1290</v>
      </c>
      <c r="D22" s="136"/>
    </row>
    <row r="23" spans="1:4" x14ac:dyDescent="0.2">
      <c r="A23" t="s">
        <v>542</v>
      </c>
      <c r="B23" s="136">
        <v>12000</v>
      </c>
      <c r="D23" s="136"/>
    </row>
    <row r="24" spans="1:4" x14ac:dyDescent="0.2">
      <c r="A24" t="s">
        <v>543</v>
      </c>
      <c r="B24" s="136">
        <v>160</v>
      </c>
      <c r="D24" s="136"/>
    </row>
    <row r="25" spans="1:4" x14ac:dyDescent="0.2">
      <c r="A25" t="s">
        <v>544</v>
      </c>
      <c r="B25" s="136">
        <v>1312</v>
      </c>
      <c r="D25" s="136"/>
    </row>
    <row r="26" spans="1:4" x14ac:dyDescent="0.2">
      <c r="A26" t="s">
        <v>545</v>
      </c>
      <c r="B26" s="136">
        <v>2800</v>
      </c>
      <c r="D26" s="136"/>
    </row>
    <row r="28" spans="1:4" x14ac:dyDescent="0.2">
      <c r="A28" t="s">
        <v>548</v>
      </c>
      <c r="B28" s="136"/>
      <c r="D28" s="136">
        <v>18833</v>
      </c>
    </row>
    <row r="29" spans="1:4" x14ac:dyDescent="0.2">
      <c r="A29" t="s">
        <v>549</v>
      </c>
      <c r="B29" s="136">
        <v>3032</v>
      </c>
      <c r="D29" s="136"/>
    </row>
    <row r="30" spans="1:4" x14ac:dyDescent="0.2">
      <c r="A30" t="s">
        <v>550</v>
      </c>
      <c r="B30" s="136">
        <v>34916</v>
      </c>
      <c r="D30" s="136"/>
    </row>
    <row r="31" spans="1:4" x14ac:dyDescent="0.2">
      <c r="A31" t="s">
        <v>551</v>
      </c>
      <c r="B31" s="136">
        <v>5855</v>
      </c>
      <c r="D31" s="136"/>
    </row>
    <row r="32" spans="1:4" x14ac:dyDescent="0.2">
      <c r="B32" s="136"/>
      <c r="D32" s="136"/>
    </row>
    <row r="33" spans="1:4" ht="13.5" thickBot="1" x14ac:dyDescent="0.25">
      <c r="A33" s="1" t="s">
        <v>554</v>
      </c>
      <c r="B33" s="137"/>
      <c r="D33" s="137">
        <v>1375</v>
      </c>
    </row>
    <row r="34" spans="1:4" x14ac:dyDescent="0.2">
      <c r="A34" s="1"/>
    </row>
    <row r="35" spans="1:4" x14ac:dyDescent="0.2">
      <c r="A35" s="3" t="s">
        <v>552</v>
      </c>
      <c r="B35" s="3">
        <f>SUM(B2:B31)</f>
        <v>102508</v>
      </c>
      <c r="C35" s="3"/>
      <c r="D35" s="3">
        <f>SUM(D2:D33)</f>
        <v>77145</v>
      </c>
    </row>
    <row r="38" spans="1:4" ht="31.5" x14ac:dyDescent="0.25">
      <c r="A38" s="131" t="s">
        <v>553</v>
      </c>
      <c r="B38" s="133">
        <f>B35+D35</f>
        <v>179653</v>
      </c>
    </row>
    <row r="39" spans="1:4" x14ac:dyDescent="0.2">
      <c r="A39" s="132"/>
    </row>
    <row r="41" spans="1:4" ht="13.5" thickBot="1" x14ac:dyDescent="0.25"/>
    <row r="42" spans="1:4" x14ac:dyDescent="0.2">
      <c r="A42" s="134" t="s">
        <v>563</v>
      </c>
      <c r="B42" s="135" t="s">
        <v>300</v>
      </c>
      <c r="C42" s="138"/>
      <c r="D42" s="135" t="s">
        <v>57</v>
      </c>
    </row>
    <row r="43" spans="1:4" x14ac:dyDescent="0.2">
      <c r="B43" s="136"/>
      <c r="D43" s="136"/>
    </row>
    <row r="44" spans="1:4" x14ac:dyDescent="0.2">
      <c r="A44" s="1" t="s">
        <v>555</v>
      </c>
      <c r="B44" s="136">
        <v>3070</v>
      </c>
      <c r="D44" s="136"/>
    </row>
    <row r="45" spans="1:4" x14ac:dyDescent="0.2">
      <c r="A45" s="1" t="s">
        <v>288</v>
      </c>
      <c r="B45" s="136">
        <v>61100</v>
      </c>
      <c r="D45" s="136"/>
    </row>
    <row r="46" spans="1:4" x14ac:dyDescent="0.2">
      <c r="A46" s="1" t="s">
        <v>289</v>
      </c>
      <c r="B46" s="136">
        <v>2000</v>
      </c>
      <c r="D46" s="136"/>
    </row>
    <row r="47" spans="1:4" x14ac:dyDescent="0.2">
      <c r="A47" s="1" t="s">
        <v>290</v>
      </c>
      <c r="B47" s="136">
        <v>13400</v>
      </c>
      <c r="D47" s="136"/>
    </row>
    <row r="48" spans="1:4" x14ac:dyDescent="0.2">
      <c r="A48" s="1" t="s">
        <v>291</v>
      </c>
      <c r="B48" s="136">
        <v>5700</v>
      </c>
      <c r="D48" s="136"/>
    </row>
    <row r="49" spans="1:4" x14ac:dyDescent="0.2">
      <c r="A49" s="1" t="s">
        <v>292</v>
      </c>
      <c r="B49" s="136">
        <v>16200</v>
      </c>
      <c r="D49" s="136"/>
    </row>
    <row r="50" spans="1:4" x14ac:dyDescent="0.2">
      <c r="A50" s="1" t="s">
        <v>556</v>
      </c>
      <c r="B50" s="136"/>
      <c r="D50" s="136">
        <v>1000</v>
      </c>
    </row>
    <row r="51" spans="1:4" x14ac:dyDescent="0.2">
      <c r="A51" s="1" t="s">
        <v>312</v>
      </c>
      <c r="B51" s="136">
        <v>1100</v>
      </c>
      <c r="D51" s="136"/>
    </row>
    <row r="52" spans="1:4" x14ac:dyDescent="0.2">
      <c r="A52" s="1" t="s">
        <v>313</v>
      </c>
      <c r="B52" s="136">
        <v>1200</v>
      </c>
      <c r="D52" s="136"/>
    </row>
    <row r="53" spans="1:4" x14ac:dyDescent="0.2">
      <c r="A53" s="1" t="s">
        <v>295</v>
      </c>
      <c r="B53" s="136"/>
      <c r="D53" s="136">
        <v>4065</v>
      </c>
    </row>
    <row r="54" spans="1:4" x14ac:dyDescent="0.2">
      <c r="A54" s="1" t="s">
        <v>297</v>
      </c>
      <c r="B54" s="136"/>
      <c r="D54" s="136">
        <v>3600</v>
      </c>
    </row>
    <row r="55" spans="1:4" x14ac:dyDescent="0.2">
      <c r="A55" s="1" t="s">
        <v>557</v>
      </c>
      <c r="B55" s="136">
        <v>1000</v>
      </c>
      <c r="D55" s="136"/>
    </row>
    <row r="56" spans="1:4" x14ac:dyDescent="0.2">
      <c r="A56" s="1" t="s">
        <v>558</v>
      </c>
      <c r="B56" s="136">
        <v>5400</v>
      </c>
      <c r="D56" s="136">
        <v>710</v>
      </c>
    </row>
    <row r="57" spans="1:4" x14ac:dyDescent="0.2">
      <c r="A57" s="1" t="s">
        <v>559</v>
      </c>
      <c r="B57" s="136">
        <v>1000</v>
      </c>
      <c r="D57" s="136"/>
    </row>
    <row r="58" spans="1:4" x14ac:dyDescent="0.2">
      <c r="A58" s="1" t="s">
        <v>560</v>
      </c>
      <c r="B58" s="136">
        <v>1200</v>
      </c>
      <c r="D58" s="136"/>
    </row>
    <row r="59" spans="1:4" x14ac:dyDescent="0.2">
      <c r="B59" s="136"/>
      <c r="D59" s="136"/>
    </row>
    <row r="60" spans="1:4" ht="13.5" thickBot="1" x14ac:dyDescent="0.25">
      <c r="A60" s="1" t="s">
        <v>320</v>
      </c>
      <c r="B60" s="137"/>
      <c r="D60" s="137"/>
    </row>
    <row r="63" spans="1:4" x14ac:dyDescent="0.2">
      <c r="A63" s="139" t="s">
        <v>561</v>
      </c>
      <c r="B63" s="139">
        <f>SUM(B44:B60)</f>
        <v>112370</v>
      </c>
      <c r="C63" s="139"/>
      <c r="D63" s="139">
        <f>SUM(D44:D60)</f>
        <v>9375</v>
      </c>
    </row>
    <row r="65" spans="1:4" ht="15.75" x14ac:dyDescent="0.25">
      <c r="A65" s="178" t="s">
        <v>562</v>
      </c>
      <c r="B65" s="133">
        <f>B63+D63</f>
        <v>121745</v>
      </c>
    </row>
    <row r="66" spans="1:4" ht="15.75" x14ac:dyDescent="0.25">
      <c r="A66" s="178"/>
      <c r="B66" s="130"/>
    </row>
    <row r="69" spans="1:4" ht="13.5" thickBot="1" x14ac:dyDescent="0.25"/>
    <row r="70" spans="1:4" x14ac:dyDescent="0.2">
      <c r="A70" s="134" t="s">
        <v>575</v>
      </c>
      <c r="B70" s="135" t="s">
        <v>300</v>
      </c>
      <c r="C70" s="138"/>
      <c r="D70" s="135" t="s">
        <v>57</v>
      </c>
    </row>
    <row r="72" spans="1:4" x14ac:dyDescent="0.2">
      <c r="A72" s="1" t="s">
        <v>564</v>
      </c>
      <c r="B72">
        <v>13940</v>
      </c>
    </row>
    <row r="73" spans="1:4" x14ac:dyDescent="0.2">
      <c r="A73" s="1" t="s">
        <v>565</v>
      </c>
      <c r="B73">
        <v>60750</v>
      </c>
    </row>
    <row r="74" spans="1:4" x14ac:dyDescent="0.2">
      <c r="A74" s="1" t="s">
        <v>566</v>
      </c>
      <c r="D74">
        <v>4580</v>
      </c>
    </row>
    <row r="75" spans="1:4" x14ac:dyDescent="0.2">
      <c r="A75" s="1" t="s">
        <v>567</v>
      </c>
      <c r="B75">
        <v>1000</v>
      </c>
    </row>
    <row r="76" spans="1:4" x14ac:dyDescent="0.2">
      <c r="A76" s="1" t="s">
        <v>568</v>
      </c>
      <c r="B76">
        <v>51000</v>
      </c>
    </row>
    <row r="77" spans="1:4" x14ac:dyDescent="0.2">
      <c r="A77" s="1" t="s">
        <v>569</v>
      </c>
      <c r="B77">
        <v>13000</v>
      </c>
    </row>
    <row r="78" spans="1:4" x14ac:dyDescent="0.2">
      <c r="A78" s="1" t="s">
        <v>570</v>
      </c>
      <c r="B78">
        <v>15125</v>
      </c>
    </row>
    <row r="79" spans="1:4" x14ac:dyDescent="0.2">
      <c r="A79" s="1" t="s">
        <v>571</v>
      </c>
      <c r="D79">
        <v>1593</v>
      </c>
    </row>
    <row r="80" spans="1:4" x14ac:dyDescent="0.2">
      <c r="A80" s="1" t="s">
        <v>546</v>
      </c>
      <c r="D80">
        <v>8400</v>
      </c>
    </row>
    <row r="81" spans="1:4" x14ac:dyDescent="0.2">
      <c r="A81" s="1" t="s">
        <v>572</v>
      </c>
      <c r="B81">
        <v>19082</v>
      </c>
    </row>
    <row r="82" spans="1:4" x14ac:dyDescent="0.2">
      <c r="A82" s="1" t="s">
        <v>573</v>
      </c>
      <c r="B82">
        <v>9000</v>
      </c>
    </row>
    <row r="85" spans="1:4" x14ac:dyDescent="0.2">
      <c r="A85" s="1" t="s">
        <v>561</v>
      </c>
      <c r="B85">
        <f>SUM(B72:B82)</f>
        <v>182897</v>
      </c>
      <c r="D85">
        <f>SUM(D72:D82)</f>
        <v>14573</v>
      </c>
    </row>
    <row r="87" spans="1:4" ht="12.75" customHeight="1" x14ac:dyDescent="0.2">
      <c r="A87" s="178" t="s">
        <v>578</v>
      </c>
      <c r="B87" s="3">
        <f>SUM(B85+D85)</f>
        <v>197470</v>
      </c>
    </row>
    <row r="88" spans="1:4" ht="20.25" customHeight="1" x14ac:dyDescent="0.2">
      <c r="A88" s="178"/>
    </row>
    <row r="89" spans="1:4" ht="13.5" thickBot="1" x14ac:dyDescent="0.25"/>
    <row r="90" spans="1:4" x14ac:dyDescent="0.2">
      <c r="A90" s="134" t="s">
        <v>576</v>
      </c>
      <c r="B90" s="135" t="s">
        <v>300</v>
      </c>
      <c r="C90" s="138"/>
      <c r="D90" s="135" t="s">
        <v>57</v>
      </c>
    </row>
    <row r="91" spans="1:4" x14ac:dyDescent="0.2">
      <c r="B91" s="136"/>
      <c r="D91" s="136"/>
    </row>
    <row r="92" spans="1:4" x14ac:dyDescent="0.2">
      <c r="B92" s="136"/>
      <c r="D92" s="136"/>
    </row>
    <row r="93" spans="1:4" x14ac:dyDescent="0.2">
      <c r="A93" t="s">
        <v>541</v>
      </c>
      <c r="B93" s="136"/>
      <c r="D93" s="136">
        <v>2000</v>
      </c>
    </row>
    <row r="94" spans="1:4" x14ac:dyDescent="0.2">
      <c r="A94" t="s">
        <v>547</v>
      </c>
      <c r="B94" s="136"/>
      <c r="D94" s="136">
        <v>12563</v>
      </c>
    </row>
    <row r="95" spans="1:4" x14ac:dyDescent="0.2">
      <c r="B95" s="136"/>
      <c r="D95" s="136"/>
    </row>
    <row r="96" spans="1:4" ht="13.5" thickBot="1" x14ac:dyDescent="0.25">
      <c r="B96" s="137"/>
      <c r="D96" s="137"/>
    </row>
    <row r="99" spans="1:4" x14ac:dyDescent="0.2">
      <c r="A99" s="1" t="s">
        <v>577</v>
      </c>
      <c r="B99">
        <f>SUM(B91:B96)</f>
        <v>0</v>
      </c>
      <c r="D99">
        <f>SUM(D91:D96)</f>
        <v>14563</v>
      </c>
    </row>
    <row r="102" spans="1:4" x14ac:dyDescent="0.2">
      <c r="A102" s="178" t="s">
        <v>579</v>
      </c>
    </row>
    <row r="103" spans="1:4" ht="23.25" customHeight="1" x14ac:dyDescent="0.2">
      <c r="A103" s="178"/>
      <c r="B103">
        <f>D99+B99</f>
        <v>14563</v>
      </c>
    </row>
  </sheetData>
  <mergeCells count="3">
    <mergeCell ref="A65:A66"/>
    <mergeCell ref="A87:A88"/>
    <mergeCell ref="A102:A103"/>
  </mergeCells>
  <pageMargins left="0.7" right="0.7" top="0.75" bottom="0.75" header="0.3" footer="0.3"/>
  <pageSetup orientation="portrait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84CD-84E9-4354-A81A-453E279FB5EA}">
  <sheetPr>
    <tabColor theme="0" tint="-0.34998626667073579"/>
  </sheetPr>
  <dimension ref="A2:AG110"/>
  <sheetViews>
    <sheetView tabSelected="1" workbookViewId="0">
      <pane xSplit="4" topLeftCell="X1" activePane="topRight" state="frozen"/>
      <selection pane="topRight" activeCell="AB57" sqref="AB57"/>
    </sheetView>
  </sheetViews>
  <sheetFormatPr defaultRowHeight="12.75" x14ac:dyDescent="0.2"/>
  <cols>
    <col min="1" max="1" width="16" bestFit="1" customWidth="1"/>
    <col min="2" max="2" width="22.42578125" bestFit="1" customWidth="1"/>
    <col min="3" max="3" width="14.5703125" customWidth="1"/>
    <col min="4" max="4" width="47" customWidth="1"/>
    <col min="5" max="5" width="33" customWidth="1"/>
    <col min="6" max="6" width="38.28515625" bestFit="1" customWidth="1"/>
    <col min="7" max="7" width="32.85546875" customWidth="1"/>
    <col min="8" max="8" width="31.7109375" customWidth="1"/>
    <col min="9" max="9" width="34" bestFit="1" customWidth="1"/>
    <col min="10" max="10" width="32.42578125" customWidth="1"/>
    <col min="11" max="11" width="33.42578125" customWidth="1"/>
    <col min="12" max="13" width="33" customWidth="1"/>
    <col min="14" max="14" width="34.85546875" customWidth="1"/>
    <col min="15" max="15" width="35" customWidth="1"/>
    <col min="16" max="21" width="31.85546875" bestFit="1" customWidth="1"/>
    <col min="22" max="22" width="32.85546875" bestFit="1" customWidth="1"/>
    <col min="23" max="24" width="34" bestFit="1" customWidth="1"/>
    <col min="25" max="25" width="32.85546875" bestFit="1" customWidth="1"/>
    <col min="26" max="26" width="31.85546875" bestFit="1" customWidth="1"/>
    <col min="27" max="27" width="31.28515625" bestFit="1" customWidth="1"/>
    <col min="28" max="33" width="31.85546875" bestFit="1" customWidth="1"/>
  </cols>
  <sheetData>
    <row r="2" spans="1:14" x14ac:dyDescent="0.2">
      <c r="F2" s="154" t="s">
        <v>991</v>
      </c>
      <c r="G2" s="155" t="s">
        <v>992</v>
      </c>
    </row>
    <row r="3" spans="1:14" x14ac:dyDescent="0.2">
      <c r="A3" t="s">
        <v>616</v>
      </c>
      <c r="B3" t="s">
        <v>1</v>
      </c>
      <c r="C3" t="s">
        <v>606</v>
      </c>
      <c r="D3" t="s">
        <v>3</v>
      </c>
    </row>
    <row r="5" spans="1:14" s="155" customFormat="1" hidden="1" x14ac:dyDescent="0.2">
      <c r="A5" s="155" t="s">
        <v>617</v>
      </c>
      <c r="B5" s="156" t="s">
        <v>974</v>
      </c>
      <c r="C5" s="156" t="s">
        <v>975</v>
      </c>
      <c r="D5" s="156" t="s">
        <v>976</v>
      </c>
      <c r="F5" s="156" t="s">
        <v>977</v>
      </c>
      <c r="G5" s="156" t="s">
        <v>980</v>
      </c>
    </row>
    <row r="6" spans="1:14" hidden="1" x14ac:dyDescent="0.2">
      <c r="A6" t="s">
        <v>617</v>
      </c>
      <c r="B6" s="1" t="s">
        <v>963</v>
      </c>
      <c r="C6" s="1" t="s">
        <v>1256</v>
      </c>
      <c r="D6" s="1" t="s">
        <v>1257</v>
      </c>
      <c r="E6" s="1" t="s">
        <v>1233</v>
      </c>
      <c r="F6" s="1" t="s">
        <v>964</v>
      </c>
      <c r="G6" s="1" t="s">
        <v>981</v>
      </c>
      <c r="H6" s="1" t="s">
        <v>1073</v>
      </c>
      <c r="I6" s="1" t="s">
        <v>1083</v>
      </c>
      <c r="J6" s="1" t="s">
        <v>1218</v>
      </c>
      <c r="K6" s="1" t="s">
        <v>1234</v>
      </c>
      <c r="L6" s="1" t="s">
        <v>1219</v>
      </c>
      <c r="M6" s="1" t="s">
        <v>1269</v>
      </c>
      <c r="N6" s="1" t="s">
        <v>1289</v>
      </c>
    </row>
    <row r="7" spans="1:14" s="155" customFormat="1" hidden="1" x14ac:dyDescent="0.2">
      <c r="A7" t="s">
        <v>617</v>
      </c>
      <c r="B7" s="155" t="s">
        <v>607</v>
      </c>
      <c r="C7" s="155" t="s">
        <v>608</v>
      </c>
      <c r="D7" s="155" t="s">
        <v>609</v>
      </c>
      <c r="F7" s="155" t="s">
        <v>634</v>
      </c>
      <c r="G7" s="156" t="s">
        <v>655</v>
      </c>
    </row>
    <row r="8" spans="1:14" hidden="1" x14ac:dyDescent="0.2">
      <c r="A8" t="s">
        <v>617</v>
      </c>
      <c r="B8" s="100" t="s">
        <v>612</v>
      </c>
      <c r="C8" s="100" t="s">
        <v>610</v>
      </c>
      <c r="D8" s="100" t="s">
        <v>611</v>
      </c>
      <c r="E8" s="100"/>
      <c r="F8" s="100" t="s">
        <v>645</v>
      </c>
      <c r="G8" s="100" t="s">
        <v>644</v>
      </c>
      <c r="H8" s="157" t="s">
        <v>656</v>
      </c>
      <c r="I8" s="100" t="s">
        <v>935</v>
      </c>
    </row>
    <row r="9" spans="1:14" hidden="1" x14ac:dyDescent="0.2">
      <c r="A9" t="s">
        <v>617</v>
      </c>
      <c r="B9" s="100" t="s">
        <v>612</v>
      </c>
      <c r="C9" s="100" t="s">
        <v>610</v>
      </c>
      <c r="D9" s="100" t="s">
        <v>618</v>
      </c>
      <c r="E9" s="100"/>
      <c r="F9" s="100" t="s">
        <v>646</v>
      </c>
      <c r="G9" s="100" t="s">
        <v>647</v>
      </c>
      <c r="H9" s="157" t="s">
        <v>657</v>
      </c>
      <c r="I9" s="100" t="s">
        <v>936</v>
      </c>
    </row>
    <row r="10" spans="1:14" hidden="1" x14ac:dyDescent="0.2">
      <c r="A10" t="s">
        <v>617</v>
      </c>
      <c r="B10" s="100" t="s">
        <v>612</v>
      </c>
      <c r="C10" s="100" t="s">
        <v>610</v>
      </c>
      <c r="D10" s="157" t="s">
        <v>651</v>
      </c>
      <c r="E10" s="100"/>
      <c r="F10" s="157" t="s">
        <v>649</v>
      </c>
      <c r="G10" s="100" t="s">
        <v>875</v>
      </c>
      <c r="H10" s="157" t="s">
        <v>942</v>
      </c>
      <c r="I10" s="100"/>
    </row>
    <row r="11" spans="1:14" hidden="1" x14ac:dyDescent="0.2">
      <c r="A11" t="s">
        <v>617</v>
      </c>
      <c r="B11" s="156" t="s">
        <v>612</v>
      </c>
      <c r="C11" s="156" t="s">
        <v>610</v>
      </c>
      <c r="D11" s="156" t="s">
        <v>652</v>
      </c>
      <c r="E11" s="155"/>
      <c r="F11" s="156" t="s">
        <v>650</v>
      </c>
      <c r="G11" s="155" t="s">
        <v>876</v>
      </c>
      <c r="H11" s="156" t="s">
        <v>941</v>
      </c>
      <c r="I11" s="155"/>
    </row>
    <row r="12" spans="1:14" hidden="1" x14ac:dyDescent="0.2">
      <c r="A12" t="s">
        <v>617</v>
      </c>
      <c r="B12" s="156" t="s">
        <v>612</v>
      </c>
      <c r="C12" s="156" t="s">
        <v>610</v>
      </c>
      <c r="D12" s="156" t="s">
        <v>653</v>
      </c>
      <c r="E12" s="155"/>
      <c r="F12" s="156" t="s">
        <v>654</v>
      </c>
      <c r="G12" s="155" t="s">
        <v>877</v>
      </c>
      <c r="H12" s="156" t="s">
        <v>943</v>
      </c>
      <c r="I12" s="155"/>
    </row>
    <row r="13" spans="1:14" s="100" customFormat="1" hidden="1" x14ac:dyDescent="0.2">
      <c r="A13" t="s">
        <v>617</v>
      </c>
      <c r="B13" s="100" t="s">
        <v>613</v>
      </c>
      <c r="C13" s="100" t="s">
        <v>614</v>
      </c>
      <c r="D13" s="100" t="s">
        <v>615</v>
      </c>
      <c r="F13" s="100" t="s">
        <v>648</v>
      </c>
      <c r="G13" s="157" t="s">
        <v>658</v>
      </c>
      <c r="H13" s="157" t="s">
        <v>910</v>
      </c>
      <c r="I13" s="157" t="s">
        <v>944</v>
      </c>
    </row>
    <row r="14" spans="1:14" s="155" customFormat="1" hidden="1" x14ac:dyDescent="0.2">
      <c r="A14" t="s">
        <v>617</v>
      </c>
      <c r="B14" s="155" t="s">
        <v>627</v>
      </c>
      <c r="C14" s="155" t="s">
        <v>934</v>
      </c>
      <c r="D14" s="155" t="s">
        <v>628</v>
      </c>
      <c r="F14" s="156" t="s">
        <v>660</v>
      </c>
      <c r="G14" s="156" t="s">
        <v>659</v>
      </c>
      <c r="H14" s="156" t="s">
        <v>661</v>
      </c>
    </row>
    <row r="15" spans="1:14" hidden="1" x14ac:dyDescent="0.2">
      <c r="A15" t="s">
        <v>617</v>
      </c>
      <c r="B15" s="100" t="s">
        <v>984</v>
      </c>
      <c r="C15" t="s">
        <v>985</v>
      </c>
      <c r="D15" t="s">
        <v>976</v>
      </c>
      <c r="F15" s="1" t="s">
        <v>986</v>
      </c>
      <c r="G15" s="1" t="s">
        <v>1074</v>
      </c>
      <c r="H15" s="1" t="s">
        <v>1097</v>
      </c>
      <c r="I15" s="1" t="s">
        <v>1086</v>
      </c>
    </row>
    <row r="16" spans="1:14" hidden="1" x14ac:dyDescent="0.2">
      <c r="A16" t="s">
        <v>617</v>
      </c>
      <c r="B16" t="s">
        <v>169</v>
      </c>
      <c r="C16" t="s">
        <v>1075</v>
      </c>
      <c r="D16" t="s">
        <v>1119</v>
      </c>
      <c r="E16" t="s">
        <v>1076</v>
      </c>
      <c r="F16" s="1" t="s">
        <v>1077</v>
      </c>
      <c r="G16" s="1" t="s">
        <v>1094</v>
      </c>
      <c r="H16" s="1" t="s">
        <v>1116</v>
      </c>
      <c r="I16" s="1" t="s">
        <v>1223</v>
      </c>
      <c r="J16" s="1" t="s">
        <v>1086</v>
      </c>
    </row>
    <row r="17" spans="1:19" hidden="1" x14ac:dyDescent="0.2">
      <c r="A17" t="s">
        <v>617</v>
      </c>
      <c r="B17" t="s">
        <v>169</v>
      </c>
      <c r="C17" t="s">
        <v>1075</v>
      </c>
      <c r="D17" t="s">
        <v>1117</v>
      </c>
      <c r="E17" t="s">
        <v>1076</v>
      </c>
      <c r="F17" t="s">
        <v>1092</v>
      </c>
      <c r="G17" t="s">
        <v>1093</v>
      </c>
      <c r="H17" t="s">
        <v>1120</v>
      </c>
      <c r="I17" t="s">
        <v>1224</v>
      </c>
      <c r="J17" t="s">
        <v>1086</v>
      </c>
    </row>
    <row r="18" spans="1:19" hidden="1" x14ac:dyDescent="0.2">
      <c r="A18" t="s">
        <v>617</v>
      </c>
      <c r="B18" t="s">
        <v>169</v>
      </c>
      <c r="C18" t="s">
        <v>1075</v>
      </c>
      <c r="D18" t="s">
        <v>1118</v>
      </c>
      <c r="E18" t="s">
        <v>1076</v>
      </c>
      <c r="F18" t="s">
        <v>1078</v>
      </c>
      <c r="G18" t="s">
        <v>1095</v>
      </c>
      <c r="H18" t="s">
        <v>1127</v>
      </c>
      <c r="I18" t="s">
        <v>1225</v>
      </c>
      <c r="J18" t="s">
        <v>1086</v>
      </c>
    </row>
    <row r="19" spans="1:19" hidden="1" x14ac:dyDescent="0.2">
      <c r="A19" t="s">
        <v>617</v>
      </c>
      <c r="B19" t="s">
        <v>1113</v>
      </c>
      <c r="C19" t="s">
        <v>1114</v>
      </c>
      <c r="D19" t="s">
        <v>1247</v>
      </c>
      <c r="F19" t="s">
        <v>1115</v>
      </c>
      <c r="G19" t="s">
        <v>1121</v>
      </c>
      <c r="H19" t="s">
        <v>1248</v>
      </c>
      <c r="I19" s="1" t="s">
        <v>1270</v>
      </c>
      <c r="J19" s="1" t="s">
        <v>1290</v>
      </c>
      <c r="K19" s="1" t="s">
        <v>1307</v>
      </c>
      <c r="L19" s="1" t="s">
        <v>1336</v>
      </c>
      <c r="M19" s="1" t="s">
        <v>1345</v>
      </c>
      <c r="N19" s="1" t="s">
        <v>1363</v>
      </c>
      <c r="O19" s="1" t="s">
        <v>1399</v>
      </c>
      <c r="P19" s="1" t="s">
        <v>1400</v>
      </c>
      <c r="Q19" s="1" t="s">
        <v>1086</v>
      </c>
    </row>
    <row r="20" spans="1:19" hidden="1" x14ac:dyDescent="0.2">
      <c r="A20" t="s">
        <v>617</v>
      </c>
      <c r="B20" t="s">
        <v>1129</v>
      </c>
      <c r="C20" t="s">
        <v>1130</v>
      </c>
      <c r="D20" t="s">
        <v>1131</v>
      </c>
      <c r="E20" t="s">
        <v>1222</v>
      </c>
      <c r="F20" t="s">
        <v>1132</v>
      </c>
      <c r="G20" t="s">
        <v>1259</v>
      </c>
      <c r="H20" t="s">
        <v>1271</v>
      </c>
      <c r="I20" t="s">
        <v>1291</v>
      </c>
      <c r="J20" t="s">
        <v>1086</v>
      </c>
    </row>
    <row r="21" spans="1:19" hidden="1" x14ac:dyDescent="0.2">
      <c r="A21" t="s">
        <v>617</v>
      </c>
      <c r="B21" t="s">
        <v>1129</v>
      </c>
      <c r="C21" t="s">
        <v>1130</v>
      </c>
      <c r="D21" t="s">
        <v>1131</v>
      </c>
      <c r="E21" t="s">
        <v>1220</v>
      </c>
      <c r="F21" t="s">
        <v>1221</v>
      </c>
      <c r="G21" t="s">
        <v>1272</v>
      </c>
      <c r="H21" t="s">
        <v>1292</v>
      </c>
      <c r="I21" t="s">
        <v>1308</v>
      </c>
      <c r="J21" t="s">
        <v>1086</v>
      </c>
    </row>
    <row r="22" spans="1:19" hidden="1" x14ac:dyDescent="0.2">
      <c r="A22" t="s">
        <v>617</v>
      </c>
      <c r="B22" t="s">
        <v>1134</v>
      </c>
      <c r="C22" t="s">
        <v>1135</v>
      </c>
      <c r="D22" t="s">
        <v>20</v>
      </c>
      <c r="E22" t="s">
        <v>1136</v>
      </c>
      <c r="F22" t="s">
        <v>1137</v>
      </c>
      <c r="G22" s="1" t="s">
        <v>1258</v>
      </c>
      <c r="H22" s="1"/>
    </row>
    <row r="23" spans="1:19" hidden="1" x14ac:dyDescent="0.2">
      <c r="A23" t="s">
        <v>617</v>
      </c>
      <c r="B23" t="s">
        <v>1129</v>
      </c>
      <c r="C23" t="s">
        <v>1282</v>
      </c>
      <c r="D23" t="s">
        <v>1283</v>
      </c>
      <c r="E23" t="s">
        <v>1284</v>
      </c>
      <c r="F23" s="1" t="s">
        <v>1285</v>
      </c>
      <c r="G23" s="1" t="s">
        <v>1293</v>
      </c>
      <c r="H23" s="1" t="s">
        <v>1325</v>
      </c>
      <c r="I23" s="1" t="s">
        <v>1086</v>
      </c>
    </row>
    <row r="24" spans="1:19" hidden="1" x14ac:dyDescent="0.2">
      <c r="A24" t="s">
        <v>617</v>
      </c>
      <c r="B24" t="s">
        <v>1229</v>
      </c>
      <c r="C24" t="s">
        <v>1230</v>
      </c>
      <c r="D24" t="s">
        <v>1131</v>
      </c>
      <c r="E24" t="s">
        <v>1232</v>
      </c>
      <c r="F24" t="s">
        <v>1231</v>
      </c>
      <c r="G24" t="s">
        <v>1273</v>
      </c>
      <c r="H24" t="s">
        <v>1294</v>
      </c>
      <c r="I24" t="s">
        <v>1309</v>
      </c>
      <c r="J24" t="s">
        <v>1086</v>
      </c>
    </row>
    <row r="25" spans="1:19" hidden="1" x14ac:dyDescent="0.2">
      <c r="A25" t="s">
        <v>617</v>
      </c>
      <c r="B25" t="s">
        <v>607</v>
      </c>
      <c r="C25" t="s">
        <v>1235</v>
      </c>
      <c r="D25" t="s">
        <v>1131</v>
      </c>
      <c r="E25" t="s">
        <v>1232</v>
      </c>
      <c r="F25" t="s">
        <v>1239</v>
      </c>
      <c r="G25" t="s">
        <v>1274</v>
      </c>
      <c r="H25" t="s">
        <v>1295</v>
      </c>
      <c r="I25" t="s">
        <v>1310</v>
      </c>
      <c r="J25" t="s">
        <v>1086</v>
      </c>
    </row>
    <row r="26" spans="1:19" hidden="1" x14ac:dyDescent="0.2">
      <c r="A26" t="s">
        <v>617</v>
      </c>
      <c r="B26" t="s">
        <v>1236</v>
      </c>
      <c r="C26" t="s">
        <v>1237</v>
      </c>
      <c r="D26" t="s">
        <v>1131</v>
      </c>
      <c r="E26" t="s">
        <v>1232</v>
      </c>
      <c r="F26" t="s">
        <v>1238</v>
      </c>
      <c r="G26" t="s">
        <v>1275</v>
      </c>
      <c r="H26" t="s">
        <v>1296</v>
      </c>
      <c r="I26" t="s">
        <v>1311</v>
      </c>
      <c r="J26" t="s">
        <v>1086</v>
      </c>
    </row>
    <row r="27" spans="1:19" hidden="1" x14ac:dyDescent="0.2">
      <c r="A27" t="s">
        <v>617</v>
      </c>
      <c r="B27" t="s">
        <v>1240</v>
      </c>
      <c r="C27" s="159" t="s">
        <v>1241</v>
      </c>
      <c r="D27" t="s">
        <v>1242</v>
      </c>
      <c r="E27" t="s">
        <v>1244</v>
      </c>
      <c r="F27" t="s">
        <v>1245</v>
      </c>
      <c r="G27" s="1" t="s">
        <v>1260</v>
      </c>
      <c r="H27" s="1" t="s">
        <v>1261</v>
      </c>
      <c r="I27" s="1" t="s">
        <v>1297</v>
      </c>
      <c r="J27" s="1" t="s">
        <v>1086</v>
      </c>
    </row>
    <row r="28" spans="1:19" hidden="1" x14ac:dyDescent="0.2">
      <c r="A28" t="s">
        <v>617</v>
      </c>
      <c r="B28" t="s">
        <v>1240</v>
      </c>
      <c r="C28" s="159" t="s">
        <v>1241</v>
      </c>
      <c r="D28" t="s">
        <v>1242</v>
      </c>
      <c r="E28" t="s">
        <v>1243</v>
      </c>
      <c r="F28" t="s">
        <v>1246</v>
      </c>
      <c r="G28" s="1" t="s">
        <v>1262</v>
      </c>
      <c r="H28" s="1" t="s">
        <v>1263</v>
      </c>
      <c r="I28" s="1" t="s">
        <v>1298</v>
      </c>
      <c r="J28" s="1" t="s">
        <v>1086</v>
      </c>
    </row>
    <row r="29" spans="1:19" hidden="1" x14ac:dyDescent="0.2">
      <c r="A29" t="s">
        <v>617</v>
      </c>
      <c r="B29" t="s">
        <v>1240</v>
      </c>
      <c r="C29" t="s">
        <v>1241</v>
      </c>
      <c r="D29" t="s">
        <v>1131</v>
      </c>
      <c r="E29" t="s">
        <v>1276</v>
      </c>
      <c r="F29" s="1" t="s">
        <v>1286</v>
      </c>
      <c r="G29" s="1" t="s">
        <v>1299</v>
      </c>
      <c r="H29" s="1" t="s">
        <v>1326</v>
      </c>
      <c r="I29" s="1" t="s">
        <v>1337</v>
      </c>
      <c r="J29" s="1" t="s">
        <v>1346</v>
      </c>
      <c r="K29" s="1" t="s">
        <v>1364</v>
      </c>
      <c r="L29" s="1" t="s">
        <v>1383</v>
      </c>
      <c r="M29" s="1" t="s">
        <v>1401</v>
      </c>
      <c r="N29" s="1" t="s">
        <v>1419</v>
      </c>
    </row>
    <row r="30" spans="1:19" x14ac:dyDescent="0.2">
      <c r="A30" t="s">
        <v>617</v>
      </c>
      <c r="B30" t="s">
        <v>1327</v>
      </c>
      <c r="C30" t="s">
        <v>1328</v>
      </c>
      <c r="D30" t="s">
        <v>1329</v>
      </c>
      <c r="E30" t="s">
        <v>1220</v>
      </c>
      <c r="F30" t="s">
        <v>1330</v>
      </c>
      <c r="G30" s="1" t="s">
        <v>1347</v>
      </c>
      <c r="H30" s="1" t="s">
        <v>1365</v>
      </c>
      <c r="I30" s="1" t="s">
        <v>1384</v>
      </c>
      <c r="J30" s="1" t="s">
        <v>1402</v>
      </c>
      <c r="K30" s="1" t="s">
        <v>1424</v>
      </c>
      <c r="L30" s="1" t="s">
        <v>1436</v>
      </c>
      <c r="M30" s="1" t="s">
        <v>1455</v>
      </c>
      <c r="N30" s="1" t="s">
        <v>1470</v>
      </c>
      <c r="O30" s="1" t="s">
        <v>1487</v>
      </c>
      <c r="P30" s="1" t="s">
        <v>1548</v>
      </c>
      <c r="Q30" s="1" t="s">
        <v>1569</v>
      </c>
      <c r="R30" s="1" t="s">
        <v>1598</v>
      </c>
      <c r="S30" s="1" t="s">
        <v>1645</v>
      </c>
    </row>
    <row r="31" spans="1:19" x14ac:dyDescent="0.2">
      <c r="A31" t="s">
        <v>617</v>
      </c>
      <c r="B31" t="s">
        <v>266</v>
      </c>
      <c r="C31" t="s">
        <v>1520</v>
      </c>
      <c r="D31" t="s">
        <v>426</v>
      </c>
      <c r="E31" t="s">
        <v>1519</v>
      </c>
      <c r="F31" t="s">
        <v>1335</v>
      </c>
      <c r="G31" s="1" t="s">
        <v>1348</v>
      </c>
      <c r="H31" s="1" t="s">
        <v>1372</v>
      </c>
      <c r="I31" s="1" t="s">
        <v>1385</v>
      </c>
      <c r="J31" s="1" t="s">
        <v>1423</v>
      </c>
      <c r="K31" s="1" t="s">
        <v>1457</v>
      </c>
      <c r="L31" s="1" t="s">
        <v>1471</v>
      </c>
      <c r="M31" s="157" t="s">
        <v>1518</v>
      </c>
      <c r="N31" s="1" t="s">
        <v>1521</v>
      </c>
      <c r="O31" s="1" t="s">
        <v>1498</v>
      </c>
      <c r="P31" s="1" t="s">
        <v>1549</v>
      </c>
      <c r="Q31" s="1" t="s">
        <v>1572</v>
      </c>
      <c r="R31" s="1" t="s">
        <v>1620</v>
      </c>
      <c r="S31" s="1" t="s">
        <v>1646</v>
      </c>
    </row>
    <row r="32" spans="1:19" hidden="1" x14ac:dyDescent="0.2">
      <c r="A32" t="s">
        <v>617</v>
      </c>
      <c r="B32" t="s">
        <v>268</v>
      </c>
      <c r="C32" t="s">
        <v>1394</v>
      </c>
      <c r="D32" t="s">
        <v>1395</v>
      </c>
      <c r="F32" t="s">
        <v>1396</v>
      </c>
      <c r="G32" s="1" t="s">
        <v>1086</v>
      </c>
      <c r="H32" s="1"/>
      <c r="I32" s="1"/>
    </row>
    <row r="33" spans="1:24" hidden="1" x14ac:dyDescent="0.2">
      <c r="A33" t="s">
        <v>617</v>
      </c>
      <c r="B33" t="s">
        <v>279</v>
      </c>
      <c r="C33" t="s">
        <v>1403</v>
      </c>
      <c r="D33" t="s">
        <v>1404</v>
      </c>
      <c r="F33" t="s">
        <v>1405</v>
      </c>
      <c r="G33" s="1" t="s">
        <v>1422</v>
      </c>
      <c r="H33" s="1" t="s">
        <v>1437</v>
      </c>
      <c r="I33" s="1" t="s">
        <v>1456</v>
      </c>
      <c r="J33" s="1" t="s">
        <v>1472</v>
      </c>
      <c r="K33" s="1" t="s">
        <v>1488</v>
      </c>
      <c r="L33" s="1" t="s">
        <v>1522</v>
      </c>
      <c r="M33" s="1" t="s">
        <v>1568</v>
      </c>
    </row>
    <row r="34" spans="1:24" hidden="1" x14ac:dyDescent="0.2">
      <c r="A34" t="s">
        <v>617</v>
      </c>
      <c r="B34" t="s">
        <v>1425</v>
      </c>
      <c r="C34" t="s">
        <v>1426</v>
      </c>
      <c r="D34" t="s">
        <v>1427</v>
      </c>
      <c r="F34" t="s">
        <v>1428</v>
      </c>
      <c r="G34" s="1" t="s">
        <v>1458</v>
      </c>
      <c r="H34" s="1" t="s">
        <v>1473</v>
      </c>
      <c r="I34" s="1" t="s">
        <v>1523</v>
      </c>
      <c r="J34" s="1" t="s">
        <v>1524</v>
      </c>
      <c r="K34" s="1" t="s">
        <v>1568</v>
      </c>
    </row>
    <row r="35" spans="1:24" hidden="1" x14ac:dyDescent="0.2">
      <c r="A35" t="s">
        <v>617</v>
      </c>
      <c r="B35" t="s">
        <v>1433</v>
      </c>
      <c r="C35" t="s">
        <v>1432</v>
      </c>
      <c r="D35" t="s">
        <v>1427</v>
      </c>
      <c r="F35" t="s">
        <v>1435</v>
      </c>
      <c r="G35" s="1" t="s">
        <v>1434</v>
      </c>
      <c r="H35" s="1" t="s">
        <v>1438</v>
      </c>
      <c r="I35" s="1" t="s">
        <v>1459</v>
      </c>
      <c r="J35" s="1" t="s">
        <v>1474</v>
      </c>
      <c r="K35" s="1" t="s">
        <v>1489</v>
      </c>
      <c r="L35" s="1" t="s">
        <v>1525</v>
      </c>
      <c r="M35" s="1" t="s">
        <v>1086</v>
      </c>
    </row>
    <row r="36" spans="1:24" x14ac:dyDescent="0.2">
      <c r="A36" s="1" t="s">
        <v>617</v>
      </c>
      <c r="B36" s="1" t="s">
        <v>1129</v>
      </c>
      <c r="C36" s="1" t="s">
        <v>1482</v>
      </c>
      <c r="D36" s="1" t="s">
        <v>1131</v>
      </c>
      <c r="E36" s="1" t="s">
        <v>1483</v>
      </c>
      <c r="F36" s="1" t="s">
        <v>1499</v>
      </c>
      <c r="G36" s="1" t="s">
        <v>1506</v>
      </c>
      <c r="H36" s="1" t="s">
        <v>1587</v>
      </c>
      <c r="I36" s="1" t="s">
        <v>1588</v>
      </c>
      <c r="J36" s="1" t="s">
        <v>1086</v>
      </c>
    </row>
    <row r="37" spans="1:24" hidden="1" x14ac:dyDescent="0.2">
      <c r="A37" s="1" t="s">
        <v>617</v>
      </c>
      <c r="B37" s="1" t="s">
        <v>1486</v>
      </c>
      <c r="C37" s="1" t="s">
        <v>1485</v>
      </c>
      <c r="D37" s="1" t="s">
        <v>1526</v>
      </c>
      <c r="E37" s="1"/>
      <c r="F37" s="1" t="s">
        <v>1527</v>
      </c>
      <c r="G37" s="1" t="s">
        <v>1528</v>
      </c>
      <c r="H37" s="1" t="s">
        <v>1529</v>
      </c>
      <c r="I37" s="1" t="s">
        <v>1564</v>
      </c>
      <c r="J37" s="1"/>
    </row>
    <row r="38" spans="1:24" hidden="1" x14ac:dyDescent="0.2">
      <c r="A38" s="1" t="s">
        <v>617</v>
      </c>
      <c r="B38" s="1" t="s">
        <v>1486</v>
      </c>
      <c r="C38" s="1" t="s">
        <v>1485</v>
      </c>
      <c r="D38" s="1" t="s">
        <v>1530</v>
      </c>
      <c r="E38" s="1"/>
      <c r="F38" s="1" t="s">
        <v>1531</v>
      </c>
      <c r="G38" s="1" t="s">
        <v>1532</v>
      </c>
      <c r="H38" s="1" t="s">
        <v>1533</v>
      </c>
      <c r="I38" s="1" t="s">
        <v>1563</v>
      </c>
      <c r="J38" s="1" t="s">
        <v>1591</v>
      </c>
    </row>
    <row r="39" spans="1:24" x14ac:dyDescent="0.2">
      <c r="A39" s="1" t="s">
        <v>617</v>
      </c>
      <c r="B39" s="1" t="s">
        <v>1486</v>
      </c>
      <c r="C39" s="1" t="s">
        <v>1485</v>
      </c>
      <c r="D39" s="1" t="s">
        <v>1283</v>
      </c>
      <c r="E39" s="1"/>
      <c r="F39" s="1" t="s">
        <v>1513</v>
      </c>
      <c r="G39" s="1" t="s">
        <v>1534</v>
      </c>
      <c r="H39" s="1" t="s">
        <v>1571</v>
      </c>
      <c r="I39" s="1" t="s">
        <v>1615</v>
      </c>
      <c r="J39" s="1" t="s">
        <v>1621</v>
      </c>
      <c r="K39" s="1" t="s">
        <v>1622</v>
      </c>
    </row>
    <row r="40" spans="1:24" x14ac:dyDescent="0.2">
      <c r="A40" s="1" t="s">
        <v>617</v>
      </c>
      <c r="B40" s="1" t="s">
        <v>1543</v>
      </c>
      <c r="C40" s="1" t="s">
        <v>1545</v>
      </c>
      <c r="D40" s="1" t="s">
        <v>1544</v>
      </c>
      <c r="E40" s="1" t="s">
        <v>1546</v>
      </c>
      <c r="F40" s="1" t="s">
        <v>1547</v>
      </c>
      <c r="G40" s="1" t="s">
        <v>1570</v>
      </c>
      <c r="H40" s="1" t="s">
        <v>1614</v>
      </c>
      <c r="I40" s="1" t="s">
        <v>1652</v>
      </c>
      <c r="J40" s="1"/>
    </row>
    <row r="41" spans="1:24" x14ac:dyDescent="0.2">
      <c r="A41" s="1" t="s">
        <v>617</v>
      </c>
      <c r="B41" s="1" t="s">
        <v>1582</v>
      </c>
      <c r="C41" s="1" t="s">
        <v>1583</v>
      </c>
      <c r="D41" s="1" t="s">
        <v>1584</v>
      </c>
      <c r="E41" s="1" t="s">
        <v>1585</v>
      </c>
      <c r="F41" s="1" t="s">
        <v>1586</v>
      </c>
      <c r="G41" s="1" t="s">
        <v>1592</v>
      </c>
      <c r="H41" s="1" t="s">
        <v>1634</v>
      </c>
      <c r="I41" s="1"/>
      <c r="J41" s="1"/>
    </row>
    <row r="42" spans="1:24" x14ac:dyDescent="0.2">
      <c r="A42" s="1" t="s">
        <v>617</v>
      </c>
      <c r="B42" s="1" t="s">
        <v>1628</v>
      </c>
      <c r="C42" s="1" t="s">
        <v>1629</v>
      </c>
      <c r="D42" s="1" t="s">
        <v>1630</v>
      </c>
      <c r="E42" s="1" t="s">
        <v>1585</v>
      </c>
      <c r="F42" s="1" t="s">
        <v>1631</v>
      </c>
      <c r="G42" s="1"/>
      <c r="H42" s="1"/>
      <c r="I42" s="1"/>
      <c r="J42" s="1"/>
    </row>
    <row r="43" spans="1:24" x14ac:dyDescent="0.2">
      <c r="A43" s="1" t="s">
        <v>617</v>
      </c>
      <c r="B43" s="1" t="s">
        <v>1628</v>
      </c>
      <c r="C43" s="1" t="s">
        <v>1629</v>
      </c>
      <c r="D43" s="1" t="s">
        <v>1632</v>
      </c>
      <c r="E43" s="1" t="s">
        <v>1585</v>
      </c>
      <c r="F43" s="1" t="s">
        <v>1633</v>
      </c>
      <c r="G43" s="1"/>
      <c r="H43" s="1"/>
      <c r="I43" s="1"/>
      <c r="J43" s="1"/>
    </row>
    <row r="44" spans="1:24" s="150" customFormat="1" x14ac:dyDescent="0.2"/>
    <row r="45" spans="1:24" hidden="1" x14ac:dyDescent="0.2">
      <c r="A45" t="s">
        <v>619</v>
      </c>
      <c r="B45" s="158" t="s">
        <v>1249</v>
      </c>
      <c r="C45" t="s">
        <v>629</v>
      </c>
      <c r="D45" t="s">
        <v>630</v>
      </c>
      <c r="F45" s="1" t="s">
        <v>860</v>
      </c>
      <c r="G45" s="1" t="s">
        <v>915</v>
      </c>
      <c r="H45" s="1" t="s">
        <v>945</v>
      </c>
      <c r="I45" s="1" t="s">
        <v>957</v>
      </c>
      <c r="J45" s="1" t="s">
        <v>978</v>
      </c>
      <c r="K45" s="1" t="s">
        <v>987</v>
      </c>
      <c r="L45" s="1" t="s">
        <v>1009</v>
      </c>
      <c r="M45" s="1" t="s">
        <v>1250</v>
      </c>
      <c r="N45" s="1" t="s">
        <v>1266</v>
      </c>
      <c r="O45" s="1" t="s">
        <v>1305</v>
      </c>
      <c r="P45" s="1" t="s">
        <v>1312</v>
      </c>
      <c r="Q45" s="1" t="s">
        <v>1334</v>
      </c>
      <c r="R45" s="1" t="s">
        <v>1349</v>
      </c>
      <c r="S45" s="1" t="s">
        <v>1378</v>
      </c>
      <c r="T45" s="1" t="s">
        <v>1386</v>
      </c>
      <c r="U45" s="1" t="s">
        <v>1406</v>
      </c>
      <c r="V45" s="1" t="s">
        <v>1429</v>
      </c>
    </row>
    <row r="46" spans="1:24" hidden="1" x14ac:dyDescent="0.2">
      <c r="A46" t="s">
        <v>619</v>
      </c>
      <c r="B46" s="158" t="s">
        <v>1249</v>
      </c>
      <c r="C46" t="s">
        <v>635</v>
      </c>
      <c r="D46" t="s">
        <v>636</v>
      </c>
      <c r="E46" t="s">
        <v>637</v>
      </c>
      <c r="F46" s="1" t="s">
        <v>861</v>
      </c>
      <c r="G46" s="1" t="s">
        <v>916</v>
      </c>
      <c r="H46" s="1" t="s">
        <v>949</v>
      </c>
      <c r="I46" s="1" t="s">
        <v>960</v>
      </c>
      <c r="J46" s="1" t="s">
        <v>979</v>
      </c>
      <c r="K46" s="1" t="s">
        <v>993</v>
      </c>
      <c r="L46" s="1" t="s">
        <v>1010</v>
      </c>
      <c r="M46" s="1" t="s">
        <v>1089</v>
      </c>
      <c r="N46" s="1" t="s">
        <v>1101</v>
      </c>
      <c r="O46" s="1" t="s">
        <v>1251</v>
      </c>
      <c r="P46" s="1" t="s">
        <v>1267</v>
      </c>
      <c r="Q46" s="1" t="s">
        <v>1304</v>
      </c>
      <c r="R46" s="1" t="s">
        <v>1314</v>
      </c>
      <c r="S46" s="1" t="s">
        <v>1338</v>
      </c>
      <c r="T46" s="1" t="s">
        <v>1350</v>
      </c>
      <c r="U46" s="1" t="s">
        <v>1387</v>
      </c>
      <c r="V46" s="1" t="s">
        <v>1388</v>
      </c>
      <c r="W46" s="1" t="s">
        <v>1418</v>
      </c>
      <c r="X46" s="1" t="s">
        <v>1430</v>
      </c>
    </row>
    <row r="47" spans="1:24" s="155" customFormat="1" hidden="1" x14ac:dyDescent="0.2">
      <c r="A47" s="155" t="s">
        <v>619</v>
      </c>
      <c r="B47" s="156" t="s">
        <v>965</v>
      </c>
      <c r="C47" s="156" t="s">
        <v>966</v>
      </c>
      <c r="D47" s="155" t="s">
        <v>632</v>
      </c>
      <c r="F47" s="155" t="s">
        <v>967</v>
      </c>
      <c r="G47" s="156"/>
      <c r="H47" s="156"/>
      <c r="I47" s="156"/>
    </row>
    <row r="48" spans="1:24" s="155" customFormat="1" hidden="1" x14ac:dyDescent="0.2">
      <c r="A48" s="155" t="s">
        <v>619</v>
      </c>
      <c r="B48" s="155" t="s">
        <v>631</v>
      </c>
      <c r="C48" s="155" t="s">
        <v>633</v>
      </c>
      <c r="D48" s="155" t="s">
        <v>632</v>
      </c>
      <c r="F48" s="156" t="s">
        <v>862</v>
      </c>
      <c r="G48" s="156" t="s">
        <v>937</v>
      </c>
      <c r="H48" s="156" t="s">
        <v>955</v>
      </c>
      <c r="I48" s="156" t="s">
        <v>962</v>
      </c>
    </row>
    <row r="49" spans="1:33" x14ac:dyDescent="0.2">
      <c r="A49" t="s">
        <v>619</v>
      </c>
      <c r="B49" t="s">
        <v>1060</v>
      </c>
      <c r="C49" t="s">
        <v>1061</v>
      </c>
      <c r="D49" t="s">
        <v>1062</v>
      </c>
      <c r="F49" t="s">
        <v>1063</v>
      </c>
      <c r="G49" t="s">
        <v>1096</v>
      </c>
      <c r="H49" t="s">
        <v>1112</v>
      </c>
      <c r="I49" t="s">
        <v>1128</v>
      </c>
      <c r="J49" t="s">
        <v>1252</v>
      </c>
      <c r="K49" t="s">
        <v>1277</v>
      </c>
      <c r="L49" t="s">
        <v>1303</v>
      </c>
      <c r="M49" t="s">
        <v>1313</v>
      </c>
      <c r="N49" t="s">
        <v>1342</v>
      </c>
      <c r="O49" t="s">
        <v>1351</v>
      </c>
      <c r="P49" s="1" t="s">
        <v>1379</v>
      </c>
      <c r="Q49" s="1" t="s">
        <v>1389</v>
      </c>
      <c r="R49" s="1" t="s">
        <v>1420</v>
      </c>
      <c r="S49" s="1" t="s">
        <v>1421</v>
      </c>
      <c r="T49" s="1" t="s">
        <v>1439</v>
      </c>
      <c r="U49" s="1" t="s">
        <v>1460</v>
      </c>
      <c r="V49" s="1" t="s">
        <v>1481</v>
      </c>
      <c r="W49" s="1" t="s">
        <v>1490</v>
      </c>
      <c r="X49" s="1" t="s">
        <v>1550</v>
      </c>
      <c r="Y49" s="1" t="s">
        <v>1573</v>
      </c>
      <c r="Z49" s="1" t="s">
        <v>1623</v>
      </c>
      <c r="AA49" s="1" t="s">
        <v>1647</v>
      </c>
    </row>
    <row r="50" spans="1:33" x14ac:dyDescent="0.2">
      <c r="A50" s="1" t="s">
        <v>619</v>
      </c>
      <c r="B50" s="1" t="s">
        <v>1060</v>
      </c>
      <c r="C50" s="1" t="s">
        <v>1496</v>
      </c>
      <c r="D50" s="1" t="s">
        <v>1447</v>
      </c>
      <c r="F50" s="1" t="s">
        <v>1551</v>
      </c>
      <c r="G50" s="1" t="s">
        <v>1552</v>
      </c>
      <c r="H50" s="1" t="s">
        <v>1589</v>
      </c>
      <c r="I50" s="1" t="s">
        <v>1616</v>
      </c>
      <c r="J50" s="1" t="s">
        <v>1648</v>
      </c>
      <c r="P50" s="1"/>
      <c r="Q50" s="1"/>
      <c r="R50" s="1"/>
      <c r="S50" s="1"/>
      <c r="T50" s="1"/>
      <c r="U50" s="1"/>
      <c r="V50" s="1"/>
      <c r="W50" s="1"/>
    </row>
    <row r="51" spans="1:33" hidden="1" x14ac:dyDescent="0.2">
      <c r="A51" t="s">
        <v>619</v>
      </c>
      <c r="B51" s="1" t="s">
        <v>1138</v>
      </c>
      <c r="C51" t="s">
        <v>1139</v>
      </c>
      <c r="D51" t="s">
        <v>20</v>
      </c>
      <c r="F51" t="s">
        <v>1140</v>
      </c>
      <c r="G51" t="s">
        <v>1268</v>
      </c>
      <c r="H51" t="s">
        <v>1300</v>
      </c>
      <c r="I51" t="s">
        <v>1306</v>
      </c>
      <c r="J51" t="s">
        <v>1086</v>
      </c>
    </row>
    <row r="52" spans="1:33" hidden="1" x14ac:dyDescent="0.2">
      <c r="A52" t="s">
        <v>619</v>
      </c>
      <c r="B52" s="1" t="s">
        <v>558</v>
      </c>
      <c r="C52" t="s">
        <v>1315</v>
      </c>
      <c r="D52" t="s">
        <v>1316</v>
      </c>
      <c r="F52" t="s">
        <v>1317</v>
      </c>
      <c r="G52" t="s">
        <v>1333</v>
      </c>
      <c r="H52" t="s">
        <v>1343</v>
      </c>
      <c r="I52" t="s">
        <v>1352</v>
      </c>
      <c r="J52" t="s">
        <v>1390</v>
      </c>
      <c r="K52" t="s">
        <v>1086</v>
      </c>
    </row>
    <row r="53" spans="1:33" x14ac:dyDescent="0.2">
      <c r="A53" t="s">
        <v>619</v>
      </c>
      <c r="B53" s="1" t="s">
        <v>1060</v>
      </c>
      <c r="C53" t="s">
        <v>1557</v>
      </c>
      <c r="D53" t="s">
        <v>1558</v>
      </c>
      <c r="F53" t="s">
        <v>1559</v>
      </c>
      <c r="G53" t="s">
        <v>1574</v>
      </c>
      <c r="H53" t="s">
        <v>1617</v>
      </c>
      <c r="I53" t="s">
        <v>1649</v>
      </c>
    </row>
    <row r="54" spans="1:33" x14ac:dyDescent="0.2">
      <c r="A54" t="s">
        <v>619</v>
      </c>
      <c r="B54" s="1" t="s">
        <v>1556</v>
      </c>
      <c r="C54" t="s">
        <v>1560</v>
      </c>
      <c r="D54" t="s">
        <v>1561</v>
      </c>
      <c r="F54" t="s">
        <v>1562</v>
      </c>
      <c r="G54" t="s">
        <v>1575</v>
      </c>
      <c r="H54" t="s">
        <v>1618</v>
      </c>
      <c r="I54" t="s">
        <v>1650</v>
      </c>
    </row>
    <row r="55" spans="1:33" x14ac:dyDescent="0.2">
      <c r="A55" t="s">
        <v>619</v>
      </c>
      <c r="B55" s="1" t="s">
        <v>1556</v>
      </c>
      <c r="C55" t="s">
        <v>1560</v>
      </c>
      <c r="D55" t="s">
        <v>1566</v>
      </c>
      <c r="F55" t="s">
        <v>1567</v>
      </c>
      <c r="G55" s="1" t="s">
        <v>1612</v>
      </c>
      <c r="H55" s="1" t="s">
        <v>1651</v>
      </c>
    </row>
    <row r="56" spans="1:33" s="150" customFormat="1" x14ac:dyDescent="0.2"/>
    <row r="57" spans="1:33" x14ac:dyDescent="0.2">
      <c r="A57" t="s">
        <v>620</v>
      </c>
      <c r="B57" t="s">
        <v>266</v>
      </c>
      <c r="C57" t="s">
        <v>1502</v>
      </c>
      <c r="D57" t="s">
        <v>621</v>
      </c>
      <c r="E57" t="s">
        <v>1500</v>
      </c>
      <c r="F57" s="1" t="s">
        <v>863</v>
      </c>
      <c r="G57" s="1" t="s">
        <v>911</v>
      </c>
      <c r="H57" s="1" t="s">
        <v>946</v>
      </c>
      <c r="I57" s="1" t="s">
        <v>958</v>
      </c>
      <c r="J57" s="1" t="s">
        <v>968</v>
      </c>
      <c r="K57" s="1" t="s">
        <v>990</v>
      </c>
      <c r="L57" s="1" t="s">
        <v>1011</v>
      </c>
      <c r="M57" s="1" t="s">
        <v>1087</v>
      </c>
      <c r="N57" s="1" t="s">
        <v>1102</v>
      </c>
      <c r="O57" s="1" t="s">
        <v>1122</v>
      </c>
      <c r="P57" s="1" t="s">
        <v>1253</v>
      </c>
      <c r="Q57" s="1" t="s">
        <v>1278</v>
      </c>
      <c r="R57" s="1" t="s">
        <v>1287</v>
      </c>
      <c r="S57" s="1" t="s">
        <v>1318</v>
      </c>
      <c r="T57" s="1" t="s">
        <v>1331</v>
      </c>
      <c r="U57" s="1" t="s">
        <v>1353</v>
      </c>
      <c r="V57" s="1" t="s">
        <v>1366</v>
      </c>
      <c r="W57" s="1" t="s">
        <v>1391</v>
      </c>
      <c r="X57" s="1" t="s">
        <v>1407</v>
      </c>
      <c r="Y57" s="1" t="s">
        <v>1413</v>
      </c>
      <c r="Z57" s="1" t="s">
        <v>1431</v>
      </c>
      <c r="AA57" s="1" t="s">
        <v>1461</v>
      </c>
      <c r="AB57" s="1" t="s">
        <v>1475</v>
      </c>
      <c r="AC57" s="1" t="s">
        <v>1503</v>
      </c>
      <c r="AD57" s="1" t="s">
        <v>1553</v>
      </c>
      <c r="AE57" s="1" t="s">
        <v>1577</v>
      </c>
      <c r="AF57" s="1" t="s">
        <v>1625</v>
      </c>
    </row>
    <row r="58" spans="1:33" x14ac:dyDescent="0.2">
      <c r="A58" t="s">
        <v>620</v>
      </c>
      <c r="B58" t="s">
        <v>266</v>
      </c>
      <c r="C58" t="s">
        <v>1505</v>
      </c>
      <c r="D58" t="s">
        <v>1013</v>
      </c>
      <c r="E58" t="s">
        <v>1501</v>
      </c>
      <c r="F58" s="1" t="s">
        <v>864</v>
      </c>
      <c r="G58" s="1" t="s">
        <v>912</v>
      </c>
      <c r="H58" s="1" t="s">
        <v>947</v>
      </c>
      <c r="I58" s="1" t="s">
        <v>959</v>
      </c>
      <c r="J58" s="1" t="s">
        <v>969</v>
      </c>
      <c r="K58" s="1" t="s">
        <v>994</v>
      </c>
      <c r="L58" s="1" t="s">
        <v>1012</v>
      </c>
      <c r="M58" s="1" t="s">
        <v>1088</v>
      </c>
      <c r="N58" s="1" t="s">
        <v>1103</v>
      </c>
      <c r="O58" s="1" t="s">
        <v>1123</v>
      </c>
      <c r="P58" s="1" t="s">
        <v>1254</v>
      </c>
      <c r="Q58" s="1" t="s">
        <v>1279</v>
      </c>
      <c r="R58" s="1" t="s">
        <v>1288</v>
      </c>
      <c r="S58" s="1" t="s">
        <v>1319</v>
      </c>
      <c r="T58" s="1" t="s">
        <v>1339</v>
      </c>
      <c r="U58" s="1" t="s">
        <v>1354</v>
      </c>
      <c r="V58" s="1" t="s">
        <v>1367</v>
      </c>
      <c r="W58" s="1" t="s">
        <v>1392</v>
      </c>
      <c r="X58" s="1" t="s">
        <v>1408</v>
      </c>
      <c r="Y58" s="1" t="s">
        <v>1414</v>
      </c>
      <c r="Z58" s="1" t="s">
        <v>1440</v>
      </c>
      <c r="AA58" s="1" t="s">
        <v>1462</v>
      </c>
      <c r="AB58" s="1" t="s">
        <v>1476</v>
      </c>
      <c r="AC58" s="1" t="s">
        <v>1504</v>
      </c>
      <c r="AD58" s="1" t="s">
        <v>1554</v>
      </c>
      <c r="AE58" s="1" t="s">
        <v>1576</v>
      </c>
      <c r="AF58" s="1" t="s">
        <v>1611</v>
      </c>
      <c r="AG58" s="1" t="s">
        <v>1635</v>
      </c>
    </row>
    <row r="59" spans="1:33" x14ac:dyDescent="0.2">
      <c r="A59" t="s">
        <v>620</v>
      </c>
      <c r="B59" t="s">
        <v>266</v>
      </c>
      <c r="C59" t="s">
        <v>1510</v>
      </c>
      <c r="D59" t="s">
        <v>1014</v>
      </c>
      <c r="E59" t="s">
        <v>1508</v>
      </c>
      <c r="F59" s="1" t="s">
        <v>1015</v>
      </c>
      <c r="G59" s="1" t="s">
        <v>1081</v>
      </c>
      <c r="H59" s="1" t="s">
        <v>1098</v>
      </c>
      <c r="I59" s="1" t="s">
        <v>1124</v>
      </c>
      <c r="J59" s="1" t="s">
        <v>1226</v>
      </c>
      <c r="K59" s="157" t="s">
        <v>1320</v>
      </c>
      <c r="L59" s="1" t="s">
        <v>1321</v>
      </c>
      <c r="M59" s="1" t="s">
        <v>1340</v>
      </c>
      <c r="N59" s="1" t="s">
        <v>1355</v>
      </c>
      <c r="O59" s="1" t="s">
        <v>1368</v>
      </c>
      <c r="P59" s="1" t="s">
        <v>1376</v>
      </c>
      <c r="Q59" s="1" t="s">
        <v>1409</v>
      </c>
      <c r="R59" s="1" t="s">
        <v>1441</v>
      </c>
      <c r="S59" s="1" t="s">
        <v>1442</v>
      </c>
      <c r="T59" s="1" t="s">
        <v>1463</v>
      </c>
      <c r="U59" s="1" t="s">
        <v>1477</v>
      </c>
      <c r="V59" s="1" t="s">
        <v>1507</v>
      </c>
      <c r="W59" s="1" t="s">
        <v>1535</v>
      </c>
      <c r="X59" s="1" t="s">
        <v>1578</v>
      </c>
      <c r="Y59" s="1" t="s">
        <v>1593</v>
      </c>
      <c r="Z59" s="1" t="s">
        <v>1636</v>
      </c>
    </row>
    <row r="60" spans="1:33" hidden="1" x14ac:dyDescent="0.2">
      <c r="A60" t="s">
        <v>620</v>
      </c>
      <c r="B60" t="s">
        <v>169</v>
      </c>
      <c r="C60" s="1" t="s">
        <v>982</v>
      </c>
      <c r="D60" s="1" t="s">
        <v>1003</v>
      </c>
      <c r="F60" s="1" t="s">
        <v>983</v>
      </c>
      <c r="G60" s="1" t="s">
        <v>1016</v>
      </c>
      <c r="H60" s="1" t="s">
        <v>1085</v>
      </c>
      <c r="I60" s="1" t="s">
        <v>1104</v>
      </c>
      <c r="J60" s="1" t="s">
        <v>1125</v>
      </c>
      <c r="K60" s="1" t="s">
        <v>1255</v>
      </c>
      <c r="L60" s="1" t="s">
        <v>1323</v>
      </c>
      <c r="M60" s="1" t="s">
        <v>1341</v>
      </c>
    </row>
    <row r="61" spans="1:33" hidden="1" x14ac:dyDescent="0.2">
      <c r="A61" t="s">
        <v>620</v>
      </c>
      <c r="B61" t="s">
        <v>169</v>
      </c>
      <c r="C61" s="1" t="s">
        <v>982</v>
      </c>
      <c r="D61" s="1" t="s">
        <v>1001</v>
      </c>
      <c r="F61" s="1" t="s">
        <v>1002</v>
      </c>
      <c r="G61" s="1"/>
      <c r="H61" s="1"/>
      <c r="I61" s="1"/>
      <c r="J61" s="1"/>
    </row>
    <row r="62" spans="1:33" x14ac:dyDescent="0.2">
      <c r="A62" t="s">
        <v>620</v>
      </c>
      <c r="B62" t="s">
        <v>266</v>
      </c>
      <c r="C62" s="1" t="s">
        <v>1637</v>
      </c>
      <c r="D62" s="1" t="s">
        <v>1017</v>
      </c>
      <c r="E62" s="1" t="s">
        <v>1509</v>
      </c>
      <c r="F62" s="1" t="s">
        <v>1018</v>
      </c>
      <c r="G62" s="1" t="s">
        <v>1082</v>
      </c>
      <c r="H62" s="1" t="s">
        <v>1099</v>
      </c>
      <c r="I62" s="1" t="s">
        <v>1126</v>
      </c>
      <c r="J62" s="1" t="s">
        <v>1227</v>
      </c>
      <c r="K62" s="1" t="s">
        <v>1280</v>
      </c>
      <c r="L62" s="1" t="s">
        <v>1301</v>
      </c>
      <c r="M62" s="1" t="s">
        <v>1322</v>
      </c>
      <c r="N62" s="1" t="s">
        <v>1362</v>
      </c>
      <c r="O62" s="1" t="s">
        <v>1369</v>
      </c>
      <c r="P62" s="1" t="s">
        <v>1377</v>
      </c>
      <c r="Q62" s="1" t="s">
        <v>1410</v>
      </c>
      <c r="R62" s="1" t="s">
        <v>1415</v>
      </c>
      <c r="S62" s="1" t="s">
        <v>1443</v>
      </c>
      <c r="T62" s="1" t="s">
        <v>1464</v>
      </c>
      <c r="U62" s="1" t="s">
        <v>1511</v>
      </c>
      <c r="V62" s="1" t="s">
        <v>1512</v>
      </c>
      <c r="W62" s="1" t="s">
        <v>1536</v>
      </c>
      <c r="X62" s="1" t="s">
        <v>1579</v>
      </c>
      <c r="Y62" s="1" t="s">
        <v>1594</v>
      </c>
      <c r="Z62" s="1" t="s">
        <v>1638</v>
      </c>
    </row>
    <row r="63" spans="1:33" x14ac:dyDescent="0.2">
      <c r="A63" t="s">
        <v>620</v>
      </c>
      <c r="B63" s="1" t="s">
        <v>622</v>
      </c>
      <c r="C63" s="1" t="s">
        <v>625</v>
      </c>
      <c r="D63" s="1" t="s">
        <v>589</v>
      </c>
      <c r="E63" s="1" t="s">
        <v>1265</v>
      </c>
      <c r="F63" s="1" t="s">
        <v>1264</v>
      </c>
      <c r="G63" s="1" t="s">
        <v>1302</v>
      </c>
      <c r="H63" s="1" t="s">
        <v>1324</v>
      </c>
      <c r="I63" s="1" t="s">
        <v>1332</v>
      </c>
      <c r="J63" s="1" t="s">
        <v>1344</v>
      </c>
    </row>
    <row r="64" spans="1:33" x14ac:dyDescent="0.2">
      <c r="A64" t="s">
        <v>620</v>
      </c>
      <c r="B64" s="100" t="s">
        <v>622</v>
      </c>
      <c r="C64" t="s">
        <v>623</v>
      </c>
      <c r="D64" t="s">
        <v>624</v>
      </c>
      <c r="F64" s="1" t="s">
        <v>865</v>
      </c>
      <c r="G64" s="1" t="s">
        <v>866</v>
      </c>
      <c r="H64" s="1" t="s">
        <v>938</v>
      </c>
      <c r="I64" s="1" t="s">
        <v>956</v>
      </c>
      <c r="J64" s="1" t="s">
        <v>961</v>
      </c>
      <c r="K64" s="1" t="s">
        <v>973</v>
      </c>
      <c r="L64" s="1" t="s">
        <v>989</v>
      </c>
      <c r="M64" s="1" t="s">
        <v>1064</v>
      </c>
      <c r="N64" s="1" t="s">
        <v>1105</v>
      </c>
    </row>
    <row r="65" spans="1:21" ht="12" customHeight="1" x14ac:dyDescent="0.2">
      <c r="A65" t="s">
        <v>620</v>
      </c>
      <c r="B65" t="s">
        <v>970</v>
      </c>
      <c r="C65" t="s">
        <v>939</v>
      </c>
      <c r="D65" t="s">
        <v>971</v>
      </c>
      <c r="F65" s="1" t="s">
        <v>940</v>
      </c>
      <c r="G65" s="1" t="s">
        <v>972</v>
      </c>
      <c r="H65" s="1" t="s">
        <v>988</v>
      </c>
      <c r="I65" s="1" t="s">
        <v>1072</v>
      </c>
      <c r="J65" s="1" t="s">
        <v>1086</v>
      </c>
    </row>
    <row r="66" spans="1:21" ht="12" hidden="1" customHeight="1" x14ac:dyDescent="0.2">
      <c r="A66" t="s">
        <v>620</v>
      </c>
      <c r="B66" t="s">
        <v>1065</v>
      </c>
      <c r="C66" t="s">
        <v>1066</v>
      </c>
      <c r="D66" t="s">
        <v>1067</v>
      </c>
      <c r="F66" s="1" t="s">
        <v>1068</v>
      </c>
      <c r="G66" s="1" t="s">
        <v>1086</v>
      </c>
      <c r="H66" s="1"/>
      <c r="I66" s="1"/>
      <c r="J66" s="1"/>
    </row>
    <row r="67" spans="1:21" ht="12" hidden="1" customHeight="1" x14ac:dyDescent="0.2">
      <c r="A67" t="s">
        <v>620</v>
      </c>
      <c r="B67" t="s">
        <v>622</v>
      </c>
      <c r="C67" t="s">
        <v>625</v>
      </c>
      <c r="D67" t="s">
        <v>589</v>
      </c>
      <c r="F67" s="1" t="s">
        <v>867</v>
      </c>
      <c r="G67" s="1" t="s">
        <v>868</v>
      </c>
    </row>
    <row r="68" spans="1:21" ht="12.75" hidden="1" customHeight="1" x14ac:dyDescent="0.2">
      <c r="A68" t="s">
        <v>620</v>
      </c>
      <c r="B68" t="s">
        <v>626</v>
      </c>
      <c r="C68" s="1" t="s">
        <v>869</v>
      </c>
      <c r="D68" s="1" t="s">
        <v>871</v>
      </c>
      <c r="F68" s="1" t="s">
        <v>870</v>
      </c>
      <c r="G68" s="1" t="s">
        <v>914</v>
      </c>
      <c r="H68" s="1" t="s">
        <v>948</v>
      </c>
    </row>
    <row r="69" spans="1:21" ht="14.25" hidden="1" customHeight="1" x14ac:dyDescent="0.2">
      <c r="A69" s="1" t="s">
        <v>620</v>
      </c>
      <c r="B69" s="1" t="s">
        <v>626</v>
      </c>
      <c r="C69" s="1" t="s">
        <v>872</v>
      </c>
      <c r="D69" s="1" t="s">
        <v>873</v>
      </c>
      <c r="F69" s="1" t="s">
        <v>874</v>
      </c>
      <c r="G69" s="1" t="s">
        <v>913</v>
      </c>
    </row>
    <row r="70" spans="1:21" ht="12" hidden="1" customHeight="1" x14ac:dyDescent="0.2">
      <c r="A70" s="1" t="s">
        <v>620</v>
      </c>
      <c r="B70" s="1" t="s">
        <v>321</v>
      </c>
      <c r="C70" s="1" t="s">
        <v>1069</v>
      </c>
      <c r="D70" s="1" t="s">
        <v>1070</v>
      </c>
      <c r="F70" s="1" t="s">
        <v>1071</v>
      </c>
      <c r="G70" s="1" t="s">
        <v>1084</v>
      </c>
      <c r="H70" s="1" t="s">
        <v>1100</v>
      </c>
      <c r="I70" s="1" t="s">
        <v>1133</v>
      </c>
      <c r="J70" s="1" t="s">
        <v>1228</v>
      </c>
      <c r="K70" s="1" t="s">
        <v>1281</v>
      </c>
      <c r="L70" s="1" t="s">
        <v>1361</v>
      </c>
      <c r="M70" s="1" t="s">
        <v>1356</v>
      </c>
      <c r="N70" s="1" t="s">
        <v>1370</v>
      </c>
      <c r="O70" s="1" t="s">
        <v>1375</v>
      </c>
      <c r="P70" s="1" t="s">
        <v>1411</v>
      </c>
      <c r="Q70" s="1" t="s">
        <v>1416</v>
      </c>
      <c r="R70" s="1" t="s">
        <v>1445</v>
      </c>
      <c r="S70" s="1" t="s">
        <v>1465</v>
      </c>
      <c r="T70" s="1" t="s">
        <v>1478</v>
      </c>
      <c r="U70" s="1" t="s">
        <v>1537</v>
      </c>
    </row>
    <row r="71" spans="1:21" ht="12" hidden="1" customHeight="1" x14ac:dyDescent="0.2">
      <c r="A71" s="1" t="s">
        <v>620</v>
      </c>
      <c r="B71" s="1" t="s">
        <v>321</v>
      </c>
      <c r="C71" s="1" t="s">
        <v>1373</v>
      </c>
      <c r="D71" s="1" t="s">
        <v>1359</v>
      </c>
      <c r="F71" s="1" t="s">
        <v>1374</v>
      </c>
      <c r="G71" s="1" t="s">
        <v>1380</v>
      </c>
      <c r="H71" s="1" t="s">
        <v>1393</v>
      </c>
      <c r="I71" s="1"/>
      <c r="J71" s="1"/>
      <c r="K71" s="1"/>
      <c r="L71" s="1"/>
      <c r="M71" s="1"/>
      <c r="N71" s="1"/>
    </row>
    <row r="72" spans="1:21" ht="12" hidden="1" customHeight="1" x14ac:dyDescent="0.2">
      <c r="A72" s="1" t="s">
        <v>620</v>
      </c>
      <c r="B72" s="1" t="s">
        <v>321</v>
      </c>
      <c r="C72" s="1" t="s">
        <v>1397</v>
      </c>
      <c r="D72" s="1" t="s">
        <v>1359</v>
      </c>
      <c r="E72" s="1" t="s">
        <v>1381</v>
      </c>
      <c r="F72" s="1" t="s">
        <v>1382</v>
      </c>
      <c r="G72" s="1" t="s">
        <v>1398</v>
      </c>
      <c r="H72" s="1" t="s">
        <v>1412</v>
      </c>
      <c r="I72" s="1" t="s">
        <v>1417</v>
      </c>
      <c r="J72" s="1" t="s">
        <v>1444</v>
      </c>
      <c r="K72" s="1" t="s">
        <v>1479</v>
      </c>
      <c r="L72" s="1" t="s">
        <v>1484</v>
      </c>
      <c r="M72" s="1" t="s">
        <v>1491</v>
      </c>
      <c r="N72" s="1"/>
    </row>
    <row r="73" spans="1:21" ht="12" hidden="1" customHeight="1" x14ac:dyDescent="0.2">
      <c r="A73" s="1" t="s">
        <v>620</v>
      </c>
      <c r="B73" s="1" t="s">
        <v>1357</v>
      </c>
      <c r="C73" s="1" t="s">
        <v>1358</v>
      </c>
      <c r="D73" s="1" t="s">
        <v>1359</v>
      </c>
      <c r="F73" s="1" t="s">
        <v>1360</v>
      </c>
      <c r="G73" s="1" t="s">
        <v>1371</v>
      </c>
      <c r="H73" s="1" t="s">
        <v>95</v>
      </c>
      <c r="I73" s="1"/>
      <c r="J73" s="1"/>
      <c r="K73" s="1"/>
      <c r="L73" s="1"/>
      <c r="M73" s="1"/>
    </row>
    <row r="74" spans="1:21" ht="12" hidden="1" customHeight="1" x14ac:dyDescent="0.2">
      <c r="A74" s="1" t="s">
        <v>620</v>
      </c>
      <c r="B74" s="1" t="s">
        <v>626</v>
      </c>
      <c r="C74" s="1" t="s">
        <v>1106</v>
      </c>
      <c r="D74" s="1" t="s">
        <v>1107</v>
      </c>
      <c r="F74" t="s">
        <v>1108</v>
      </c>
      <c r="G74" t="s">
        <v>1086</v>
      </c>
    </row>
    <row r="75" spans="1:21" ht="12" hidden="1" customHeight="1" x14ac:dyDescent="0.2">
      <c r="A75" s="1" t="s">
        <v>620</v>
      </c>
      <c r="B75" s="1" t="s">
        <v>626</v>
      </c>
      <c r="C75" s="1" t="s">
        <v>1109</v>
      </c>
      <c r="D75" s="1" t="s">
        <v>1110</v>
      </c>
      <c r="F75" t="s">
        <v>1111</v>
      </c>
      <c r="G75" t="s">
        <v>1086</v>
      </c>
    </row>
    <row r="76" spans="1:21" ht="12" hidden="1" customHeight="1" x14ac:dyDescent="0.2">
      <c r="A76" s="1" t="s">
        <v>620</v>
      </c>
      <c r="B76" s="1" t="s">
        <v>1446</v>
      </c>
      <c r="C76" s="1" t="s">
        <v>1452</v>
      </c>
      <c r="D76" s="1" t="s">
        <v>1447</v>
      </c>
      <c r="F76" s="1" t="s">
        <v>1453</v>
      </c>
      <c r="G76" s="1" t="s">
        <v>1454</v>
      </c>
      <c r="H76" s="1" t="s">
        <v>1086</v>
      </c>
    </row>
    <row r="77" spans="1:21" ht="12" hidden="1" customHeight="1" x14ac:dyDescent="0.2">
      <c r="A77" s="1" t="s">
        <v>620</v>
      </c>
      <c r="B77" s="1" t="s">
        <v>1448</v>
      </c>
      <c r="C77" s="1" t="s">
        <v>1449</v>
      </c>
      <c r="D77" s="1" t="s">
        <v>1450</v>
      </c>
      <c r="F77" s="1" t="s">
        <v>1451</v>
      </c>
      <c r="H77" s="1" t="s">
        <v>1086</v>
      </c>
    </row>
    <row r="78" spans="1:21" ht="12" customHeight="1" x14ac:dyDescent="0.2">
      <c r="A78" s="1" t="s">
        <v>620</v>
      </c>
      <c r="B78" s="1" t="s">
        <v>1466</v>
      </c>
      <c r="C78" s="1" t="s">
        <v>1467</v>
      </c>
      <c r="D78" s="1" t="s">
        <v>1468</v>
      </c>
      <c r="F78" s="1" t="s">
        <v>1469</v>
      </c>
      <c r="G78" s="1" t="s">
        <v>1480</v>
      </c>
      <c r="H78" s="1" t="s">
        <v>1497</v>
      </c>
      <c r="I78" s="1" t="s">
        <v>1538</v>
      </c>
      <c r="J78" s="1" t="s">
        <v>1580</v>
      </c>
      <c r="K78" s="1" t="s">
        <v>1595</v>
      </c>
      <c r="L78" s="1" t="s">
        <v>1639</v>
      </c>
    </row>
    <row r="79" spans="1:21" ht="12" customHeight="1" x14ac:dyDescent="0.2">
      <c r="A79" s="1" t="s">
        <v>620</v>
      </c>
      <c r="B79" s="1" t="s">
        <v>1492</v>
      </c>
      <c r="C79" s="1" t="s">
        <v>1493</v>
      </c>
      <c r="D79" s="1" t="s">
        <v>1494</v>
      </c>
      <c r="F79" s="1" t="s">
        <v>1495</v>
      </c>
      <c r="G79" s="1" t="s">
        <v>1539</v>
      </c>
      <c r="H79" s="1" t="s">
        <v>1565</v>
      </c>
      <c r="I79" s="1" t="s">
        <v>1596</v>
      </c>
      <c r="J79" s="1" t="s">
        <v>1640</v>
      </c>
    </row>
    <row r="80" spans="1:21" ht="12" customHeight="1" x14ac:dyDescent="0.2">
      <c r="A80" s="1" t="s">
        <v>620</v>
      </c>
      <c r="B80" s="1" t="s">
        <v>1492</v>
      </c>
      <c r="C80" s="1" t="s">
        <v>1493</v>
      </c>
      <c r="D80" s="1" t="s">
        <v>1540</v>
      </c>
      <c r="F80" s="1" t="s">
        <v>1541</v>
      </c>
      <c r="G80" s="1" t="s">
        <v>1581</v>
      </c>
      <c r="H80" s="1" t="s">
        <v>1597</v>
      </c>
      <c r="I80" s="1" t="s">
        <v>1641</v>
      </c>
    </row>
    <row r="81" spans="1:10" ht="12" customHeight="1" x14ac:dyDescent="0.2">
      <c r="A81" s="1" t="s">
        <v>620</v>
      </c>
      <c r="B81" s="1" t="s">
        <v>1514</v>
      </c>
      <c r="C81" s="1" t="s">
        <v>1515</v>
      </c>
      <c r="D81" s="1" t="s">
        <v>1516</v>
      </c>
      <c r="F81" s="1" t="s">
        <v>1517</v>
      </c>
      <c r="G81" s="1" t="s">
        <v>1555</v>
      </c>
      <c r="H81" s="1" t="s">
        <v>1590</v>
      </c>
      <c r="I81" s="1" t="s">
        <v>1619</v>
      </c>
      <c r="J81" s="1" t="s">
        <v>1653</v>
      </c>
    </row>
    <row r="82" spans="1:10" ht="12" hidden="1" customHeight="1" x14ac:dyDescent="0.2">
      <c r="A82" s="1" t="s">
        <v>620</v>
      </c>
      <c r="B82" s="1" t="s">
        <v>280</v>
      </c>
      <c r="C82" s="1" t="s">
        <v>1542</v>
      </c>
      <c r="D82" s="1"/>
      <c r="F82" s="1" t="s">
        <v>1086</v>
      </c>
      <c r="G82" s="1"/>
      <c r="H82" s="1"/>
    </row>
    <row r="83" spans="1:10" ht="12" customHeight="1" x14ac:dyDescent="0.2">
      <c r="A83" s="1" t="s">
        <v>620</v>
      </c>
      <c r="B83" s="1" t="s">
        <v>1599</v>
      </c>
      <c r="C83" s="1" t="s">
        <v>1601</v>
      </c>
      <c r="D83" s="1" t="s">
        <v>1624</v>
      </c>
      <c r="F83" s="1" t="s">
        <v>1613</v>
      </c>
      <c r="G83" s="1" t="s">
        <v>1626</v>
      </c>
      <c r="H83" s="1" t="s">
        <v>1643</v>
      </c>
    </row>
    <row r="84" spans="1:10" ht="12" customHeight="1" x14ac:dyDescent="0.2">
      <c r="A84" s="1" t="s">
        <v>620</v>
      </c>
      <c r="B84" s="1" t="s">
        <v>1602</v>
      </c>
      <c r="C84" s="1" t="s">
        <v>1604</v>
      </c>
      <c r="D84" s="1" t="s">
        <v>1603</v>
      </c>
      <c r="F84" s="1" t="s">
        <v>1605</v>
      </c>
      <c r="G84" s="1" t="s">
        <v>1627</v>
      </c>
      <c r="H84" s="1" t="s">
        <v>1642</v>
      </c>
    </row>
    <row r="85" spans="1:10" ht="12" customHeight="1" x14ac:dyDescent="0.2">
      <c r="A85" s="1" t="s">
        <v>620</v>
      </c>
      <c r="B85" s="1" t="s">
        <v>1600</v>
      </c>
      <c r="C85" s="1" t="s">
        <v>1606</v>
      </c>
      <c r="D85" s="1" t="s">
        <v>1607</v>
      </c>
      <c r="F85" s="1" t="s">
        <v>1608</v>
      </c>
      <c r="G85" s="1" t="s">
        <v>1609</v>
      </c>
      <c r="H85" s="1" t="s">
        <v>1610</v>
      </c>
      <c r="I85" s="1" t="s">
        <v>1644</v>
      </c>
    </row>
    <row r="86" spans="1:10" s="150" customFormat="1" ht="12.75" customHeight="1" x14ac:dyDescent="0.2"/>
    <row r="87" spans="1:10" hidden="1" x14ac:dyDescent="0.2">
      <c r="C87" s="1" t="s">
        <v>917</v>
      </c>
      <c r="D87" s="1" t="s">
        <v>919</v>
      </c>
      <c r="F87" s="1" t="s">
        <v>918</v>
      </c>
      <c r="G87" s="156" t="s">
        <v>952</v>
      </c>
    </row>
    <row r="88" spans="1:10" s="150" customFormat="1" x14ac:dyDescent="0.2"/>
    <row r="89" spans="1:10" s="155" customFormat="1" hidden="1" x14ac:dyDescent="0.2">
      <c r="C89" s="156" t="s">
        <v>927</v>
      </c>
      <c r="D89" s="156" t="s">
        <v>919</v>
      </c>
      <c r="F89" s="156" t="s">
        <v>928</v>
      </c>
    </row>
    <row r="90" spans="1:10" s="150" customFormat="1" x14ac:dyDescent="0.2"/>
    <row r="91" spans="1:10" s="155" customFormat="1" hidden="1" x14ac:dyDescent="0.2">
      <c r="C91" s="155" t="s">
        <v>929</v>
      </c>
      <c r="D91" s="155" t="s">
        <v>930</v>
      </c>
      <c r="F91" s="155" t="s">
        <v>931</v>
      </c>
    </row>
    <row r="92" spans="1:10" s="150" customFormat="1" x14ac:dyDescent="0.2"/>
    <row r="93" spans="1:10" x14ac:dyDescent="0.2">
      <c r="C93" s="1"/>
      <c r="D93" s="1"/>
      <c r="F93" s="1"/>
    </row>
    <row r="95" spans="1:10" x14ac:dyDescent="0.2">
      <c r="B95" s="158" t="s">
        <v>1004</v>
      </c>
      <c r="C95" s="158"/>
    </row>
    <row r="99" spans="6:6" x14ac:dyDescent="0.2">
      <c r="F99" s="4"/>
    </row>
    <row r="100" spans="6:6" x14ac:dyDescent="0.2">
      <c r="F100" s="81"/>
    </row>
    <row r="101" spans="6:6" x14ac:dyDescent="0.2">
      <c r="F101" s="81"/>
    </row>
    <row r="102" spans="6:6" x14ac:dyDescent="0.2">
      <c r="F102" s="81"/>
    </row>
    <row r="103" spans="6:6" x14ac:dyDescent="0.2">
      <c r="F103" s="81"/>
    </row>
    <row r="104" spans="6:6" x14ac:dyDescent="0.2">
      <c r="F104" s="81"/>
    </row>
    <row r="105" spans="6:6" x14ac:dyDescent="0.2">
      <c r="F105" s="81"/>
    </row>
    <row r="106" spans="6:6" x14ac:dyDescent="0.2">
      <c r="F106" s="81"/>
    </row>
    <row r="107" spans="6:6" x14ac:dyDescent="0.2">
      <c r="F107" s="81"/>
    </row>
    <row r="110" spans="6:6" x14ac:dyDescent="0.2">
      <c r="F110" s="81"/>
    </row>
  </sheetData>
  <pageMargins left="0.7" right="0.7" top="0.75" bottom="0.75" header="0.3" footer="0.3"/>
  <pageSetup orientation="portrait" r:id="rId1"/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42F1-F850-435E-B3CE-0BE6646EE9D5}">
  <dimension ref="A1:G7"/>
  <sheetViews>
    <sheetView workbookViewId="0">
      <selection activeCell="I22" sqref="I22"/>
    </sheetView>
  </sheetViews>
  <sheetFormatPr defaultRowHeight="12.75" x14ac:dyDescent="0.2"/>
  <cols>
    <col min="1" max="1" width="11.85546875" bestFit="1" customWidth="1"/>
    <col min="2" max="2" width="13.5703125" customWidth="1"/>
    <col min="3" max="3" width="22.7109375" customWidth="1"/>
    <col min="4" max="4" width="34.7109375" bestFit="1" customWidth="1"/>
    <col min="5" max="6" width="10.140625" bestFit="1" customWidth="1"/>
    <col min="7" max="7" width="12" bestFit="1" customWidth="1"/>
  </cols>
  <sheetData>
    <row r="1" spans="1:7" x14ac:dyDescent="0.2">
      <c r="A1" s="3" t="s">
        <v>999</v>
      </c>
      <c r="B1" s="3" t="s">
        <v>995</v>
      </c>
      <c r="C1" s="3" t="s">
        <v>1</v>
      </c>
      <c r="D1" s="3" t="s">
        <v>0</v>
      </c>
      <c r="E1" s="179" t="s">
        <v>998</v>
      </c>
      <c r="F1" s="179"/>
      <c r="G1" s="3" t="s">
        <v>1008</v>
      </c>
    </row>
    <row r="2" spans="1:7" x14ac:dyDescent="0.2">
      <c r="A2" t="s">
        <v>1000</v>
      </c>
      <c r="B2">
        <v>1</v>
      </c>
      <c r="C2" t="s">
        <v>996</v>
      </c>
      <c r="D2" t="s">
        <v>997</v>
      </c>
      <c r="E2" s="4">
        <v>44495</v>
      </c>
      <c r="F2" s="4">
        <v>44526</v>
      </c>
    </row>
    <row r="3" spans="1:7" x14ac:dyDescent="0.2">
      <c r="A3" t="s">
        <v>1005</v>
      </c>
      <c r="B3">
        <v>1</v>
      </c>
      <c r="C3" t="s">
        <v>1006</v>
      </c>
      <c r="E3" s="4">
        <v>44508</v>
      </c>
      <c r="F3" s="4">
        <v>44538</v>
      </c>
    </row>
    <row r="4" spans="1:7" x14ac:dyDescent="0.2">
      <c r="A4" t="s">
        <v>917</v>
      </c>
      <c r="B4">
        <v>1</v>
      </c>
      <c r="C4" t="s">
        <v>169</v>
      </c>
      <c r="D4" t="s">
        <v>1007</v>
      </c>
      <c r="E4" s="4">
        <v>44542</v>
      </c>
      <c r="F4" s="4">
        <v>44573</v>
      </c>
      <c r="G4">
        <v>5</v>
      </c>
    </row>
    <row r="5" spans="1:7" x14ac:dyDescent="0.2">
      <c r="A5" t="s">
        <v>927</v>
      </c>
      <c r="B5">
        <v>1</v>
      </c>
      <c r="C5" t="s">
        <v>306</v>
      </c>
      <c r="E5" s="4">
        <v>44519</v>
      </c>
      <c r="F5" s="4">
        <v>44549</v>
      </c>
    </row>
    <row r="6" spans="1:7" x14ac:dyDescent="0.2">
      <c r="A6" t="s">
        <v>1079</v>
      </c>
      <c r="B6">
        <v>1</v>
      </c>
      <c r="C6" t="s">
        <v>1080</v>
      </c>
      <c r="E6" s="4">
        <v>44537</v>
      </c>
      <c r="F6" s="4">
        <v>44568</v>
      </c>
    </row>
    <row r="7" spans="1:7" x14ac:dyDescent="0.2">
      <c r="A7" t="s">
        <v>1090</v>
      </c>
      <c r="B7">
        <v>1</v>
      </c>
      <c r="C7" t="s">
        <v>1091</v>
      </c>
      <c r="E7" s="4">
        <v>44545</v>
      </c>
      <c r="F7" s="4">
        <v>44576</v>
      </c>
    </row>
  </sheetData>
  <mergeCells count="1">
    <mergeCell ref="E1:F1"/>
  </mergeCells>
  <pageMargins left="0.7" right="0.7" top="0.75" bottom="0.75" header="0.3" footer="0.3"/>
  <pageSetup orientation="portrait" horizontalDpi="1200" verticalDpi="12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1C67-DFFB-4549-90EE-D3144FE71B78}">
  <dimension ref="A3:K11"/>
  <sheetViews>
    <sheetView workbookViewId="0"/>
  </sheetViews>
  <sheetFormatPr defaultRowHeight="12.75" x14ac:dyDescent="0.2"/>
  <cols>
    <col min="1" max="1" width="14" customWidth="1"/>
    <col min="2" max="2" width="14.140625" customWidth="1"/>
    <col min="3" max="3" width="16.85546875" customWidth="1"/>
    <col min="4" max="4" width="12.5703125" bestFit="1" customWidth="1"/>
    <col min="8" max="8" width="18.85546875" bestFit="1" customWidth="1"/>
    <col min="9" max="9" width="15" bestFit="1" customWidth="1"/>
    <col min="10" max="10" width="11.85546875" bestFit="1" customWidth="1"/>
  </cols>
  <sheetData>
    <row r="3" spans="1:11" x14ac:dyDescent="0.2">
      <c r="A3" t="s">
        <v>1</v>
      </c>
      <c r="B3" t="s">
        <v>100</v>
      </c>
      <c r="C3" t="s">
        <v>1020</v>
      </c>
      <c r="D3" t="s">
        <v>1021</v>
      </c>
      <c r="E3" t="s">
        <v>1023</v>
      </c>
      <c r="H3" t="s">
        <v>1022</v>
      </c>
      <c r="I3" t="s">
        <v>1020</v>
      </c>
      <c r="J3" t="s">
        <v>1024</v>
      </c>
      <c r="K3" t="s">
        <v>1025</v>
      </c>
    </row>
    <row r="5" spans="1:11" x14ac:dyDescent="0.2">
      <c r="A5" t="s">
        <v>170</v>
      </c>
      <c r="B5" t="s">
        <v>1026</v>
      </c>
      <c r="C5" t="s">
        <v>1027</v>
      </c>
      <c r="D5" t="s">
        <v>1028</v>
      </c>
      <c r="E5" t="s">
        <v>1032</v>
      </c>
      <c r="H5" t="s">
        <v>920</v>
      </c>
      <c r="I5" s="4" t="s">
        <v>1030</v>
      </c>
      <c r="J5" s="4" t="s">
        <v>1031</v>
      </c>
      <c r="K5" s="159" t="s">
        <v>1029</v>
      </c>
    </row>
    <row r="6" spans="1:11" x14ac:dyDescent="0.2">
      <c r="A6" t="s">
        <v>1019</v>
      </c>
      <c r="B6" t="s">
        <v>1033</v>
      </c>
      <c r="C6" s="4" t="s">
        <v>1034</v>
      </c>
      <c r="D6" t="s">
        <v>1035</v>
      </c>
      <c r="E6" t="s">
        <v>1032</v>
      </c>
      <c r="H6" t="s">
        <v>933</v>
      </c>
      <c r="I6" t="s">
        <v>1036</v>
      </c>
      <c r="J6" t="s">
        <v>1031</v>
      </c>
      <c r="K6" s="159" t="s">
        <v>1029</v>
      </c>
    </row>
    <row r="7" spans="1:11" x14ac:dyDescent="0.2">
      <c r="A7" t="s">
        <v>1019</v>
      </c>
      <c r="B7" t="s">
        <v>1037</v>
      </c>
      <c r="C7" t="s">
        <v>1034</v>
      </c>
      <c r="D7" t="s">
        <v>1038</v>
      </c>
      <c r="E7" t="s">
        <v>1032</v>
      </c>
      <c r="H7" t="s">
        <v>932</v>
      </c>
      <c r="I7" t="s">
        <v>1036</v>
      </c>
      <c r="J7" t="s">
        <v>1031</v>
      </c>
      <c r="K7" s="159" t="s">
        <v>1029</v>
      </c>
    </row>
    <row r="8" spans="1:11" x14ac:dyDescent="0.2">
      <c r="A8" t="s">
        <v>170</v>
      </c>
      <c r="B8" t="s">
        <v>696</v>
      </c>
      <c r="C8" t="s">
        <v>1027</v>
      </c>
      <c r="D8" t="s">
        <v>1039</v>
      </c>
      <c r="E8" t="s">
        <v>1023</v>
      </c>
      <c r="H8" t="s">
        <v>1040</v>
      </c>
      <c r="I8" s="4" t="s">
        <v>1041</v>
      </c>
      <c r="J8" t="s">
        <v>1042</v>
      </c>
      <c r="K8" t="s">
        <v>1032</v>
      </c>
    </row>
    <row r="9" spans="1:11" x14ac:dyDescent="0.2">
      <c r="A9" t="s">
        <v>170</v>
      </c>
      <c r="B9" t="s">
        <v>698</v>
      </c>
      <c r="C9" t="s">
        <v>1044</v>
      </c>
      <c r="D9" t="s">
        <v>1045</v>
      </c>
      <c r="E9" t="s">
        <v>1023</v>
      </c>
      <c r="H9" t="s">
        <v>1046</v>
      </c>
      <c r="I9" t="s">
        <v>1047</v>
      </c>
      <c r="J9" t="s">
        <v>1048</v>
      </c>
      <c r="K9" t="s">
        <v>1032</v>
      </c>
    </row>
    <row r="10" spans="1:11" x14ac:dyDescent="0.2">
      <c r="A10" t="s">
        <v>170</v>
      </c>
      <c r="B10" t="s">
        <v>693</v>
      </c>
      <c r="C10" t="s">
        <v>1052</v>
      </c>
      <c r="D10" t="s">
        <v>1053</v>
      </c>
      <c r="E10" t="s">
        <v>1023</v>
      </c>
      <c r="H10" t="s">
        <v>1054</v>
      </c>
      <c r="I10" t="s">
        <v>1055</v>
      </c>
      <c r="J10" t="s">
        <v>1056</v>
      </c>
      <c r="K10" t="s">
        <v>1032</v>
      </c>
    </row>
    <row r="11" spans="1:11" x14ac:dyDescent="0.2">
      <c r="H11" t="s">
        <v>1057</v>
      </c>
      <c r="I11" t="s">
        <v>1058</v>
      </c>
      <c r="J11" t="s">
        <v>1059</v>
      </c>
      <c r="K11" s="159" t="s">
        <v>1029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7CCF074945C458E763B35EFF0EB17" ma:contentTypeVersion="14" ma:contentTypeDescription="Create a new document." ma:contentTypeScope="" ma:versionID="f133f15a887b737ad878511f950c548e">
  <xsd:schema xmlns:xsd="http://www.w3.org/2001/XMLSchema" xmlns:xs="http://www.w3.org/2001/XMLSchema" xmlns:p="http://schemas.microsoft.com/office/2006/metadata/properties" xmlns:ns2="21c6af6a-abea-4b00-b9ae-aa6e65a324bd" xmlns:ns3="77241cf9-356c-49cf-9268-0e2f2cb2b01a" targetNamespace="http://schemas.microsoft.com/office/2006/metadata/properties" ma:root="true" ma:fieldsID="30a5b72447c2c2deebca3803009c99a4" ns2:_="" ns3:_="">
    <xsd:import namespace="21c6af6a-abea-4b00-b9ae-aa6e65a324bd"/>
    <xsd:import namespace="77241cf9-356c-49cf-9268-0e2f2cb2b0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c6af6a-abea-4b00-b9ae-aa6e65a32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54de5635-6b60-4da0-9662-165b06f903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41cf9-356c-49cf-9268-0e2f2cb2b0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aab5b83-e0ba-4340-bfc7-689fcb33e34c}" ma:internalName="TaxCatchAll" ma:showField="CatchAllData" ma:web="77241cf9-356c-49cf-9268-0e2f2cb2b0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241cf9-356c-49cf-9268-0e2f2cb2b01a" xsi:nil="true"/>
    <lcf76f155ced4ddcb4097134ff3c332f xmlns="21c6af6a-abea-4b00-b9ae-aa6e65a324b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CA57DC-AD7C-4030-B95B-925EA044A0F4}"/>
</file>

<file path=customXml/itemProps2.xml><?xml version="1.0" encoding="utf-8"?>
<ds:datastoreItem xmlns:ds="http://schemas.openxmlformats.org/officeDocument/2006/customXml" ds:itemID="{C4BE2AF5-22FA-4317-9202-9EB025D49DAD}"/>
</file>

<file path=customXml/itemProps3.xml><?xml version="1.0" encoding="utf-8"?>
<ds:datastoreItem xmlns:ds="http://schemas.openxmlformats.org/officeDocument/2006/customXml" ds:itemID="{D495689B-A611-40E9-B03A-BBA065FBC4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77</vt:i4>
      </vt:variant>
    </vt:vector>
  </HeadingPairs>
  <TitlesOfParts>
    <vt:vector size="77" baseType="lpstr">
      <vt:lpstr>ACMII CA</vt:lpstr>
      <vt:lpstr>ALLIED POTATO</vt:lpstr>
      <vt:lpstr>AM-SOD</vt:lpstr>
      <vt:lpstr>Howard Albano</vt:lpstr>
      <vt:lpstr>ALMONDS EIGHT</vt:lpstr>
      <vt:lpstr>AR FARMING &amp; LEASING</vt:lpstr>
      <vt:lpstr>BOLTHOUSE</vt:lpstr>
      <vt:lpstr>BRITE CREEK FARM</vt:lpstr>
      <vt:lpstr>BROKEN WING FARMS</vt:lpstr>
      <vt:lpstr>BUTTONWILLOW LAND &amp; CATTLE</vt:lpstr>
      <vt:lpstr>Cauzza Bros.</vt:lpstr>
      <vt:lpstr>CBP PROPERTIES</vt:lpstr>
      <vt:lpstr>COSTA AG COMPANY</vt:lpstr>
      <vt:lpstr>CORE AGRICULTURE</vt:lpstr>
      <vt:lpstr>DALE CREIGHTON</vt:lpstr>
      <vt:lpstr>DANIEL FARMS</vt:lpstr>
      <vt:lpstr>DEL MAR FARMS</vt:lpstr>
      <vt:lpstr>DENNY RANCH</vt:lpstr>
      <vt:lpstr>DESERT RANCH</vt:lpstr>
      <vt:lpstr>DM CAMP</vt:lpstr>
      <vt:lpstr>DOUGLAS RANCHES</vt:lpstr>
      <vt:lpstr>DUNCAN FAMILY FARMS</vt:lpstr>
      <vt:lpstr>ELK GROVE RANCH</vt:lpstr>
      <vt:lpstr>Enza Zaden USA</vt:lpstr>
      <vt:lpstr>EYRAUD PIPE RENTAL</vt:lpstr>
      <vt:lpstr>FAIRWAY FARMS</vt:lpstr>
      <vt:lpstr>Freedom Farms</vt:lpstr>
      <vt:lpstr>GENE PALLA FARMS</vt:lpstr>
      <vt:lpstr>GILKEY FIVE</vt:lpstr>
      <vt:lpstr>Hafenfeld Ranch</vt:lpstr>
      <vt:lpstr>HERITAGE FARMS</vt:lpstr>
      <vt:lpstr>H&amp;H Farms</vt:lpstr>
      <vt:lpstr>ILLUME AG</vt:lpstr>
      <vt:lpstr>DAVID JACOBSON</vt:lpstr>
      <vt:lpstr>J.P. Oil</vt:lpstr>
      <vt:lpstr>Kirschenmann Ent.</vt:lpstr>
      <vt:lpstr>KIRSCHENMANN 2008 TRUST</vt:lpstr>
      <vt:lpstr>KOSAREFF FARMS</vt:lpstr>
      <vt:lpstr>LA CAROTA FARMS</vt:lpstr>
      <vt:lpstr>Lehr Bros.</vt:lpstr>
      <vt:lpstr>LOS GATOS - WOOLF</vt:lpstr>
      <vt:lpstr>L.P. Farms</vt:lpstr>
      <vt:lpstr>L.T. FARMS</vt:lpstr>
      <vt:lpstr>MAPLE</vt:lpstr>
      <vt:lpstr>MATERRA FARMING</vt:lpstr>
      <vt:lpstr>MCKITTRICK RANCH</vt:lpstr>
      <vt:lpstr>L. Neufeld</vt:lpstr>
      <vt:lpstr>OLD RIVER FARMING</vt:lpstr>
      <vt:lpstr>Joe Paesano</vt:lpstr>
      <vt:lpstr>PETER RABBIT</vt:lpstr>
      <vt:lpstr>Poso Ridge N.</vt:lpstr>
      <vt:lpstr>PROGENY ADVANCED GENETICS</vt:lpstr>
      <vt:lpstr>RIO RANCHO 2005</vt:lpstr>
      <vt:lpstr>RV FARMS</vt:lpstr>
      <vt:lpstr>JERRY SLOUGH</vt:lpstr>
      <vt:lpstr>SYNGENTA SEEDS</vt:lpstr>
      <vt:lpstr>TASTEFUL SELECTIONS</vt:lpstr>
      <vt:lpstr>TEN STAR FARMING</vt:lpstr>
      <vt:lpstr>THREE BRAND CATTLE</vt:lpstr>
      <vt:lpstr>THOMSON INT'L</vt:lpstr>
      <vt:lpstr>TORIGIANI FARMS</vt:lpstr>
      <vt:lpstr>TRILOGY DAIRY</vt:lpstr>
      <vt:lpstr>UNDERWOOD</vt:lpstr>
      <vt:lpstr>URI BROS</vt:lpstr>
      <vt:lpstr>WARREN AG </vt:lpstr>
      <vt:lpstr>WATER ASSOC. </vt:lpstr>
      <vt:lpstr>WEST COAST BERRY FARMS</vt:lpstr>
      <vt:lpstr>WONDERFUL NURSERSIES</vt:lpstr>
      <vt:lpstr>WOOLF ENTER.</vt:lpstr>
      <vt:lpstr>WP RODUNER CATTLE &amp; FARMING</vt:lpstr>
      <vt:lpstr>VARSITY PRODUCE</vt:lpstr>
      <vt:lpstr>ZUCKERMAN HERITAGE</vt:lpstr>
      <vt:lpstr>RENTAL INVENTORY 7-16-18</vt:lpstr>
      <vt:lpstr>RENTAL INVENT 04302020</vt:lpstr>
      <vt:lpstr>M2M RENTALS</vt:lpstr>
      <vt:lpstr>RETRIEVER MACHINES</vt:lpstr>
      <vt:lpstr>PROJ CLEANUP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Kirby Conway - Laurel Ag &amp; Water</cp:lastModifiedBy>
  <cp:lastPrinted>2023-07-20T21:31:55Z</cp:lastPrinted>
  <dcterms:created xsi:type="dcterms:W3CDTF">2005-01-27T21:41:23Z</dcterms:created>
  <dcterms:modified xsi:type="dcterms:W3CDTF">2023-09-07T00:50:05Z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0x010100EAA7CCF074945C458E763B35EFF0EB17</vt:lpwstr>
  </property>
</Properties>
</file>