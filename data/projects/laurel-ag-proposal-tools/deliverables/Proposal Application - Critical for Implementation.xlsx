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nikolnor\Desktop\!Personal\3. Markman\"/>
    </mc:Choice>
  </mc:AlternateContent>
  <xr:revisionPtr revIDLastSave="0" documentId="13_ncr:1_{C0F0738C-85E2-453E-A157-9D7525560BDE}" xr6:coauthVersionLast="47" xr6:coauthVersionMax="47" xr10:uidLastSave="{00000000-0000-0000-0000-000000000000}"/>
  <bookViews>
    <workbookView xWindow="-108" yWindow="-108" windowWidth="22140" windowHeight="13176" xr2:uid="{A301F417-C8BE-4C8D-ABE7-B6FF4A5A177E}"/>
  </bookViews>
  <sheets>
    <sheet name="User Bugs" sheetId="1" r:id="rId1"/>
    <sheet name="DropDowns" sheetId="2" state="hidden" r:id="rId2"/>
  </sheets>
  <definedNames>
    <definedName name="_xlnm._FilterDatabase" localSheetId="0" hidden="1">'User Bugs'!$A$2:$I$18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1" l="1"/>
  <c r="F23" i="1"/>
  <c r="G22" i="1"/>
  <c r="G23" i="1"/>
  <c r="G19" i="1"/>
  <c r="G20" i="1" s="1"/>
  <c r="F19" i="1"/>
  <c r="F20" i="1" s="1"/>
</calcChain>
</file>

<file path=xl/sharedStrings.xml><?xml version="1.0" encoding="utf-8"?>
<sst xmlns="http://schemas.openxmlformats.org/spreadsheetml/2006/main" count="137" uniqueCount="74">
  <si>
    <t>Client</t>
  </si>
  <si>
    <t>Markman Group</t>
  </si>
  <si>
    <t>ID</t>
  </si>
  <si>
    <t>Blockers</t>
  </si>
  <si>
    <t>Detailed description of the issue</t>
  </si>
  <si>
    <t>Status</t>
  </si>
  <si>
    <t>Type</t>
  </si>
  <si>
    <t>Comments</t>
  </si>
  <si>
    <t>Products</t>
  </si>
  <si>
    <t>Done</t>
  </si>
  <si>
    <t>Feature Enhancement</t>
  </si>
  <si>
    <t>Opportunity</t>
  </si>
  <si>
    <t>4 Task Mapping</t>
  </si>
  <si>
    <t>Functionality Bug</t>
  </si>
  <si>
    <t>New Feature Addition</t>
  </si>
  <si>
    <t>Opportunity List</t>
  </si>
  <si>
    <t>Open</t>
  </si>
  <si>
    <t>Future Scope Extension (Phase 2)</t>
  </si>
  <si>
    <t>5 Generate Estimate</t>
  </si>
  <si>
    <t>1 Select Task Code</t>
  </si>
  <si>
    <t>6 Proposal Creation</t>
  </si>
  <si>
    <t>7 Proposal Preview</t>
  </si>
  <si>
    <t xml:space="preserve">Changing the description for an estimate on step 1 does not change the description on step 4. </t>
  </si>
  <si>
    <t>In Porgress</t>
  </si>
  <si>
    <t>New Feature Rework</t>
  </si>
  <si>
    <t>Deleting an estimate on step 1 does not remove it on step 4</t>
  </si>
  <si>
    <t>2 Upload CAD file</t>
  </si>
  <si>
    <t>Dropping file into the "drop files here to upload" results in error "Something went wrong :( ". Same error when selecting a file through the explorer</t>
  </si>
  <si>
    <t>the format should not be tmp but txt file</t>
  </si>
  <si>
    <t>No</t>
  </si>
  <si>
    <t>Refreshing (F5) causes task codes to change order</t>
  </si>
  <si>
    <t>Lars to confirm if sorting is OKAY - same order on all screens (anal. + stage 4 the split between labor and notmal tasks to stay)</t>
  </si>
  <si>
    <t>Yes</t>
  </si>
  <si>
    <t>Refreshing (F5) needs to ask for user approval before reloading the page. Any changes made to estimates appear to only be saved when going to step 5, so if the page is refreshed before moving on, all progress is lost.</t>
  </si>
  <si>
    <t>F5 (confirmation on save)/or autosave</t>
  </si>
  <si>
    <t>When entering items, can we make the description field as large as possible from the beginning, and not only once the first item is entered?</t>
  </si>
  <si>
    <t>Entering item 401020 in an estimate shows description "PVC TEE S40 2" SOC x FPT" whereas the product database correctly shows "PVC TEE S40 2" SOC"</t>
  </si>
  <si>
    <t>check the mapping between item code &amp; description - vs product master</t>
  </si>
  <si>
    <t>Unable to change an item by changing the item code.
First step was selecting an item by entering an item code.
Second step, I changed the item by using the drop down in the description.
Third step, I tried to enter a new item code to change the item once more, and was unable to do so.</t>
  </si>
  <si>
    <t>already added rows allowed to change description/item code - should be availabel for active row</t>
  </si>
  <si>
    <t>Searching for an item in the description column does not work for partial strings</t>
  </si>
  <si>
    <t>cross check (similar to NetSuite)</t>
  </si>
  <si>
    <t>The totals from step don't show up properly on this page.</t>
  </si>
  <si>
    <t>not unit price, confirmation pending</t>
  </si>
  <si>
    <t>How is Freight adjusted?</t>
  </si>
  <si>
    <t>should be to Task Mapping (and set-up as regular task code --) - the product list should be expanded to see noninventory items</t>
  </si>
  <si>
    <t>Using the Upload CAD file, and assigning products to an estimate, the Description and Standard Cost don't update. Also, quantities have decimals, which they shouldn't</t>
  </si>
  <si>
    <t>Adding items accepts any input, not just products specified in the product database. This can happen via the Upload Function (see "Single-C" in screenshot) or via manual entry (see "dog" in screenshot)</t>
  </si>
  <si>
    <t>how the not valid codes are being validated with Upload CAD
no valid items should not be populated in the estimate - but should be visible under 'non valid parts' - in assign parts</t>
  </si>
  <si>
    <t>How do I remove an estimate?</t>
  </si>
  <si>
    <t>All Task Codes available in drop-down</t>
  </si>
  <si>
    <t>Attempting to modify the glue / additional material calculator, and I can't find where to do that. I imagine it would be in the Products -&gt; Additional Material tab?</t>
  </si>
  <si>
    <t>Rental Application Screen</t>
  </si>
  <si>
    <t>Stage</t>
  </si>
  <si>
    <t>Issues within the agreed scope that impact the application’s functionality and need fixing.</t>
  </si>
  <si>
    <t>Requests to improve or extend existing features, adding value without introducing new functionality.</t>
  </si>
  <si>
    <t>Labour Cost</t>
  </si>
  <si>
    <t>2 Upload CAD File</t>
  </si>
  <si>
    <t>In Review</t>
  </si>
  <si>
    <t>Requests for entirely new features not included in the original scope or prototype.</t>
  </si>
  <si>
    <t>Customers</t>
  </si>
  <si>
    <t>3 Material List</t>
  </si>
  <si>
    <t>Significant adjustments or expansions that will be scheduled for a later phase due to resource and time considerations.</t>
  </si>
  <si>
    <t>Tasks</t>
  </si>
  <si>
    <t>This category encompasses issues found in newly implemented features that require debugging, corrections, or rework to function as expected according to the original requirements.</t>
  </si>
  <si>
    <t>Vendors</t>
  </si>
  <si>
    <t>Authorization</t>
  </si>
  <si>
    <t>8 Final Documents</t>
  </si>
  <si>
    <r>
      <t xml:space="preserve">Effort MIN
</t>
    </r>
    <r>
      <rPr>
        <i/>
        <sz val="8"/>
        <color theme="1"/>
        <rFont val="Calibri Light"/>
        <family val="2"/>
        <scheme val="major"/>
      </rPr>
      <t>(with validation testing)</t>
    </r>
  </si>
  <si>
    <r>
      <t xml:space="preserve">Effort MAX
</t>
    </r>
    <r>
      <rPr>
        <i/>
        <sz val="8"/>
        <color theme="1"/>
        <rFont val="Calibri Light"/>
        <family val="2"/>
        <scheme val="major"/>
      </rPr>
      <t>(with validation testing)</t>
    </r>
  </si>
  <si>
    <t>clarification needed</t>
  </si>
  <si>
    <t>Screen</t>
  </si>
  <si>
    <t xml:space="preserve">Blockers </t>
  </si>
  <si>
    <t>No Blockers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</si>
</sst>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Light"/>
      <family val="2"/>
      <scheme val="major"/>
    </font>
    <font>
      <b/>
      <sz val="10"/>
      <color theme="1"/>
      <name val="Calibri Light"/>
      <family val="2"/>
      <scheme val="major"/>
    </font>
    <font>
      <b/>
      <sz val="12"/>
      <color theme="1"/>
      <name val="Calibri Light"/>
      <family val="2"/>
      <scheme val="major"/>
    </font>
    <font>
      <i/>
      <sz val="8"/>
      <color theme="1"/>
      <name val="Calibri Light"/>
      <family val="2"/>
      <scheme val="major"/>
    </font>
    <font>
      <i/>
      <sz val="11"/>
      <color theme="1"/>
      <name val="Calibri Light"/>
      <family val="2"/>
      <scheme val="major"/>
    </font>
    <font>
      <b/>
      <i/>
      <sz val="12"/>
      <color theme="1"/>
      <name val="Calibri Light"/>
      <family val="2"/>
      <scheme val="major"/>
    </font>
  </fonts>
  <fills count="10">
    <fill>
      <patternFill patternType="none"/>
    </fill>
    <fill>
      <patternFill patternType="gray125"/>
    </fill>
    <fill>
      <patternFill patternType="solid">
        <fgColor theme="9" tint="0.59999389629810485"/>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1" fillId="6"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horizontal="center" vertical="center" wrapText="1"/>
    </xf>
    <xf numFmtId="0" fontId="1" fillId="0" borderId="0" xfId="0" applyFont="1" applyFill="1" applyAlignment="1">
      <alignment vertical="center" wrapText="1"/>
    </xf>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1" fillId="7" borderId="0" xfId="0" applyFont="1" applyFill="1" applyAlignment="1">
      <alignment vertical="center" wrapText="1"/>
    </xf>
    <xf numFmtId="0" fontId="1" fillId="8" borderId="0" xfId="0" applyFont="1" applyFill="1" applyAlignment="1">
      <alignment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1" fillId="9"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5EA9-517A-479A-9E7A-BA071B3FC300}">
  <dimension ref="A1:CR23"/>
  <sheetViews>
    <sheetView tabSelected="1" zoomScale="70" zoomScaleNormal="70" zoomScaleSheetLayoutView="50" workbookViewId="0">
      <selection sqref="A1:XFD1048576"/>
    </sheetView>
  </sheetViews>
  <sheetFormatPr defaultColWidth="8.88671875" defaultRowHeight="14.4" x14ac:dyDescent="0.3"/>
  <cols>
    <col min="1" max="1" width="9.33203125" style="4" bestFit="1" customWidth="1"/>
    <col min="2" max="2" width="15" style="4" customWidth="1"/>
    <col min="3" max="3" width="17.77734375" style="4" bestFit="1" customWidth="1"/>
    <col min="4" max="4" width="132.33203125" style="4" customWidth="1"/>
    <col min="5" max="5" width="19.109375" style="4" customWidth="1"/>
    <col min="6" max="7" width="23.33203125" style="19" bestFit="1" customWidth="1"/>
    <col min="8" max="8" width="19.44140625" style="4" bestFit="1" customWidth="1"/>
    <col min="9" max="9" width="109.77734375" style="4" bestFit="1" customWidth="1"/>
    <col min="10" max="10" width="32.44140625" style="10" customWidth="1"/>
    <col min="11" max="96" width="8.88671875" style="10"/>
    <col min="97" max="16384" width="8.88671875" style="4"/>
  </cols>
  <sheetData>
    <row r="1" spans="1:96" s="3" customFormat="1" ht="15.6" x14ac:dyDescent="0.3">
      <c r="A1" s="11" t="s">
        <v>0</v>
      </c>
      <c r="B1" s="11"/>
      <c r="C1" s="11"/>
      <c r="D1" s="11"/>
      <c r="E1" s="12" t="s">
        <v>1</v>
      </c>
      <c r="F1" s="12"/>
      <c r="G1" s="12"/>
      <c r="H1" s="12"/>
      <c r="I1" s="12"/>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row>
    <row r="2" spans="1:96" s="2" customFormat="1" ht="24" x14ac:dyDescent="0.3">
      <c r="A2" s="2" t="s">
        <v>2</v>
      </c>
      <c r="B2" s="2" t="s">
        <v>3</v>
      </c>
      <c r="C2" s="2" t="s">
        <v>71</v>
      </c>
      <c r="D2" s="2" t="s">
        <v>4</v>
      </c>
      <c r="E2" s="2" t="s">
        <v>5</v>
      </c>
      <c r="F2" s="2" t="s">
        <v>68</v>
      </c>
      <c r="G2" s="2" t="s">
        <v>69</v>
      </c>
      <c r="H2" s="2" t="s">
        <v>6</v>
      </c>
      <c r="I2" s="2" t="s">
        <v>7</v>
      </c>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row>
    <row r="3" spans="1:96" x14ac:dyDescent="0.3">
      <c r="A3" s="13">
        <v>21</v>
      </c>
      <c r="B3" s="15" t="s">
        <v>29</v>
      </c>
      <c r="C3" s="13" t="s">
        <v>12</v>
      </c>
      <c r="D3" s="13" t="s">
        <v>22</v>
      </c>
      <c r="E3" s="13" t="s">
        <v>58</v>
      </c>
      <c r="F3" s="15"/>
      <c r="G3" s="15"/>
      <c r="H3" s="13" t="s">
        <v>24</v>
      </c>
      <c r="I3" s="13"/>
    </row>
    <row r="4" spans="1:96" x14ac:dyDescent="0.3">
      <c r="A4" s="14">
        <v>22</v>
      </c>
      <c r="B4" s="16" t="s">
        <v>29</v>
      </c>
      <c r="C4" s="14" t="s">
        <v>12</v>
      </c>
      <c r="D4" s="14" t="s">
        <v>25</v>
      </c>
      <c r="E4" s="14" t="s">
        <v>23</v>
      </c>
      <c r="F4" s="16">
        <v>8</v>
      </c>
      <c r="G4" s="16">
        <v>12</v>
      </c>
      <c r="H4" s="14" t="s">
        <v>24</v>
      </c>
      <c r="I4" s="14"/>
    </row>
    <row r="5" spans="1:96" x14ac:dyDescent="0.3">
      <c r="A5" s="14">
        <v>23</v>
      </c>
      <c r="B5" s="18" t="s">
        <v>32</v>
      </c>
      <c r="C5" s="14" t="s">
        <v>26</v>
      </c>
      <c r="D5" s="14" t="s">
        <v>27</v>
      </c>
      <c r="E5" s="14" t="s">
        <v>23</v>
      </c>
      <c r="F5" s="16">
        <v>5</v>
      </c>
      <c r="G5" s="16">
        <v>8</v>
      </c>
      <c r="H5" s="14" t="s">
        <v>10</v>
      </c>
      <c r="I5" s="14" t="s">
        <v>28</v>
      </c>
    </row>
    <row r="6" spans="1:96" x14ac:dyDescent="0.3">
      <c r="A6" s="5">
        <v>24</v>
      </c>
      <c r="B6" s="17" t="s">
        <v>29</v>
      </c>
      <c r="C6" s="5" t="s">
        <v>12</v>
      </c>
      <c r="D6" s="5" t="s">
        <v>30</v>
      </c>
      <c r="E6" s="5" t="s">
        <v>16</v>
      </c>
      <c r="F6" s="17">
        <v>6</v>
      </c>
      <c r="G6" s="17">
        <v>8</v>
      </c>
      <c r="H6" s="5" t="s">
        <v>10</v>
      </c>
      <c r="I6" s="5" t="s">
        <v>31</v>
      </c>
    </row>
    <row r="7" spans="1:96" ht="28.8" x14ac:dyDescent="0.3">
      <c r="A7" s="5">
        <v>25</v>
      </c>
      <c r="B7" s="18" t="s">
        <v>32</v>
      </c>
      <c r="C7" s="5" t="s">
        <v>12</v>
      </c>
      <c r="D7" s="5" t="s">
        <v>33</v>
      </c>
      <c r="E7" s="5" t="s">
        <v>16</v>
      </c>
      <c r="F7" s="17">
        <v>7</v>
      </c>
      <c r="G7" s="17">
        <v>11</v>
      </c>
      <c r="H7" s="5" t="s">
        <v>14</v>
      </c>
      <c r="I7" s="5" t="s">
        <v>34</v>
      </c>
    </row>
    <row r="8" spans="1:96" x14ac:dyDescent="0.3">
      <c r="A8" s="14">
        <v>27</v>
      </c>
      <c r="B8" s="16" t="s">
        <v>29</v>
      </c>
      <c r="C8" s="14" t="s">
        <v>12</v>
      </c>
      <c r="D8" s="14" t="s">
        <v>35</v>
      </c>
      <c r="E8" s="14" t="s">
        <v>23</v>
      </c>
      <c r="F8" s="16">
        <v>3</v>
      </c>
      <c r="G8" s="16">
        <v>5</v>
      </c>
      <c r="H8" s="14" t="s">
        <v>10</v>
      </c>
      <c r="I8" s="14"/>
    </row>
    <row r="9" spans="1:96" x14ac:dyDescent="0.3">
      <c r="A9" s="14">
        <v>28</v>
      </c>
      <c r="B9" s="16" t="s">
        <v>29</v>
      </c>
      <c r="C9" s="14" t="s">
        <v>12</v>
      </c>
      <c r="D9" s="14" t="s">
        <v>36</v>
      </c>
      <c r="E9" s="14" t="s">
        <v>23</v>
      </c>
      <c r="F9" s="16"/>
      <c r="G9" s="16"/>
      <c r="H9" s="14" t="s">
        <v>13</v>
      </c>
      <c r="I9" s="14" t="s">
        <v>37</v>
      </c>
    </row>
    <row r="10" spans="1:96" ht="57.6" x14ac:dyDescent="0.3">
      <c r="A10" s="5">
        <v>29</v>
      </c>
      <c r="B10" s="23" t="s">
        <v>32</v>
      </c>
      <c r="C10" s="5" t="s">
        <v>12</v>
      </c>
      <c r="D10" s="5" t="s">
        <v>38</v>
      </c>
      <c r="E10" s="5" t="s">
        <v>16</v>
      </c>
      <c r="F10" s="17">
        <v>7</v>
      </c>
      <c r="G10" s="17">
        <v>10</v>
      </c>
      <c r="H10" s="5" t="s">
        <v>10</v>
      </c>
      <c r="I10" s="5" t="s">
        <v>39</v>
      </c>
    </row>
    <row r="11" spans="1:96" x14ac:dyDescent="0.3">
      <c r="A11" s="14">
        <v>30</v>
      </c>
      <c r="B11" s="16" t="s">
        <v>29</v>
      </c>
      <c r="C11" s="14" t="s">
        <v>12</v>
      </c>
      <c r="D11" s="14" t="s">
        <v>40</v>
      </c>
      <c r="E11" s="14" t="s">
        <v>23</v>
      </c>
      <c r="F11" s="16">
        <v>7</v>
      </c>
      <c r="G11" s="16">
        <v>10</v>
      </c>
      <c r="H11" s="14" t="s">
        <v>10</v>
      </c>
      <c r="I11" s="14" t="s">
        <v>41</v>
      </c>
    </row>
    <row r="12" spans="1:96" x14ac:dyDescent="0.3">
      <c r="A12" s="5">
        <v>36</v>
      </c>
      <c r="B12" s="18" t="s">
        <v>32</v>
      </c>
      <c r="C12" s="5" t="s">
        <v>18</v>
      </c>
      <c r="D12" s="5" t="s">
        <v>42</v>
      </c>
      <c r="E12" s="5" t="s">
        <v>16</v>
      </c>
      <c r="F12" s="17">
        <v>6</v>
      </c>
      <c r="G12" s="17">
        <v>9</v>
      </c>
      <c r="H12" s="5" t="s">
        <v>10</v>
      </c>
      <c r="I12" s="5" t="s">
        <v>43</v>
      </c>
    </row>
    <row r="13" spans="1:96" x14ac:dyDescent="0.3">
      <c r="A13" s="13">
        <v>37</v>
      </c>
      <c r="B13" s="18" t="s">
        <v>32</v>
      </c>
      <c r="C13" s="13" t="s">
        <v>18</v>
      </c>
      <c r="D13" s="13" t="s">
        <v>44</v>
      </c>
      <c r="E13" s="13" t="s">
        <v>58</v>
      </c>
      <c r="F13" s="15"/>
      <c r="G13" s="15"/>
      <c r="H13" s="13" t="s">
        <v>14</v>
      </c>
      <c r="I13" s="13" t="s">
        <v>45</v>
      </c>
    </row>
    <row r="14" spans="1:96" s="7" customFormat="1" ht="28.8" x14ac:dyDescent="0.3">
      <c r="A14" s="5">
        <v>39</v>
      </c>
      <c r="B14" s="18" t="s">
        <v>32</v>
      </c>
      <c r="C14" s="5" t="s">
        <v>12</v>
      </c>
      <c r="D14" s="5" t="s">
        <v>46</v>
      </c>
      <c r="E14" s="5" t="s">
        <v>16</v>
      </c>
      <c r="F14" s="17"/>
      <c r="G14" s="17"/>
      <c r="H14" s="5" t="s">
        <v>13</v>
      </c>
      <c r="I14" s="5" t="s">
        <v>70</v>
      </c>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row>
    <row r="15" spans="1:96" s="7" customFormat="1" ht="28.8" x14ac:dyDescent="0.3">
      <c r="A15" s="5">
        <v>40</v>
      </c>
      <c r="B15" s="23" t="s">
        <v>32</v>
      </c>
      <c r="C15" s="5" t="s">
        <v>12</v>
      </c>
      <c r="D15" s="5" t="s">
        <v>47</v>
      </c>
      <c r="E15" s="5" t="s">
        <v>16</v>
      </c>
      <c r="F15" s="17">
        <v>8</v>
      </c>
      <c r="G15" s="17">
        <v>12</v>
      </c>
      <c r="H15" s="5" t="s">
        <v>10</v>
      </c>
      <c r="I15" s="5" t="s">
        <v>48</v>
      </c>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row>
    <row r="16" spans="1:96" x14ac:dyDescent="0.3">
      <c r="A16" s="5">
        <v>43</v>
      </c>
      <c r="B16" s="18" t="s">
        <v>32</v>
      </c>
      <c r="C16" s="5" t="s">
        <v>12</v>
      </c>
      <c r="D16" s="5" t="s">
        <v>49</v>
      </c>
      <c r="E16" s="5" t="s">
        <v>16</v>
      </c>
      <c r="F16" s="17">
        <v>6</v>
      </c>
      <c r="G16" s="17">
        <v>9</v>
      </c>
      <c r="H16" s="5" t="s">
        <v>14</v>
      </c>
      <c r="I16" s="5"/>
    </row>
    <row r="17" spans="1:96" x14ac:dyDescent="0.3">
      <c r="A17" s="14">
        <v>47</v>
      </c>
      <c r="B17" s="18" t="s">
        <v>32</v>
      </c>
      <c r="C17" s="14" t="s">
        <v>12</v>
      </c>
      <c r="D17" s="14" t="s">
        <v>50</v>
      </c>
      <c r="E17" s="14" t="s">
        <v>23</v>
      </c>
      <c r="F17" s="16"/>
      <c r="G17" s="16"/>
      <c r="H17" s="14" t="s">
        <v>13</v>
      </c>
      <c r="I17" s="14"/>
    </row>
    <row r="18" spans="1:96" s="6" customFormat="1" x14ac:dyDescent="0.3">
      <c r="A18" s="5">
        <v>49</v>
      </c>
      <c r="B18" s="18" t="s">
        <v>32</v>
      </c>
      <c r="C18" s="5" t="s">
        <v>8</v>
      </c>
      <c r="D18" s="5" t="s">
        <v>51</v>
      </c>
      <c r="E18" s="5" t="s">
        <v>16</v>
      </c>
      <c r="F18" s="17"/>
      <c r="G18" s="17"/>
      <c r="H18" s="5" t="s">
        <v>10</v>
      </c>
      <c r="I18" s="5"/>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row>
    <row r="19" spans="1:96" x14ac:dyDescent="0.3">
      <c r="F19" s="20">
        <f>SUM(F3:F18)</f>
        <v>63</v>
      </c>
      <c r="G19" s="20">
        <f>SUM(G3:G18)</f>
        <v>94</v>
      </c>
    </row>
    <row r="20" spans="1:96" x14ac:dyDescent="0.3">
      <c r="F20" s="19">
        <f>ROUND(F19/40,2)</f>
        <v>1.58</v>
      </c>
      <c r="G20" s="19">
        <f>ROUND(G19/40,2)</f>
        <v>2.35</v>
      </c>
    </row>
    <row r="22" spans="1:96" ht="15.6" x14ac:dyDescent="0.3">
      <c r="E22" s="21" t="s">
        <v>72</v>
      </c>
      <c r="F22" s="22">
        <f>SUMIF(B3:B18,"Yes",F3:F18)</f>
        <v>39</v>
      </c>
      <c r="G22" s="22">
        <f>SUMIF(B3:B18,"Yes",G3:G18)</f>
        <v>59</v>
      </c>
    </row>
    <row r="23" spans="1:96" ht="15.6" x14ac:dyDescent="0.3">
      <c r="E23" s="21" t="s">
        <v>73</v>
      </c>
      <c r="F23" s="22">
        <f>SUMIF(B3:B18,"No",F3:F18)</f>
        <v>24</v>
      </c>
      <c r="G23" s="22">
        <f>SUMIF(B3:B18,"No",G3:G18)</f>
        <v>35</v>
      </c>
    </row>
  </sheetData>
  <autoFilter ref="A2:I18" xr:uid="{50CD5EA9-517A-479A-9E7A-BA071B3FC300}"/>
  <mergeCells count="2">
    <mergeCell ref="A1:D1"/>
    <mergeCell ref="E1:I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C2C7B50F-76DF-4462-A31F-F7ED7F21978C}">
          <x14:formula1>
            <xm:f>DropDowns!$G$2:$G$5</xm:f>
          </x14:formula1>
          <xm:sqref>H53:H1048576</xm:sqref>
        </x14:dataValidation>
        <x14:dataValidation type="list" allowBlank="1" showInputMessage="1" showErrorMessage="1" xr:uid="{374DE13A-BB5A-488F-BF11-31AA458EC9A1}">
          <x14:formula1>
            <xm:f>DropDowns!$E$2:$E$6</xm:f>
          </x14:formula1>
          <xm:sqref>E3:E13</xm:sqref>
        </x14:dataValidation>
        <x14:dataValidation type="list" allowBlank="1" showInputMessage="1" showErrorMessage="1" xr:uid="{C1B2D8FC-5FE3-4420-9F9D-388D3705FFED}">
          <x14:formula1>
            <xm:f>DropDowns!$G$2:$G$6</xm:f>
          </x14:formula1>
          <xm:sqref>H3:H52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F559-3FB3-440B-9DAE-7A196CDBCAD0}">
  <dimension ref="A1:H10"/>
  <sheetViews>
    <sheetView workbookViewId="0">
      <selection sqref="A1:XFD1048576"/>
    </sheetView>
  </sheetViews>
  <sheetFormatPr defaultColWidth="8.88671875" defaultRowHeight="14.4" x14ac:dyDescent="0.3"/>
  <cols>
    <col min="1" max="1" width="21.6640625" style="1" bestFit="1" customWidth="1"/>
    <col min="2" max="2" width="8.88671875" style="1"/>
    <col min="3" max="3" width="17.5546875" style="1" bestFit="1" customWidth="1"/>
    <col min="4" max="4" width="8.88671875" style="1"/>
    <col min="5" max="5" width="10.109375" style="1" customWidth="1"/>
    <col min="6" max="6" width="8.88671875" style="1"/>
    <col min="7" max="7" width="29.33203125" style="1" customWidth="1"/>
    <col min="8" max="8" width="116.109375" style="1" bestFit="1" customWidth="1"/>
    <col min="9" max="16384" width="8.88671875" style="1"/>
  </cols>
  <sheetData>
    <row r="1" spans="1:8" x14ac:dyDescent="0.3">
      <c r="A1" s="1" t="s">
        <v>52</v>
      </c>
      <c r="C1" s="1" t="s">
        <v>53</v>
      </c>
      <c r="E1" s="1" t="s">
        <v>5</v>
      </c>
      <c r="G1" s="1" t="s">
        <v>6</v>
      </c>
    </row>
    <row r="2" spans="1:8" x14ac:dyDescent="0.3">
      <c r="A2" s="1" t="s">
        <v>11</v>
      </c>
      <c r="C2" s="1" t="s">
        <v>15</v>
      </c>
      <c r="E2" s="1" t="s">
        <v>16</v>
      </c>
      <c r="G2" s="1" t="s">
        <v>13</v>
      </c>
      <c r="H2" s="1" t="s">
        <v>54</v>
      </c>
    </row>
    <row r="3" spans="1:8" x14ac:dyDescent="0.3">
      <c r="A3" s="1" t="s">
        <v>8</v>
      </c>
      <c r="C3" s="1" t="s">
        <v>19</v>
      </c>
      <c r="E3" s="1" t="s">
        <v>23</v>
      </c>
      <c r="G3" s="1" t="s">
        <v>10</v>
      </c>
      <c r="H3" s="1" t="s">
        <v>55</v>
      </c>
    </row>
    <row r="4" spans="1:8" x14ac:dyDescent="0.3">
      <c r="A4" s="1" t="s">
        <v>56</v>
      </c>
      <c r="C4" s="1" t="s">
        <v>57</v>
      </c>
      <c r="E4" s="1" t="s">
        <v>58</v>
      </c>
      <c r="G4" s="1" t="s">
        <v>14</v>
      </c>
      <c r="H4" s="1" t="s">
        <v>59</v>
      </c>
    </row>
    <row r="5" spans="1:8" x14ac:dyDescent="0.3">
      <c r="A5" s="1" t="s">
        <v>60</v>
      </c>
      <c r="C5" s="1" t="s">
        <v>61</v>
      </c>
      <c r="E5" s="1" t="s">
        <v>9</v>
      </c>
      <c r="G5" s="1" t="s">
        <v>17</v>
      </c>
      <c r="H5" s="1" t="s">
        <v>62</v>
      </c>
    </row>
    <row r="6" spans="1:8" x14ac:dyDescent="0.3">
      <c r="A6" s="1" t="s">
        <v>63</v>
      </c>
      <c r="C6" s="1" t="s">
        <v>12</v>
      </c>
      <c r="G6" s="1" t="s">
        <v>24</v>
      </c>
      <c r="H6" s="1" t="s">
        <v>64</v>
      </c>
    </row>
    <row r="7" spans="1:8" x14ac:dyDescent="0.3">
      <c r="A7" s="1" t="s">
        <v>65</v>
      </c>
      <c r="C7" s="1" t="s">
        <v>18</v>
      </c>
    </row>
    <row r="8" spans="1:8" x14ac:dyDescent="0.3">
      <c r="A8" s="1" t="s">
        <v>66</v>
      </c>
      <c r="C8" s="1" t="s">
        <v>20</v>
      </c>
    </row>
    <row r="9" spans="1:8" x14ac:dyDescent="0.3">
      <c r="C9" s="1" t="s">
        <v>21</v>
      </c>
    </row>
    <row r="10" spans="1:8" x14ac:dyDescent="0.3">
      <c r="C10" s="1" t="s">
        <v>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7241cf9-356c-49cf-9268-0e2f2cb2b01a" xsi:nil="true"/>
    <lcf76f155ced4ddcb4097134ff3c332f xmlns="21c6af6a-abea-4b00-b9ae-aa6e65a324b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A7CCF074945C458E763B35EFF0EB17" ma:contentTypeVersion="14" ma:contentTypeDescription="Create a new document." ma:contentTypeScope="" ma:versionID="f133f15a887b737ad878511f950c548e">
  <xsd:schema xmlns:xsd="http://www.w3.org/2001/XMLSchema" xmlns:xs="http://www.w3.org/2001/XMLSchema" xmlns:p="http://schemas.microsoft.com/office/2006/metadata/properties" xmlns:ns2="21c6af6a-abea-4b00-b9ae-aa6e65a324bd" xmlns:ns3="77241cf9-356c-49cf-9268-0e2f2cb2b01a" targetNamespace="http://schemas.microsoft.com/office/2006/metadata/properties" ma:root="true" ma:fieldsID="30a5b72447c2c2deebca3803009c99a4" ns2:_="" ns3:_="">
    <xsd:import namespace="21c6af6a-abea-4b00-b9ae-aa6e65a324bd"/>
    <xsd:import namespace="77241cf9-356c-49cf-9268-0e2f2cb2b0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c6af6a-abea-4b00-b9ae-aa6e65a324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4de5635-6b60-4da0-9662-165b06f903a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7241cf9-356c-49cf-9268-0e2f2cb2b0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aab5b83-e0ba-4340-bfc7-689fcb33e34c}" ma:internalName="TaxCatchAll" ma:showField="CatchAllData" ma:web="77241cf9-356c-49cf-9268-0e2f2cb2b0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E16AFD-5AF7-42A8-8CF1-FC0FEDA4DAE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6FA5EEC-CA3E-4692-BAA7-51CD0B54E8F5}"/>
</file>

<file path=customXml/itemProps3.xml><?xml version="1.0" encoding="utf-8"?>
<ds:datastoreItem xmlns:ds="http://schemas.openxmlformats.org/officeDocument/2006/customXml" ds:itemID="{BD641F01-CDBD-488A-B968-E7B2DD5D19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Bugs</vt:lpstr>
      <vt:lpstr>DropDowns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Nikoleta Notova</dc:creator>
  <cp:keywords/>
  <dc:description/>
  <cp:lastModifiedBy>Nikoleta Notova</cp:lastModifiedBy>
  <cp:revision/>
  <dcterms:created xsi:type="dcterms:W3CDTF">2024-10-08T07:29:52Z</dcterms:created>
  <dcterms:modified xsi:type="dcterms:W3CDTF">2025-01-13T16:03:10Z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0x010100EAA7CCF074945C458E763B35EFF0EB17</vt:lpwstr>
  </property>
</Properties>
</file>