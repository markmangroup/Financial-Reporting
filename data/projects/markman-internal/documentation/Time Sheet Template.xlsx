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https://markmanassociates.sharepoint.com/sites/MarkmanAssociates/Shared Documents/General/Governance/"/>
    </mc:Choice>
  </mc:AlternateContent>
  <xr:revisionPtr revIDLastSave="198" documentId="8_{090822F3-0BA6-4F30-B540-676571BC3F7B}" xr6:coauthVersionLast="47" xr6:coauthVersionMax="47" xr10:uidLastSave="{D09AA059-C14C-4686-8168-FC46497665E3}"/>
  <bookViews>
    <workbookView xWindow="-120" yWindow="-120" windowWidth="29040" windowHeight="15720" firstSheet="1" activeTab="1" xr2:uid="{E63C276B-EF33-4893-A4B1-5A91CF653979}"/>
  </bookViews>
  <sheets>
    <sheet name="E.g. March" sheetId="1" r:id="rId1"/>
    <sheet name="Naming Convention" sheetId="2" r:id="rId2"/>
  </sheets>
  <definedNames>
    <definedName name="_xlnm._FilterDatabase" localSheetId="0" hidden="1">'E.g. March'!$B$2:$I$12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D5" i="1"/>
  <c r="H4" i="1"/>
  <c r="H8" i="1"/>
  <c r="H9" i="1"/>
  <c r="H10" i="1"/>
  <c r="H11" i="1"/>
  <c r="H12" i="1"/>
  <c r="H3" i="1"/>
  <c r="G17" i="1"/>
  <c r="D4" i="1"/>
  <c r="D6" i="1"/>
  <c r="D7" i="1"/>
  <c r="D8" i="1"/>
  <c r="D9" i="1"/>
  <c r="D10" i="1"/>
  <c r="D11" i="1"/>
  <c r="D3" i="1"/>
  <c r="H17" i="1" l="1"/>
</calcChain>
</file>

<file path=xl/sharedStrings.xml><?xml version="1.0" encoding="utf-8"?>
<sst xmlns="http://schemas.openxmlformats.org/spreadsheetml/2006/main" count="58" uniqueCount="53">
  <si>
    <t>Day</t>
  </si>
  <si>
    <t>Client</t>
  </si>
  <si>
    <t>Client Code</t>
  </si>
  <si>
    <t>Project</t>
  </si>
  <si>
    <t>Project Phase</t>
  </si>
  <si>
    <t>Time (Hours)</t>
  </si>
  <si>
    <t>$ Amount</t>
  </si>
  <si>
    <t>Activity Description</t>
  </si>
  <si>
    <t>Time</t>
  </si>
  <si>
    <t>Equivalent</t>
  </si>
  <si>
    <t>Rate per hour</t>
  </si>
  <si>
    <t>*Change by your hourly rate</t>
  </si>
  <si>
    <t>Example</t>
  </si>
  <si>
    <t>05.03.2025</t>
  </si>
  <si>
    <t>Metropolitan</t>
  </si>
  <si>
    <t>INT - Brand &amp; Offering Development</t>
  </si>
  <si>
    <t>Proposal</t>
  </si>
  <si>
    <t>Presentation to client</t>
  </si>
  <si>
    <t>60 minutes</t>
  </si>
  <si>
    <t>30 minutes</t>
  </si>
  <si>
    <t>15 minutes</t>
  </si>
  <si>
    <t>x minutes</t>
  </si>
  <si>
    <t>x/60</t>
  </si>
  <si>
    <t>TOTAL</t>
  </si>
  <si>
    <t>Clients</t>
  </si>
  <si>
    <t>MET</t>
  </si>
  <si>
    <t>Laurel AG</t>
  </si>
  <si>
    <t>LAG</t>
  </si>
  <si>
    <t>BrainDead</t>
  </si>
  <si>
    <t>BD</t>
  </si>
  <si>
    <t>Dittmar</t>
  </si>
  <si>
    <t>DIT</t>
  </si>
  <si>
    <t>StoneGoff</t>
  </si>
  <si>
    <t>SG</t>
  </si>
  <si>
    <t>Internal (Markman Group)</t>
  </si>
  <si>
    <t>INT</t>
  </si>
  <si>
    <t>Dirty Soda</t>
  </si>
  <si>
    <t>DS</t>
  </si>
  <si>
    <t>Other</t>
  </si>
  <si>
    <t>OTH</t>
  </si>
  <si>
    <t>Projects</t>
  </si>
  <si>
    <t>MET - Current State Assessment</t>
  </si>
  <si>
    <t>MET - Deal Cloud Quick Wins</t>
  </si>
  <si>
    <t>LAG - Proposal Application</t>
  </si>
  <si>
    <t>LAG - Rental Application</t>
  </si>
  <si>
    <t>DIT - AP Automation</t>
  </si>
  <si>
    <t>BD - Data &amp; Reporting Solution</t>
  </si>
  <si>
    <t>DS - Dirty Soda</t>
  </si>
  <si>
    <t>Assessment</t>
  </si>
  <si>
    <t>Development</t>
  </si>
  <si>
    <t>Testing</t>
  </si>
  <si>
    <t>Hypercare</t>
  </si>
  <si>
    <t>Support &amp;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</si>
</sst>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4" borderId="0" xfId="0" applyFill="1"/>
    <xf numFmtId="0" fontId="1" fillId="3" borderId="0" xfId="0" applyFont="1" applyFill="1" applyAlignment="1">
      <alignment horizontal="center"/>
    </xf>
    <xf numFmtId="164" fontId="0" fillId="4" borderId="0" xfId="0" applyNumberFormat="1" applyFill="1"/>
    <xf numFmtId="0" fontId="3" fillId="0" borderId="1" xfId="0" applyFont="1" applyBorder="1"/>
    <xf numFmtId="14" fontId="3" fillId="0" borderId="1" xfId="0" applyNumberFormat="1" applyFont="1" applyBorder="1"/>
    <xf numFmtId="0" fontId="2" fillId="0" borderId="0" xfId="0" applyFont="1"/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64" fontId="3" fillId="6" borderId="1" xfId="0" applyNumberFormat="1" applyFont="1" applyFill="1" applyBorder="1"/>
    <xf numFmtId="0" fontId="3" fillId="0" borderId="1" xfId="0" applyFont="1" applyBorder="1" applyAlignment="1">
      <alignment wrapText="1"/>
    </xf>
    <xf numFmtId="14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B114-0498-4215-AC78-A60508B4D9AF}">
  <dimension ref="A2:Q17"/>
  <sheetViews>
    <sheetView showGridLines="0" workbookViewId="0">
      <selection activeCell="F3" sqref="F3"/>
    </sheetView>
  </sheetViews>
  <sheetFormatPr defaultRowHeight="15"/>
  <cols>
    <col min="1" max="1" width="8" customWidth="1"/>
    <col min="2" max="2" width="15.5703125" customWidth="1"/>
    <col min="3" max="3" width="14.42578125" customWidth="1"/>
    <col min="4" max="4" width="14.42578125" bestFit="1" customWidth="1"/>
    <col min="5" max="5" width="30.85546875" bestFit="1" customWidth="1"/>
    <col min="6" max="6" width="16.5703125" bestFit="1" customWidth="1"/>
    <col min="7" max="7" width="16" customWidth="1"/>
    <col min="8" max="8" width="14" customWidth="1"/>
    <col min="9" max="9" width="63.42578125" customWidth="1"/>
    <col min="10" max="10" width="4" customWidth="1"/>
    <col min="11" max="11" width="3" customWidth="1"/>
    <col min="12" max="12" width="12.5703125" customWidth="1"/>
    <col min="13" max="13" width="9.85546875" bestFit="1" customWidth="1"/>
    <col min="14" max="14" width="3" customWidth="1"/>
    <col min="15" max="15" width="11.85546875" bestFit="1" customWidth="1"/>
  </cols>
  <sheetData>
    <row r="2" spans="1:17" s="12" customFormat="1" ht="21.75" customHeight="1"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L2" s="17" t="s">
        <v>8</v>
      </c>
      <c r="M2" s="17" t="s">
        <v>9</v>
      </c>
      <c r="O2" s="14" t="s">
        <v>10</v>
      </c>
      <c r="P2" s="15">
        <v>40</v>
      </c>
      <c r="Q2" s="16" t="s">
        <v>11</v>
      </c>
    </row>
    <row r="3" spans="1:17" ht="30">
      <c r="A3" s="23" t="s">
        <v>12</v>
      </c>
      <c r="B3" s="10" t="s">
        <v>13</v>
      </c>
      <c r="C3" s="22" t="s">
        <v>14</v>
      </c>
      <c r="D3" s="18" t="str">
        <f>VLOOKUP(C3,'Naming Convention'!$B$3:$C$10,2,0)</f>
        <v>MET</v>
      </c>
      <c r="E3" s="9" t="s">
        <v>15</v>
      </c>
      <c r="F3" s="9" t="s">
        <v>16</v>
      </c>
      <c r="G3" s="9">
        <v>1</v>
      </c>
      <c r="H3" s="21">
        <f t="shared" ref="H3:H12" si="0">G3*$P$2</f>
        <v>40</v>
      </c>
      <c r="I3" s="9" t="s">
        <v>17</v>
      </c>
      <c r="L3" s="3" t="s">
        <v>18</v>
      </c>
      <c r="M3" s="3">
        <v>1</v>
      </c>
    </row>
    <row r="4" spans="1:17">
      <c r="B4" s="5"/>
      <c r="C4" s="3"/>
      <c r="D4" s="19" t="e">
        <f>VLOOKUP(C4,'Naming Convention'!$B$3:$C$10,2,0)</f>
        <v>#N/A</v>
      </c>
      <c r="E4" s="3"/>
      <c r="F4" s="3"/>
      <c r="G4" s="3"/>
      <c r="H4" s="21">
        <f t="shared" si="0"/>
        <v>0</v>
      </c>
      <c r="I4" s="3"/>
      <c r="L4" s="3" t="s">
        <v>19</v>
      </c>
      <c r="M4" s="3">
        <v>0.5</v>
      </c>
    </row>
    <row r="5" spans="1:17">
      <c r="B5" s="5"/>
      <c r="C5" s="3"/>
      <c r="D5" s="19" t="e">
        <f>VLOOKUP(C5,'Naming Convention'!$B$3:$C$10,2,0)</f>
        <v>#N/A</v>
      </c>
      <c r="E5" s="3"/>
      <c r="F5" s="3"/>
      <c r="G5" s="3"/>
      <c r="H5" s="21">
        <f t="shared" si="0"/>
        <v>0</v>
      </c>
      <c r="I5" s="3"/>
      <c r="L5" s="3" t="s">
        <v>20</v>
      </c>
      <c r="M5" s="3">
        <v>0.25</v>
      </c>
    </row>
    <row r="6" spans="1:17">
      <c r="B6" s="5"/>
      <c r="C6" s="3"/>
      <c r="D6" s="19" t="e">
        <f>VLOOKUP(C6,'Naming Convention'!$B$3:$C$10,2,0)</f>
        <v>#N/A</v>
      </c>
      <c r="E6" s="3"/>
      <c r="F6" s="3"/>
      <c r="H6" s="21">
        <f t="shared" si="0"/>
        <v>0</v>
      </c>
      <c r="I6" s="3"/>
      <c r="L6" s="3" t="s">
        <v>21</v>
      </c>
      <c r="M6" s="4" t="s">
        <v>22</v>
      </c>
    </row>
    <row r="7" spans="1:17">
      <c r="B7" s="5"/>
      <c r="C7" s="3"/>
      <c r="D7" s="19" t="e">
        <f>VLOOKUP(C7,'Naming Convention'!$B$3:$C$10,2,0)</f>
        <v>#N/A</v>
      </c>
      <c r="E7" s="3"/>
      <c r="F7" s="3"/>
      <c r="G7" s="3"/>
      <c r="H7" s="21">
        <f t="shared" si="0"/>
        <v>0</v>
      </c>
      <c r="I7" s="3"/>
    </row>
    <row r="8" spans="1:17">
      <c r="B8" s="5"/>
      <c r="C8" s="3"/>
      <c r="D8" s="19" t="e">
        <f>VLOOKUP(C8,'Naming Convention'!$B$3:$C$10,2,0)</f>
        <v>#N/A</v>
      </c>
      <c r="E8" s="3"/>
      <c r="F8" s="3"/>
      <c r="G8" s="3"/>
      <c r="H8" s="21">
        <f t="shared" si="0"/>
        <v>0</v>
      </c>
      <c r="I8" s="3"/>
    </row>
    <row r="9" spans="1:17">
      <c r="B9" s="5"/>
      <c r="C9" s="3"/>
      <c r="D9" s="19" t="e">
        <f>VLOOKUP(C9,'Naming Convention'!$B$3:$C$10,2,0)</f>
        <v>#N/A</v>
      </c>
      <c r="E9" s="3"/>
      <c r="F9" s="3"/>
      <c r="G9" s="3"/>
      <c r="H9" s="21">
        <f t="shared" si="0"/>
        <v>0</v>
      </c>
      <c r="I9" s="3"/>
    </row>
    <row r="10" spans="1:17">
      <c r="B10" s="5"/>
      <c r="C10" s="3"/>
      <c r="D10" s="19" t="e">
        <f>VLOOKUP(C10,'Naming Convention'!$B$3:$C$10,2,0)</f>
        <v>#N/A</v>
      </c>
      <c r="E10" s="3"/>
      <c r="F10" s="3"/>
      <c r="G10" s="3"/>
      <c r="H10" s="21">
        <f t="shared" si="0"/>
        <v>0</v>
      </c>
      <c r="I10" s="3"/>
    </row>
    <row r="11" spans="1:17">
      <c r="B11" s="5"/>
      <c r="C11" s="3"/>
      <c r="D11" s="19" t="e">
        <f>VLOOKUP(C11,'Naming Convention'!$B$3:$C$10,2,0)</f>
        <v>#N/A</v>
      </c>
      <c r="E11" s="3"/>
      <c r="F11" s="3"/>
      <c r="G11" s="3"/>
      <c r="H11" s="21">
        <f t="shared" si="0"/>
        <v>0</v>
      </c>
      <c r="I11" s="3"/>
    </row>
    <row r="12" spans="1:17">
      <c r="B12" s="5"/>
      <c r="C12" s="3"/>
      <c r="D12" s="20"/>
      <c r="E12" s="3"/>
      <c r="F12" s="3"/>
      <c r="G12" s="3"/>
      <c r="H12" s="21">
        <f t="shared" si="0"/>
        <v>0</v>
      </c>
      <c r="I12" s="3"/>
    </row>
    <row r="13" spans="1:17">
      <c r="B13" s="2"/>
    </row>
    <row r="17" spans="1:8" s="6" customFormat="1">
      <c r="A17" s="7" t="s">
        <v>23</v>
      </c>
      <c r="G17" s="6">
        <f>SUM(G3:G16)</f>
        <v>1</v>
      </c>
      <c r="H17" s="8">
        <f>SUM(H3:H16)</f>
        <v>40</v>
      </c>
    </row>
  </sheetData>
  <autoFilter ref="B2:I12" xr:uid="{DFD3B114-0498-4215-AC78-A60508B4D9AF}"/>
  <dataValidations count="1">
    <dataValidation type="date" allowBlank="1" showInputMessage="1" showErrorMessage="1" sqref="B14:B16" xr:uid="{0339B466-38DE-4894-A499-09F19F5CE738}">
      <formula1>45658</formula1>
      <formula2>46022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8F74D3-593C-45F5-8E94-205522F8CCBE}">
          <x14:formula1>
            <xm:f>'Naming Convention'!$B$3:$B$10</xm:f>
          </x14:formula1>
          <xm:sqref>C3:C1048576</xm:sqref>
        </x14:dataValidation>
        <x14:dataValidation type="list" allowBlank="1" showInputMessage="1" showErrorMessage="1" xr:uid="{70726CA1-FE62-4DFA-9A32-ADA902F0C8E2}">
          <x14:formula1>
            <xm:f>'Naming Convention'!$B$13:$B$19</xm:f>
          </x14:formula1>
          <xm:sqref>E3:E1048576</xm:sqref>
        </x14:dataValidation>
        <x14:dataValidation type="list" allowBlank="1" showInputMessage="1" showErrorMessage="1" xr:uid="{D8F6B0EB-5C65-4099-B543-F9B8EEEF8B69}">
          <x14:formula1>
            <xm:f>'Naming Convention'!$B$23:$B$28</xm:f>
          </x14:formula1>
          <xm:sqref>F3:F1048576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B5C9-488C-4707-87BA-E3A15E57EC0F}">
  <dimension ref="B2:C31"/>
  <sheetViews>
    <sheetView tabSelected="1" workbookViewId="0">
      <selection activeCell="E11" sqref="E11"/>
    </sheetView>
  </sheetViews>
  <sheetFormatPr defaultRowHeight="15"/>
  <cols>
    <col min="1" max="1" width="5.140625" customWidth="1"/>
    <col min="2" max="2" width="34" customWidth="1"/>
    <col min="3" max="3" width="19" customWidth="1"/>
  </cols>
  <sheetData>
    <row r="2" spans="2:3">
      <c r="B2" s="1" t="s">
        <v>24</v>
      </c>
      <c r="C2" s="1" t="s">
        <v>2</v>
      </c>
    </row>
    <row r="3" spans="2:3">
      <c r="B3" t="s">
        <v>14</v>
      </c>
      <c r="C3" t="s">
        <v>25</v>
      </c>
    </row>
    <row r="4" spans="2:3">
      <c r="B4" t="s">
        <v>26</v>
      </c>
      <c r="C4" t="s">
        <v>27</v>
      </c>
    </row>
    <row r="5" spans="2:3">
      <c r="B5" t="s">
        <v>28</v>
      </c>
      <c r="C5" t="s">
        <v>29</v>
      </c>
    </row>
    <row r="6" spans="2:3">
      <c r="B6" t="s">
        <v>30</v>
      </c>
      <c r="C6" t="s">
        <v>31</v>
      </c>
    </row>
    <row r="7" spans="2:3">
      <c r="B7" t="s">
        <v>32</v>
      </c>
      <c r="C7" t="s">
        <v>33</v>
      </c>
    </row>
    <row r="8" spans="2:3">
      <c r="B8" t="s">
        <v>34</v>
      </c>
      <c r="C8" t="s">
        <v>35</v>
      </c>
    </row>
    <row r="9" spans="2:3">
      <c r="B9" t="s">
        <v>36</v>
      </c>
      <c r="C9" t="s">
        <v>37</v>
      </c>
    </row>
    <row r="10" spans="2:3">
      <c r="B10" t="s">
        <v>38</v>
      </c>
      <c r="C10" t="s">
        <v>39</v>
      </c>
    </row>
    <row r="12" spans="2:3">
      <c r="B12" s="1" t="s">
        <v>40</v>
      </c>
    </row>
    <row r="13" spans="2:3">
      <c r="B13" t="s">
        <v>41</v>
      </c>
    </row>
    <row r="14" spans="2:3">
      <c r="B14" t="s">
        <v>42</v>
      </c>
    </row>
    <row r="15" spans="2:3">
      <c r="B15" t="s">
        <v>43</v>
      </c>
    </row>
    <row r="16" spans="2:3">
      <c r="B16" t="s">
        <v>44</v>
      </c>
    </row>
    <row r="17" spans="2:2">
      <c r="B17" t="s">
        <v>45</v>
      </c>
    </row>
    <row r="18" spans="2:2">
      <c r="B18" t="s">
        <v>15</v>
      </c>
    </row>
    <row r="19" spans="2:2">
      <c r="B19" t="s">
        <v>46</v>
      </c>
    </row>
    <row r="20" spans="2:2">
      <c r="B20" t="s">
        <v>47</v>
      </c>
    </row>
    <row r="22" spans="2:2">
      <c r="B22" s="1" t="s">
        <v>4</v>
      </c>
    </row>
    <row r="23" spans="2:2">
      <c r="B23" t="s">
        <v>16</v>
      </c>
    </row>
    <row r="24" spans="2:2">
      <c r="B24" t="s">
        <v>48</v>
      </c>
    </row>
    <row r="25" spans="2:2">
      <c r="B25" t="s">
        <v>49</v>
      </c>
    </row>
    <row r="26" spans="2:2">
      <c r="B26" t="s">
        <v>50</v>
      </c>
    </row>
    <row r="27" spans="2:2">
      <c r="B27" t="s">
        <v>51</v>
      </c>
    </row>
    <row r="28" spans="2:2">
      <c r="B28" t="s">
        <v>52</v>
      </c>
    </row>
    <row r="31" spans="2:2">
      <c r="B31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241cf9-356c-49cf-9268-0e2f2cb2b01a" xsi:nil="true"/>
    <lcf76f155ced4ddcb4097134ff3c332f xmlns="21c6af6a-abea-4b00-b9ae-aa6e65a324b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7CCF074945C458E763B35EFF0EB17" ma:contentTypeVersion="14" ma:contentTypeDescription="Create a new document." ma:contentTypeScope="" ma:versionID="f133f15a887b737ad878511f950c548e">
  <xsd:schema xmlns:xsd="http://www.w3.org/2001/XMLSchema" xmlns:xs="http://www.w3.org/2001/XMLSchema" xmlns:p="http://schemas.microsoft.com/office/2006/metadata/properties" xmlns:ns2="21c6af6a-abea-4b00-b9ae-aa6e65a324bd" xmlns:ns3="77241cf9-356c-49cf-9268-0e2f2cb2b01a" targetNamespace="http://schemas.microsoft.com/office/2006/metadata/properties" ma:root="true" ma:fieldsID="30a5b72447c2c2deebca3803009c99a4" ns2:_="" ns3:_="">
    <xsd:import namespace="21c6af6a-abea-4b00-b9ae-aa6e65a324bd"/>
    <xsd:import namespace="77241cf9-356c-49cf-9268-0e2f2cb2b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6af6a-abea-4b00-b9ae-aa6e65a32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4de5635-6b60-4da0-9662-165b06f903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41cf9-356c-49cf-9268-0e2f2cb2b0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aab5b83-e0ba-4340-bfc7-689fcb33e34c}" ma:internalName="TaxCatchAll" ma:showField="CatchAllData" ma:web="77241cf9-356c-49cf-9268-0e2f2cb2b0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409D6-16F1-4A25-B8DA-A95DC97321B4}"/>
</file>

<file path=customXml/itemProps2.xml><?xml version="1.0" encoding="utf-8"?>
<ds:datastoreItem xmlns:ds="http://schemas.openxmlformats.org/officeDocument/2006/customXml" ds:itemID="{EBCD4B7B-D739-4141-8C27-AFFB810592D6}"/>
</file>

<file path=customXml/itemProps3.xml><?xml version="1.0" encoding="utf-8"?>
<ds:datastoreItem xmlns:ds="http://schemas.openxmlformats.org/officeDocument/2006/customXml" ds:itemID="{357F0A04-DA5D-4891-86D7-B3A39AF47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Tejada Izko</dc:creator>
  <cp:keywords/>
  <dc:description/>
  <cp:lastModifiedBy>Carmen</cp:lastModifiedBy>
  <cp:revision/>
  <dcterms:created xsi:type="dcterms:W3CDTF">2025-03-31T17:46:26Z</dcterms:created>
  <dcterms:modified xsi:type="dcterms:W3CDTF">2025-07-03T14:36:25Z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0x010100EAA7CCF074945C458E763B35EFF0EB17</vt:lpwstr>
  </property>
  <property fmtid="{D5CDD505-2E9C-101B-9397-08002B2CF9AE}" pid="3" name="MediaServiceImageTags">
    <vt:lpwstr/>
  </property>
</Properties>
</file>