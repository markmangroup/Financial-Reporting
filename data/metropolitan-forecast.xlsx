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arkmanassociates-my.sharepoint.com/personal/marianna_markmanassociates_com1/Documents/MM folder/Accounting/"/>
    </mc:Choice>
  </mc:AlternateContent>
  <xr:revisionPtr revIDLastSave="8" documentId="8_{160C3077-DEFC-424B-A8FD-728FE8892B2E}" xr6:coauthVersionLast="47" xr6:coauthVersionMax="47" xr10:uidLastSave="{8DE4919B-DBAC-6B4E-9F48-228C56F228F9}"/>
  <bookViews>
    <workbookView xWindow="-38400" yWindow="0" windowWidth="38400" windowHeight="21600" xr2:uid="{14670C60-90B2-9846-AA45-C9393C23D22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15" i="1" l="1"/>
  <c r="V12" i="1" l="1"/>
  <c r="V8" i="1"/>
  <c r="V7" i="1"/>
  <c r="V14" i="1" l="1"/>
  <c r="V13" i="1"/>
  <c r="V9" i="1"/>
  <c r="V10" i="1"/>
  <c r="V11" i="1"/>
  <c r="R16" i="1"/>
  <c r="P16" i="1"/>
  <c r="N16" i="1"/>
  <c r="L16" i="1"/>
  <c r="J16" i="1"/>
  <c r="H16" i="1"/>
  <c r="F16" i="1"/>
  <c r="D16" i="1"/>
  <c r="Q15" i="1"/>
  <c r="O15" i="1"/>
  <c r="M15" i="1"/>
  <c r="K15" i="1"/>
  <c r="I15" i="1"/>
  <c r="G15" i="1"/>
  <c r="E15" i="1"/>
  <c r="C15" i="1"/>
  <c r="U13" i="1"/>
  <c r="T13" i="1"/>
  <c r="U12" i="1"/>
  <c r="T12" i="1"/>
  <c r="U11" i="1"/>
  <c r="T11" i="1"/>
  <c r="U10" i="1"/>
  <c r="T10" i="1"/>
  <c r="U9" i="1"/>
  <c r="T9" i="1"/>
  <c r="U8" i="1"/>
  <c r="T8" i="1"/>
  <c r="U7" i="1"/>
  <c r="U14" i="1" s="1"/>
  <c r="T7" i="1"/>
  <c r="T14" i="1" l="1"/>
</calcChain>
</file>

<file path=xl/sharedStrings.xml><?xml version="1.0" encoding="utf-8"?>
<sst xmlns="http://schemas.openxmlformats.org/spreadsheetml/2006/main" count="54" uniqueCount="32">
  <si>
    <t>Planned Time</t>
  </si>
  <si>
    <t>Month</t>
  </si>
  <si>
    <t>November</t>
  </si>
  <si>
    <t>December</t>
  </si>
  <si>
    <t xml:space="preserve">January </t>
  </si>
  <si>
    <t>TOTAL</t>
  </si>
  <si>
    <t xml:space="preserve">Week </t>
  </si>
  <si>
    <t>18-24</t>
  </si>
  <si>
    <t>25-01</t>
  </si>
  <si>
    <t>2-8</t>
  </si>
  <si>
    <t>9-15</t>
  </si>
  <si>
    <t>16-22</t>
  </si>
  <si>
    <t>23 - 29</t>
  </si>
  <si>
    <t>30 - 5</t>
  </si>
  <si>
    <t>06 - 10</t>
  </si>
  <si>
    <t>Initial Forecast</t>
  </si>
  <si>
    <t>Updated Forecast</t>
  </si>
  <si>
    <t>Forecast</t>
  </si>
  <si>
    <t>Resource</t>
  </si>
  <si>
    <t>Carmen</t>
  </si>
  <si>
    <t>Abri</t>
  </si>
  <si>
    <t>Petrana</t>
  </si>
  <si>
    <t>Niki</t>
  </si>
  <si>
    <t>Beata</t>
  </si>
  <si>
    <t>Jan</t>
  </si>
  <si>
    <t>Marianna</t>
  </si>
  <si>
    <t>* Initial Forecast done at 25.11</t>
  </si>
  <si>
    <t>* Updated Forecast is adjusted every week, past time is updated to actuals and future time adjusted based on discovery process</t>
  </si>
  <si>
    <t>Hourly charge</t>
  </si>
  <si>
    <t>Beata </t>
  </si>
  <si>
    <t>Estimated costs</t>
  </si>
  <si>
    <t xml:space="preserve"> Revenue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</si>
</sst>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theme="0" tint="-0.499984740745262"/>
      <name val="Aptos Narrow"/>
      <family val="2"/>
      <scheme val="minor"/>
    </font>
    <font>
      <sz val="12"/>
      <color theme="1"/>
      <name val="Aptos Narrow"/>
      <scheme val="minor"/>
    </font>
  </fonts>
  <fills count="9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92D05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theme="1"/>
      </right>
      <top/>
      <bottom/>
      <diagonal/>
    </border>
    <border>
      <left style="thin">
        <color theme="1"/>
      </left>
      <right/>
      <top/>
      <bottom/>
      <diagonal/>
    </border>
  </borders>
  <cellStyleXfs count="1">
    <xf numFmtId="0" fontId="0" fillId="0" borderId="0"/>
  </cellStyleXfs>
  <cellXfs count="38">
    <xf numFmtId="0" fontId="0" fillId="0" borderId="0" xfId="0"/>
    <xf numFmtId="0" fontId="1" fillId="0" borderId="0" xfId="0" applyFont="1"/>
    <xf numFmtId="0" fontId="2" fillId="2" borderId="2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0" fillId="3" borderId="0" xfId="0" applyFill="1" applyAlignment="1">
      <alignment horizontal="center"/>
    </xf>
    <xf numFmtId="0" fontId="0" fillId="3" borderId="3" xfId="0" applyFill="1" applyBorder="1" applyAlignment="1">
      <alignment horizontal="center"/>
    </xf>
    <xf numFmtId="49" fontId="0" fillId="3" borderId="4" xfId="0" applyNumberFormat="1" applyFill="1" applyBorder="1" applyAlignment="1">
      <alignment horizontal="center"/>
    </xf>
    <xf numFmtId="49" fontId="0" fillId="3" borderId="3" xfId="0" applyNumberFormat="1" applyFill="1" applyBorder="1" applyAlignment="1">
      <alignment horizontal="center"/>
    </xf>
    <xf numFmtId="0" fontId="1" fillId="4" borderId="1" xfId="0" applyFont="1" applyFill="1" applyBorder="1" applyAlignment="1">
      <alignment horizontal="center" vertical="center" wrapText="1"/>
    </xf>
    <xf numFmtId="49" fontId="2" fillId="2" borderId="1" xfId="0" applyNumberFormat="1" applyFont="1" applyFill="1" applyBorder="1" applyAlignment="1">
      <alignment horizontal="center" vertical="center" wrapText="1"/>
    </xf>
    <xf numFmtId="0" fontId="0" fillId="3" borderId="0" xfId="0" applyFill="1" applyAlignment="1">
      <alignment horizontal="center"/>
    </xf>
    <xf numFmtId="0" fontId="0" fillId="5" borderId="3" xfId="0" applyFill="1" applyBorder="1" applyAlignment="1">
      <alignment horizontal="center"/>
    </xf>
    <xf numFmtId="0" fontId="1" fillId="4" borderId="5" xfId="0" applyFont="1" applyFill="1" applyBorder="1" applyAlignment="1">
      <alignment horizontal="center" vertical="center" wrapText="1"/>
    </xf>
    <xf numFmtId="49" fontId="2" fillId="2" borderId="5" xfId="0" applyNumberFormat="1" applyFont="1" applyFill="1" applyBorder="1" applyAlignment="1">
      <alignment horizontal="center" vertical="center" wrapText="1"/>
    </xf>
    <xf numFmtId="0" fontId="0" fillId="0" borderId="6" xfId="0" applyBorder="1"/>
    <xf numFmtId="0" fontId="0" fillId="0" borderId="7" xfId="0" applyBorder="1"/>
    <xf numFmtId="0" fontId="0" fillId="0" borderId="2" xfId="0" applyBorder="1"/>
    <xf numFmtId="0" fontId="3" fillId="0" borderId="0" xfId="0" applyFont="1" applyAlignment="1">
      <alignment horizontal="center" vertical="center"/>
    </xf>
    <xf numFmtId="0" fontId="0" fillId="6" borderId="6" xfId="0" applyFill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3" fillId="0" borderId="2" xfId="0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3" fillId="0" borderId="0" xfId="0" applyFont="1" applyAlignment="1">
      <alignment horizontal="center"/>
    </xf>
    <xf numFmtId="0" fontId="0" fillId="6" borderId="6" xfId="0" applyFill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0" xfId="0" applyAlignment="1">
      <alignment horizontal="center"/>
    </xf>
    <xf numFmtId="0" fontId="3" fillId="4" borderId="2" xfId="0" applyFont="1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1" fillId="3" borderId="0" xfId="0" applyFont="1" applyFill="1"/>
    <xf numFmtId="0" fontId="0" fillId="7" borderId="0" xfId="0" applyFill="1"/>
    <xf numFmtId="0" fontId="3" fillId="7" borderId="0" xfId="0" applyFont="1" applyFill="1" applyAlignment="1">
      <alignment horizontal="center"/>
    </xf>
    <xf numFmtId="0" fontId="1" fillId="5" borderId="0" xfId="0" applyFont="1" applyFill="1"/>
    <xf numFmtId="0" fontId="0" fillId="5" borderId="0" xfId="0" applyFill="1"/>
    <xf numFmtId="0" fontId="0" fillId="5" borderId="0" xfId="0" applyFill="1" applyAlignment="1">
      <alignment horizontal="center"/>
    </xf>
    <xf numFmtId="0" fontId="4" fillId="0" borderId="0" xfId="0" applyFont="1"/>
    <xf numFmtId="0" fontId="0" fillId="8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C7A0E8-4D58-504C-909C-B3CEB39AD4F6}">
  <dimension ref="A1:W39"/>
  <sheetViews>
    <sheetView tabSelected="1" workbookViewId="0">
      <selection activeCell="F13" sqref="F13"/>
    </sheetView>
  </sheetViews>
  <sheetFormatPr baseColWidth="10" defaultRowHeight="16" x14ac:dyDescent="0.2"/>
  <cols>
    <col min="1" max="1" width="18.1640625" customWidth="1"/>
    <col min="2" max="2" width="5.83203125" customWidth="1"/>
    <col min="3" max="3" width="13.1640625" customWidth="1"/>
    <col min="4" max="4" width="15.33203125" bestFit="1" customWidth="1"/>
    <col min="5" max="5" width="13.1640625" bestFit="1" customWidth="1"/>
    <col min="6" max="6" width="15.33203125" bestFit="1" customWidth="1"/>
    <col min="7" max="7" width="13.1640625" bestFit="1" customWidth="1"/>
    <col min="8" max="8" width="15.33203125" bestFit="1" customWidth="1"/>
    <col min="9" max="9" width="13.1640625" customWidth="1"/>
    <col min="10" max="10" width="15.33203125" bestFit="1" customWidth="1"/>
    <col min="11" max="11" width="13.1640625" bestFit="1" customWidth="1"/>
    <col min="12" max="12" width="15.33203125" bestFit="1" customWidth="1"/>
    <col min="13" max="13" width="13.1640625" bestFit="1" customWidth="1"/>
    <col min="14" max="14" width="15.33203125" bestFit="1" customWidth="1"/>
    <col min="15" max="15" width="13.1640625" bestFit="1" customWidth="1"/>
    <col min="16" max="16" width="15.33203125" bestFit="1" customWidth="1"/>
    <col min="17" max="17" width="13.1640625" bestFit="1" customWidth="1"/>
    <col min="18" max="18" width="15.33203125" bestFit="1" customWidth="1"/>
    <col min="19" max="19" width="5" customWidth="1"/>
    <col min="22" max="22" width="14" bestFit="1" customWidth="1"/>
  </cols>
  <sheetData>
    <row r="1" spans="1:23" x14ac:dyDescent="0.2">
      <c r="A1" s="1" t="s">
        <v>0</v>
      </c>
    </row>
    <row r="3" spans="1:23" ht="21.75" customHeight="1" x14ac:dyDescent="0.2">
      <c r="A3" s="1" t="s">
        <v>1</v>
      </c>
      <c r="C3" s="2" t="s">
        <v>2</v>
      </c>
      <c r="D3" s="2"/>
      <c r="E3" s="2"/>
      <c r="F3" s="2"/>
      <c r="G3" s="2" t="s">
        <v>3</v>
      </c>
      <c r="H3" s="2"/>
      <c r="I3" s="2"/>
      <c r="J3" s="2"/>
      <c r="K3" s="2"/>
      <c r="L3" s="2"/>
      <c r="M3" s="2"/>
      <c r="N3" s="2"/>
      <c r="O3" s="2" t="s">
        <v>4</v>
      </c>
      <c r="P3" s="2"/>
      <c r="Q3" s="2"/>
      <c r="R3" s="2"/>
      <c r="T3" s="3" t="s">
        <v>5</v>
      </c>
      <c r="U3" s="3"/>
    </row>
    <row r="4" spans="1:23" x14ac:dyDescent="0.2">
      <c r="A4" s="1" t="s">
        <v>6</v>
      </c>
      <c r="C4" s="4" t="s">
        <v>7</v>
      </c>
      <c r="D4" s="5"/>
      <c r="E4" s="6" t="s">
        <v>8</v>
      </c>
      <c r="F4" s="7"/>
      <c r="G4" s="6" t="s">
        <v>9</v>
      </c>
      <c r="H4" s="7"/>
      <c r="I4" s="6" t="s">
        <v>10</v>
      </c>
      <c r="J4" s="7"/>
      <c r="K4" s="6" t="s">
        <v>11</v>
      </c>
      <c r="L4" s="7"/>
      <c r="M4" s="6" t="s">
        <v>12</v>
      </c>
      <c r="N4" s="7"/>
      <c r="O4" s="6" t="s">
        <v>13</v>
      </c>
      <c r="P4" s="7"/>
      <c r="Q4" s="6" t="s">
        <v>14</v>
      </c>
      <c r="R4" s="7"/>
      <c r="T4" s="8" t="s">
        <v>15</v>
      </c>
      <c r="U4" s="9" t="s">
        <v>16</v>
      </c>
      <c r="V4" t="s">
        <v>30</v>
      </c>
      <c r="W4" t="s">
        <v>31</v>
      </c>
    </row>
    <row r="5" spans="1:23" x14ac:dyDescent="0.2">
      <c r="A5" s="1"/>
      <c r="C5" s="10" t="s">
        <v>17</v>
      </c>
      <c r="D5" s="11" t="s">
        <v>16</v>
      </c>
      <c r="E5" s="10" t="s">
        <v>17</v>
      </c>
      <c r="F5" s="11" t="s">
        <v>16</v>
      </c>
      <c r="G5" s="10" t="s">
        <v>17</v>
      </c>
      <c r="H5" s="11" t="s">
        <v>16</v>
      </c>
      <c r="I5" s="10" t="s">
        <v>17</v>
      </c>
      <c r="J5" s="11" t="s">
        <v>16</v>
      </c>
      <c r="K5" s="10" t="s">
        <v>17</v>
      </c>
      <c r="L5" s="11" t="s">
        <v>16</v>
      </c>
      <c r="M5" s="10" t="s">
        <v>17</v>
      </c>
      <c r="N5" s="11" t="s">
        <v>16</v>
      </c>
      <c r="O5" s="10" t="s">
        <v>17</v>
      </c>
      <c r="P5" s="11" t="s">
        <v>16</v>
      </c>
      <c r="Q5" s="10" t="s">
        <v>17</v>
      </c>
      <c r="R5" s="11" t="s">
        <v>16</v>
      </c>
      <c r="T5" s="12"/>
      <c r="U5" s="13"/>
    </row>
    <row r="6" spans="1:23" x14ac:dyDescent="0.2">
      <c r="A6" s="1" t="s">
        <v>18</v>
      </c>
      <c r="D6" s="14"/>
      <c r="E6" s="15"/>
      <c r="F6" s="14"/>
      <c r="H6" s="14"/>
      <c r="I6" s="15"/>
      <c r="J6" s="14"/>
      <c r="K6" s="15"/>
      <c r="L6" s="14"/>
      <c r="M6" s="15"/>
      <c r="N6" s="14"/>
      <c r="O6" s="15"/>
      <c r="P6" s="14"/>
      <c r="Q6" s="15"/>
      <c r="R6" s="14"/>
      <c r="T6" s="16"/>
      <c r="U6" s="16"/>
    </row>
    <row r="7" spans="1:23" x14ac:dyDescent="0.2">
      <c r="A7" t="s">
        <v>19</v>
      </c>
      <c r="C7" s="17">
        <v>8</v>
      </c>
      <c r="D7" s="18">
        <v>8</v>
      </c>
      <c r="E7" s="19">
        <v>10</v>
      </c>
      <c r="F7" s="20">
        <v>10</v>
      </c>
      <c r="G7" s="17">
        <v>6</v>
      </c>
      <c r="H7" s="20">
        <v>6</v>
      </c>
      <c r="I7" s="19">
        <v>8</v>
      </c>
      <c r="J7" s="20">
        <v>8</v>
      </c>
      <c r="K7" s="19">
        <v>10</v>
      </c>
      <c r="L7" s="20">
        <v>10</v>
      </c>
      <c r="M7" s="19">
        <v>4</v>
      </c>
      <c r="N7" s="20">
        <v>4</v>
      </c>
      <c r="O7" s="19">
        <v>10</v>
      </c>
      <c r="P7" s="20">
        <v>10</v>
      </c>
      <c r="Q7" s="19">
        <v>10</v>
      </c>
      <c r="R7" s="20">
        <v>10</v>
      </c>
      <c r="T7" s="21">
        <f>SUM(C7+E7+G7+I7+K7+M7+O7+Q7)</f>
        <v>66</v>
      </c>
      <c r="U7" s="22">
        <f>SUM(D7+F7+H7+J7+L7+N7+P7+R7)</f>
        <v>66</v>
      </c>
      <c r="V7">
        <f>U7*47</f>
        <v>3102</v>
      </c>
    </row>
    <row r="8" spans="1:23" x14ac:dyDescent="0.2">
      <c r="A8" t="s">
        <v>20</v>
      </c>
      <c r="C8" s="23">
        <v>4</v>
      </c>
      <c r="D8" s="24">
        <v>4</v>
      </c>
      <c r="E8" s="25">
        <v>10</v>
      </c>
      <c r="F8" s="26">
        <v>10</v>
      </c>
      <c r="G8" s="23">
        <v>10</v>
      </c>
      <c r="H8" s="26">
        <v>10</v>
      </c>
      <c r="I8" s="25">
        <v>10</v>
      </c>
      <c r="J8" s="26">
        <v>10</v>
      </c>
      <c r="K8" s="25">
        <v>5</v>
      </c>
      <c r="L8" s="26">
        <v>5</v>
      </c>
      <c r="M8" s="25">
        <v>5</v>
      </c>
      <c r="N8" s="26">
        <v>5</v>
      </c>
      <c r="O8" s="25">
        <v>5</v>
      </c>
      <c r="P8" s="26">
        <v>5</v>
      </c>
      <c r="Q8" s="25">
        <v>5</v>
      </c>
      <c r="R8" s="26">
        <v>5</v>
      </c>
      <c r="S8" s="27"/>
      <c r="T8" s="21">
        <f t="shared" ref="T8:U13" si="0">SUM(C8+E8+G8+I8+K8+M8+O8+Q8)</f>
        <v>54</v>
      </c>
      <c r="U8" s="22">
        <f t="shared" si="0"/>
        <v>54</v>
      </c>
      <c r="V8">
        <f>U8*36</f>
        <v>1944</v>
      </c>
    </row>
    <row r="9" spans="1:23" x14ac:dyDescent="0.2">
      <c r="A9" t="s">
        <v>21</v>
      </c>
      <c r="C9" s="23">
        <v>6</v>
      </c>
      <c r="D9" s="24">
        <v>6</v>
      </c>
      <c r="E9" s="25">
        <v>8</v>
      </c>
      <c r="F9" s="26">
        <v>8</v>
      </c>
      <c r="G9" s="23">
        <v>15</v>
      </c>
      <c r="H9" s="26">
        <v>15</v>
      </c>
      <c r="I9" s="25">
        <v>20</v>
      </c>
      <c r="J9" s="26">
        <v>20</v>
      </c>
      <c r="K9" s="25">
        <v>20</v>
      </c>
      <c r="L9" s="26">
        <v>20</v>
      </c>
      <c r="M9" s="25">
        <v>10</v>
      </c>
      <c r="N9" s="26">
        <v>10</v>
      </c>
      <c r="O9" s="25">
        <v>15</v>
      </c>
      <c r="P9" s="26">
        <v>15</v>
      </c>
      <c r="Q9" s="25">
        <v>20</v>
      </c>
      <c r="R9" s="26">
        <v>20</v>
      </c>
      <c r="S9" s="27"/>
      <c r="T9" s="21">
        <f t="shared" si="0"/>
        <v>114</v>
      </c>
      <c r="U9" s="22">
        <f t="shared" si="0"/>
        <v>114</v>
      </c>
      <c r="V9">
        <f t="shared" ref="V8:V13" si="1">U9*40</f>
        <v>4560</v>
      </c>
    </row>
    <row r="10" spans="1:23" x14ac:dyDescent="0.2">
      <c r="A10" t="s">
        <v>22</v>
      </c>
      <c r="C10" s="23">
        <v>3</v>
      </c>
      <c r="D10" s="24">
        <v>3</v>
      </c>
      <c r="E10" s="25">
        <v>6</v>
      </c>
      <c r="F10" s="26">
        <v>6</v>
      </c>
      <c r="G10" s="23">
        <v>15</v>
      </c>
      <c r="H10" s="26">
        <v>15</v>
      </c>
      <c r="I10" s="25">
        <v>20</v>
      </c>
      <c r="J10" s="26">
        <v>20</v>
      </c>
      <c r="K10" s="25">
        <v>20</v>
      </c>
      <c r="L10" s="26">
        <v>20</v>
      </c>
      <c r="M10" s="25">
        <v>5</v>
      </c>
      <c r="N10" s="26">
        <v>5</v>
      </c>
      <c r="O10" s="25">
        <v>15</v>
      </c>
      <c r="P10" s="26">
        <v>15</v>
      </c>
      <c r="Q10" s="25">
        <v>20</v>
      </c>
      <c r="R10" s="26">
        <v>20</v>
      </c>
      <c r="S10" s="27"/>
      <c r="T10" s="21">
        <f t="shared" si="0"/>
        <v>104</v>
      </c>
      <c r="U10" s="22">
        <f>SUM(D10+F10+H10+J10+L10+N10+P10+R10)</f>
        <v>104</v>
      </c>
      <c r="V10">
        <f t="shared" si="1"/>
        <v>4160</v>
      </c>
    </row>
    <row r="11" spans="1:23" x14ac:dyDescent="0.2">
      <c r="A11" t="s">
        <v>23</v>
      </c>
      <c r="C11" s="23">
        <v>5</v>
      </c>
      <c r="D11" s="24">
        <v>5</v>
      </c>
      <c r="E11" s="25">
        <v>6</v>
      </c>
      <c r="F11" s="26">
        <v>6</v>
      </c>
      <c r="G11" s="23">
        <v>15</v>
      </c>
      <c r="H11" s="26">
        <v>15</v>
      </c>
      <c r="I11" s="25">
        <v>20</v>
      </c>
      <c r="J11" s="26">
        <v>20</v>
      </c>
      <c r="K11" s="25">
        <v>20</v>
      </c>
      <c r="L11" s="26">
        <v>20</v>
      </c>
      <c r="M11" s="25">
        <v>10</v>
      </c>
      <c r="N11" s="26">
        <v>10</v>
      </c>
      <c r="O11" s="25">
        <v>20</v>
      </c>
      <c r="P11" s="26">
        <v>20</v>
      </c>
      <c r="Q11" s="25">
        <v>20</v>
      </c>
      <c r="R11" s="26">
        <v>20</v>
      </c>
      <c r="S11" s="27"/>
      <c r="T11" s="21">
        <f t="shared" si="0"/>
        <v>116</v>
      </c>
      <c r="U11" s="22">
        <f t="shared" si="0"/>
        <v>116</v>
      </c>
      <c r="V11">
        <f t="shared" si="1"/>
        <v>4640</v>
      </c>
    </row>
    <row r="12" spans="1:23" x14ac:dyDescent="0.2">
      <c r="A12" t="s">
        <v>24</v>
      </c>
      <c r="C12" s="23">
        <v>3</v>
      </c>
      <c r="D12" s="24">
        <v>3</v>
      </c>
      <c r="E12" s="25">
        <v>6</v>
      </c>
      <c r="F12" s="26">
        <v>6</v>
      </c>
      <c r="G12" s="23">
        <v>16</v>
      </c>
      <c r="H12" s="26">
        <v>16</v>
      </c>
      <c r="I12" s="25">
        <v>16</v>
      </c>
      <c r="J12" s="26">
        <v>16</v>
      </c>
      <c r="K12" s="25">
        <v>16</v>
      </c>
      <c r="L12" s="26">
        <v>16</v>
      </c>
      <c r="M12" s="25">
        <v>8</v>
      </c>
      <c r="N12" s="26">
        <v>8</v>
      </c>
      <c r="O12" s="25">
        <v>8</v>
      </c>
      <c r="P12" s="26">
        <v>8</v>
      </c>
      <c r="Q12" s="25">
        <v>16</v>
      </c>
      <c r="R12" s="26">
        <v>16</v>
      </c>
      <c r="S12" s="27"/>
      <c r="T12" s="21">
        <f t="shared" si="0"/>
        <v>89</v>
      </c>
      <c r="U12" s="22">
        <f t="shared" si="0"/>
        <v>89</v>
      </c>
      <c r="V12">
        <f>U12*44</f>
        <v>3916</v>
      </c>
    </row>
    <row r="13" spans="1:23" x14ac:dyDescent="0.2">
      <c r="A13" t="s">
        <v>25</v>
      </c>
      <c r="C13" s="23">
        <v>1</v>
      </c>
      <c r="D13" s="24">
        <v>1</v>
      </c>
      <c r="E13" s="25">
        <v>1</v>
      </c>
      <c r="F13" s="26">
        <v>1</v>
      </c>
      <c r="G13" s="23">
        <v>4</v>
      </c>
      <c r="H13" s="26">
        <v>4</v>
      </c>
      <c r="I13" s="25">
        <v>3</v>
      </c>
      <c r="J13" s="26">
        <v>3</v>
      </c>
      <c r="K13" s="23">
        <v>3</v>
      </c>
      <c r="L13" s="26">
        <v>3</v>
      </c>
      <c r="M13" s="23">
        <v>3</v>
      </c>
      <c r="N13" s="26">
        <v>3</v>
      </c>
      <c r="O13" s="23">
        <v>3</v>
      </c>
      <c r="P13" s="26">
        <v>3</v>
      </c>
      <c r="Q13" s="23">
        <v>3</v>
      </c>
      <c r="R13" s="26">
        <v>3</v>
      </c>
      <c r="S13" s="27"/>
      <c r="T13" s="21">
        <f t="shared" si="0"/>
        <v>21</v>
      </c>
      <c r="U13" s="22">
        <f t="shared" si="0"/>
        <v>21</v>
      </c>
      <c r="V13">
        <f>U13*80</f>
        <v>1680</v>
      </c>
    </row>
    <row r="14" spans="1:23" x14ac:dyDescent="0.2">
      <c r="T14" s="28">
        <f>SUM(T7:T13)</f>
        <v>564</v>
      </c>
      <c r="U14" s="29">
        <f>SUM(U7:U13)</f>
        <v>564</v>
      </c>
      <c r="V14" s="37">
        <f>SUM(V7:V13)</f>
        <v>24002</v>
      </c>
      <c r="W14" s="37">
        <v>47320</v>
      </c>
    </row>
    <row r="15" spans="1:23" x14ac:dyDescent="0.2">
      <c r="A15" s="30" t="s">
        <v>15</v>
      </c>
      <c r="B15" s="31"/>
      <c r="C15" s="32">
        <f>SUM(C7:C13)</f>
        <v>30</v>
      </c>
      <c r="D15" s="32"/>
      <c r="E15" s="32">
        <f t="shared" ref="E15:Q15" si="2">SUM(E7:E13)</f>
        <v>47</v>
      </c>
      <c r="F15" s="32"/>
      <c r="G15" s="32">
        <f t="shared" si="2"/>
        <v>81</v>
      </c>
      <c r="H15" s="32"/>
      <c r="I15" s="32">
        <f t="shared" si="2"/>
        <v>97</v>
      </c>
      <c r="J15" s="32"/>
      <c r="K15" s="32">
        <f t="shared" si="2"/>
        <v>94</v>
      </c>
      <c r="L15" s="32"/>
      <c r="M15" s="32">
        <f t="shared" si="2"/>
        <v>45</v>
      </c>
      <c r="N15" s="32"/>
      <c r="O15" s="32">
        <f t="shared" si="2"/>
        <v>76</v>
      </c>
      <c r="P15" s="32"/>
      <c r="Q15" s="32">
        <f t="shared" si="2"/>
        <v>94</v>
      </c>
      <c r="R15" s="32"/>
      <c r="W15">
        <f>W14-V14</f>
        <v>23318</v>
      </c>
    </row>
    <row r="16" spans="1:23" x14ac:dyDescent="0.2">
      <c r="A16" s="33" t="s">
        <v>16</v>
      </c>
      <c r="B16" s="34"/>
      <c r="C16" s="34"/>
      <c r="D16" s="35">
        <f>SUM(D7:D13)</f>
        <v>30</v>
      </c>
      <c r="E16" s="35"/>
      <c r="F16" s="35">
        <f t="shared" ref="F16:R16" si="3">SUM(F7:F13)</f>
        <v>47</v>
      </c>
      <c r="G16" s="35"/>
      <c r="H16" s="35">
        <f t="shared" si="3"/>
        <v>81</v>
      </c>
      <c r="I16" s="35"/>
      <c r="J16" s="35">
        <f t="shared" si="3"/>
        <v>97</v>
      </c>
      <c r="K16" s="35"/>
      <c r="L16" s="35">
        <f t="shared" si="3"/>
        <v>94</v>
      </c>
      <c r="M16" s="35"/>
      <c r="N16" s="35">
        <f t="shared" si="3"/>
        <v>45</v>
      </c>
      <c r="O16" s="35"/>
      <c r="P16" s="35">
        <f t="shared" si="3"/>
        <v>76</v>
      </c>
      <c r="Q16" s="35"/>
      <c r="R16" s="35">
        <f t="shared" si="3"/>
        <v>94</v>
      </c>
    </row>
    <row r="20" spans="1:1" x14ac:dyDescent="0.2">
      <c r="A20" t="s">
        <v>26</v>
      </c>
    </row>
    <row r="21" spans="1:1" x14ac:dyDescent="0.2">
      <c r="A21" t="s">
        <v>27</v>
      </c>
    </row>
    <row r="33" spans="1:2" x14ac:dyDescent="0.2">
      <c r="A33" s="36"/>
      <c r="B33" s="36" t="s">
        <v>28</v>
      </c>
    </row>
    <row r="34" spans="1:2" x14ac:dyDescent="0.2">
      <c r="A34" s="36" t="s">
        <v>22</v>
      </c>
      <c r="B34" s="36">
        <v>40</v>
      </c>
    </row>
    <row r="35" spans="1:2" x14ac:dyDescent="0.2">
      <c r="A35" s="36" t="s">
        <v>20</v>
      </c>
      <c r="B35" s="36">
        <v>36</v>
      </c>
    </row>
    <row r="36" spans="1:2" x14ac:dyDescent="0.2">
      <c r="A36" s="36" t="s">
        <v>19</v>
      </c>
      <c r="B36" s="36">
        <v>47</v>
      </c>
    </row>
    <row r="37" spans="1:2" x14ac:dyDescent="0.2">
      <c r="A37" s="36" t="s">
        <v>24</v>
      </c>
      <c r="B37" s="36">
        <v>44</v>
      </c>
    </row>
    <row r="38" spans="1:2" x14ac:dyDescent="0.2">
      <c r="A38" s="36" t="s">
        <v>21</v>
      </c>
      <c r="B38" s="36">
        <v>40</v>
      </c>
    </row>
    <row r="39" spans="1:2" x14ac:dyDescent="0.2">
      <c r="A39" s="36" t="s">
        <v>29</v>
      </c>
      <c r="B39" s="36">
        <v>40</v>
      </c>
    </row>
  </sheetData>
  <mergeCells count="14">
    <mergeCell ref="O4:P4"/>
    <mergeCell ref="Q4:R4"/>
    <mergeCell ref="T4:T5"/>
    <mergeCell ref="U4:U5"/>
    <mergeCell ref="C3:F3"/>
    <mergeCell ref="G3:N3"/>
    <mergeCell ref="O3:R3"/>
    <mergeCell ref="T3:U3"/>
    <mergeCell ref="C4:D4"/>
    <mergeCell ref="E4:F4"/>
    <mergeCell ref="G4:H4"/>
    <mergeCell ref="I4:J4"/>
    <mergeCell ref="K4:L4"/>
    <mergeCell ref="M4:N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Marianna</dc:creator>
  <cp:lastModifiedBy>Marianna</cp:lastModifiedBy>
  <dcterms:created xsi:type="dcterms:W3CDTF">2024-11-26T12:13:27Z</dcterms:created>
  <dcterms:modified xsi:type="dcterms:W3CDTF">2024-11-26T12:28:22Z</dcterms:modified>
</cp:coreProperties>
</file>